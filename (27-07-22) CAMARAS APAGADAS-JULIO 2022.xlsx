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C6A242B1-9928-4FB1-AC04-CBBD4B78C132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24" l="1"/>
  <c r="C34" i="24"/>
  <c r="D34" i="24" s="1"/>
  <c r="F27" i="14"/>
  <c r="F26" i="14"/>
  <c r="F25" i="14"/>
  <c r="F24" i="14"/>
  <c r="D27" i="14"/>
  <c r="D26" i="14"/>
  <c r="B26" i="14" s="1"/>
  <c r="D25" i="14"/>
  <c r="D24" i="14"/>
  <c r="C27" i="14"/>
  <c r="C26" i="14"/>
  <c r="C25" i="14"/>
  <c r="C24" i="14"/>
  <c r="B27" i="14"/>
  <c r="B25" i="14"/>
  <c r="B24" i="14"/>
  <c r="D28" i="24"/>
  <c r="C29" i="24"/>
  <c r="D29" i="24" s="1"/>
  <c r="F23" i="14"/>
  <c r="D23" i="14"/>
  <c r="C23" i="14"/>
  <c r="B23" i="14"/>
  <c r="D23" i="24"/>
  <c r="C24" i="24"/>
  <c r="C25" i="24" s="1"/>
  <c r="F22" i="14"/>
  <c r="A375" i="8"/>
  <c r="B375" i="8"/>
  <c r="C375" i="8"/>
  <c r="C377" i="10" s="1"/>
  <c r="D375" i="8"/>
  <c r="E375" i="8"/>
  <c r="F375" i="8"/>
  <c r="F377" i="21" s="1"/>
  <c r="G375" i="8"/>
  <c r="G377" i="10" s="1"/>
  <c r="H375" i="8"/>
  <c r="I375" i="8"/>
  <c r="J375" i="8"/>
  <c r="K375" i="8"/>
  <c r="L375" i="8"/>
  <c r="M375" i="8"/>
  <c r="N375" i="8"/>
  <c r="N377" i="21" s="1"/>
  <c r="O375" i="8"/>
  <c r="P375" i="8"/>
  <c r="Q375" i="8"/>
  <c r="R375" i="8"/>
  <c r="S375" i="8"/>
  <c r="A376" i="8"/>
  <c r="B376" i="8"/>
  <c r="C376" i="8"/>
  <c r="C378" i="10" s="1"/>
  <c r="D376" i="8"/>
  <c r="D378" i="21" s="1"/>
  <c r="E376" i="8"/>
  <c r="E378" i="21" s="1"/>
  <c r="F376" i="8"/>
  <c r="G376" i="8"/>
  <c r="H376" i="8"/>
  <c r="H378" i="10" s="1"/>
  <c r="I376" i="8"/>
  <c r="J376" i="8"/>
  <c r="K376" i="8"/>
  <c r="K378" i="21" s="1"/>
  <c r="L376" i="8"/>
  <c r="M376" i="8"/>
  <c r="M378" i="21" s="1"/>
  <c r="N376" i="8"/>
  <c r="O376" i="8"/>
  <c r="P376" i="8"/>
  <c r="Q376" i="8"/>
  <c r="R376" i="8"/>
  <c r="S376" i="8"/>
  <c r="A377" i="8"/>
  <c r="A379" i="11" s="1"/>
  <c r="B377" i="8"/>
  <c r="C377" i="8"/>
  <c r="D377" i="8"/>
  <c r="E377" i="8"/>
  <c r="F377" i="8"/>
  <c r="G377" i="8"/>
  <c r="H377" i="8"/>
  <c r="H379" i="21" s="1"/>
  <c r="I377" i="8"/>
  <c r="I379" i="11" s="1"/>
  <c r="J377" i="8"/>
  <c r="K377" i="8"/>
  <c r="L377" i="8"/>
  <c r="M377" i="8"/>
  <c r="M379" i="10" s="1"/>
  <c r="N377" i="8"/>
  <c r="O377" i="8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D378" i="8"/>
  <c r="E378" i="8"/>
  <c r="E380" i="10" s="1"/>
  <c r="F378" i="8"/>
  <c r="F380" i="11" s="1"/>
  <c r="G378" i="8"/>
  <c r="H378" i="8"/>
  <c r="I378" i="8"/>
  <c r="I380" i="21" s="1"/>
  <c r="J378" i="8"/>
  <c r="K378" i="8"/>
  <c r="L378" i="8"/>
  <c r="M378" i="8"/>
  <c r="M380" i="10" s="1"/>
  <c r="N378" i="8"/>
  <c r="N380" i="11" s="1"/>
  <c r="O378" i="8"/>
  <c r="P378" i="8"/>
  <c r="Q378" i="8"/>
  <c r="Q380" i="21" s="1"/>
  <c r="R378" i="8"/>
  <c r="R380" i="10" s="1"/>
  <c r="S378" i="8"/>
  <c r="A379" i="8"/>
  <c r="B379" i="8"/>
  <c r="B381" i="11" s="1"/>
  <c r="C379" i="8"/>
  <c r="D379" i="8"/>
  <c r="D381" i="11" s="1"/>
  <c r="E379" i="8"/>
  <c r="F379" i="8"/>
  <c r="G379" i="8"/>
  <c r="G381" i="10" s="1"/>
  <c r="H379" i="8"/>
  <c r="I379" i="8"/>
  <c r="J379" i="8"/>
  <c r="J380" i="9" s="1"/>
  <c r="K379" i="8"/>
  <c r="L379" i="8"/>
  <c r="L381" i="11" s="1"/>
  <c r="M379" i="8"/>
  <c r="N379" i="8"/>
  <c r="O379" i="8"/>
  <c r="P379" i="8"/>
  <c r="Q379" i="8"/>
  <c r="R379" i="8"/>
  <c r="R381" i="10" s="1"/>
  <c r="S379" i="8"/>
  <c r="A380" i="8"/>
  <c r="B380" i="8"/>
  <c r="C380" i="8"/>
  <c r="C382" i="10" s="1"/>
  <c r="D380" i="8"/>
  <c r="D382" i="21" s="1"/>
  <c r="E380" i="8"/>
  <c r="F380" i="8"/>
  <c r="G380" i="8"/>
  <c r="G381" i="9" s="1"/>
  <c r="H380" i="8"/>
  <c r="H382" i="10" s="1"/>
  <c r="I380" i="8"/>
  <c r="J380" i="8"/>
  <c r="K380" i="8"/>
  <c r="K382" i="10" s="1"/>
  <c r="L380" i="8"/>
  <c r="L382" i="10" s="1"/>
  <c r="M380" i="8"/>
  <c r="N380" i="8"/>
  <c r="O380" i="8"/>
  <c r="O381" i="9" s="1"/>
  <c r="P380" i="8"/>
  <c r="P382" i="10" s="1"/>
  <c r="Q380" i="8"/>
  <c r="R380" i="8"/>
  <c r="S380" i="8"/>
  <c r="A381" i="8"/>
  <c r="A383" i="21" s="1"/>
  <c r="B381" i="8"/>
  <c r="C381" i="8"/>
  <c r="D381" i="8"/>
  <c r="D383" i="21" s="1"/>
  <c r="E381" i="8"/>
  <c r="E383" i="21" s="1"/>
  <c r="F381" i="8"/>
  <c r="G381" i="8"/>
  <c r="H381" i="8"/>
  <c r="H383" i="21" s="1"/>
  <c r="I381" i="8"/>
  <c r="I382" i="9" s="1"/>
  <c r="J381" i="8"/>
  <c r="K381" i="8"/>
  <c r="L381" i="8"/>
  <c r="L383" i="21" s="1"/>
  <c r="M381" i="8"/>
  <c r="M383" i="21" s="1"/>
  <c r="N381" i="8"/>
  <c r="O381" i="8"/>
  <c r="P381" i="8"/>
  <c r="P383" i="21" s="1"/>
  <c r="Q381" i="8"/>
  <c r="Q383" i="21" s="1"/>
  <c r="R381" i="8"/>
  <c r="S381" i="8"/>
  <c r="A382" i="8"/>
  <c r="A384" i="10" s="1"/>
  <c r="B382" i="8"/>
  <c r="B384" i="21" s="1"/>
  <c r="C382" i="8"/>
  <c r="D382" i="8"/>
  <c r="E382" i="8"/>
  <c r="F382" i="8"/>
  <c r="F384" i="21" s="1"/>
  <c r="G382" i="8"/>
  <c r="H382" i="8"/>
  <c r="I382" i="8"/>
  <c r="I384" i="11" s="1"/>
  <c r="J382" i="8"/>
  <c r="J384" i="21" s="1"/>
  <c r="K382" i="8"/>
  <c r="L382" i="8"/>
  <c r="M382" i="8"/>
  <c r="N382" i="8"/>
  <c r="N384" i="10" s="1"/>
  <c r="O382" i="8"/>
  <c r="P382" i="8"/>
  <c r="Q382" i="8"/>
  <c r="Q384" i="10" s="1"/>
  <c r="R382" i="8"/>
  <c r="S382" i="8"/>
  <c r="S384" i="11" s="1"/>
  <c r="A383" i="8"/>
  <c r="B383" i="8"/>
  <c r="B384" i="9" s="1"/>
  <c r="C383" i="8"/>
  <c r="C385" i="10" s="1"/>
  <c r="D383" i="8"/>
  <c r="E383" i="8"/>
  <c r="F383" i="8"/>
  <c r="F385" i="10" s="1"/>
  <c r="G383" i="8"/>
  <c r="G385" i="10" s="1"/>
  <c r="H383" i="8"/>
  <c r="I383" i="8"/>
  <c r="J383" i="8"/>
  <c r="J384" i="9" s="1"/>
  <c r="K383" i="8"/>
  <c r="L383" i="8"/>
  <c r="M383" i="8"/>
  <c r="N383" i="8"/>
  <c r="N385" i="21" s="1"/>
  <c r="O383" i="8"/>
  <c r="O385" i="11" s="1"/>
  <c r="P383" i="8"/>
  <c r="Q383" i="8"/>
  <c r="R383" i="8"/>
  <c r="R384" i="9" s="1"/>
  <c r="S383" i="8"/>
  <c r="A384" i="8"/>
  <c r="B384" i="8"/>
  <c r="C384" i="8"/>
  <c r="C385" i="9" s="1"/>
  <c r="D384" i="8"/>
  <c r="D386" i="21" s="1"/>
  <c r="E384" i="8"/>
  <c r="F384" i="8"/>
  <c r="G384" i="8"/>
  <c r="H384" i="8"/>
  <c r="H386" i="10" s="1"/>
  <c r="I384" i="8"/>
  <c r="J384" i="8"/>
  <c r="K384" i="8"/>
  <c r="K386" i="11" s="1"/>
  <c r="L384" i="8"/>
  <c r="M384" i="8"/>
  <c r="N384" i="8"/>
  <c r="O384" i="8"/>
  <c r="O385" i="9" s="1"/>
  <c r="P384" i="8"/>
  <c r="P385" i="9" s="1"/>
  <c r="Q384" i="8"/>
  <c r="R384" i="8"/>
  <c r="S384" i="8"/>
  <c r="A385" i="8"/>
  <c r="A387" i="21" s="1"/>
  <c r="B385" i="8"/>
  <c r="C385" i="8"/>
  <c r="D385" i="8"/>
  <c r="E385" i="8"/>
  <c r="E386" i="9" s="1"/>
  <c r="F385" i="8"/>
  <c r="G385" i="8"/>
  <c r="H385" i="8"/>
  <c r="H387" i="10" s="1"/>
  <c r="I385" i="8"/>
  <c r="J385" i="8"/>
  <c r="K385" i="8"/>
  <c r="L385" i="8"/>
  <c r="M385" i="8"/>
  <c r="M387" i="21" s="1"/>
  <c r="N385" i="8"/>
  <c r="O385" i="8"/>
  <c r="P385" i="8"/>
  <c r="P387" i="11" s="1"/>
  <c r="Q385" i="8"/>
  <c r="Q387" i="21" s="1"/>
  <c r="R385" i="8"/>
  <c r="S385" i="8"/>
  <c r="A386" i="8"/>
  <c r="A388" i="10" s="1"/>
  <c r="B386" i="8"/>
  <c r="B388" i="10" s="1"/>
  <c r="C386" i="8"/>
  <c r="D386" i="8"/>
  <c r="E386" i="8"/>
  <c r="E387" i="9" s="1"/>
  <c r="F386" i="8"/>
  <c r="F388" i="21" s="1"/>
  <c r="G386" i="8"/>
  <c r="H386" i="8"/>
  <c r="I386" i="8"/>
  <c r="I388" i="10" s="1"/>
  <c r="J386" i="8"/>
  <c r="J388" i="10" s="1"/>
  <c r="K386" i="8"/>
  <c r="L386" i="8"/>
  <c r="M386" i="8"/>
  <c r="M388" i="11" s="1"/>
  <c r="N386" i="8"/>
  <c r="N388" i="21" s="1"/>
  <c r="O386" i="8"/>
  <c r="P386" i="8"/>
  <c r="Q386" i="8"/>
  <c r="Q388" i="10" s="1"/>
  <c r="R386" i="8"/>
  <c r="R388" i="10" s="1"/>
  <c r="S386" i="8"/>
  <c r="A387" i="8"/>
  <c r="B387" i="8"/>
  <c r="B389" i="21" s="1"/>
  <c r="C387" i="8"/>
  <c r="D387" i="8"/>
  <c r="E387" i="8"/>
  <c r="F387" i="8"/>
  <c r="G387" i="8"/>
  <c r="G389" i="21" s="1"/>
  <c r="H387" i="8"/>
  <c r="I387" i="8"/>
  <c r="J387" i="8"/>
  <c r="J389" i="21" s="1"/>
  <c r="K387" i="8"/>
  <c r="L387" i="8"/>
  <c r="L389" i="10" s="1"/>
  <c r="M387" i="8"/>
  <c r="N387" i="8"/>
  <c r="N389" i="21" s="1"/>
  <c r="O387" i="8"/>
  <c r="P387" i="8"/>
  <c r="Q387" i="8"/>
  <c r="R387" i="8"/>
  <c r="R389" i="10" s="1"/>
  <c r="S387" i="8"/>
  <c r="A388" i="8"/>
  <c r="B388" i="8"/>
  <c r="C388" i="8"/>
  <c r="C389" i="9" s="1"/>
  <c r="D388" i="8"/>
  <c r="E388" i="8"/>
  <c r="F388" i="8"/>
  <c r="G388" i="8"/>
  <c r="G390" i="10" s="1"/>
  <c r="H388" i="8"/>
  <c r="I388" i="8"/>
  <c r="J388" i="8"/>
  <c r="K388" i="8"/>
  <c r="K389" i="9" s="1"/>
  <c r="L388" i="8"/>
  <c r="L390" i="10" s="1"/>
  <c r="M388" i="8"/>
  <c r="N388" i="8"/>
  <c r="O388" i="8"/>
  <c r="O390" i="11" s="1"/>
  <c r="P388" i="8"/>
  <c r="P389" i="9" s="1"/>
  <c r="Q388" i="8"/>
  <c r="R388" i="8"/>
  <c r="S388" i="8"/>
  <c r="S390" i="11" s="1"/>
  <c r="A389" i="8"/>
  <c r="A391" i="10" s="1"/>
  <c r="B389" i="8"/>
  <c r="C389" i="8"/>
  <c r="D389" i="8"/>
  <c r="D391" i="10" s="1"/>
  <c r="E389" i="8"/>
  <c r="F389" i="8"/>
  <c r="G389" i="8"/>
  <c r="H389" i="8"/>
  <c r="H391" i="11" s="1"/>
  <c r="I389" i="8"/>
  <c r="I390" i="9" s="1"/>
  <c r="J389" i="8"/>
  <c r="K389" i="8"/>
  <c r="L389" i="8"/>
  <c r="L391" i="10" s="1"/>
  <c r="M389" i="8"/>
  <c r="M390" i="9" s="1"/>
  <c r="N389" i="8"/>
  <c r="O389" i="8"/>
  <c r="P389" i="8"/>
  <c r="P391" i="11" s="1"/>
  <c r="Q389" i="8"/>
  <c r="Q391" i="10" s="1"/>
  <c r="R389" i="8"/>
  <c r="S389" i="8"/>
  <c r="A390" i="8"/>
  <c r="A392" i="11" s="1"/>
  <c r="B390" i="8"/>
  <c r="C390" i="8"/>
  <c r="C391" i="9" s="1"/>
  <c r="D390" i="8"/>
  <c r="E390" i="8"/>
  <c r="E392" i="21" s="1"/>
  <c r="F390" i="8"/>
  <c r="F392" i="21" s="1"/>
  <c r="G390" i="8"/>
  <c r="H390" i="8"/>
  <c r="I390" i="8"/>
  <c r="I392" i="10" s="1"/>
  <c r="J390" i="8"/>
  <c r="K390" i="8"/>
  <c r="L390" i="8"/>
  <c r="M390" i="8"/>
  <c r="M392" i="21" s="1"/>
  <c r="N390" i="8"/>
  <c r="N392" i="10" s="1"/>
  <c r="O390" i="8"/>
  <c r="P390" i="8"/>
  <c r="Q390" i="8"/>
  <c r="Q391" i="9" s="1"/>
  <c r="R390" i="8"/>
  <c r="S390" i="8"/>
  <c r="S392" i="11" s="1"/>
  <c r="A391" i="8"/>
  <c r="B391" i="8"/>
  <c r="B393" i="21" s="1"/>
  <c r="C391" i="8"/>
  <c r="C392" i="9" s="1"/>
  <c r="D391" i="8"/>
  <c r="E391" i="8"/>
  <c r="F391" i="8"/>
  <c r="F393" i="21" s="1"/>
  <c r="G391" i="8"/>
  <c r="G393" i="11" s="1"/>
  <c r="H391" i="8"/>
  <c r="I391" i="8"/>
  <c r="J391" i="8"/>
  <c r="J393" i="10" s="1"/>
  <c r="K391" i="8"/>
  <c r="L391" i="8"/>
  <c r="M391" i="8"/>
  <c r="N391" i="8"/>
  <c r="N393" i="21" s="1"/>
  <c r="O391" i="8"/>
  <c r="O393" i="11" s="1"/>
  <c r="P391" i="8"/>
  <c r="Q391" i="8"/>
  <c r="R391" i="8"/>
  <c r="R393" i="10" s="1"/>
  <c r="S391" i="8"/>
  <c r="A392" i="8"/>
  <c r="B392" i="8"/>
  <c r="C392" i="8"/>
  <c r="C393" i="9" s="1"/>
  <c r="D392" i="8"/>
  <c r="D394" i="11" s="1"/>
  <c r="E392" i="8"/>
  <c r="E393" i="9" s="1"/>
  <c r="F392" i="8"/>
  <c r="G392" i="8"/>
  <c r="G393" i="9" s="1"/>
  <c r="H392" i="8"/>
  <c r="H394" i="10" s="1"/>
  <c r="I392" i="8"/>
  <c r="J392" i="8"/>
  <c r="K392" i="8"/>
  <c r="K394" i="11" s="1"/>
  <c r="L392" i="8"/>
  <c r="M392" i="8"/>
  <c r="M393" i="9" s="1"/>
  <c r="N392" i="8"/>
  <c r="O392" i="8"/>
  <c r="O393" i="9" s="1"/>
  <c r="P392" i="8"/>
  <c r="P393" i="9" s="1"/>
  <c r="Q392" i="8"/>
  <c r="R392" i="8"/>
  <c r="S392" i="8"/>
  <c r="A393" i="8"/>
  <c r="A395" i="11" s="1"/>
  <c r="B393" i="8"/>
  <c r="C393" i="8"/>
  <c r="D393" i="8"/>
  <c r="E393" i="8"/>
  <c r="E394" i="9" s="1"/>
  <c r="F393" i="8"/>
  <c r="G393" i="8"/>
  <c r="H393" i="8"/>
  <c r="H395" i="11" s="1"/>
  <c r="I393" i="8"/>
  <c r="I395" i="11" s="1"/>
  <c r="J393" i="8"/>
  <c r="K393" i="8"/>
  <c r="L393" i="8"/>
  <c r="L395" i="21" s="1"/>
  <c r="M393" i="8"/>
  <c r="M395" i="10" s="1"/>
  <c r="N393" i="8"/>
  <c r="O393" i="8"/>
  <c r="P393" i="8"/>
  <c r="P395" i="21" s="1"/>
  <c r="Q393" i="8"/>
  <c r="Q395" i="10" s="1"/>
  <c r="R393" i="8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A377" i="10"/>
  <c r="D377" i="10"/>
  <c r="E377" i="10"/>
  <c r="I377" i="10"/>
  <c r="K377" i="10"/>
  <c r="L377" i="10"/>
  <c r="M377" i="10"/>
  <c r="N377" i="10"/>
  <c r="O377" i="10"/>
  <c r="Q377" i="10"/>
  <c r="A378" i="10"/>
  <c r="B378" i="10"/>
  <c r="F378" i="10"/>
  <c r="I378" i="10"/>
  <c r="J378" i="10"/>
  <c r="N378" i="10"/>
  <c r="P378" i="10"/>
  <c r="Q378" i="10"/>
  <c r="R378" i="10"/>
  <c r="C379" i="10"/>
  <c r="E379" i="10"/>
  <c r="F379" i="10"/>
  <c r="G379" i="10"/>
  <c r="K379" i="10"/>
  <c r="N379" i="10"/>
  <c r="O379" i="10"/>
  <c r="C380" i="10"/>
  <c r="D380" i="10"/>
  <c r="H380" i="10"/>
  <c r="J380" i="10"/>
  <c r="K380" i="10"/>
  <c r="L380" i="10"/>
  <c r="N380" i="10"/>
  <c r="P380" i="10"/>
  <c r="A381" i="10"/>
  <c r="B381" i="10"/>
  <c r="D381" i="10"/>
  <c r="E381" i="10"/>
  <c r="H381" i="10"/>
  <c r="I381" i="10"/>
  <c r="M381" i="10"/>
  <c r="O381" i="10"/>
  <c r="P381" i="10"/>
  <c r="Q381" i="10"/>
  <c r="B382" i="10"/>
  <c r="D382" i="10"/>
  <c r="E382" i="10"/>
  <c r="F382" i="10"/>
  <c r="G382" i="10"/>
  <c r="J382" i="10"/>
  <c r="M382" i="10"/>
  <c r="N382" i="10"/>
  <c r="R382" i="10"/>
  <c r="B383" i="10"/>
  <c r="C383" i="10"/>
  <c r="G383" i="10"/>
  <c r="I383" i="10"/>
  <c r="J383" i="10"/>
  <c r="K383" i="10"/>
  <c r="O383" i="10"/>
  <c r="Q383" i="10"/>
  <c r="R383" i="10"/>
  <c r="D384" i="10"/>
  <c r="F384" i="10"/>
  <c r="G384" i="10"/>
  <c r="H384" i="10"/>
  <c r="I384" i="10"/>
  <c r="L384" i="10"/>
  <c r="O384" i="10"/>
  <c r="P384" i="10"/>
  <c r="A385" i="10"/>
  <c r="D385" i="10"/>
  <c r="E385" i="10"/>
  <c r="I385" i="10"/>
  <c r="K385" i="10"/>
  <c r="L385" i="10"/>
  <c r="M385" i="10"/>
  <c r="N385" i="10"/>
  <c r="Q385" i="10"/>
  <c r="A386" i="10"/>
  <c r="B386" i="10"/>
  <c r="F386" i="10"/>
  <c r="I386" i="10"/>
  <c r="J386" i="10"/>
  <c r="M386" i="10"/>
  <c r="N386" i="10"/>
  <c r="P386" i="10"/>
  <c r="Q386" i="10"/>
  <c r="R386" i="10"/>
  <c r="C387" i="10"/>
  <c r="E387" i="10"/>
  <c r="F387" i="10"/>
  <c r="G387" i="10"/>
  <c r="K387" i="10"/>
  <c r="M387" i="10"/>
  <c r="N387" i="10"/>
  <c r="O387" i="10"/>
  <c r="P387" i="10"/>
  <c r="Q387" i="10"/>
  <c r="C388" i="10"/>
  <c r="D388" i="10"/>
  <c r="G388" i="10"/>
  <c r="H388" i="10"/>
  <c r="K388" i="10"/>
  <c r="L388" i="10"/>
  <c r="O388" i="10"/>
  <c r="P388" i="10"/>
  <c r="A389" i="10"/>
  <c r="E389" i="10"/>
  <c r="H389" i="10"/>
  <c r="I389" i="10"/>
  <c r="M389" i="10"/>
  <c r="O389" i="10"/>
  <c r="P389" i="10"/>
  <c r="Q389" i="10"/>
  <c r="B390" i="10"/>
  <c r="D390" i="10"/>
  <c r="E390" i="10"/>
  <c r="F390" i="10"/>
  <c r="J390" i="10"/>
  <c r="M390" i="10"/>
  <c r="N390" i="10"/>
  <c r="R390" i="10"/>
  <c r="B391" i="10"/>
  <c r="C391" i="10"/>
  <c r="G391" i="10"/>
  <c r="I391" i="10"/>
  <c r="J391" i="10"/>
  <c r="K391" i="10"/>
  <c r="O391" i="10"/>
  <c r="P391" i="10"/>
  <c r="R391" i="10"/>
  <c r="A392" i="10"/>
  <c r="D392" i="10"/>
  <c r="G392" i="10"/>
  <c r="H392" i="10"/>
  <c r="L392" i="10"/>
  <c r="O392" i="10"/>
  <c r="P392" i="10"/>
  <c r="A393" i="10"/>
  <c r="C393" i="10"/>
  <c r="D393" i="10"/>
  <c r="E393" i="10"/>
  <c r="I393" i="10"/>
  <c r="K393" i="10"/>
  <c r="L393" i="10"/>
  <c r="M393" i="10"/>
  <c r="Q393" i="10"/>
  <c r="A394" i="10"/>
  <c r="B394" i="10"/>
  <c r="C394" i="10"/>
  <c r="E394" i="10"/>
  <c r="F394" i="10"/>
  <c r="I394" i="10"/>
  <c r="J394" i="10"/>
  <c r="N394" i="10"/>
  <c r="P394" i="10"/>
  <c r="Q394" i="10"/>
  <c r="R394" i="10"/>
  <c r="C395" i="10"/>
  <c r="E395" i="10"/>
  <c r="F395" i="10"/>
  <c r="G395" i="10"/>
  <c r="I395" i="10"/>
  <c r="K395" i="10"/>
  <c r="N395" i="10"/>
  <c r="O395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0" i="9"/>
  <c r="E380" i="9"/>
  <c r="G380" i="9"/>
  <c r="H380" i="9"/>
  <c r="I380" i="9"/>
  <c r="M380" i="9"/>
  <c r="O380" i="9"/>
  <c r="P380" i="9"/>
  <c r="Q380" i="9"/>
  <c r="R380" i="9"/>
  <c r="B381" i="9"/>
  <c r="E381" i="9"/>
  <c r="F381" i="9"/>
  <c r="J381" i="9"/>
  <c r="L381" i="9"/>
  <c r="M381" i="9"/>
  <c r="N381" i="9"/>
  <c r="P381" i="9"/>
  <c r="R381" i="9"/>
  <c r="B382" i="9"/>
  <c r="C382" i="9"/>
  <c r="G382" i="9"/>
  <c r="J382" i="9"/>
  <c r="K382" i="9"/>
  <c r="O382" i="9"/>
  <c r="Q382" i="9"/>
  <c r="R382" i="9"/>
  <c r="D383" i="9"/>
  <c r="F383" i="9"/>
  <c r="G383" i="9"/>
  <c r="H383" i="9"/>
  <c r="K383" i="9"/>
  <c r="L383" i="9"/>
  <c r="O383" i="9"/>
  <c r="P383" i="9"/>
  <c r="A384" i="9"/>
  <c r="D384" i="9"/>
  <c r="E384" i="9"/>
  <c r="I384" i="9"/>
  <c r="K384" i="9"/>
  <c r="L384" i="9"/>
  <c r="M384" i="9"/>
  <c r="Q384" i="9"/>
  <c r="A385" i="9"/>
  <c r="B385" i="9"/>
  <c r="F385" i="9"/>
  <c r="G385" i="9"/>
  <c r="I385" i="9"/>
  <c r="J385" i="9"/>
  <c r="N385" i="9"/>
  <c r="Q385" i="9"/>
  <c r="R385" i="9"/>
  <c r="C386" i="9"/>
  <c r="F386" i="9"/>
  <c r="G386" i="9"/>
  <c r="K386" i="9"/>
  <c r="M386" i="9"/>
  <c r="N386" i="9"/>
  <c r="O386" i="9"/>
  <c r="B387" i="9"/>
  <c r="C387" i="9"/>
  <c r="D387" i="9"/>
  <c r="H387" i="9"/>
  <c r="K387" i="9"/>
  <c r="L387" i="9"/>
  <c r="P387" i="9"/>
  <c r="A388" i="9"/>
  <c r="E388" i="9"/>
  <c r="H388" i="9"/>
  <c r="I388" i="9"/>
  <c r="M388" i="9"/>
  <c r="O388" i="9"/>
  <c r="P388" i="9"/>
  <c r="Q388" i="9"/>
  <c r="B389" i="9"/>
  <c r="D389" i="9"/>
  <c r="E389" i="9"/>
  <c r="F389" i="9"/>
  <c r="J389" i="9"/>
  <c r="M389" i="9"/>
  <c r="N389" i="9"/>
  <c r="R389" i="9"/>
  <c r="A390" i="9"/>
  <c r="B390" i="9"/>
  <c r="C390" i="9"/>
  <c r="E390" i="9"/>
  <c r="G390" i="9"/>
  <c r="J390" i="9"/>
  <c r="K390" i="9"/>
  <c r="O390" i="9"/>
  <c r="Q390" i="9"/>
  <c r="R390" i="9"/>
  <c r="D391" i="9"/>
  <c r="F391" i="9"/>
  <c r="G391" i="9"/>
  <c r="H391" i="9"/>
  <c r="L391" i="9"/>
  <c r="N391" i="9"/>
  <c r="O391" i="9"/>
  <c r="P391" i="9"/>
  <c r="A392" i="9"/>
  <c r="D392" i="9"/>
  <c r="E392" i="9"/>
  <c r="I392" i="9"/>
  <c r="K392" i="9"/>
  <c r="L392" i="9"/>
  <c r="M392" i="9"/>
  <c r="Q392" i="9"/>
  <c r="R392" i="9"/>
  <c r="A393" i="9"/>
  <c r="B393" i="9"/>
  <c r="F393" i="9"/>
  <c r="I393" i="9"/>
  <c r="J393" i="9"/>
  <c r="N393" i="9"/>
  <c r="Q393" i="9"/>
  <c r="R393" i="9"/>
  <c r="C394" i="9"/>
  <c r="F394" i="9"/>
  <c r="G394" i="9"/>
  <c r="K394" i="9"/>
  <c r="M394" i="9"/>
  <c r="N394" i="9"/>
  <c r="O394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377" i="21"/>
  <c r="C377" i="21"/>
  <c r="D377" i="21"/>
  <c r="E377" i="21"/>
  <c r="I377" i="21"/>
  <c r="K377" i="21"/>
  <c r="L377" i="21"/>
  <c r="M377" i="21"/>
  <c r="O377" i="21"/>
  <c r="Q377" i="21"/>
  <c r="A378" i="21"/>
  <c r="B378" i="21"/>
  <c r="F378" i="21"/>
  <c r="H378" i="21"/>
  <c r="I378" i="21"/>
  <c r="J378" i="21"/>
  <c r="L378" i="21"/>
  <c r="N378" i="21"/>
  <c r="P378" i="21"/>
  <c r="Q378" i="21"/>
  <c r="R378" i="21"/>
  <c r="C379" i="21"/>
  <c r="E379" i="21"/>
  <c r="F379" i="21"/>
  <c r="G379" i="21"/>
  <c r="I379" i="21"/>
  <c r="K379" i="21"/>
  <c r="N379" i="21"/>
  <c r="O379" i="21"/>
  <c r="B380" i="21"/>
  <c r="C380" i="21"/>
  <c r="D380" i="21"/>
  <c r="F380" i="21"/>
  <c r="H380" i="21"/>
  <c r="J380" i="21"/>
  <c r="K380" i="21"/>
  <c r="L380" i="21"/>
  <c r="P380" i="21"/>
  <c r="R380" i="21"/>
  <c r="A381" i="21"/>
  <c r="E381" i="21"/>
  <c r="G381" i="21"/>
  <c r="H381" i="21"/>
  <c r="I381" i="21"/>
  <c r="M381" i="21"/>
  <c r="O381" i="21"/>
  <c r="P381" i="21"/>
  <c r="Q381" i="21"/>
  <c r="B382" i="21"/>
  <c r="E382" i="21"/>
  <c r="F382" i="21"/>
  <c r="J382" i="21"/>
  <c r="L382" i="21"/>
  <c r="M382" i="21"/>
  <c r="N382" i="21"/>
  <c r="P382" i="21"/>
  <c r="R382" i="21"/>
  <c r="B383" i="21"/>
  <c r="C383" i="21"/>
  <c r="G383" i="21"/>
  <c r="I383" i="21"/>
  <c r="J383" i="21"/>
  <c r="K383" i="21"/>
  <c r="O383" i="21"/>
  <c r="R383" i="21"/>
  <c r="D384" i="21"/>
  <c r="G384" i="21"/>
  <c r="H384" i="21"/>
  <c r="L384" i="21"/>
  <c r="N384" i="21"/>
  <c r="O384" i="21"/>
  <c r="P384" i="21"/>
  <c r="Q384" i="21"/>
  <c r="R384" i="21"/>
  <c r="A385" i="21"/>
  <c r="C385" i="21"/>
  <c r="D385" i="21"/>
  <c r="E385" i="21"/>
  <c r="F385" i="21"/>
  <c r="I385" i="21"/>
  <c r="K385" i="21"/>
  <c r="L385" i="21"/>
  <c r="M385" i="21"/>
  <c r="Q385" i="21"/>
  <c r="A386" i="21"/>
  <c r="B386" i="21"/>
  <c r="F386" i="21"/>
  <c r="H386" i="21"/>
  <c r="I386" i="21"/>
  <c r="J386" i="21"/>
  <c r="L386" i="21"/>
  <c r="N386" i="21"/>
  <c r="P386" i="21"/>
  <c r="Q386" i="21"/>
  <c r="R386" i="21"/>
  <c r="C387" i="21"/>
  <c r="E387" i="21"/>
  <c r="F387" i="21"/>
  <c r="G387" i="21"/>
  <c r="I387" i="21"/>
  <c r="K387" i="21"/>
  <c r="N387" i="21"/>
  <c r="O387" i="21"/>
  <c r="B388" i="21"/>
  <c r="C388" i="21"/>
  <c r="D388" i="21"/>
  <c r="E388" i="21"/>
  <c r="H388" i="21"/>
  <c r="J388" i="21"/>
  <c r="K388" i="21"/>
  <c r="L388" i="21"/>
  <c r="P388" i="21"/>
  <c r="X388" i="21"/>
  <c r="Y388" i="21"/>
  <c r="A389" i="21"/>
  <c r="E389" i="21"/>
  <c r="F389" i="21"/>
  <c r="H389" i="21"/>
  <c r="I389" i="21"/>
  <c r="M389" i="21"/>
  <c r="O389" i="21"/>
  <c r="P389" i="21"/>
  <c r="Q389" i="21"/>
  <c r="Z389" i="21"/>
  <c r="B390" i="21"/>
  <c r="D390" i="21"/>
  <c r="E390" i="21"/>
  <c r="F390" i="21"/>
  <c r="J390" i="21"/>
  <c r="M390" i="21"/>
  <c r="N390" i="21"/>
  <c r="R390" i="21"/>
  <c r="V390" i="21"/>
  <c r="B391" i="21"/>
  <c r="C391" i="21"/>
  <c r="G391" i="21"/>
  <c r="I391" i="21"/>
  <c r="J391" i="21"/>
  <c r="K391" i="21"/>
  <c r="O391" i="21"/>
  <c r="P391" i="21"/>
  <c r="Q391" i="21"/>
  <c r="R391" i="21"/>
  <c r="D392" i="21"/>
  <c r="G392" i="21"/>
  <c r="H392" i="21"/>
  <c r="L392" i="21"/>
  <c r="N392" i="21"/>
  <c r="O392" i="21"/>
  <c r="P392" i="21"/>
  <c r="AG392" i="21"/>
  <c r="A393" i="21"/>
  <c r="C393" i="21"/>
  <c r="D393" i="21"/>
  <c r="E393" i="21"/>
  <c r="I393" i="21"/>
  <c r="K393" i="21"/>
  <c r="L393" i="21"/>
  <c r="M393" i="21"/>
  <c r="Q393" i="21"/>
  <c r="A394" i="21"/>
  <c r="B394" i="21"/>
  <c r="F394" i="21"/>
  <c r="I394" i="21"/>
  <c r="J394" i="21"/>
  <c r="N394" i="21"/>
  <c r="P394" i="21"/>
  <c r="Q394" i="21"/>
  <c r="R394" i="21"/>
  <c r="C395" i="21"/>
  <c r="E395" i="21"/>
  <c r="F395" i="21"/>
  <c r="G395" i="21"/>
  <c r="K395" i="21"/>
  <c r="M395" i="21"/>
  <c r="N395" i="21"/>
  <c r="O395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377" i="11"/>
  <c r="C377" i="11"/>
  <c r="D377" i="11"/>
  <c r="E377" i="11"/>
  <c r="I377" i="11"/>
  <c r="K377" i="11"/>
  <c r="L377" i="11"/>
  <c r="M377" i="11"/>
  <c r="O377" i="11"/>
  <c r="Q377" i="11"/>
  <c r="A378" i="11"/>
  <c r="B378" i="11"/>
  <c r="F378" i="11"/>
  <c r="H378" i="11"/>
  <c r="I378" i="11"/>
  <c r="J378" i="11"/>
  <c r="M378" i="11"/>
  <c r="N378" i="11"/>
  <c r="P378" i="11"/>
  <c r="Q378" i="11"/>
  <c r="R378" i="11"/>
  <c r="C379" i="11"/>
  <c r="E379" i="11"/>
  <c r="F379" i="11"/>
  <c r="G379" i="11"/>
  <c r="K379" i="11"/>
  <c r="M379" i="11"/>
  <c r="N379" i="11"/>
  <c r="O379" i="11"/>
  <c r="P379" i="11"/>
  <c r="B380" i="11"/>
  <c r="C380" i="11"/>
  <c r="D380" i="11"/>
  <c r="H380" i="11"/>
  <c r="J380" i="11"/>
  <c r="K380" i="11"/>
  <c r="L380" i="11"/>
  <c r="P380" i="11"/>
  <c r="Q380" i="11"/>
  <c r="R380" i="11"/>
  <c r="AA380" i="11"/>
  <c r="A381" i="11"/>
  <c r="E381" i="11"/>
  <c r="F381" i="11"/>
  <c r="G381" i="11"/>
  <c r="H381" i="11"/>
  <c r="I381" i="11"/>
  <c r="J381" i="11"/>
  <c r="M381" i="11"/>
  <c r="N381" i="11"/>
  <c r="O381" i="11"/>
  <c r="P381" i="11"/>
  <c r="Q381" i="11"/>
  <c r="T381" i="11"/>
  <c r="AB381" i="11"/>
  <c r="B382" i="11"/>
  <c r="D382" i="11"/>
  <c r="E382" i="11"/>
  <c r="F382" i="11"/>
  <c r="G382" i="11"/>
  <c r="H382" i="11"/>
  <c r="J382" i="11"/>
  <c r="L382" i="11"/>
  <c r="M382" i="11"/>
  <c r="N382" i="11"/>
  <c r="R382" i="11"/>
  <c r="AF382" i="11"/>
  <c r="A383" i="11"/>
  <c r="B383" i="11"/>
  <c r="C383" i="11"/>
  <c r="D383" i="11"/>
  <c r="G383" i="11"/>
  <c r="H383" i="11"/>
  <c r="I383" i="11"/>
  <c r="J383" i="11"/>
  <c r="K383" i="11"/>
  <c r="O383" i="11"/>
  <c r="Q383" i="11"/>
  <c r="R383" i="11"/>
  <c r="D384" i="11"/>
  <c r="F384" i="11"/>
  <c r="G384" i="11"/>
  <c r="H384" i="11"/>
  <c r="L384" i="11"/>
  <c r="N384" i="11"/>
  <c r="O384" i="11"/>
  <c r="P384" i="11"/>
  <c r="Q384" i="11"/>
  <c r="Y384" i="11"/>
  <c r="A385" i="11"/>
  <c r="C385" i="11"/>
  <c r="D385" i="11"/>
  <c r="E385" i="11"/>
  <c r="F385" i="11"/>
  <c r="G385" i="11"/>
  <c r="I385" i="11"/>
  <c r="K385" i="11"/>
  <c r="L385" i="11"/>
  <c r="M385" i="11"/>
  <c r="Q385" i="11"/>
  <c r="A386" i="11"/>
  <c r="B386" i="11"/>
  <c r="F386" i="11"/>
  <c r="H386" i="11"/>
  <c r="I386" i="11"/>
  <c r="J386" i="11"/>
  <c r="N386" i="11"/>
  <c r="P386" i="11"/>
  <c r="Q386" i="11"/>
  <c r="R386" i="11"/>
  <c r="C387" i="11"/>
  <c r="E387" i="11"/>
  <c r="F387" i="11"/>
  <c r="G387" i="11"/>
  <c r="H387" i="11"/>
  <c r="K387" i="11"/>
  <c r="M387" i="11"/>
  <c r="N387" i="11"/>
  <c r="O387" i="11"/>
  <c r="R387" i="11"/>
  <c r="AG387" i="11"/>
  <c r="B388" i="11"/>
  <c r="C388" i="11"/>
  <c r="D388" i="11"/>
  <c r="H388" i="11"/>
  <c r="J388" i="11"/>
  <c r="K388" i="11"/>
  <c r="L388" i="11"/>
  <c r="N388" i="11"/>
  <c r="P388" i="11"/>
  <c r="R388" i="11"/>
  <c r="U388" i="11"/>
  <c r="Y388" i="11"/>
  <c r="A389" i="11"/>
  <c r="E389" i="11"/>
  <c r="G389" i="11"/>
  <c r="H389" i="11"/>
  <c r="I389" i="11"/>
  <c r="M389" i="11"/>
  <c r="O389" i="11"/>
  <c r="P389" i="11"/>
  <c r="Q389" i="11"/>
  <c r="X389" i="11"/>
  <c r="Z389" i="11"/>
  <c r="B390" i="11"/>
  <c r="D390" i="11"/>
  <c r="E390" i="11"/>
  <c r="F390" i="11"/>
  <c r="J390" i="11"/>
  <c r="L390" i="11"/>
  <c r="M390" i="11"/>
  <c r="N390" i="11"/>
  <c r="R390" i="11"/>
  <c r="AF390" i="11"/>
  <c r="A391" i="11"/>
  <c r="B391" i="11"/>
  <c r="C391" i="11"/>
  <c r="G391" i="11"/>
  <c r="I391" i="11"/>
  <c r="J391" i="11"/>
  <c r="K391" i="11"/>
  <c r="N391" i="11"/>
  <c r="O391" i="11"/>
  <c r="Q391" i="11"/>
  <c r="R391" i="11"/>
  <c r="V391" i="11"/>
  <c r="Z391" i="11"/>
  <c r="D392" i="11"/>
  <c r="E392" i="11"/>
  <c r="F392" i="11"/>
  <c r="G392" i="11"/>
  <c r="H392" i="11"/>
  <c r="L392" i="11"/>
  <c r="M392" i="11"/>
  <c r="N392" i="11"/>
  <c r="O392" i="11"/>
  <c r="P392" i="11"/>
  <c r="Q392" i="11"/>
  <c r="V392" i="11"/>
  <c r="AG392" i="11"/>
  <c r="A393" i="11"/>
  <c r="C393" i="11"/>
  <c r="D393" i="11"/>
  <c r="E393" i="11"/>
  <c r="I393" i="11"/>
  <c r="J393" i="11"/>
  <c r="K393" i="11"/>
  <c r="L393" i="11"/>
  <c r="M393" i="11"/>
  <c r="N393" i="11"/>
  <c r="Q393" i="11"/>
  <c r="R393" i="11"/>
  <c r="T393" i="11"/>
  <c r="AC393" i="11"/>
  <c r="A394" i="11"/>
  <c r="B394" i="11"/>
  <c r="F394" i="11"/>
  <c r="H394" i="11"/>
  <c r="I394" i="11"/>
  <c r="J394" i="11"/>
  <c r="L394" i="11"/>
  <c r="N394" i="11"/>
  <c r="P394" i="11"/>
  <c r="Q394" i="11"/>
  <c r="R394" i="11"/>
  <c r="S394" i="11"/>
  <c r="AB394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R395" i="11"/>
  <c r="U395" i="11"/>
  <c r="V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H390" i="8"/>
  <c r="AI390" i="8"/>
  <c r="AI392" i="21" s="1"/>
  <c r="S393" i="11"/>
  <c r="T391" i="8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B378" i="8"/>
  <c r="AC378" i="8"/>
  <c r="AC380" i="11" s="1"/>
  <c r="AD378" i="8"/>
  <c r="AD380" i="10" s="1"/>
  <c r="AE378" i="8"/>
  <c r="AE380" i="11" s="1"/>
  <c r="AF378" i="8"/>
  <c r="AG378" i="8"/>
  <c r="AH378" i="8"/>
  <c r="AI378" i="8"/>
  <c r="AI380" i="21" s="1"/>
  <c r="T379" i="8"/>
  <c r="U379" i="8"/>
  <c r="V379" i="8"/>
  <c r="V381" i="21" s="1"/>
  <c r="W379" i="8"/>
  <c r="W381" i="21" s="1"/>
  <c r="X379" i="8"/>
  <c r="Y379" i="8"/>
  <c r="Z379" i="8"/>
  <c r="AA379" i="8"/>
  <c r="AB379" i="8"/>
  <c r="AC379" i="8"/>
  <c r="AD379" i="8"/>
  <c r="AE379" i="8"/>
  <c r="AF379" i="8"/>
  <c r="AF381" i="21" s="1"/>
  <c r="AG379" i="8"/>
  <c r="AG381" i="11" s="1"/>
  <c r="AH379" i="8"/>
  <c r="AH381" i="21" s="1"/>
  <c r="AI379" i="8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G380" i="8"/>
  <c r="AH380" i="8"/>
  <c r="AI380" i="8"/>
  <c r="AI382" i="21" s="1"/>
  <c r="S383" i="1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I382" i="8"/>
  <c r="AI384" i="21" s="1"/>
  <c r="S385" i="2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S387" i="2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H385" i="8"/>
  <c r="AH387" i="21" s="1"/>
  <c r="AI385" i="8"/>
  <c r="T386" i="8"/>
  <c r="U386" i="8"/>
  <c r="V386" i="8"/>
  <c r="W386" i="8"/>
  <c r="X386" i="8"/>
  <c r="Y386" i="8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Y387" i="8"/>
  <c r="Z387" i="8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G388" i="8"/>
  <c r="AH388" i="8"/>
  <c r="AI388" i="8"/>
  <c r="AI390" i="21" s="1"/>
  <c r="T389" i="8"/>
  <c r="T391" i="11" s="1"/>
  <c r="U389" i="8"/>
  <c r="U391" i="11" s="1"/>
  <c r="V389" i="8"/>
  <c r="W389" i="8"/>
  <c r="X389" i="8"/>
  <c r="X391" i="21" s="1"/>
  <c r="Y389" i="8"/>
  <c r="Z389" i="8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D18" i="24"/>
  <c r="C19" i="24"/>
  <c r="C20" i="24" s="1"/>
  <c r="L380" i="2"/>
  <c r="M380" i="2"/>
  <c r="L381" i="2"/>
  <c r="N381" i="2" s="1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N389" i="2" s="1"/>
  <c r="M389" i="2"/>
  <c r="L390" i="2"/>
  <c r="M390" i="2"/>
  <c r="L391" i="2"/>
  <c r="M391" i="2"/>
  <c r="L392" i="2"/>
  <c r="M392" i="2"/>
  <c r="L393" i="2"/>
  <c r="N393" i="2" s="1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5" i="24" l="1"/>
  <c r="E24" i="14"/>
  <c r="G24" i="14" s="1"/>
  <c r="E27" i="14"/>
  <c r="G27" i="14" s="1"/>
  <c r="E26" i="14"/>
  <c r="G26" i="14" s="1"/>
  <c r="E25" i="14"/>
  <c r="G25" i="14" s="1"/>
  <c r="C30" i="24"/>
  <c r="E23" i="14"/>
  <c r="G23" i="14" s="1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S367" i="9"/>
  <c r="AD373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8" i="10"/>
  <c r="AH1" i="8"/>
  <c r="AI1" i="8"/>
  <c r="AQ3" i="2"/>
  <c r="AR3" i="2"/>
  <c r="D35" i="24" l="1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AI1" i="9" s="1"/>
  <c r="N369" i="2"/>
  <c r="N353" i="2"/>
  <c r="H369" i="11"/>
  <c r="Y368" i="10"/>
  <c r="AH305" i="21"/>
  <c r="AH304" i="9"/>
  <c r="AH90" i="10"/>
  <c r="AH89" i="9"/>
  <c r="AH1" i="9" s="1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2" i="21" l="1"/>
  <c r="AH2" i="10"/>
  <c r="AI2" i="21"/>
  <c r="AI2" i="10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7" i="14" l="1"/>
  <c r="F21" i="14"/>
  <c r="F20" i="14"/>
  <c r="F19" i="14"/>
  <c r="F18" i="14"/>
  <c r="F16" i="14"/>
  <c r="AC2" i="21"/>
  <c r="U2" i="21"/>
  <c r="D17" i="14" s="1"/>
  <c r="M2" i="21"/>
  <c r="D1" i="21"/>
  <c r="S2" i="21"/>
  <c r="AB2" i="21"/>
  <c r="T2" i="21"/>
  <c r="L2" i="21"/>
  <c r="D8" i="14" s="1"/>
  <c r="Z2" i="21"/>
  <c r="D22" i="14" s="1"/>
  <c r="R2" i="21"/>
  <c r="D14" i="14" s="1"/>
  <c r="J2" i="21"/>
  <c r="AA2" i="21"/>
  <c r="Y2" i="21"/>
  <c r="D21" i="14" s="1"/>
  <c r="Q2" i="21"/>
  <c r="I2" i="21"/>
  <c r="K2" i="21"/>
  <c r="X2" i="21"/>
  <c r="P2" i="21"/>
  <c r="D12" i="14" s="1"/>
  <c r="H2" i="21"/>
  <c r="W2" i="21"/>
  <c r="D19" i="14" s="1"/>
  <c r="O2" i="21"/>
  <c r="D11" i="14" s="1"/>
  <c r="G2" i="21"/>
  <c r="AD2" i="2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D16" i="14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D15" i="14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D13" i="14"/>
  <c r="D5" i="14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D20" i="14"/>
  <c r="D4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D3" i="14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P1" i="9" l="1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O2" i="11"/>
  <c r="B11" i="14" s="1"/>
  <c r="AG2" i="11"/>
  <c r="C19" i="14"/>
  <c r="C18" i="14"/>
  <c r="R2" i="11"/>
  <c r="B14" i="14" s="1"/>
  <c r="C13" i="14"/>
  <c r="C12" i="14"/>
  <c r="P2" i="11"/>
  <c r="B12" i="14" s="1"/>
  <c r="AB2" i="11"/>
  <c r="V2" i="11"/>
  <c r="B18" i="14" s="1"/>
  <c r="G2" i="11"/>
  <c r="B3" i="14" s="1"/>
  <c r="Q2" i="11"/>
  <c r="B13" i="14" s="1"/>
  <c r="K2" i="11"/>
  <c r="AA2" i="11"/>
  <c r="L2" i="11"/>
  <c r="B8" i="14" s="1"/>
  <c r="AC2" i="11"/>
  <c r="F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22" i="14" l="1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<sst xmlns="http://schemas.openxmlformats.org/spreadsheetml/2006/main" count="4059" uniqueCount="1403">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</sst>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16</c:v>
                </c:pt>
                <c:pt idx="3">
                  <c:v>19</c:v>
                </c:pt>
                <c:pt idx="4">
                  <c:v>14</c:v>
                </c:pt>
                <c:pt idx="5">
                  <c:v>8</c:v>
                </c:pt>
                <c:pt idx="6">
                  <c:v>26</c:v>
                </c:pt>
                <c:pt idx="7">
                  <c:v>18</c:v>
                </c:pt>
                <c:pt idx="8">
                  <c:v>12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14</c:v>
                </c:pt>
                <c:pt idx="15">
                  <c:v>10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8</c:v>
                </c:pt>
                <c:pt idx="20">
                  <c:v>8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12</c:v>
                </c:pt>
                <c:pt idx="2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  <c:pt idx="14">
                  <c:v>19</c:v>
                </c:pt>
                <c:pt idx="15">
                  <c:v>18</c:v>
                </c:pt>
                <c:pt idx="16">
                  <c:v>47</c:v>
                </c:pt>
                <c:pt idx="17">
                  <c:v>18</c:v>
                </c:pt>
                <c:pt idx="18">
                  <c:v>15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23</c:v>
                </c:pt>
                <c:pt idx="23">
                  <c:v>22</c:v>
                </c:pt>
                <c:pt idx="24">
                  <c:v>26</c:v>
                </c:pt>
                <c:pt idx="2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  <c:pt idx="14">
                  <c:v>33</c:v>
                </c:pt>
                <c:pt idx="15">
                  <c:v>28</c:v>
                </c:pt>
                <c:pt idx="16">
                  <c:v>63</c:v>
                </c:pt>
                <c:pt idx="17">
                  <c:v>30</c:v>
                </c:pt>
                <c:pt idx="18">
                  <c:v>27</c:v>
                </c:pt>
                <c:pt idx="19">
                  <c:v>24</c:v>
                </c:pt>
                <c:pt idx="20">
                  <c:v>23</c:v>
                </c:pt>
                <c:pt idx="21">
                  <c:v>25</c:v>
                </c:pt>
                <c:pt idx="22">
                  <c:v>35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8.9285714285714288E-2</c:v>
                </c:pt>
                <c:pt idx="1">
                  <c:v>8.4183673469387751E-2</c:v>
                </c:pt>
                <c:pt idx="2">
                  <c:v>9.1836734693877556E-2</c:v>
                </c:pt>
                <c:pt idx="3">
                  <c:v>0.10204081632653061</c:v>
                </c:pt>
                <c:pt idx="4">
                  <c:v>8.1632653061224483E-2</c:v>
                </c:pt>
                <c:pt idx="5">
                  <c:v>8.1632653061224483E-2</c:v>
                </c:pt>
                <c:pt idx="6">
                  <c:v>0.14540816326530612</c:v>
                </c:pt>
                <c:pt idx="7">
                  <c:v>0.12244897959183673</c:v>
                </c:pt>
                <c:pt idx="8">
                  <c:v>8.673469387755102E-2</c:v>
                </c:pt>
                <c:pt idx="9">
                  <c:v>7.3979591836734693E-2</c:v>
                </c:pt>
                <c:pt idx="10">
                  <c:v>7.3979591836734693E-2</c:v>
                </c:pt>
                <c:pt idx="11">
                  <c:v>8.4183673469387751E-2</c:v>
                </c:pt>
                <c:pt idx="12">
                  <c:v>9.1836734693877556E-2</c:v>
                </c:pt>
                <c:pt idx="13">
                  <c:v>8.673469387755102E-2</c:v>
                </c:pt>
                <c:pt idx="14">
                  <c:v>8.4183673469387751E-2</c:v>
                </c:pt>
                <c:pt idx="15">
                  <c:v>7.1428571428571425E-2</c:v>
                </c:pt>
                <c:pt idx="16">
                  <c:v>0.16071428571428573</c:v>
                </c:pt>
                <c:pt idx="17">
                  <c:v>7.6530612244897961E-2</c:v>
                </c:pt>
                <c:pt idx="18">
                  <c:v>6.8877551020408156E-2</c:v>
                </c:pt>
                <c:pt idx="19">
                  <c:v>6.1224489795918366E-2</c:v>
                </c:pt>
                <c:pt idx="20">
                  <c:v>5.8673469387755105E-2</c:v>
                </c:pt>
                <c:pt idx="21">
                  <c:v>6.3775510204081634E-2</c:v>
                </c:pt>
                <c:pt idx="22">
                  <c:v>8.9285714285714288E-2</c:v>
                </c:pt>
                <c:pt idx="23">
                  <c:v>9.1836734693877556E-2</c:v>
                </c:pt>
                <c:pt idx="24">
                  <c:v>9.6938775510204078E-2</c:v>
                </c:pt>
                <c:pt idx="25">
                  <c:v>0.10204081632653061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O210" activePane="bottomRight" state="frozen"/>
      <selection pane="topRight" activeCell="M1" sqref="M1"/>
      <selection pane="bottomLeft" activeCell="A5" sqref="A5"/>
      <selection pane="bottomRight" activeCell="AO226" sqref="AO226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7.1999999999999995E-2</v>
      </c>
      <c r="AH1" s="4">
        <f t="shared" si="0"/>
        <v>6.3324538258575203E-2</v>
      </c>
      <c r="AI1" s="4">
        <f t="shared" si="0"/>
        <v>6.0686015831134567E-2</v>
      </c>
      <c r="AJ1" s="4">
        <f t="shared" si="0"/>
        <v>6.5963060686015831E-2</v>
      </c>
      <c r="AK1" s="4">
        <f t="shared" si="0"/>
        <v>9.2348284960422161E-2</v>
      </c>
      <c r="AL1" s="4">
        <f t="shared" si="0"/>
        <v>9.498680738786279E-2</v>
      </c>
      <c r="AM1" s="4">
        <f t="shared" si="0"/>
        <v>0.10026385224274406</v>
      </c>
      <c r="AN1" s="4">
        <f t="shared" si="0"/>
        <v>0.10554089709762533</v>
      </c>
      <c r="AO1" s="4">
        <f t="shared" si="0"/>
        <v>0.14511873350923482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348</v>
      </c>
      <c r="AH2" s="10">
        <f t="shared" si="3"/>
        <v>355</v>
      </c>
      <c r="AI2" s="10">
        <f>COUNTIF(AI5:AI379, "")</f>
        <v>356</v>
      </c>
      <c r="AJ2" s="10">
        <f>COUNTIF(AJ5:AJ379, "")</f>
        <v>354</v>
      </c>
      <c r="AK2" s="10">
        <f>COUNTIF(AK5:AK379, "")</f>
        <v>344</v>
      </c>
      <c r="AL2" s="10">
        <f>COUNTIF(AL5:AL379, "")</f>
        <v>343</v>
      </c>
      <c r="AM2" s="10">
        <f t="shared" ref="AM2:AQ2" si="4">COUNTIF(AM5:AM379, "")</f>
        <v>341</v>
      </c>
      <c r="AN2" s="10">
        <f t="shared" si="4"/>
        <v>339</v>
      </c>
      <c r="AO2" s="10">
        <f t="shared" si="4"/>
        <v>324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27</v>
      </c>
      <c r="AH3" s="14">
        <f t="shared" si="5"/>
        <v>24</v>
      </c>
      <c r="AI3" s="14">
        <f t="shared" si="5"/>
        <v>23</v>
      </c>
      <c r="AJ3" s="14">
        <f t="shared" si="5"/>
        <v>25</v>
      </c>
      <c r="AK3" s="14">
        <f t="shared" si="5"/>
        <v>35</v>
      </c>
      <c r="AL3" s="14">
        <f t="shared" si="5"/>
        <v>36</v>
      </c>
      <c r="AM3" s="14">
        <f t="shared" si="5"/>
        <v>38</v>
      </c>
      <c r="AN3" s="14">
        <f t="shared" si="5"/>
        <v>40</v>
      </c>
      <c r="AO3" s="14">
        <f t="shared" si="5"/>
        <v>55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1215</v>
      </c>
      <c r="C5" s="51" t="s">
        <v>1398</v>
      </c>
      <c r="D5" s="51" t="s">
        <v>44</v>
      </c>
      <c r="E5" s="51" t="s">
        <v>24</v>
      </c>
      <c r="F5" s="51" t="s">
        <v>1389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1210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1216</v>
      </c>
      <c r="C6" s="51" t="s">
        <v>1398</v>
      </c>
      <c r="D6" s="51" t="s">
        <v>46</v>
      </c>
      <c r="E6" s="51" t="s">
        <v>24</v>
      </c>
      <c r="F6" s="51" t="s">
        <v>1389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1217</v>
      </c>
      <c r="C7" s="51" t="s">
        <v>1398</v>
      </c>
      <c r="D7" s="51" t="s">
        <v>35</v>
      </c>
      <c r="E7" s="51" t="s">
        <v>24</v>
      </c>
      <c r="F7" s="51" t="s">
        <v>1390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11</v>
      </c>
      <c r="M7" s="17">
        <f t="shared" si="8"/>
        <v>19</v>
      </c>
      <c r="N7" s="18">
        <f t="shared" si="9"/>
        <v>0.36666666666666664</v>
      </c>
      <c r="O7" s="27" t="s">
        <v>1210</v>
      </c>
      <c r="P7" s="8" t="s">
        <v>1210</v>
      </c>
      <c r="Q7" s="8" t="s">
        <v>1210</v>
      </c>
      <c r="R7" s="8" t="s">
        <v>1210</v>
      </c>
      <c r="S7" s="27" t="s">
        <v>1210</v>
      </c>
      <c r="T7" s="27"/>
      <c r="U7" s="8" t="s">
        <v>1210</v>
      </c>
      <c r="V7" s="8" t="s">
        <v>1210</v>
      </c>
      <c r="W7" s="8" t="s">
        <v>1210</v>
      </c>
      <c r="X7" s="27" t="s">
        <v>1210</v>
      </c>
      <c r="Y7" s="27" t="s">
        <v>1210</v>
      </c>
      <c r="Z7" s="27" t="s">
        <v>1210</v>
      </c>
      <c r="AA7" s="27" t="s">
        <v>1210</v>
      </c>
      <c r="AB7" s="27" t="s">
        <v>1210</v>
      </c>
      <c r="AC7" s="27" t="s">
        <v>1210</v>
      </c>
      <c r="AD7" s="27" t="s">
        <v>1210</v>
      </c>
      <c r="AE7" s="27" t="s">
        <v>1210</v>
      </c>
      <c r="AF7" s="27" t="s">
        <v>1210</v>
      </c>
      <c r="AG7" s="27" t="s">
        <v>1210</v>
      </c>
      <c r="AH7" s="27" t="s">
        <v>1210</v>
      </c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1218</v>
      </c>
      <c r="C8" s="51" t="s">
        <v>1398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1210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1219</v>
      </c>
      <c r="C9" s="51" t="s">
        <v>1398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1220</v>
      </c>
      <c r="C10" s="51" t="s">
        <v>1398</v>
      </c>
      <c r="D10" s="51" t="s">
        <v>1221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1210</v>
      </c>
      <c r="V10" s="8" t="s">
        <v>1210</v>
      </c>
      <c r="W10" s="8"/>
      <c r="X10" s="27"/>
      <c r="Y10" s="27"/>
      <c r="Z10" s="27" t="s">
        <v>1210</v>
      </c>
      <c r="AA10" s="27" t="s">
        <v>1210</v>
      </c>
      <c r="AB10" s="27" t="s">
        <v>1210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1398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1398</v>
      </c>
      <c r="D12" s="51" t="s">
        <v>42</v>
      </c>
      <c r="E12" s="51" t="s">
        <v>24</v>
      </c>
      <c r="F12" s="51" t="s">
        <v>1390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1398</v>
      </c>
      <c r="D13" s="51" t="s">
        <v>49</v>
      </c>
      <c r="E13" s="51" t="s">
        <v>24</v>
      </c>
      <c r="F13" s="51" t="s">
        <v>1390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1210</v>
      </c>
      <c r="V13" s="8" t="s">
        <v>1210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1398</v>
      </c>
      <c r="D14" s="51" t="s">
        <v>52</v>
      </c>
      <c r="E14" s="51" t="s">
        <v>19</v>
      </c>
      <c r="F14" s="51" t="s">
        <v>1390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1210</v>
      </c>
      <c r="V14" s="8" t="s">
        <v>1210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1222</v>
      </c>
      <c r="C15" s="51"/>
      <c r="D15" s="51" t="s">
        <v>59</v>
      </c>
      <c r="E15" s="51" t="s">
        <v>24</v>
      </c>
      <c r="F15" s="51" t="s">
        <v>1389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1223</v>
      </c>
      <c r="C16" s="51" t="s">
        <v>1398</v>
      </c>
      <c r="D16" s="51" t="s">
        <v>62</v>
      </c>
      <c r="E16" s="51" t="s">
        <v>19</v>
      </c>
      <c r="F16" s="51" t="s">
        <v>1389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26</v>
      </c>
      <c r="M16" s="17">
        <f t="shared" si="8"/>
        <v>4</v>
      </c>
      <c r="N16" s="18">
        <f t="shared" si="9"/>
        <v>0.8666666666666667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 t="s">
        <v>1210</v>
      </c>
      <c r="AL16" s="8"/>
      <c r="AM16" s="8" t="s">
        <v>1210</v>
      </c>
      <c r="AN16" s="27" t="s">
        <v>1210</v>
      </c>
      <c r="AO16" s="8" t="s">
        <v>1210</v>
      </c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1224</v>
      </c>
      <c r="C17" s="51"/>
      <c r="D17" s="51" t="s">
        <v>1225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1210</v>
      </c>
      <c r="V17" s="8" t="s">
        <v>1210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1226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1210</v>
      </c>
      <c r="V18" s="8" t="s">
        <v>1210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1227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1228</v>
      </c>
      <c r="C20" s="51" t="s">
        <v>1398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1229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1210</v>
      </c>
      <c r="X21" s="27" t="s">
        <v>1210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1230</v>
      </c>
      <c r="C22" s="51" t="s">
        <v>1398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25</v>
      </c>
      <c r="M22" s="17">
        <f t="shared" si="8"/>
        <v>5</v>
      </c>
      <c r="N22" s="18">
        <f t="shared" si="9"/>
        <v>0.83333333333333337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 t="s">
        <v>1210</v>
      </c>
      <c r="AL22" s="8" t="s">
        <v>1210</v>
      </c>
      <c r="AM22" s="8" t="s">
        <v>1210</v>
      </c>
      <c r="AN22" s="27" t="s">
        <v>1210</v>
      </c>
      <c r="AO22" s="8" t="s">
        <v>1210</v>
      </c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1231</v>
      </c>
      <c r="C23" s="51" t="s">
        <v>1398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1398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1398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1389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1398</v>
      </c>
      <c r="D29" s="51" t="s">
        <v>84</v>
      </c>
      <c r="E29" s="51" t="s">
        <v>19</v>
      </c>
      <c r="F29" s="51" t="s">
        <v>1390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25</v>
      </c>
      <c r="M29" s="17">
        <f t="shared" si="8"/>
        <v>5</v>
      </c>
      <c r="N29" s="18">
        <f t="shared" si="9"/>
        <v>0.83333333333333337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 t="s">
        <v>1210</v>
      </c>
      <c r="AL29" s="8" t="s">
        <v>1210</v>
      </c>
      <c r="AM29" s="8" t="s">
        <v>1210</v>
      </c>
      <c r="AN29" s="27" t="s">
        <v>1210</v>
      </c>
      <c r="AO29" s="8" t="s">
        <v>1210</v>
      </c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1232</v>
      </c>
      <c r="C31" s="51" t="s">
        <v>1398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1394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1398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1398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22</v>
      </c>
      <c r="M34" s="17">
        <f t="shared" si="8"/>
        <v>8</v>
      </c>
      <c r="N34" s="18">
        <f t="shared" si="9"/>
        <v>0.73333333333333328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1210</v>
      </c>
      <c r="AI34" s="27" t="s">
        <v>1210</v>
      </c>
      <c r="AJ34" s="27" t="s">
        <v>1210</v>
      </c>
      <c r="AK34" s="8" t="s">
        <v>1210</v>
      </c>
      <c r="AL34" s="8" t="s">
        <v>1210</v>
      </c>
      <c r="AM34" s="8" t="s">
        <v>1210</v>
      </c>
      <c r="AN34" s="27" t="s">
        <v>1210</v>
      </c>
      <c r="AO34" s="8" t="s">
        <v>1210</v>
      </c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1233</v>
      </c>
      <c r="C35" s="51" t="s">
        <v>1398</v>
      </c>
      <c r="D35" s="51" t="s">
        <v>1234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1235</v>
      </c>
      <c r="C36" s="51"/>
      <c r="D36" s="51" t="s">
        <v>1236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1210</v>
      </c>
      <c r="Q36" s="8" t="s">
        <v>1210</v>
      </c>
      <c r="R36" s="8" t="s">
        <v>1210</v>
      </c>
      <c r="S36" s="27" t="s">
        <v>1210</v>
      </c>
      <c r="T36" s="27"/>
      <c r="U36" s="8" t="s">
        <v>1210</v>
      </c>
      <c r="V36" s="8" t="s">
        <v>1210</v>
      </c>
      <c r="W36" s="8" t="s">
        <v>1210</v>
      </c>
      <c r="X36" s="27" t="s">
        <v>1210</v>
      </c>
      <c r="Y36" s="27" t="s">
        <v>1210</v>
      </c>
      <c r="Z36" s="27" t="s">
        <v>1210</v>
      </c>
      <c r="AA36" s="27" t="s">
        <v>1210</v>
      </c>
      <c r="AB36" s="27" t="s">
        <v>1210</v>
      </c>
      <c r="AC36" s="27" t="s">
        <v>1210</v>
      </c>
      <c r="AD36" s="27" t="s">
        <v>1210</v>
      </c>
      <c r="AE36" s="27" t="s">
        <v>1210</v>
      </c>
      <c r="AF36" s="27" t="s">
        <v>1210</v>
      </c>
      <c r="AG36" s="27" t="s">
        <v>1210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1398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1398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1237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1238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1239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1240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1398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1398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1390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1210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1398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1398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25</v>
      </c>
      <c r="M53" s="17">
        <f t="shared" si="8"/>
        <v>5</v>
      </c>
      <c r="N53" s="18">
        <f t="shared" si="9"/>
        <v>0.83333333333333337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 t="s">
        <v>1210</v>
      </c>
      <c r="AL53" s="8" t="s">
        <v>1210</v>
      </c>
      <c r="AM53" s="8" t="s">
        <v>1210</v>
      </c>
      <c r="AN53" s="27" t="s">
        <v>1210</v>
      </c>
      <c r="AO53" s="8" t="s">
        <v>1210</v>
      </c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1241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1398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1242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1243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1244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1245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1398</v>
      </c>
      <c r="D68" s="51" t="s">
        <v>1246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1398</v>
      </c>
      <c r="D69" s="51" t="s">
        <v>1247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1398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28</v>
      </c>
      <c r="M70" s="17">
        <f t="shared" si="11"/>
        <v>2</v>
      </c>
      <c r="N70" s="18">
        <f t="shared" si="12"/>
        <v>0.93333333333333335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1210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 t="s">
        <v>1210</v>
      </c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1398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1398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1210</v>
      </c>
      <c r="P74" s="8" t="s">
        <v>1210</v>
      </c>
      <c r="Q74" s="8" t="s">
        <v>1210</v>
      </c>
      <c r="R74" s="8" t="s">
        <v>1210</v>
      </c>
      <c r="S74" s="27" t="s">
        <v>1210</v>
      </c>
      <c r="T74" s="27"/>
      <c r="U74" s="8" t="s">
        <v>1210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1398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1398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1210</v>
      </c>
      <c r="R80" s="8" t="s">
        <v>1210</v>
      </c>
      <c r="S80" s="27" t="s">
        <v>1210</v>
      </c>
      <c r="T80" s="27"/>
      <c r="U80" s="8"/>
      <c r="V80" s="8"/>
      <c r="W80" s="8"/>
      <c r="X80" s="27"/>
      <c r="Y80" s="27"/>
      <c r="Z80" s="27" t="s">
        <v>1210</v>
      </c>
      <c r="AA80" s="27" t="s">
        <v>1210</v>
      </c>
      <c r="AB80" s="27" t="s">
        <v>1210</v>
      </c>
      <c r="AC80" s="27" t="s">
        <v>1210</v>
      </c>
      <c r="AD80" s="27" t="s">
        <v>1210</v>
      </c>
      <c r="AE80" s="27" t="s">
        <v>1210</v>
      </c>
      <c r="AF80" s="27" t="s">
        <v>1210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1398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1248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1210</v>
      </c>
      <c r="R83" s="8" t="s">
        <v>1210</v>
      </c>
      <c r="S83" s="27" t="s">
        <v>1210</v>
      </c>
      <c r="T83" s="27"/>
      <c r="U83" s="8"/>
      <c r="V83" s="8"/>
      <c r="W83" s="8"/>
      <c r="X83" s="27"/>
      <c r="Y83" s="27"/>
      <c r="Z83" s="27" t="s">
        <v>1210</v>
      </c>
      <c r="AA83" s="27" t="s">
        <v>1210</v>
      </c>
      <c r="AB83" s="27" t="s">
        <v>1210</v>
      </c>
      <c r="AC83" s="27" t="s">
        <v>1210</v>
      </c>
      <c r="AD83" s="27" t="s">
        <v>1210</v>
      </c>
      <c r="AE83" s="27" t="s">
        <v>1210</v>
      </c>
      <c r="AF83" s="27" t="s">
        <v>1210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1249</v>
      </c>
      <c r="C84" s="51" t="s">
        <v>1398</v>
      </c>
      <c r="D84" s="51" t="s">
        <v>1250</v>
      </c>
      <c r="E84" s="51" t="s">
        <v>19</v>
      </c>
      <c r="F84" s="51" t="s">
        <v>1390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1251</v>
      </c>
      <c r="C85" s="51" t="s">
        <v>1398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1398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1398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1398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25</v>
      </c>
      <c r="M91" s="17">
        <f t="shared" si="11"/>
        <v>5</v>
      </c>
      <c r="N91" s="18">
        <f t="shared" si="12"/>
        <v>0.83333333333333337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 t="s">
        <v>1210</v>
      </c>
      <c r="AL91" s="8" t="s">
        <v>1210</v>
      </c>
      <c r="AM91" s="8" t="s">
        <v>1210</v>
      </c>
      <c r="AN91" s="27" t="s">
        <v>1210</v>
      </c>
      <c r="AO91" s="8" t="s">
        <v>1210</v>
      </c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1389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1398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1398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25</v>
      </c>
      <c r="M96" s="17">
        <f t="shared" si="11"/>
        <v>5</v>
      </c>
      <c r="N96" s="18">
        <f t="shared" si="12"/>
        <v>0.83333333333333337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 t="s">
        <v>1210</v>
      </c>
      <c r="AL96" s="8" t="s">
        <v>1210</v>
      </c>
      <c r="AM96" s="8" t="s">
        <v>1210</v>
      </c>
      <c r="AN96" s="27" t="s">
        <v>1210</v>
      </c>
      <c r="AO96" s="8" t="s">
        <v>1210</v>
      </c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1252</v>
      </c>
      <c r="C97" s="51" t="s">
        <v>1399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1399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1399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1253</v>
      </c>
      <c r="C100" s="51"/>
      <c r="D100" s="51" t="s">
        <v>265</v>
      </c>
      <c r="E100" s="51" t="s">
        <v>102</v>
      </c>
      <c r="F100" s="51" t="s">
        <v>1390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1254</v>
      </c>
      <c r="C101" s="51"/>
      <c r="D101" s="51" t="s">
        <v>265</v>
      </c>
      <c r="E101" s="51" t="s">
        <v>102</v>
      </c>
      <c r="F101" s="51" t="s">
        <v>1390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1255</v>
      </c>
      <c r="C102" s="51"/>
      <c r="D102" s="51" t="s">
        <v>1256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1210</v>
      </c>
      <c r="S102" s="27"/>
      <c r="T102" s="27"/>
      <c r="U102" s="8"/>
      <c r="V102" s="8" t="s">
        <v>1210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1257</v>
      </c>
      <c r="C103" s="51"/>
      <c r="D103" s="51" t="s">
        <v>1256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1210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1258</v>
      </c>
      <c r="C105" s="51" t="s">
        <v>1399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1210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1259</v>
      </c>
      <c r="C106" s="51" t="s">
        <v>1399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1210</v>
      </c>
      <c r="V106" s="8" t="s">
        <v>1210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1260</v>
      </c>
      <c r="C107" s="51" t="s">
        <v>1399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1210</v>
      </c>
      <c r="V107" s="8" t="s">
        <v>1210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1261</v>
      </c>
      <c r="C108" s="51" t="s">
        <v>1399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1210</v>
      </c>
      <c r="V108" s="8" t="s">
        <v>1210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1262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1210</v>
      </c>
      <c r="V109" s="8" t="s">
        <v>1210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1390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1210</v>
      </c>
      <c r="P111" s="8" t="s">
        <v>1210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1399</v>
      </c>
      <c r="D112" s="51" t="s">
        <v>288</v>
      </c>
      <c r="E112" s="51" t="s">
        <v>19</v>
      </c>
      <c r="F112" s="51" t="s">
        <v>1390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1399</v>
      </c>
      <c r="D113" s="51" t="s">
        <v>291</v>
      </c>
      <c r="E113" s="51" t="s">
        <v>24</v>
      </c>
      <c r="F113" s="51" t="s">
        <v>1389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27</v>
      </c>
      <c r="M113" s="17">
        <f t="shared" si="11"/>
        <v>3</v>
      </c>
      <c r="N113" s="18">
        <f t="shared" si="12"/>
        <v>0.9</v>
      </c>
      <c r="O113" s="27" t="s">
        <v>1210</v>
      </c>
      <c r="P113" s="8" t="s">
        <v>1210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 t="s">
        <v>1210</v>
      </c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1399</v>
      </c>
      <c r="D114" s="51" t="s">
        <v>293</v>
      </c>
      <c r="E114" s="51" t="s">
        <v>24</v>
      </c>
      <c r="F114" s="51" t="s">
        <v>1389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1210</v>
      </c>
      <c r="AA115" s="27" t="s">
        <v>1210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1263</v>
      </c>
      <c r="C116" s="51" t="s">
        <v>1399</v>
      </c>
      <c r="D116" s="51" t="s">
        <v>277</v>
      </c>
      <c r="E116" s="51" t="s">
        <v>19</v>
      </c>
      <c r="F116" s="51" t="s">
        <v>1390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1399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1399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1210</v>
      </c>
      <c r="P120" s="8" t="s">
        <v>1210</v>
      </c>
      <c r="Q120" s="8" t="s">
        <v>1210</v>
      </c>
      <c r="R120" s="8" t="s">
        <v>1210</v>
      </c>
      <c r="S120" s="27" t="s">
        <v>1210</v>
      </c>
      <c r="T120" s="27"/>
      <c r="U120" s="8" t="s">
        <v>1210</v>
      </c>
      <c r="V120" s="8" t="s">
        <v>1210</v>
      </c>
      <c r="W120" s="8" t="s">
        <v>1210</v>
      </c>
      <c r="X120" s="27" t="s">
        <v>1210</v>
      </c>
      <c r="Y120" s="27" t="s">
        <v>1210</v>
      </c>
      <c r="Z120" s="27" t="s">
        <v>1210</v>
      </c>
      <c r="AA120" s="27" t="s">
        <v>1210</v>
      </c>
      <c r="AB120" s="27" t="s">
        <v>1210</v>
      </c>
      <c r="AC120" s="27" t="s">
        <v>1210</v>
      </c>
      <c r="AD120" s="27" t="s">
        <v>1210</v>
      </c>
      <c r="AE120" s="27" t="s">
        <v>1210</v>
      </c>
      <c r="AF120" s="27" t="s">
        <v>1210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1264</v>
      </c>
      <c r="C121" s="51" t="s">
        <v>1399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1210</v>
      </c>
      <c r="P121" s="8" t="s">
        <v>1210</v>
      </c>
      <c r="Q121" s="8" t="s">
        <v>1210</v>
      </c>
      <c r="R121" s="8" t="s">
        <v>1210</v>
      </c>
      <c r="S121" s="27" t="s">
        <v>1210</v>
      </c>
      <c r="T121" s="27"/>
      <c r="U121" s="8" t="s">
        <v>1210</v>
      </c>
      <c r="V121" s="8" t="s">
        <v>1210</v>
      </c>
      <c r="W121" s="8" t="s">
        <v>1210</v>
      </c>
      <c r="X121" s="27" t="s">
        <v>1210</v>
      </c>
      <c r="Y121" s="27" t="s">
        <v>1210</v>
      </c>
      <c r="Z121" s="27" t="s">
        <v>1210</v>
      </c>
      <c r="AA121" s="27" t="s">
        <v>1210</v>
      </c>
      <c r="AB121" s="27" t="s">
        <v>1210</v>
      </c>
      <c r="AC121" s="27" t="s">
        <v>1210</v>
      </c>
      <c r="AD121" s="27" t="s">
        <v>1210</v>
      </c>
      <c r="AE121" s="27" t="s">
        <v>1210</v>
      </c>
      <c r="AF121" s="27" t="s">
        <v>1210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1265</v>
      </c>
      <c r="C122" s="51" t="s">
        <v>1399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1210</v>
      </c>
      <c r="V122" s="8" t="s">
        <v>1210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1266</v>
      </c>
      <c r="C123" s="51" t="s">
        <v>1399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1210</v>
      </c>
      <c r="V123" s="8" t="s">
        <v>1210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1398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1398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1390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1390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1267</v>
      </c>
      <c r="C128" s="51"/>
      <c r="D128" s="51" t="s">
        <v>346</v>
      </c>
      <c r="E128" s="51" t="s">
        <v>102</v>
      </c>
      <c r="F128" s="51" t="s">
        <v>1390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22</v>
      </c>
      <c r="M128" s="17">
        <f t="shared" si="11"/>
        <v>8</v>
      </c>
      <c r="N128" s="18">
        <f t="shared" si="12"/>
        <v>0.73333333333333328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 t="s">
        <v>1210</v>
      </c>
      <c r="AI128" s="27" t="s">
        <v>1210</v>
      </c>
      <c r="AJ128" s="27" t="s">
        <v>1210</v>
      </c>
      <c r="AK128" s="8" t="s">
        <v>1210</v>
      </c>
      <c r="AL128" s="8" t="s">
        <v>1210</v>
      </c>
      <c r="AM128" s="8" t="s">
        <v>1210</v>
      </c>
      <c r="AN128" s="27" t="s">
        <v>1210</v>
      </c>
      <c r="AO128" s="8" t="s">
        <v>1210</v>
      </c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1268</v>
      </c>
      <c r="C129" s="51"/>
      <c r="D129" s="51" t="s">
        <v>346</v>
      </c>
      <c r="E129" s="51" t="s">
        <v>102</v>
      </c>
      <c r="F129" s="51" t="s">
        <v>1390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21</v>
      </c>
      <c r="M129" s="17">
        <f t="shared" si="11"/>
        <v>9</v>
      </c>
      <c r="N129" s="18">
        <f t="shared" si="12"/>
        <v>0.7</v>
      </c>
      <c r="O129" s="27"/>
      <c r="P129" s="8"/>
      <c r="Q129" s="8"/>
      <c r="R129" s="8"/>
      <c r="S129" s="27"/>
      <c r="T129" s="27"/>
      <c r="U129" s="8" t="s">
        <v>1210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 t="s">
        <v>1210</v>
      </c>
      <c r="AI129" s="27" t="s">
        <v>1210</v>
      </c>
      <c r="AJ129" s="27" t="s">
        <v>1210</v>
      </c>
      <c r="AK129" s="8" t="s">
        <v>1210</v>
      </c>
      <c r="AL129" s="8" t="s">
        <v>1210</v>
      </c>
      <c r="AM129" s="8" t="s">
        <v>1210</v>
      </c>
      <c r="AN129" s="27" t="s">
        <v>1210</v>
      </c>
      <c r="AO129" s="8" t="s">
        <v>1210</v>
      </c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1269</v>
      </c>
      <c r="C130" s="51"/>
      <c r="D130" s="51" t="s">
        <v>349</v>
      </c>
      <c r="E130" s="51" t="s">
        <v>102</v>
      </c>
      <c r="F130" s="51" t="s">
        <v>1390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1210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1270</v>
      </c>
      <c r="C131" s="51"/>
      <c r="D131" s="51" t="s">
        <v>349</v>
      </c>
      <c r="E131" s="51" t="s">
        <v>102</v>
      </c>
      <c r="F131" s="51" t="s">
        <v>1390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1398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29</v>
      </c>
      <c r="M132" s="17">
        <f t="shared" si="11"/>
        <v>1</v>
      </c>
      <c r="N132" s="18">
        <f t="shared" si="12"/>
        <v>0.96666666666666667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 t="s">
        <v>1210</v>
      </c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1398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1210</v>
      </c>
      <c r="P133" s="8" t="s">
        <v>1210</v>
      </c>
      <c r="Q133" s="8" t="s">
        <v>1210</v>
      </c>
      <c r="R133" s="8" t="s">
        <v>1210</v>
      </c>
      <c r="S133" s="27" t="s">
        <v>1210</v>
      </c>
      <c r="T133" s="27"/>
      <c r="U133" s="8" t="s">
        <v>1210</v>
      </c>
      <c r="V133" s="8" t="s">
        <v>1210</v>
      </c>
      <c r="W133" s="8" t="s">
        <v>1210</v>
      </c>
      <c r="X133" s="27" t="s">
        <v>1210</v>
      </c>
      <c r="Y133" s="27" t="s">
        <v>1210</v>
      </c>
      <c r="Z133" s="27" t="s">
        <v>1210</v>
      </c>
      <c r="AA133" s="27" t="s">
        <v>1210</v>
      </c>
      <c r="AB133" s="27" t="s">
        <v>1210</v>
      </c>
      <c r="AC133" s="27" t="s">
        <v>1210</v>
      </c>
      <c r="AD133" s="27" t="s">
        <v>1210</v>
      </c>
      <c r="AE133" s="27" t="s">
        <v>1210</v>
      </c>
      <c r="AF133" s="27" t="s">
        <v>1210</v>
      </c>
      <c r="AG133" s="27" t="s">
        <v>1210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1398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21</v>
      </c>
      <c r="M134" s="17">
        <f t="shared" si="14"/>
        <v>9</v>
      </c>
      <c r="N134" s="18">
        <f t="shared" si="15"/>
        <v>0.7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 t="s">
        <v>1210</v>
      </c>
      <c r="AH134" s="27" t="s">
        <v>1210</v>
      </c>
      <c r="AI134" s="27" t="s">
        <v>1210</v>
      </c>
      <c r="AJ134" s="27" t="s">
        <v>1210</v>
      </c>
      <c r="AK134" s="8" t="s">
        <v>1210</v>
      </c>
      <c r="AL134" s="8" t="s">
        <v>1210</v>
      </c>
      <c r="AM134" s="8" t="s">
        <v>1210</v>
      </c>
      <c r="AN134" s="27" t="s">
        <v>1210</v>
      </c>
      <c r="AO134" s="8" t="s">
        <v>1210</v>
      </c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29</v>
      </c>
      <c r="M135" s="17">
        <f t="shared" si="14"/>
        <v>1</v>
      </c>
      <c r="N135" s="18">
        <f t="shared" si="15"/>
        <v>0.96666666666666667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 t="s">
        <v>1210</v>
      </c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1398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1210</v>
      </c>
      <c r="P136" s="8" t="s">
        <v>1210</v>
      </c>
      <c r="Q136" s="8" t="s">
        <v>1210</v>
      </c>
      <c r="R136" s="8" t="s">
        <v>1210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1210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1398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24</v>
      </c>
      <c r="M137" s="17">
        <f t="shared" si="14"/>
        <v>6</v>
      </c>
      <c r="N137" s="18">
        <f t="shared" si="15"/>
        <v>0.8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 t="s">
        <v>1210</v>
      </c>
      <c r="AK137" s="8" t="s">
        <v>1210</v>
      </c>
      <c r="AL137" s="8" t="s">
        <v>1210</v>
      </c>
      <c r="AM137" s="8" t="s">
        <v>1210</v>
      </c>
      <c r="AN137" s="27" t="s">
        <v>1210</v>
      </c>
      <c r="AO137" s="8" t="s">
        <v>1210</v>
      </c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1271</v>
      </c>
      <c r="C138" s="51" t="s">
        <v>1398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1210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1210</v>
      </c>
      <c r="AF138" s="27" t="s">
        <v>1210</v>
      </c>
      <c r="AG138" s="27" t="s">
        <v>1210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1272</v>
      </c>
      <c r="C139" s="51" t="s">
        <v>1398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1210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1210</v>
      </c>
      <c r="AF139" s="27" t="s">
        <v>1210</v>
      </c>
      <c r="AG139" s="27" t="s">
        <v>1210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1398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1210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1398</v>
      </c>
      <c r="D141" s="51" t="s">
        <v>352</v>
      </c>
      <c r="E141" s="51" t="s">
        <v>19</v>
      </c>
      <c r="F141" s="51" t="s">
        <v>1390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24</v>
      </c>
      <c r="M141" s="17">
        <f t="shared" si="14"/>
        <v>6</v>
      </c>
      <c r="N141" s="18">
        <f t="shared" si="15"/>
        <v>0.8</v>
      </c>
      <c r="O141" s="27"/>
      <c r="P141" s="8"/>
      <c r="Q141" s="8"/>
      <c r="R141" s="8"/>
      <c r="S141" s="27"/>
      <c r="T141" s="27"/>
      <c r="U141" s="8" t="s">
        <v>1210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 t="s">
        <v>1210</v>
      </c>
      <c r="AL141" s="8" t="s">
        <v>1210</v>
      </c>
      <c r="AM141" s="8" t="s">
        <v>1210</v>
      </c>
      <c r="AN141" s="27" t="s">
        <v>1210</v>
      </c>
      <c r="AO141" s="8" t="s">
        <v>1210</v>
      </c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1398</v>
      </c>
      <c r="D142" s="51" t="s">
        <v>355</v>
      </c>
      <c r="E142" s="51" t="s">
        <v>19</v>
      </c>
      <c r="F142" s="51" t="s">
        <v>1390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25</v>
      </c>
      <c r="M142" s="17">
        <f t="shared" si="14"/>
        <v>5</v>
      </c>
      <c r="N142" s="18">
        <f t="shared" si="15"/>
        <v>0.83333333333333337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 t="s">
        <v>1210</v>
      </c>
      <c r="AL142" s="8" t="s">
        <v>1210</v>
      </c>
      <c r="AM142" s="8" t="s">
        <v>1210</v>
      </c>
      <c r="AN142" s="27" t="s">
        <v>1210</v>
      </c>
      <c r="AO142" s="8" t="s">
        <v>1210</v>
      </c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1398</v>
      </c>
      <c r="D143" s="51" t="s">
        <v>357</v>
      </c>
      <c r="E143" s="51" t="s">
        <v>19</v>
      </c>
      <c r="F143" s="51" t="s">
        <v>1390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23</v>
      </c>
      <c r="M143" s="17">
        <f t="shared" si="14"/>
        <v>7</v>
      </c>
      <c r="N143" s="18">
        <f t="shared" si="15"/>
        <v>0.76666666666666672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1210</v>
      </c>
      <c r="AC143" s="27" t="s">
        <v>1210</v>
      </c>
      <c r="AD143" s="27"/>
      <c r="AE143" s="27"/>
      <c r="AF143" s="27"/>
      <c r="AG143" s="27"/>
      <c r="AH143" s="27"/>
      <c r="AI143" s="27"/>
      <c r="AJ143" s="27"/>
      <c r="AK143" s="8" t="s">
        <v>1210</v>
      </c>
      <c r="AL143" s="8" t="s">
        <v>1210</v>
      </c>
      <c r="AM143" s="8" t="s">
        <v>1210</v>
      </c>
      <c r="AN143" s="27" t="s">
        <v>1210</v>
      </c>
      <c r="AO143" s="8" t="s">
        <v>1210</v>
      </c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1273</v>
      </c>
      <c r="C144" s="51" t="s">
        <v>1398</v>
      </c>
      <c r="D144" s="51" t="s">
        <v>1274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1210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1398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1398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1210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1275</v>
      </c>
      <c r="C148" s="51" t="s">
        <v>1399</v>
      </c>
      <c r="D148" s="51" t="s">
        <v>367</v>
      </c>
      <c r="E148" s="51" t="s">
        <v>19</v>
      </c>
      <c r="F148" s="51" t="s">
        <v>1389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28</v>
      </c>
      <c r="M148" s="17">
        <f t="shared" si="14"/>
        <v>2</v>
      </c>
      <c r="N148" s="18">
        <f t="shared" si="15"/>
        <v>0.93333333333333335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1210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 t="s">
        <v>1210</v>
      </c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29</v>
      </c>
      <c r="M149" s="17">
        <f t="shared" si="14"/>
        <v>1</v>
      </c>
      <c r="N149" s="18">
        <f t="shared" si="15"/>
        <v>0.96666666666666667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 t="s">
        <v>1210</v>
      </c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1399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29</v>
      </c>
      <c r="M150" s="17">
        <f t="shared" si="14"/>
        <v>1</v>
      </c>
      <c r="N150" s="18">
        <f t="shared" si="15"/>
        <v>0.96666666666666667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 t="s">
        <v>1210</v>
      </c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1276</v>
      </c>
      <c r="C151" s="51" t="s">
        <v>1398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1277</v>
      </c>
      <c r="C152" s="51" t="s">
        <v>1398</v>
      </c>
      <c r="D152" s="51" t="s">
        <v>1278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1210</v>
      </c>
      <c r="AA152" s="27" t="s">
        <v>1210</v>
      </c>
      <c r="AB152" s="27" t="s">
        <v>1210</v>
      </c>
      <c r="AC152" s="27" t="s">
        <v>1210</v>
      </c>
      <c r="AD152" s="27" t="s">
        <v>1210</v>
      </c>
      <c r="AE152" s="27" t="s">
        <v>1210</v>
      </c>
      <c r="AF152" s="27" t="s">
        <v>1210</v>
      </c>
      <c r="AG152" s="27" t="s">
        <v>1210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1279</v>
      </c>
      <c r="C153" s="51" t="s">
        <v>1398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1280</v>
      </c>
      <c r="C154" s="51" t="s">
        <v>1398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1281</v>
      </c>
      <c r="C155" s="51" t="s">
        <v>1398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1282</v>
      </c>
      <c r="C156" s="51" t="s">
        <v>1398</v>
      </c>
      <c r="D156" s="51" t="s">
        <v>372</v>
      </c>
      <c r="E156" s="51" t="s">
        <v>65</v>
      </c>
      <c r="F156" s="51" t="s">
        <v>1389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1398</v>
      </c>
      <c r="D157" s="51" t="s">
        <v>376</v>
      </c>
      <c r="E157" s="51" t="s">
        <v>24</v>
      </c>
      <c r="F157" s="51" t="s">
        <v>1389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1398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1398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1398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1398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1398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1398</v>
      </c>
      <c r="D163" s="51" t="s">
        <v>393</v>
      </c>
      <c r="E163" s="51" t="s">
        <v>24</v>
      </c>
      <c r="F163" s="51" t="s">
        <v>1389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1398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1283</v>
      </c>
      <c r="C165" s="51" t="s">
        <v>1398</v>
      </c>
      <c r="D165" s="51" t="s">
        <v>1284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1399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21</v>
      </c>
      <c r="M166" s="17">
        <f t="shared" si="14"/>
        <v>9</v>
      </c>
      <c r="N166" s="18">
        <f t="shared" si="15"/>
        <v>0.7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1210</v>
      </c>
      <c r="AH166" s="27" t="s">
        <v>1210</v>
      </c>
      <c r="AI166" s="27" t="s">
        <v>1210</v>
      </c>
      <c r="AJ166" s="27" t="s">
        <v>1210</v>
      </c>
      <c r="AK166" s="8" t="s">
        <v>1210</v>
      </c>
      <c r="AL166" s="8" t="s">
        <v>1210</v>
      </c>
      <c r="AM166" s="8" t="s">
        <v>1210</v>
      </c>
      <c r="AN166" s="27" t="s">
        <v>1210</v>
      </c>
      <c r="AO166" s="8" t="s">
        <v>1210</v>
      </c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1399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29</v>
      </c>
      <c r="M167" s="17">
        <f t="shared" si="14"/>
        <v>1</v>
      </c>
      <c r="N167" s="18">
        <f t="shared" si="15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 t="s">
        <v>1210</v>
      </c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1399</v>
      </c>
      <c r="D168" s="51" t="s">
        <v>18</v>
      </c>
      <c r="E168" s="51" t="s">
        <v>19</v>
      </c>
      <c r="F168" s="51" t="s">
        <v>1389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1210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1285</v>
      </c>
      <c r="C169" s="51" t="s">
        <v>1399</v>
      </c>
      <c r="D169" s="51" t="s">
        <v>1286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1210</v>
      </c>
      <c r="V169" s="8" t="s">
        <v>1210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1287</v>
      </c>
      <c r="B170" s="51" t="s">
        <v>1288</v>
      </c>
      <c r="C170" s="51" t="s">
        <v>1399</v>
      </c>
      <c r="D170" s="51" t="s">
        <v>1286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1399</v>
      </c>
      <c r="D171" s="51" t="s">
        <v>1289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1210</v>
      </c>
      <c r="V171" s="8" t="s">
        <v>1210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1399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1399</v>
      </c>
      <c r="D173" s="51" t="s">
        <v>1290</v>
      </c>
      <c r="E173" s="51" t="s">
        <v>19</v>
      </c>
      <c r="F173" s="51" t="s">
        <v>1390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1210</v>
      </c>
      <c r="V173" s="8" t="s">
        <v>1210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1399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1210</v>
      </c>
      <c r="V174" s="8" t="s">
        <v>1210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1291</v>
      </c>
      <c r="C175" s="51" t="s">
        <v>1398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1292</v>
      </c>
      <c r="C176" s="51" t="s">
        <v>1398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1293</v>
      </c>
      <c r="C177" s="51" t="s">
        <v>1398</v>
      </c>
      <c r="D177" s="51" t="s">
        <v>417</v>
      </c>
      <c r="E177" s="51" t="s">
        <v>24</v>
      </c>
      <c r="F177" s="51" t="s">
        <v>1389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1210</v>
      </c>
      <c r="P177" s="8" t="s">
        <v>1210</v>
      </c>
      <c r="Q177" s="8" t="s">
        <v>1210</v>
      </c>
      <c r="R177" s="8" t="s">
        <v>1210</v>
      </c>
      <c r="S177" s="27" t="s">
        <v>1210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1398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1395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1398</v>
      </c>
      <c r="D179" s="51" t="s">
        <v>415</v>
      </c>
      <c r="E179" s="51" t="s">
        <v>24</v>
      </c>
      <c r="F179" s="51" t="s">
        <v>1389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1398</v>
      </c>
      <c r="D180" s="51" t="s">
        <v>420</v>
      </c>
      <c r="E180" s="51" t="s">
        <v>19</v>
      </c>
      <c r="F180" s="51" t="s">
        <v>1389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1398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1398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1210</v>
      </c>
      <c r="Q182" s="8" t="s">
        <v>1210</v>
      </c>
      <c r="R182" s="8" t="s">
        <v>1210</v>
      </c>
      <c r="S182" s="27" t="s">
        <v>1210</v>
      </c>
      <c r="T182" s="27"/>
      <c r="U182" s="8" t="s">
        <v>1210</v>
      </c>
      <c r="V182" s="8" t="s">
        <v>1210</v>
      </c>
      <c r="W182" s="8" t="s">
        <v>1210</v>
      </c>
      <c r="X182" s="27" t="s">
        <v>1210</v>
      </c>
      <c r="Y182" s="27" t="s">
        <v>1210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1398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1398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1294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1210</v>
      </c>
      <c r="R185" s="8" t="s">
        <v>1210</v>
      </c>
      <c r="S185" s="27" t="s">
        <v>1210</v>
      </c>
      <c r="T185" s="27"/>
      <c r="U185" s="8"/>
      <c r="V185" s="8"/>
      <c r="W185" s="8"/>
      <c r="X185" s="27"/>
      <c r="Y185" s="27"/>
      <c r="Z185" s="27" t="s">
        <v>1210</v>
      </c>
      <c r="AA185" s="27" t="s">
        <v>1210</v>
      </c>
      <c r="AB185" s="27" t="s">
        <v>1210</v>
      </c>
      <c r="AC185" s="27" t="s">
        <v>1210</v>
      </c>
      <c r="AD185" s="27" t="s">
        <v>1210</v>
      </c>
      <c r="AE185" s="27" t="s">
        <v>1210</v>
      </c>
      <c r="AF185" s="27" t="s">
        <v>1210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1210</v>
      </c>
      <c r="R186" s="8" t="s">
        <v>1210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1210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1210</v>
      </c>
      <c r="P187" s="8" t="s">
        <v>1210</v>
      </c>
      <c r="Q187" s="8" t="s">
        <v>1210</v>
      </c>
      <c r="R187" s="8" t="s">
        <v>1210</v>
      </c>
      <c r="S187" s="27" t="s">
        <v>1210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1390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1210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1396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1398</v>
      </c>
      <c r="D191" s="51" t="s">
        <v>451</v>
      </c>
      <c r="E191" s="51" t="s">
        <v>24</v>
      </c>
      <c r="F191" s="51" t="s">
        <v>1389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10</v>
      </c>
      <c r="M191" s="17">
        <f t="shared" si="14"/>
        <v>20</v>
      </c>
      <c r="N191" s="18">
        <f t="shared" si="15"/>
        <v>0.33333333333333331</v>
      </c>
      <c r="O191" s="27" t="s">
        <v>1210</v>
      </c>
      <c r="P191" s="8" t="s">
        <v>1210</v>
      </c>
      <c r="Q191" s="8" t="s">
        <v>1210</v>
      </c>
      <c r="R191" s="8" t="s">
        <v>1210</v>
      </c>
      <c r="S191" s="27" t="s">
        <v>1210</v>
      </c>
      <c r="T191" s="27"/>
      <c r="U191" s="8" t="s">
        <v>1210</v>
      </c>
      <c r="V191" s="8" t="s">
        <v>1210</v>
      </c>
      <c r="W191" s="8" t="s">
        <v>1210</v>
      </c>
      <c r="X191" s="27" t="s">
        <v>1210</v>
      </c>
      <c r="Y191" s="27" t="s">
        <v>1210</v>
      </c>
      <c r="Z191" s="27" t="s">
        <v>1210</v>
      </c>
      <c r="AA191" s="27" t="s">
        <v>1210</v>
      </c>
      <c r="AB191" s="27" t="s">
        <v>1210</v>
      </c>
      <c r="AC191" s="27" t="s">
        <v>1210</v>
      </c>
      <c r="AD191" s="27" t="s">
        <v>1210</v>
      </c>
      <c r="AE191" s="27" t="s">
        <v>1210</v>
      </c>
      <c r="AF191" s="27" t="s">
        <v>1210</v>
      </c>
      <c r="AG191" s="27" t="s">
        <v>1210</v>
      </c>
      <c r="AH191" s="27"/>
      <c r="AI191" s="27"/>
      <c r="AJ191" s="27"/>
      <c r="AK191" s="8"/>
      <c r="AL191" s="8"/>
      <c r="AM191" s="8"/>
      <c r="AN191" s="27" t="s">
        <v>1210</v>
      </c>
      <c r="AO191" s="8" t="s">
        <v>1210</v>
      </c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1389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1210</v>
      </c>
      <c r="P192" s="8" t="s">
        <v>1210</v>
      </c>
      <c r="Q192" s="8" t="s">
        <v>1210</v>
      </c>
      <c r="R192" s="8" t="s">
        <v>1210</v>
      </c>
      <c r="S192" s="27" t="s">
        <v>1210</v>
      </c>
      <c r="T192" s="27"/>
      <c r="U192" s="8" t="s">
        <v>1210</v>
      </c>
      <c r="V192" s="8" t="s">
        <v>1210</v>
      </c>
      <c r="W192" s="8" t="s">
        <v>1210</v>
      </c>
      <c r="X192" s="27" t="s">
        <v>1210</v>
      </c>
      <c r="Y192" s="27" t="s">
        <v>1210</v>
      </c>
      <c r="Z192" s="27" t="s">
        <v>1210</v>
      </c>
      <c r="AA192" s="27" t="s">
        <v>1210</v>
      </c>
      <c r="AB192" s="27" t="s">
        <v>1210</v>
      </c>
      <c r="AC192" s="27" t="s">
        <v>1210</v>
      </c>
      <c r="AD192" s="27" t="s">
        <v>1210</v>
      </c>
      <c r="AE192" s="27" t="s">
        <v>1210</v>
      </c>
      <c r="AF192" s="27" t="s">
        <v>1210</v>
      </c>
      <c r="AG192" s="27" t="s">
        <v>1210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1210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1399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1210</v>
      </c>
      <c r="X194" s="27" t="s">
        <v>1210</v>
      </c>
      <c r="Y194" s="27" t="s">
        <v>1210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1399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1399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20</v>
      </c>
      <c r="M197" s="17">
        <f t="shared" ref="M197:M262" si="17">COUNTIF(O197:AP197,"APAGADO")</f>
        <v>10</v>
      </c>
      <c r="N197" s="18">
        <f t="shared" ref="N197:N262" si="18">(L197)/(M197+L197)</f>
        <v>0.66666666666666663</v>
      </c>
      <c r="O197" s="27"/>
      <c r="P197" s="8"/>
      <c r="Q197" s="8"/>
      <c r="R197" s="8"/>
      <c r="S197" s="27"/>
      <c r="T197" s="27"/>
      <c r="U197" s="8" t="s">
        <v>1210</v>
      </c>
      <c r="V197" s="8" t="s">
        <v>1210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 t="s">
        <v>1210</v>
      </c>
      <c r="AI197" s="27" t="s">
        <v>1210</v>
      </c>
      <c r="AJ197" s="27" t="s">
        <v>1210</v>
      </c>
      <c r="AK197" s="8" t="s">
        <v>1210</v>
      </c>
      <c r="AL197" s="8" t="s">
        <v>1210</v>
      </c>
      <c r="AM197" s="8" t="s">
        <v>1210</v>
      </c>
      <c r="AN197" s="27" t="s">
        <v>1210</v>
      </c>
      <c r="AO197" s="8" t="s">
        <v>1210</v>
      </c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1399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20</v>
      </c>
      <c r="M198" s="17">
        <f t="shared" si="17"/>
        <v>10</v>
      </c>
      <c r="N198" s="18">
        <f t="shared" si="18"/>
        <v>0.66666666666666663</v>
      </c>
      <c r="O198" s="27"/>
      <c r="P198" s="8"/>
      <c r="Q198" s="8"/>
      <c r="R198" s="8"/>
      <c r="S198" s="27"/>
      <c r="T198" s="27"/>
      <c r="U198" s="8" t="s">
        <v>1210</v>
      </c>
      <c r="V198" s="8" t="s">
        <v>1210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 t="s">
        <v>1210</v>
      </c>
      <c r="AI198" s="27" t="s">
        <v>1210</v>
      </c>
      <c r="AJ198" s="27" t="s">
        <v>1210</v>
      </c>
      <c r="AK198" s="8" t="s">
        <v>1210</v>
      </c>
      <c r="AL198" s="8" t="s">
        <v>1210</v>
      </c>
      <c r="AM198" s="8" t="s">
        <v>1210</v>
      </c>
      <c r="AN198" s="27" t="s">
        <v>1210</v>
      </c>
      <c r="AO198" s="8" t="s">
        <v>1210</v>
      </c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1210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1210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1210</v>
      </c>
      <c r="S201" s="27"/>
      <c r="T201" s="27"/>
      <c r="U201" s="8"/>
      <c r="V201" s="8" t="s">
        <v>1210</v>
      </c>
      <c r="W201" s="8" t="s">
        <v>1210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1399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1210</v>
      </c>
      <c r="S202" s="27"/>
      <c r="T202" s="27"/>
      <c r="U202" s="8"/>
      <c r="V202" s="8"/>
      <c r="W202" s="8" t="s">
        <v>1210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1210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1399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1295</v>
      </c>
      <c r="C205" s="51" t="s">
        <v>1399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1399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1210</v>
      </c>
      <c r="P206" s="8" t="s">
        <v>1210</v>
      </c>
      <c r="Q206" s="8" t="s">
        <v>1210</v>
      </c>
      <c r="R206" s="8" t="s">
        <v>1210</v>
      </c>
      <c r="S206" s="27" t="s">
        <v>1210</v>
      </c>
      <c r="T206" s="27"/>
      <c r="U206" s="8" t="s">
        <v>1210</v>
      </c>
      <c r="V206" s="8" t="s">
        <v>1210</v>
      </c>
      <c r="W206" s="8" t="s">
        <v>1210</v>
      </c>
      <c r="X206" s="27" t="s">
        <v>1210</v>
      </c>
      <c r="Y206" s="27" t="s">
        <v>1210</v>
      </c>
      <c r="Z206" s="27" t="s">
        <v>1210</v>
      </c>
      <c r="AA206" s="27" t="s">
        <v>1210</v>
      </c>
      <c r="AB206" s="27" t="s">
        <v>1210</v>
      </c>
      <c r="AC206" s="27" t="s">
        <v>1210</v>
      </c>
      <c r="AD206" s="27" t="s">
        <v>1210</v>
      </c>
      <c r="AE206" s="27" t="s">
        <v>1210</v>
      </c>
      <c r="AF206" s="27" t="s">
        <v>1210</v>
      </c>
      <c r="AG206" s="27" t="s">
        <v>1210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1398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18</v>
      </c>
      <c r="M207" s="17">
        <f t="shared" si="17"/>
        <v>12</v>
      </c>
      <c r="N207" s="18">
        <f t="shared" si="18"/>
        <v>0.6</v>
      </c>
      <c r="O207" s="27" t="s">
        <v>1210</v>
      </c>
      <c r="P207" s="8" t="s">
        <v>1210</v>
      </c>
      <c r="Q207" s="8" t="s">
        <v>1210</v>
      </c>
      <c r="R207" s="8" t="s">
        <v>1210</v>
      </c>
      <c r="S207" s="27" t="s">
        <v>1210</v>
      </c>
      <c r="T207" s="27"/>
      <c r="U207" s="8" t="s">
        <v>1210</v>
      </c>
      <c r="V207" s="8" t="s">
        <v>1210</v>
      </c>
      <c r="W207" s="8" t="s">
        <v>1210</v>
      </c>
      <c r="X207" s="27" t="s">
        <v>1210</v>
      </c>
      <c r="Y207" s="27" t="s">
        <v>1210</v>
      </c>
      <c r="Z207" s="27" t="s">
        <v>1210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 t="s">
        <v>1210</v>
      </c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1399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26</v>
      </c>
      <c r="M208" s="17">
        <f t="shared" si="17"/>
        <v>4</v>
      </c>
      <c r="N208" s="18">
        <f t="shared" si="18"/>
        <v>0.8666666666666667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1210</v>
      </c>
      <c r="AB208" s="27" t="s">
        <v>1210</v>
      </c>
      <c r="AC208" s="27" t="s">
        <v>1210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 t="s">
        <v>1210</v>
      </c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1399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 t="s">
        <v>1210</v>
      </c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1296</v>
      </c>
      <c r="C210" s="51" t="s">
        <v>1399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22</v>
      </c>
      <c r="M210" s="17">
        <f t="shared" si="17"/>
        <v>8</v>
      </c>
      <c r="N210" s="18">
        <f t="shared" si="18"/>
        <v>0.73333333333333328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 t="s">
        <v>1210</v>
      </c>
      <c r="AI210" s="27" t="s">
        <v>1210</v>
      </c>
      <c r="AJ210" s="27" t="s">
        <v>1210</v>
      </c>
      <c r="AK210" s="8" t="s">
        <v>1210</v>
      </c>
      <c r="AL210" s="8" t="s">
        <v>1210</v>
      </c>
      <c r="AM210" s="8" t="s">
        <v>1210</v>
      </c>
      <c r="AN210" s="27" t="s">
        <v>1210</v>
      </c>
      <c r="AO210" s="8" t="s">
        <v>1210</v>
      </c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1399</v>
      </c>
      <c r="D211" s="51" t="s">
        <v>495</v>
      </c>
      <c r="E211" s="51" t="s">
        <v>19</v>
      </c>
      <c r="F211" s="51" t="s">
        <v>1390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11</v>
      </c>
      <c r="M211" s="17">
        <f t="shared" si="17"/>
        <v>19</v>
      </c>
      <c r="N211" s="18">
        <f t="shared" si="18"/>
        <v>0.36666666666666664</v>
      </c>
      <c r="O211" s="27" t="s">
        <v>1210</v>
      </c>
      <c r="P211" s="8" t="s">
        <v>1210</v>
      </c>
      <c r="Q211" s="8" t="s">
        <v>1210</v>
      </c>
      <c r="R211" s="8" t="s">
        <v>1210</v>
      </c>
      <c r="S211" s="27" t="s">
        <v>1210</v>
      </c>
      <c r="T211" s="27"/>
      <c r="U211" s="8" t="s">
        <v>1210</v>
      </c>
      <c r="V211" s="8" t="s">
        <v>1210</v>
      </c>
      <c r="W211" s="8" t="s">
        <v>1210</v>
      </c>
      <c r="X211" s="27" t="s">
        <v>1210</v>
      </c>
      <c r="Y211" s="27" t="s">
        <v>1210</v>
      </c>
      <c r="Z211" s="27" t="s">
        <v>1210</v>
      </c>
      <c r="AA211" s="27" t="s">
        <v>1210</v>
      </c>
      <c r="AB211" s="27" t="s">
        <v>1210</v>
      </c>
      <c r="AC211" s="27" t="s">
        <v>1210</v>
      </c>
      <c r="AD211" s="27" t="s">
        <v>1210</v>
      </c>
      <c r="AE211" s="27" t="s">
        <v>1210</v>
      </c>
      <c r="AF211" s="27" t="s">
        <v>1210</v>
      </c>
      <c r="AG211" s="27" t="s">
        <v>1210</v>
      </c>
      <c r="AH211" s="27"/>
      <c r="AI211" s="27"/>
      <c r="AJ211" s="27"/>
      <c r="AK211" s="8"/>
      <c r="AL211" s="8"/>
      <c r="AM211" s="8"/>
      <c r="AN211" s="27"/>
      <c r="AO211" s="8" t="s">
        <v>1210</v>
      </c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1390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11</v>
      </c>
      <c r="M212" s="17">
        <f t="shared" si="17"/>
        <v>19</v>
      </c>
      <c r="N212" s="18">
        <f t="shared" si="18"/>
        <v>0.36666666666666664</v>
      </c>
      <c r="O212" s="27" t="s">
        <v>1210</v>
      </c>
      <c r="P212" s="8" t="s">
        <v>1210</v>
      </c>
      <c r="Q212" s="8" t="s">
        <v>1210</v>
      </c>
      <c r="R212" s="8" t="s">
        <v>1210</v>
      </c>
      <c r="S212" s="27" t="s">
        <v>1210</v>
      </c>
      <c r="T212" s="27"/>
      <c r="U212" s="8" t="s">
        <v>1210</v>
      </c>
      <c r="V212" s="8" t="s">
        <v>1210</v>
      </c>
      <c r="W212" s="8" t="s">
        <v>1210</v>
      </c>
      <c r="X212" s="27" t="s">
        <v>1210</v>
      </c>
      <c r="Y212" s="27" t="s">
        <v>1210</v>
      </c>
      <c r="Z212" s="27" t="s">
        <v>1210</v>
      </c>
      <c r="AA212" s="27" t="s">
        <v>1210</v>
      </c>
      <c r="AB212" s="27" t="s">
        <v>1210</v>
      </c>
      <c r="AC212" s="27" t="s">
        <v>1210</v>
      </c>
      <c r="AD212" s="27" t="s">
        <v>1210</v>
      </c>
      <c r="AE212" s="27" t="s">
        <v>1210</v>
      </c>
      <c r="AF212" s="27" t="s">
        <v>1210</v>
      </c>
      <c r="AG212" s="27" t="s">
        <v>1210</v>
      </c>
      <c r="AH212" s="27"/>
      <c r="AI212" s="27"/>
      <c r="AJ212" s="27"/>
      <c r="AK212" s="8"/>
      <c r="AL212" s="8"/>
      <c r="AM212" s="8"/>
      <c r="AN212" s="27"/>
      <c r="AO212" s="8" t="s">
        <v>1210</v>
      </c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1399</v>
      </c>
      <c r="D213" s="51" t="s">
        <v>1297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1210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1399</v>
      </c>
      <c r="D214" s="51" t="s">
        <v>1297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1210</v>
      </c>
      <c r="X214" s="27" t="s">
        <v>1210</v>
      </c>
      <c r="Y214" s="27" t="s">
        <v>1210</v>
      </c>
      <c r="Z214" s="27" t="s">
        <v>1210</v>
      </c>
      <c r="AA214" s="27"/>
      <c r="AB214" s="27"/>
      <c r="AC214" s="27"/>
      <c r="AD214" s="27"/>
      <c r="AE214" s="27" t="s">
        <v>1210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1399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28</v>
      </c>
      <c r="M215" s="17">
        <f t="shared" si="17"/>
        <v>2</v>
      </c>
      <c r="N215" s="18">
        <f t="shared" si="18"/>
        <v>0.93333333333333335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1210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1210</v>
      </c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1399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21</v>
      </c>
      <c r="M216" s="17">
        <f t="shared" si="17"/>
        <v>9</v>
      </c>
      <c r="N216" s="18">
        <f t="shared" si="18"/>
        <v>0.7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1210</v>
      </c>
      <c r="AF216" s="27"/>
      <c r="AG216" s="27"/>
      <c r="AH216" s="27" t="s">
        <v>1210</v>
      </c>
      <c r="AI216" s="27" t="s">
        <v>1210</v>
      </c>
      <c r="AJ216" s="27" t="s">
        <v>1210</v>
      </c>
      <c r="AK216" s="8" t="s">
        <v>1210</v>
      </c>
      <c r="AL216" s="8" t="s">
        <v>1210</v>
      </c>
      <c r="AM216" s="8" t="s">
        <v>1210</v>
      </c>
      <c r="AN216" s="27" t="s">
        <v>1210</v>
      </c>
      <c r="AO216" s="8" t="s">
        <v>1210</v>
      </c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1298</v>
      </c>
      <c r="C217" s="51"/>
      <c r="D217" s="51" t="s">
        <v>1299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21</v>
      </c>
      <c r="M217" s="17">
        <f t="shared" si="17"/>
        <v>9</v>
      </c>
      <c r="N217" s="18">
        <f t="shared" si="18"/>
        <v>0.7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1210</v>
      </c>
      <c r="AF217" s="27"/>
      <c r="AG217" s="27"/>
      <c r="AH217" s="27" t="s">
        <v>1210</v>
      </c>
      <c r="AI217" s="27" t="s">
        <v>1210</v>
      </c>
      <c r="AJ217" s="27" t="s">
        <v>1210</v>
      </c>
      <c r="AK217" s="8" t="s">
        <v>1210</v>
      </c>
      <c r="AL217" s="8" t="s">
        <v>1210</v>
      </c>
      <c r="AM217" s="8" t="s">
        <v>1210</v>
      </c>
      <c r="AN217" s="27" t="s">
        <v>1210</v>
      </c>
      <c r="AO217" s="8" t="s">
        <v>1210</v>
      </c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1300</v>
      </c>
      <c r="C218" s="51" t="s">
        <v>1399</v>
      </c>
      <c r="D218" s="51" t="s">
        <v>1301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1210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1302</v>
      </c>
      <c r="C219" s="51"/>
      <c r="D219" s="51" t="s">
        <v>1303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1210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1399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28</v>
      </c>
      <c r="M220" s="17">
        <f t="shared" si="17"/>
        <v>2</v>
      </c>
      <c r="N220" s="18">
        <f t="shared" si="18"/>
        <v>0.93333333333333335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1210</v>
      </c>
      <c r="AF220" s="27"/>
      <c r="AG220" s="27"/>
      <c r="AH220" s="27"/>
      <c r="AI220" s="27"/>
      <c r="AJ220" s="27"/>
      <c r="AK220" s="8"/>
      <c r="AL220" s="8"/>
      <c r="AM220" s="8"/>
      <c r="AN220" s="27" t="s">
        <v>1210</v>
      </c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1304</v>
      </c>
      <c r="C221" s="51" t="s">
        <v>1399</v>
      </c>
      <c r="D221" s="51" t="s">
        <v>1305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28</v>
      </c>
      <c r="M221" s="17">
        <f t="shared" si="17"/>
        <v>2</v>
      </c>
      <c r="N221" s="18">
        <f t="shared" si="18"/>
        <v>0.93333333333333335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1210</v>
      </c>
      <c r="AF221" s="27"/>
      <c r="AG221" s="27"/>
      <c r="AH221" s="27"/>
      <c r="AI221" s="27"/>
      <c r="AJ221" s="27"/>
      <c r="AK221" s="8"/>
      <c r="AL221" s="8"/>
      <c r="AM221" s="8"/>
      <c r="AN221" s="27" t="s">
        <v>1210</v>
      </c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1306</v>
      </c>
      <c r="C222" s="51" t="s">
        <v>1399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28</v>
      </c>
      <c r="M222" s="17">
        <f t="shared" si="17"/>
        <v>2</v>
      </c>
      <c r="N222" s="18">
        <f t="shared" si="18"/>
        <v>0.93333333333333335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1210</v>
      </c>
      <c r="AF222" s="27"/>
      <c r="AG222" s="27"/>
      <c r="AH222" s="27"/>
      <c r="AI222" s="27"/>
      <c r="AJ222" s="27"/>
      <c r="AK222" s="8"/>
      <c r="AL222" s="8"/>
      <c r="AM222" s="8" t="s">
        <v>1210</v>
      </c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1307</v>
      </c>
      <c r="C223" s="51"/>
      <c r="D223" s="51" t="s">
        <v>1308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28</v>
      </c>
      <c r="M223" s="17">
        <f t="shared" si="17"/>
        <v>2</v>
      </c>
      <c r="N223" s="18">
        <f t="shared" si="18"/>
        <v>0.93333333333333335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1210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1210</v>
      </c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1309</v>
      </c>
      <c r="C224" s="51" t="s">
        <v>1399</v>
      </c>
      <c r="D224" s="51" t="s">
        <v>1310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1210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1311</v>
      </c>
      <c r="C225" s="51" t="s">
        <v>1399</v>
      </c>
      <c r="D225" s="51" t="s">
        <v>1312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29</v>
      </c>
      <c r="M225" s="17">
        <f t="shared" si="17"/>
        <v>1</v>
      </c>
      <c r="N225" s="18">
        <f t="shared" si="18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 t="s">
        <v>1210</v>
      </c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1313</v>
      </c>
      <c r="C226" s="51" t="s">
        <v>1399</v>
      </c>
      <c r="D226" s="51" t="s">
        <v>1314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1399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1315</v>
      </c>
      <c r="C228" s="51" t="s">
        <v>1399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1399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1399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1210</v>
      </c>
      <c r="V230" s="8" t="s">
        <v>1210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1399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1210</v>
      </c>
      <c r="P231" s="8" t="s">
        <v>1210</v>
      </c>
      <c r="Q231" s="8" t="s">
        <v>1210</v>
      </c>
      <c r="R231" s="8" t="s">
        <v>1210</v>
      </c>
      <c r="S231" s="27" t="s">
        <v>1210</v>
      </c>
      <c r="T231" s="27"/>
      <c r="U231" s="8" t="s">
        <v>1210</v>
      </c>
      <c r="V231" s="8" t="s">
        <v>1210</v>
      </c>
      <c r="W231" s="8" t="s">
        <v>1210</v>
      </c>
      <c r="X231" s="27" t="s">
        <v>1210</v>
      </c>
      <c r="Y231" s="27" t="s">
        <v>1210</v>
      </c>
      <c r="Z231" s="27" t="s">
        <v>1210</v>
      </c>
      <c r="AA231" s="27" t="s">
        <v>1210</v>
      </c>
      <c r="AB231" s="27" t="s">
        <v>1210</v>
      </c>
      <c r="AC231" s="27" t="s">
        <v>1210</v>
      </c>
      <c r="AD231" s="27" t="s">
        <v>1210</v>
      </c>
      <c r="AE231" s="27" t="s">
        <v>1210</v>
      </c>
      <c r="AF231" s="27" t="s">
        <v>1210</v>
      </c>
      <c r="AG231" s="27" t="s">
        <v>1210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1399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1210</v>
      </c>
      <c r="P232" s="8" t="s">
        <v>1210</v>
      </c>
      <c r="Q232" s="8" t="s">
        <v>1210</v>
      </c>
      <c r="R232" s="8" t="s">
        <v>1210</v>
      </c>
      <c r="S232" s="27" t="s">
        <v>1210</v>
      </c>
      <c r="T232" s="27"/>
      <c r="U232" s="8" t="s">
        <v>1210</v>
      </c>
      <c r="V232" s="8" t="s">
        <v>1210</v>
      </c>
      <c r="W232" s="8" t="s">
        <v>1210</v>
      </c>
      <c r="X232" s="27" t="s">
        <v>1210</v>
      </c>
      <c r="Y232" s="27" t="s">
        <v>1210</v>
      </c>
      <c r="Z232" s="27" t="s">
        <v>1210</v>
      </c>
      <c r="AA232" s="27" t="s">
        <v>1210</v>
      </c>
      <c r="AB232" s="27" t="s">
        <v>1210</v>
      </c>
      <c r="AC232" s="27" t="s">
        <v>1210</v>
      </c>
      <c r="AD232" s="27" t="s">
        <v>1210</v>
      </c>
      <c r="AE232" s="27" t="s">
        <v>1210</v>
      </c>
      <c r="AF232" s="27" t="s">
        <v>1210</v>
      </c>
      <c r="AG232" s="27" t="s">
        <v>1210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1316</v>
      </c>
      <c r="C233" s="51" t="s">
        <v>1399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1317</v>
      </c>
      <c r="C234" s="51" t="s">
        <v>1399</v>
      </c>
      <c r="D234" s="51" t="s">
        <v>1318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1197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1319</v>
      </c>
      <c r="C235" s="51" t="s">
        <v>1399</v>
      </c>
      <c r="D235" s="51" t="s">
        <v>1320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1198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1321</v>
      </c>
      <c r="C236" s="51" t="s">
        <v>1399</v>
      </c>
      <c r="D236" s="51" t="s">
        <v>1322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1199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1323</v>
      </c>
      <c r="C237" s="51" t="s">
        <v>1399</v>
      </c>
      <c r="D237" s="51" t="s">
        <v>1324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1200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1325</v>
      </c>
      <c r="C238" s="51" t="s">
        <v>1399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1326</v>
      </c>
      <c r="C239" s="51" t="s">
        <v>1399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1210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1399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1210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1399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1327</v>
      </c>
      <c r="C242" s="51" t="s">
        <v>1399</v>
      </c>
      <c r="D242" s="51" t="s">
        <v>1328</v>
      </c>
      <c r="E242" s="51" t="s">
        <v>1391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1399</v>
      </c>
      <c r="D243" s="51" t="s">
        <v>1328</v>
      </c>
      <c r="E243" s="51" t="s">
        <v>1392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1329</v>
      </c>
      <c r="C244" s="51" t="s">
        <v>1398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1330</v>
      </c>
      <c r="C245" s="51" t="s">
        <v>1398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1210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1331</v>
      </c>
      <c r="C246" s="51"/>
      <c r="D246" s="51" t="s">
        <v>1332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1333</v>
      </c>
      <c r="C247" s="51"/>
      <c r="D247" s="51" t="s">
        <v>1334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1210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1398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1210</v>
      </c>
      <c r="X248" s="27" t="s">
        <v>1210</v>
      </c>
      <c r="Y248" s="27" t="s">
        <v>1210</v>
      </c>
      <c r="Z248" s="27" t="s">
        <v>1210</v>
      </c>
      <c r="AA248" s="27" t="s">
        <v>1210</v>
      </c>
      <c r="AB248" s="27" t="s">
        <v>1210</v>
      </c>
      <c r="AC248" s="27" t="s">
        <v>1210</v>
      </c>
      <c r="AD248" s="27" t="s">
        <v>1210</v>
      </c>
      <c r="AE248" s="27" t="s">
        <v>1210</v>
      </c>
      <c r="AF248" s="27" t="s">
        <v>1210</v>
      </c>
      <c r="AG248" s="27" t="s">
        <v>1210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1398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1398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1210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1398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1335</v>
      </c>
      <c r="C252" s="51" t="s">
        <v>1398</v>
      </c>
      <c r="D252" s="51" t="s">
        <v>543</v>
      </c>
      <c r="E252" s="51" t="s">
        <v>24</v>
      </c>
      <c r="F252" s="51" t="s">
        <v>1389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1398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1398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22</v>
      </c>
      <c r="M254" s="17">
        <f t="shared" si="17"/>
        <v>8</v>
      </c>
      <c r="N254" s="18">
        <f t="shared" si="18"/>
        <v>0.73333333333333328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 t="s">
        <v>1210</v>
      </c>
      <c r="AI254" s="27" t="s">
        <v>1210</v>
      </c>
      <c r="AJ254" s="27" t="s">
        <v>1210</v>
      </c>
      <c r="AK254" s="8" t="s">
        <v>1210</v>
      </c>
      <c r="AL254" s="8" t="s">
        <v>1210</v>
      </c>
      <c r="AM254" s="8" t="s">
        <v>1210</v>
      </c>
      <c r="AN254" s="27" t="s">
        <v>1210</v>
      </c>
      <c r="AO254" s="8" t="s">
        <v>1210</v>
      </c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1398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22</v>
      </c>
      <c r="M255" s="17">
        <f t="shared" si="17"/>
        <v>8</v>
      </c>
      <c r="N255" s="18">
        <f t="shared" si="18"/>
        <v>0.73333333333333328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 t="s">
        <v>1210</v>
      </c>
      <c r="AI255" s="27" t="s">
        <v>1210</v>
      </c>
      <c r="AJ255" s="27" t="s">
        <v>1210</v>
      </c>
      <c r="AK255" s="8" t="s">
        <v>1210</v>
      </c>
      <c r="AL255" s="8" t="s">
        <v>1210</v>
      </c>
      <c r="AM255" s="8" t="s">
        <v>1210</v>
      </c>
      <c r="AN255" s="27" t="s">
        <v>1210</v>
      </c>
      <c r="AO255" s="8" t="s">
        <v>1210</v>
      </c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1398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1398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1398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1193</v>
      </c>
      <c r="C261" s="51" t="s">
        <v>1398</v>
      </c>
      <c r="D261" s="51" t="s">
        <v>1194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1201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1195</v>
      </c>
      <c r="C262" s="51" t="s">
        <v>1398</v>
      </c>
      <c r="D262" s="51" t="s">
        <v>1196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1202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1336</v>
      </c>
      <c r="C263" s="51"/>
      <c r="D263" s="51" t="s">
        <v>1337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1398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1398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1398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1398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1398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1398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1398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1399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27</v>
      </c>
      <c r="M272" s="17">
        <f t="shared" si="21"/>
        <v>3</v>
      </c>
      <c r="N272" s="18">
        <f t="shared" si="22"/>
        <v>0.9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 t="s">
        <v>1210</v>
      </c>
      <c r="AI272" s="27" t="s">
        <v>1210</v>
      </c>
      <c r="AJ272" s="27" t="s">
        <v>1210</v>
      </c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1338</v>
      </c>
      <c r="C273" s="51"/>
      <c r="D273" s="51" t="s">
        <v>1339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1340</v>
      </c>
      <c r="C274" s="51"/>
      <c r="D274" s="51" t="s">
        <v>1339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28</v>
      </c>
      <c r="M275" s="17">
        <f t="shared" si="21"/>
        <v>2</v>
      </c>
      <c r="N275" s="18">
        <f t="shared" si="22"/>
        <v>0.93333333333333335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 t="s">
        <v>1210</v>
      </c>
      <c r="AM275" s="8"/>
      <c r="AN275" s="27" t="s">
        <v>1210</v>
      </c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29</v>
      </c>
      <c r="M277" s="17">
        <f t="shared" si="21"/>
        <v>1</v>
      </c>
      <c r="N277" s="18">
        <f t="shared" si="22"/>
        <v>0.96666666666666667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 t="s">
        <v>1210</v>
      </c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29</v>
      </c>
      <c r="M278" s="17">
        <f t="shared" si="21"/>
        <v>1</v>
      </c>
      <c r="N278" s="18">
        <f t="shared" si="22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 t="s">
        <v>1210</v>
      </c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28</v>
      </c>
      <c r="M279" s="17">
        <f t="shared" si="21"/>
        <v>2</v>
      </c>
      <c r="N279" s="18">
        <f t="shared" si="22"/>
        <v>0.93333333333333335</v>
      </c>
      <c r="O279" s="27"/>
      <c r="P279" s="8"/>
      <c r="Q279" s="8" t="s">
        <v>1210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1210</v>
      </c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29</v>
      </c>
      <c r="M280" s="17">
        <f t="shared" si="21"/>
        <v>1</v>
      </c>
      <c r="N280" s="18">
        <f t="shared" si="22"/>
        <v>0.96666666666666667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 t="s">
        <v>1210</v>
      </c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24</v>
      </c>
      <c r="M281" s="17">
        <f t="shared" si="21"/>
        <v>6</v>
      </c>
      <c r="N281" s="18">
        <f t="shared" si="22"/>
        <v>0.8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1210</v>
      </c>
      <c r="AJ281" s="27" t="s">
        <v>1210</v>
      </c>
      <c r="AK281" s="8" t="s">
        <v>1210</v>
      </c>
      <c r="AL281" s="8" t="s">
        <v>1210</v>
      </c>
      <c r="AM281" s="8" t="s">
        <v>1210</v>
      </c>
      <c r="AN281" s="27"/>
      <c r="AO281" s="8" t="s">
        <v>1210</v>
      </c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1399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1399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1210</v>
      </c>
      <c r="P283" s="8" t="s">
        <v>1210</v>
      </c>
      <c r="Q283" s="8" t="s">
        <v>1210</v>
      </c>
      <c r="R283" s="8" t="s">
        <v>1210</v>
      </c>
      <c r="S283" s="27" t="s">
        <v>1210</v>
      </c>
      <c r="T283" s="27"/>
      <c r="U283" s="8" t="s">
        <v>1210</v>
      </c>
      <c r="V283" s="8" t="s">
        <v>1210</v>
      </c>
      <c r="W283" s="8" t="s">
        <v>1210</v>
      </c>
      <c r="X283" s="27" t="s">
        <v>1210</v>
      </c>
      <c r="Y283" s="27" t="s">
        <v>1210</v>
      </c>
      <c r="Z283" s="27" t="s">
        <v>1210</v>
      </c>
      <c r="AA283" s="27" t="s">
        <v>1210</v>
      </c>
      <c r="AB283" s="27" t="s">
        <v>1210</v>
      </c>
      <c r="AC283" s="27" t="s">
        <v>1210</v>
      </c>
      <c r="AD283" s="27" t="s">
        <v>1210</v>
      </c>
      <c r="AE283" s="27" t="s">
        <v>1210</v>
      </c>
      <c r="AF283" s="27" t="s">
        <v>1210</v>
      </c>
      <c r="AG283" s="27" t="s">
        <v>1210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1399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1399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1399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1210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1399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1210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1390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1341</v>
      </c>
      <c r="C289" s="51" t="s">
        <v>1398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25</v>
      </c>
      <c r="M289" s="17">
        <f t="shared" si="21"/>
        <v>5</v>
      </c>
      <c r="N289" s="18">
        <f t="shared" si="22"/>
        <v>0.83333333333333337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 t="s">
        <v>1210</v>
      </c>
      <c r="AL289" s="8" t="s">
        <v>1210</v>
      </c>
      <c r="AM289" s="8" t="s">
        <v>1210</v>
      </c>
      <c r="AN289" s="27" t="s">
        <v>1210</v>
      </c>
      <c r="AO289" s="8" t="s">
        <v>1210</v>
      </c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1342</v>
      </c>
      <c r="C290" s="51" t="s">
        <v>1398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25</v>
      </c>
      <c r="M290" s="17">
        <f t="shared" si="21"/>
        <v>5</v>
      </c>
      <c r="N290" s="18">
        <f t="shared" si="22"/>
        <v>0.83333333333333337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 t="s">
        <v>1210</v>
      </c>
      <c r="AL290" s="8" t="s">
        <v>1210</v>
      </c>
      <c r="AM290" s="8" t="s">
        <v>1210</v>
      </c>
      <c r="AN290" s="27" t="s">
        <v>1210</v>
      </c>
      <c r="AO290" s="8" t="s">
        <v>1210</v>
      </c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1398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25</v>
      </c>
      <c r="M291" s="17">
        <f t="shared" si="21"/>
        <v>5</v>
      </c>
      <c r="N291" s="18">
        <f t="shared" si="22"/>
        <v>0.83333333333333337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 t="s">
        <v>1210</v>
      </c>
      <c r="AL291" s="8" t="s">
        <v>1210</v>
      </c>
      <c r="AM291" s="8" t="s">
        <v>1210</v>
      </c>
      <c r="AN291" s="27" t="s">
        <v>1210</v>
      </c>
      <c r="AO291" s="8" t="s">
        <v>1210</v>
      </c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1398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25</v>
      </c>
      <c r="M292" s="17">
        <f t="shared" si="21"/>
        <v>5</v>
      </c>
      <c r="N292" s="18">
        <f t="shared" si="22"/>
        <v>0.83333333333333337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 t="s">
        <v>1210</v>
      </c>
      <c r="AL292" s="8" t="s">
        <v>1210</v>
      </c>
      <c r="AM292" s="8" t="s">
        <v>1210</v>
      </c>
      <c r="AN292" s="27" t="s">
        <v>1210</v>
      </c>
      <c r="AO292" s="8" t="s">
        <v>1210</v>
      </c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1343</v>
      </c>
      <c r="C293" s="51" t="s">
        <v>1399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1399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1344</v>
      </c>
      <c r="C295" s="51" t="s">
        <v>1399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29</v>
      </c>
      <c r="M295" s="17">
        <f t="shared" si="21"/>
        <v>1</v>
      </c>
      <c r="N295" s="18">
        <f t="shared" si="22"/>
        <v>0.96666666666666667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 t="s">
        <v>1210</v>
      </c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1345</v>
      </c>
      <c r="C296" s="51" t="s">
        <v>1399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1346</v>
      </c>
      <c r="C297" s="51" t="s">
        <v>1399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1347</v>
      </c>
      <c r="C298" s="51" t="s">
        <v>1399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29</v>
      </c>
      <c r="M298" s="17">
        <f t="shared" si="21"/>
        <v>1</v>
      </c>
      <c r="N298" s="18">
        <f t="shared" si="22"/>
        <v>0.96666666666666667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 t="s">
        <v>1210</v>
      </c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1348</v>
      </c>
      <c r="C299" s="51" t="s">
        <v>1399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12</v>
      </c>
      <c r="M299" s="17">
        <f t="shared" si="21"/>
        <v>18</v>
      </c>
      <c r="N299" s="18">
        <f t="shared" si="22"/>
        <v>0.4</v>
      </c>
      <c r="O299" s="27"/>
      <c r="P299" s="8" t="s">
        <v>1210</v>
      </c>
      <c r="Q299" s="8" t="s">
        <v>1210</v>
      </c>
      <c r="R299" s="8" t="s">
        <v>1210</v>
      </c>
      <c r="S299" s="27" t="s">
        <v>1210</v>
      </c>
      <c r="T299" s="27"/>
      <c r="U299" s="8" t="s">
        <v>1210</v>
      </c>
      <c r="V299" s="8" t="s">
        <v>1210</v>
      </c>
      <c r="W299" s="8" t="s">
        <v>1210</v>
      </c>
      <c r="X299" s="27" t="s">
        <v>1210</v>
      </c>
      <c r="Y299" s="27" t="s">
        <v>1210</v>
      </c>
      <c r="Z299" s="27" t="s">
        <v>1210</v>
      </c>
      <c r="AA299" s="27" t="s">
        <v>1210</v>
      </c>
      <c r="AB299" s="27" t="s">
        <v>1210</v>
      </c>
      <c r="AC299" s="27" t="s">
        <v>1210</v>
      </c>
      <c r="AD299" s="27" t="s">
        <v>1210</v>
      </c>
      <c r="AE299" s="27" t="s">
        <v>1210</v>
      </c>
      <c r="AF299" s="27" t="s">
        <v>1210</v>
      </c>
      <c r="AG299" s="27" t="s">
        <v>1210</v>
      </c>
      <c r="AH299" s="27"/>
      <c r="AI299" s="27"/>
      <c r="AJ299" s="27"/>
      <c r="AK299" s="8"/>
      <c r="AL299" s="8"/>
      <c r="AM299" s="8"/>
      <c r="AN299" s="27"/>
      <c r="AO299" s="8" t="s">
        <v>1210</v>
      </c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1399</v>
      </c>
      <c r="D300" s="51" t="s">
        <v>1349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1210</v>
      </c>
      <c r="Q300" s="8" t="s">
        <v>1210</v>
      </c>
      <c r="R300" s="8" t="s">
        <v>1210</v>
      </c>
      <c r="S300" s="27" t="s">
        <v>1210</v>
      </c>
      <c r="T300" s="27"/>
      <c r="U300" s="8" t="s">
        <v>1210</v>
      </c>
      <c r="V300" s="8" t="s">
        <v>1210</v>
      </c>
      <c r="W300" s="8" t="s">
        <v>1210</v>
      </c>
      <c r="X300" s="27" t="s">
        <v>1210</v>
      </c>
      <c r="Y300" s="27" t="s">
        <v>1210</v>
      </c>
      <c r="Z300" s="27" t="s">
        <v>1210</v>
      </c>
      <c r="AA300" s="27" t="s">
        <v>1210</v>
      </c>
      <c r="AB300" s="27" t="s">
        <v>1210</v>
      </c>
      <c r="AC300" s="27" t="s">
        <v>1210</v>
      </c>
      <c r="AD300" s="27" t="s">
        <v>1210</v>
      </c>
      <c r="AE300" s="27" t="s">
        <v>1210</v>
      </c>
      <c r="AF300" s="27" t="s">
        <v>1210</v>
      </c>
      <c r="AG300" s="27" t="s">
        <v>1210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1399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1210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1399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/>
      <c r="P302" s="8"/>
      <c r="Q302" s="8"/>
      <c r="R302" s="8" t="s">
        <v>1210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1210</v>
      </c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1350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21</v>
      </c>
      <c r="M303" s="17">
        <f t="shared" si="21"/>
        <v>9</v>
      </c>
      <c r="N303" s="18">
        <f t="shared" si="22"/>
        <v>0.7</v>
      </c>
      <c r="O303" s="27" t="s">
        <v>1210</v>
      </c>
      <c r="P303" s="8" t="s">
        <v>1210</v>
      </c>
      <c r="Q303" s="8" t="s">
        <v>1210</v>
      </c>
      <c r="R303" s="8" t="s">
        <v>1210</v>
      </c>
      <c r="S303" s="27" t="s">
        <v>1210</v>
      </c>
      <c r="T303" s="27"/>
      <c r="U303" s="8" t="s">
        <v>1210</v>
      </c>
      <c r="V303" s="8"/>
      <c r="W303" s="8" t="s">
        <v>1210</v>
      </c>
      <c r="X303" s="27"/>
      <c r="Y303" s="27"/>
      <c r="Z303" s="27"/>
      <c r="AA303" s="27" t="s">
        <v>1210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 t="s">
        <v>1210</v>
      </c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1351</v>
      </c>
      <c r="C304" s="51" t="s">
        <v>1399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1210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1352</v>
      </c>
      <c r="C305" s="51" t="s">
        <v>1399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1210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1353</v>
      </c>
      <c r="C306" s="51" t="s">
        <v>1399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1210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1354</v>
      </c>
      <c r="C307" s="51" t="s">
        <v>1399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1210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1399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1210</v>
      </c>
      <c r="P308" s="8" t="s">
        <v>1210</v>
      </c>
      <c r="Q308" s="8" t="s">
        <v>1210</v>
      </c>
      <c r="R308" s="8" t="s">
        <v>1210</v>
      </c>
      <c r="S308" s="27" t="s">
        <v>1210</v>
      </c>
      <c r="T308" s="27"/>
      <c r="U308" s="8" t="s">
        <v>1210</v>
      </c>
      <c r="V308" s="8" t="s">
        <v>1210</v>
      </c>
      <c r="W308" s="8" t="s">
        <v>1210</v>
      </c>
      <c r="X308" s="27"/>
      <c r="Y308" s="27" t="s">
        <v>1210</v>
      </c>
      <c r="Z308" s="27" t="s">
        <v>1210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1399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1210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1355</v>
      </c>
      <c r="C310" s="51" t="s">
        <v>1399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1356</v>
      </c>
      <c r="C311" s="51" t="s">
        <v>1399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1399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1357</v>
      </c>
      <c r="C314" s="51" t="s">
        <v>1398</v>
      </c>
      <c r="D314" s="51" t="s">
        <v>674</v>
      </c>
      <c r="E314" s="51" t="s">
        <v>24</v>
      </c>
      <c r="F314" s="51" t="s">
        <v>1390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1398</v>
      </c>
      <c r="D315" s="51" t="s">
        <v>654</v>
      </c>
      <c r="E315" s="51" t="s">
        <v>24</v>
      </c>
      <c r="F315" s="51" t="s">
        <v>1390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1390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1399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1358</v>
      </c>
      <c r="C325" s="51"/>
      <c r="D325" s="51" t="s">
        <v>688</v>
      </c>
      <c r="E325" s="51" t="s">
        <v>102</v>
      </c>
      <c r="F325" s="51" t="s">
        <v>1389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1359</v>
      </c>
      <c r="C326" s="51"/>
      <c r="D326" s="51" t="s">
        <v>688</v>
      </c>
      <c r="E326" s="51" t="s">
        <v>102</v>
      </c>
      <c r="F326" s="51" t="s">
        <v>1389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22</v>
      </c>
      <c r="M327" s="17">
        <f t="shared" ref="M327:M372" si="24">COUNTIF(O327:AP327,"APAGADO")</f>
        <v>8</v>
      </c>
      <c r="N327" s="18">
        <f t="shared" ref="N327:N372" si="25">(L327)/(M327+L327)</f>
        <v>0.73333333333333328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 t="s">
        <v>1210</v>
      </c>
      <c r="AI327" s="27" t="s">
        <v>1210</v>
      </c>
      <c r="AJ327" s="27" t="s">
        <v>1210</v>
      </c>
      <c r="AK327" s="8" t="s">
        <v>1210</v>
      </c>
      <c r="AL327" s="8" t="s">
        <v>1210</v>
      </c>
      <c r="AM327" s="8" t="s">
        <v>1210</v>
      </c>
      <c r="AN327" s="27" t="s">
        <v>1210</v>
      </c>
      <c r="AO327" s="8" t="s">
        <v>1210</v>
      </c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1399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22</v>
      </c>
      <c r="M328" s="17">
        <f t="shared" si="24"/>
        <v>8</v>
      </c>
      <c r="N328" s="18">
        <f t="shared" si="25"/>
        <v>0.73333333333333328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 t="s">
        <v>1210</v>
      </c>
      <c r="AI328" s="27" t="s">
        <v>1210</v>
      </c>
      <c r="AJ328" s="27" t="s">
        <v>1210</v>
      </c>
      <c r="AK328" s="8" t="s">
        <v>1210</v>
      </c>
      <c r="AL328" s="8" t="s">
        <v>1210</v>
      </c>
      <c r="AM328" s="8" t="s">
        <v>1210</v>
      </c>
      <c r="AN328" s="27" t="s">
        <v>1210</v>
      </c>
      <c r="AO328" s="8" t="s">
        <v>1210</v>
      </c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1399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1389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1389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1210</v>
      </c>
      <c r="AA333" s="27" t="s">
        <v>1210</v>
      </c>
      <c r="AB333" s="27" t="s">
        <v>1210</v>
      </c>
      <c r="AC333" s="27" t="s">
        <v>1210</v>
      </c>
      <c r="AD333" s="27" t="s">
        <v>1210</v>
      </c>
      <c r="AE333" s="27" t="s">
        <v>1210</v>
      </c>
      <c r="AF333" s="27" t="s">
        <v>1210</v>
      </c>
      <c r="AG333" s="27" t="s">
        <v>1210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1360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1361</v>
      </c>
      <c r="C335" s="51"/>
      <c r="D335" s="51" t="s">
        <v>735</v>
      </c>
      <c r="E335" s="51" t="s">
        <v>19</v>
      </c>
      <c r="F335" s="51" t="s">
        <v>1389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1210</v>
      </c>
      <c r="P335" s="8" t="s">
        <v>1210</v>
      </c>
      <c r="Q335" s="8" t="s">
        <v>1210</v>
      </c>
      <c r="R335" s="8" t="s">
        <v>1210</v>
      </c>
      <c r="S335" s="27" t="s">
        <v>1210</v>
      </c>
      <c r="T335" s="27"/>
      <c r="U335" s="8" t="s">
        <v>1210</v>
      </c>
      <c r="V335" s="8" t="s">
        <v>1210</v>
      </c>
      <c r="W335" s="8" t="s">
        <v>1210</v>
      </c>
      <c r="X335" s="27" t="s">
        <v>1210</v>
      </c>
      <c r="Y335" s="27" t="s">
        <v>1210</v>
      </c>
      <c r="Z335" s="27" t="s">
        <v>1210</v>
      </c>
      <c r="AA335" s="27" t="s">
        <v>1210</v>
      </c>
      <c r="AB335" s="27" t="s">
        <v>1210</v>
      </c>
      <c r="AC335" s="27" t="s">
        <v>1210</v>
      </c>
      <c r="AD335" s="27" t="s">
        <v>1210</v>
      </c>
      <c r="AE335" s="27" t="s">
        <v>1210</v>
      </c>
      <c r="AF335" s="27" t="s">
        <v>1210</v>
      </c>
      <c r="AG335" s="27" t="s">
        <v>1210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1390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1210</v>
      </c>
      <c r="P336" s="8" t="s">
        <v>1210</v>
      </c>
      <c r="Q336" s="8" t="s">
        <v>1210</v>
      </c>
      <c r="R336" s="8" t="s">
        <v>1210</v>
      </c>
      <c r="S336" s="27" t="s">
        <v>1210</v>
      </c>
      <c r="T336" s="27"/>
      <c r="U336" s="8" t="s">
        <v>1210</v>
      </c>
      <c r="V336" s="8" t="s">
        <v>1210</v>
      </c>
      <c r="W336" s="8" t="s">
        <v>1210</v>
      </c>
      <c r="X336" s="27" t="s">
        <v>1210</v>
      </c>
      <c r="Y336" s="27" t="s">
        <v>1210</v>
      </c>
      <c r="Z336" s="27" t="s">
        <v>1210</v>
      </c>
      <c r="AA336" s="27" t="s">
        <v>1210</v>
      </c>
      <c r="AB336" s="27" t="s">
        <v>1210</v>
      </c>
      <c r="AC336" s="27" t="s">
        <v>1210</v>
      </c>
      <c r="AD336" s="27" t="s">
        <v>1210</v>
      </c>
      <c r="AE336" s="27" t="s">
        <v>1210</v>
      </c>
      <c r="AF336" s="27" t="s">
        <v>1210</v>
      </c>
      <c r="AG336" s="27" t="s">
        <v>1210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1399</v>
      </c>
      <c r="D337" s="51" t="s">
        <v>705</v>
      </c>
      <c r="E337" s="51" t="s">
        <v>19</v>
      </c>
      <c r="F337" s="51" t="s">
        <v>1390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1210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1362</v>
      </c>
      <c r="E338" s="51" t="s">
        <v>19</v>
      </c>
      <c r="F338" s="51" t="s">
        <v>1390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1210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1399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1363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1364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1365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1399</v>
      </c>
      <c r="D343" s="51" t="s">
        <v>1366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1210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1210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1367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1210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1398</v>
      </c>
      <c r="D348" s="51" t="s">
        <v>1368</v>
      </c>
      <c r="E348" s="51" t="s">
        <v>1393</v>
      </c>
      <c r="F348" s="51" t="s">
        <v>1390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1210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1389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1369</v>
      </c>
      <c r="C352" s="51"/>
      <c r="D352" s="51" t="s">
        <v>695</v>
      </c>
      <c r="E352" s="51" t="s">
        <v>19</v>
      </c>
      <c r="F352" s="51" t="s">
        <v>1390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11</v>
      </c>
      <c r="M352" s="17">
        <f t="shared" si="24"/>
        <v>19</v>
      </c>
      <c r="N352" s="18">
        <f t="shared" si="25"/>
        <v>0.36666666666666664</v>
      </c>
      <c r="O352" s="27" t="s">
        <v>1210</v>
      </c>
      <c r="P352" s="8" t="s">
        <v>1210</v>
      </c>
      <c r="Q352" s="8" t="s">
        <v>1210</v>
      </c>
      <c r="R352" s="8" t="s">
        <v>1210</v>
      </c>
      <c r="S352" s="27" t="s">
        <v>1210</v>
      </c>
      <c r="T352" s="27"/>
      <c r="U352" s="8" t="s">
        <v>1210</v>
      </c>
      <c r="V352" s="8" t="s">
        <v>1210</v>
      </c>
      <c r="W352" s="8" t="s">
        <v>1210</v>
      </c>
      <c r="X352" s="27" t="s">
        <v>1210</v>
      </c>
      <c r="Y352" s="27" t="s">
        <v>1210</v>
      </c>
      <c r="Z352" s="27" t="s">
        <v>1210</v>
      </c>
      <c r="AA352" s="27" t="s">
        <v>1210</v>
      </c>
      <c r="AB352" s="27" t="s">
        <v>1210</v>
      </c>
      <c r="AC352" s="27" t="s">
        <v>1210</v>
      </c>
      <c r="AD352" s="27" t="s">
        <v>1210</v>
      </c>
      <c r="AE352" s="27" t="s">
        <v>1210</v>
      </c>
      <c r="AF352" s="27" t="s">
        <v>1210</v>
      </c>
      <c r="AG352" s="27" t="s">
        <v>1210</v>
      </c>
      <c r="AH352" s="27"/>
      <c r="AI352" s="27"/>
      <c r="AJ352" s="27"/>
      <c r="AK352" s="8"/>
      <c r="AL352" s="8"/>
      <c r="AM352" s="8"/>
      <c r="AN352" s="27"/>
      <c r="AO352" s="8" t="s">
        <v>1210</v>
      </c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1370</v>
      </c>
      <c r="C353" s="51"/>
      <c r="D353" s="51" t="s">
        <v>698</v>
      </c>
      <c r="E353" s="51" t="s">
        <v>24</v>
      </c>
      <c r="F353" s="51" t="s">
        <v>1390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1371</v>
      </c>
      <c r="C354" s="51"/>
      <c r="D354" s="51" t="s">
        <v>708</v>
      </c>
      <c r="E354" s="51" t="s">
        <v>19</v>
      </c>
      <c r="F354" s="51" t="s">
        <v>1390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1372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1398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1398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1373</v>
      </c>
      <c r="C358" s="51" t="s">
        <v>1398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1374</v>
      </c>
      <c r="C359" s="51" t="s">
        <v>1398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1210</v>
      </c>
      <c r="P359" s="8" t="s">
        <v>1210</v>
      </c>
      <c r="Q359" s="8" t="s">
        <v>1210</v>
      </c>
      <c r="R359" s="8" t="s">
        <v>1210</v>
      </c>
      <c r="S359" s="27" t="s">
        <v>1210</v>
      </c>
      <c r="T359" s="27"/>
      <c r="U359" s="8" t="s">
        <v>1210</v>
      </c>
      <c r="V359" s="8" t="s">
        <v>1210</v>
      </c>
      <c r="W359" s="8" t="s">
        <v>1210</v>
      </c>
      <c r="X359" s="27" t="s">
        <v>1210</v>
      </c>
      <c r="Y359" s="27" t="s">
        <v>1210</v>
      </c>
      <c r="Z359" s="27" t="s">
        <v>1210</v>
      </c>
      <c r="AA359" s="27" t="s">
        <v>1210</v>
      </c>
      <c r="AB359" s="27" t="s">
        <v>1210</v>
      </c>
      <c r="AC359" s="27" t="s">
        <v>1210</v>
      </c>
      <c r="AD359" s="27" t="s">
        <v>1210</v>
      </c>
      <c r="AE359" s="27" t="s">
        <v>1210</v>
      </c>
      <c r="AF359" s="27" t="s">
        <v>1210</v>
      </c>
      <c r="AG359" s="27" t="s">
        <v>1210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1398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1210</v>
      </c>
      <c r="P360" s="8" t="s">
        <v>1210</v>
      </c>
      <c r="Q360" s="8" t="s">
        <v>1210</v>
      </c>
      <c r="R360" s="8" t="s">
        <v>1210</v>
      </c>
      <c r="S360" s="27" t="s">
        <v>1210</v>
      </c>
      <c r="T360" s="27"/>
      <c r="U360" s="8" t="s">
        <v>1210</v>
      </c>
      <c r="V360" s="8" t="s">
        <v>1210</v>
      </c>
      <c r="W360" s="8" t="s">
        <v>1210</v>
      </c>
      <c r="X360" s="27" t="s">
        <v>1210</v>
      </c>
      <c r="Y360" s="27" t="s">
        <v>1210</v>
      </c>
      <c r="Z360" s="27" t="s">
        <v>1210</v>
      </c>
      <c r="AA360" s="27" t="s">
        <v>1210</v>
      </c>
      <c r="AB360" s="27" t="s">
        <v>1210</v>
      </c>
      <c r="AC360" s="27" t="s">
        <v>1210</v>
      </c>
      <c r="AD360" s="27" t="s">
        <v>1210</v>
      </c>
      <c r="AE360" s="27" t="s">
        <v>1210</v>
      </c>
      <c r="AF360" s="27" t="s">
        <v>1210</v>
      </c>
      <c r="AG360" s="27" t="s">
        <v>1210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4</v>
      </c>
      <c r="M361" s="17">
        <f t="shared" si="24"/>
        <v>26</v>
      </c>
      <c r="N361" s="18">
        <f t="shared" si="25"/>
        <v>0.13333333333333333</v>
      </c>
      <c r="O361" s="27" t="s">
        <v>1210</v>
      </c>
      <c r="P361" s="8" t="s">
        <v>1210</v>
      </c>
      <c r="Q361" s="8" t="s">
        <v>1210</v>
      </c>
      <c r="R361" s="8" t="s">
        <v>1210</v>
      </c>
      <c r="S361" s="27" t="s">
        <v>1210</v>
      </c>
      <c r="T361" s="27"/>
      <c r="U361" s="8" t="s">
        <v>1210</v>
      </c>
      <c r="V361" s="8" t="s">
        <v>1210</v>
      </c>
      <c r="W361" s="8" t="s">
        <v>1210</v>
      </c>
      <c r="X361" s="27" t="s">
        <v>1210</v>
      </c>
      <c r="Y361" s="27" t="s">
        <v>1210</v>
      </c>
      <c r="Z361" s="27" t="s">
        <v>1210</v>
      </c>
      <c r="AA361" s="27" t="s">
        <v>1210</v>
      </c>
      <c r="AB361" s="27" t="s">
        <v>1210</v>
      </c>
      <c r="AC361" s="27" t="s">
        <v>1210</v>
      </c>
      <c r="AD361" s="27" t="s">
        <v>1210</v>
      </c>
      <c r="AE361" s="27" t="s">
        <v>1210</v>
      </c>
      <c r="AF361" s="27" t="s">
        <v>1210</v>
      </c>
      <c r="AG361" s="27" t="s">
        <v>1210</v>
      </c>
      <c r="AH361" s="27" t="s">
        <v>1210</v>
      </c>
      <c r="AI361" s="27" t="s">
        <v>1210</v>
      </c>
      <c r="AJ361" s="27" t="s">
        <v>1210</v>
      </c>
      <c r="AK361" s="8" t="s">
        <v>1210</v>
      </c>
      <c r="AL361" s="8" t="s">
        <v>1210</v>
      </c>
      <c r="AM361" s="8" t="s">
        <v>1210</v>
      </c>
      <c r="AN361" s="27" t="s">
        <v>1210</v>
      </c>
      <c r="AO361" s="8" t="s">
        <v>1210</v>
      </c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1398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4</v>
      </c>
      <c r="M362" s="17">
        <f t="shared" si="24"/>
        <v>26</v>
      </c>
      <c r="N362" s="18">
        <f t="shared" si="25"/>
        <v>0.13333333333333333</v>
      </c>
      <c r="O362" s="27" t="s">
        <v>1210</v>
      </c>
      <c r="P362" s="8" t="s">
        <v>1210</v>
      </c>
      <c r="Q362" s="8" t="s">
        <v>1210</v>
      </c>
      <c r="R362" s="8" t="s">
        <v>1210</v>
      </c>
      <c r="S362" s="27" t="s">
        <v>1210</v>
      </c>
      <c r="T362" s="27"/>
      <c r="U362" s="8" t="s">
        <v>1210</v>
      </c>
      <c r="V362" s="8" t="s">
        <v>1210</v>
      </c>
      <c r="W362" s="8" t="s">
        <v>1210</v>
      </c>
      <c r="X362" s="27" t="s">
        <v>1210</v>
      </c>
      <c r="Y362" s="27" t="s">
        <v>1210</v>
      </c>
      <c r="Z362" s="27" t="s">
        <v>1210</v>
      </c>
      <c r="AA362" s="27" t="s">
        <v>1210</v>
      </c>
      <c r="AB362" s="27" t="s">
        <v>1210</v>
      </c>
      <c r="AC362" s="27" t="s">
        <v>1210</v>
      </c>
      <c r="AD362" s="27" t="s">
        <v>1210</v>
      </c>
      <c r="AE362" s="27" t="s">
        <v>1210</v>
      </c>
      <c r="AF362" s="27" t="s">
        <v>1210</v>
      </c>
      <c r="AG362" s="27" t="s">
        <v>1210</v>
      </c>
      <c r="AH362" s="27" t="s">
        <v>1210</v>
      </c>
      <c r="AI362" s="27" t="s">
        <v>1210</v>
      </c>
      <c r="AJ362" s="27" t="s">
        <v>1210</v>
      </c>
      <c r="AK362" s="8" t="s">
        <v>1210</v>
      </c>
      <c r="AL362" s="8" t="s">
        <v>1210</v>
      </c>
      <c r="AM362" s="8" t="s">
        <v>1210</v>
      </c>
      <c r="AN362" s="27" t="s">
        <v>1210</v>
      </c>
      <c r="AO362" s="8" t="s">
        <v>1210</v>
      </c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1210</v>
      </c>
      <c r="P363" s="8" t="s">
        <v>1210</v>
      </c>
      <c r="Q363" s="8" t="s">
        <v>1210</v>
      </c>
      <c r="R363" s="8" t="s">
        <v>1210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1390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1399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1399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1375</v>
      </c>
      <c r="C373" s="51" t="s">
        <v>1399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1210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1376</v>
      </c>
      <c r="C374" s="51" t="s">
        <v>1399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1210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1377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1210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1378</v>
      </c>
      <c r="C376" s="51" t="s">
        <v>1399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1210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1399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1399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26</v>
      </c>
      <c r="M378" s="53">
        <f t="shared" si="26"/>
        <v>4</v>
      </c>
      <c r="N378" s="54">
        <f t="shared" si="27"/>
        <v>0.8666666666666667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1210</v>
      </c>
      <c r="AF378" s="27"/>
      <c r="AG378" s="27"/>
      <c r="AH378" s="27" t="s">
        <v>1210</v>
      </c>
      <c r="AI378" s="27" t="s">
        <v>1210</v>
      </c>
      <c r="AJ378" s="27" t="s">
        <v>1210</v>
      </c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1399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1210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1399</v>
      </c>
      <c r="D380" s="51" t="s">
        <v>1379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1210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1380</v>
      </c>
      <c r="C381" s="51" t="s">
        <v>1399</v>
      </c>
      <c r="D381" s="51" t="s">
        <v>1381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1210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1382</v>
      </c>
      <c r="C382" s="51" t="s">
        <v>1399</v>
      </c>
      <c r="D382" s="51" t="s">
        <v>1381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1210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1383</v>
      </c>
      <c r="C383" s="51" t="s">
        <v>1399</v>
      </c>
      <c r="D383" s="51" t="s">
        <v>1384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1210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1399</v>
      </c>
      <c r="D384" s="51" t="s">
        <v>1385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28</v>
      </c>
      <c r="M384" s="53">
        <f t="shared" si="29"/>
        <v>2</v>
      </c>
      <c r="N384" s="54">
        <f t="shared" si="30"/>
        <v>0.93333333333333335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1210</v>
      </c>
      <c r="AF384" s="27"/>
      <c r="AG384" s="27"/>
      <c r="AH384" s="27" t="s">
        <v>1210</v>
      </c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1386</v>
      </c>
      <c r="C385" s="51" t="s">
        <v>1399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21</v>
      </c>
      <c r="M385" s="53">
        <f t="shared" si="29"/>
        <v>9</v>
      </c>
      <c r="N385" s="54">
        <f t="shared" si="30"/>
        <v>0.7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1210</v>
      </c>
      <c r="AF385" s="27"/>
      <c r="AG385" s="27"/>
      <c r="AH385" s="27" t="s">
        <v>1210</v>
      </c>
      <c r="AI385" s="27" t="s">
        <v>1210</v>
      </c>
      <c r="AJ385" s="27" t="s">
        <v>1210</v>
      </c>
      <c r="AK385" s="27" t="s">
        <v>1210</v>
      </c>
      <c r="AL385" s="27" t="s">
        <v>1210</v>
      </c>
      <c r="AM385" s="27" t="s">
        <v>1210</v>
      </c>
      <c r="AN385" s="27" t="s">
        <v>1210</v>
      </c>
      <c r="AO385" s="27" t="s">
        <v>1210</v>
      </c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1387</v>
      </c>
      <c r="C386" s="51" t="s">
        <v>1399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21</v>
      </c>
      <c r="M386" s="53">
        <f t="shared" si="29"/>
        <v>9</v>
      </c>
      <c r="N386" s="54">
        <f t="shared" si="30"/>
        <v>0.7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1210</v>
      </c>
      <c r="AF386" s="27"/>
      <c r="AG386" s="27"/>
      <c r="AH386" s="27" t="s">
        <v>1210</v>
      </c>
      <c r="AI386" s="27" t="s">
        <v>1210</v>
      </c>
      <c r="AJ386" s="27" t="s">
        <v>1210</v>
      </c>
      <c r="AK386" s="27" t="s">
        <v>1210</v>
      </c>
      <c r="AL386" s="27" t="s">
        <v>1210</v>
      </c>
      <c r="AM386" s="27" t="s">
        <v>1210</v>
      </c>
      <c r="AN386" s="27" t="s">
        <v>1210</v>
      </c>
      <c r="AO386" s="27" t="s">
        <v>1210</v>
      </c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1399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21</v>
      </c>
      <c r="M387" s="53">
        <f t="shared" si="29"/>
        <v>9</v>
      </c>
      <c r="N387" s="54">
        <f t="shared" si="30"/>
        <v>0.7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1210</v>
      </c>
      <c r="AF387" s="27"/>
      <c r="AG387" s="27"/>
      <c r="AH387" s="27" t="s">
        <v>1210</v>
      </c>
      <c r="AI387" s="27" t="s">
        <v>1210</v>
      </c>
      <c r="AJ387" s="27" t="s">
        <v>1210</v>
      </c>
      <c r="AK387" s="27" t="s">
        <v>1210</v>
      </c>
      <c r="AL387" s="27" t="s">
        <v>1210</v>
      </c>
      <c r="AM387" s="27" t="s">
        <v>1210</v>
      </c>
      <c r="AN387" s="27" t="s">
        <v>1210</v>
      </c>
      <c r="AO387" s="27" t="s">
        <v>1210</v>
      </c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1399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22</v>
      </c>
      <c r="M388" s="53">
        <f t="shared" si="29"/>
        <v>8</v>
      </c>
      <c r="N388" s="54">
        <f t="shared" si="30"/>
        <v>0.73333333333333328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1210</v>
      </c>
      <c r="AF388" s="27"/>
      <c r="AG388" s="27"/>
      <c r="AH388" s="27"/>
      <c r="AI388" s="27" t="s">
        <v>1210</v>
      </c>
      <c r="AJ388" s="27" t="s">
        <v>1210</v>
      </c>
      <c r="AK388" s="27" t="s">
        <v>1210</v>
      </c>
      <c r="AL388" s="27" t="s">
        <v>1210</v>
      </c>
      <c r="AM388" s="27" t="s">
        <v>1210</v>
      </c>
      <c r="AN388" s="27" t="s">
        <v>1210</v>
      </c>
      <c r="AO388" s="27" t="s">
        <v>1210</v>
      </c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1399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1210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1210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1210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1388</v>
      </c>
      <c r="C392" s="51" t="s">
        <v>1399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1210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1210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1210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1210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1210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 t="str">
        <f>'RESUMEN TOTAL'!AK16</f>
        <v>APAGADO</v>
      </c>
      <c r="AC13">
        <f>'RESUMEN TOTAL'!AL16</f>
        <v>0</v>
      </c>
      <c r="AD13" t="str">
        <f>'RESUMEN TOTAL'!AM16</f>
        <v>APAGADO</v>
      </c>
      <c r="AE13" t="str">
        <f>'RESUMEN TOTAL'!AN16</f>
        <v>APAGADO</v>
      </c>
      <c r="AF13" t="str">
        <f>'RESUMEN TOTAL'!AO16</f>
        <v>APAGADO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 t="str">
        <f>'RESUMEN TOTAL'!AK22</f>
        <v>APAGADO</v>
      </c>
      <c r="AC19" t="str">
        <f>'RESUMEN TOTAL'!AL22</f>
        <v>APAGADO</v>
      </c>
      <c r="AD19" t="str">
        <f>'RESUMEN TOTAL'!AM22</f>
        <v>APAGADO</v>
      </c>
      <c r="AE19" t="str">
        <f>'RESUMEN TOTAL'!AN22</f>
        <v>APAGADO</v>
      </c>
      <c r="AF19" t="str">
        <f>'RESUMEN TOTAL'!AO22</f>
        <v>APAGADO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 t="str">
        <f>'RESUMEN TOTAL'!AK29</f>
        <v>APAGADO</v>
      </c>
      <c r="AC26" t="str">
        <f>'RESUMEN TOTAL'!AL29</f>
        <v>APAGADO</v>
      </c>
      <c r="AD26" t="str">
        <f>'RESUMEN TOTAL'!AM29</f>
        <v>APAGADO</v>
      </c>
      <c r="AE26" t="str">
        <f>'RESUMEN TOTAL'!AN29</f>
        <v>APAGADO</v>
      </c>
      <c r="AF26" t="str">
        <f>'RESUMEN TOTAL'!AO29</f>
        <v>APAGADO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 t="str">
        <f>'RESUMEN TOTAL'!AH34</f>
        <v>APAGADO</v>
      </c>
      <c r="Z31" t="str">
        <f>'RESUMEN TOTAL'!AI34</f>
        <v>APAGADO</v>
      </c>
      <c r="AA31" t="str">
        <f>'RESUMEN TOTAL'!AJ34</f>
        <v>APAGADO</v>
      </c>
      <c r="AB31" t="str">
        <f>'RESUMEN TOTAL'!AK34</f>
        <v>APAGADO</v>
      </c>
      <c r="AC31" t="str">
        <f>'RESUMEN TOTAL'!AL34</f>
        <v>APAGADO</v>
      </c>
      <c r="AD31" t="str">
        <f>'RESUMEN TOTAL'!AM34</f>
        <v>APAGADO</v>
      </c>
      <c r="AE31" t="str">
        <f>'RESUMEN TOTAL'!AN34</f>
        <v>APAGADO</v>
      </c>
      <c r="AF31" t="str">
        <f>'RESUMEN TOTAL'!AO34</f>
        <v>APAGADO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 t="str">
        <f>'RESUMEN TOTAL'!AK53</f>
        <v>APAGADO</v>
      </c>
      <c r="AC50" t="str">
        <f>'RESUMEN TOTAL'!AL53</f>
        <v>APAGADO</v>
      </c>
      <c r="AD50" t="str">
        <f>'RESUMEN TOTAL'!AM53</f>
        <v>APAGADO</v>
      </c>
      <c r="AE50" t="str">
        <f>'RESUMEN TOTAL'!AN53</f>
        <v>APAGADO</v>
      </c>
      <c r="AF50" t="str">
        <f>'RESUMEN TOTAL'!AO53</f>
        <v>APAGADO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 t="str">
        <f>'RESUMEN TOTAL'!AO70</f>
        <v>APAGADO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 t="str">
        <f>'RESUMEN TOTAL'!AN91</f>
        <v>APAGADO</v>
      </c>
      <c r="AF88" t="str">
        <f>'RESUMEN TOTAL'!AO91</f>
        <v>APAGADO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 t="str">
        <f>'RESUMEN TOTAL'!AK96</f>
        <v>APAGADO</v>
      </c>
      <c r="AC93" t="str">
        <f>'RESUMEN TOTAL'!AL96</f>
        <v>APAGADO</v>
      </c>
      <c r="AD93" t="str">
        <f>'RESUMEN TOTAL'!AM96</f>
        <v>APAGADO</v>
      </c>
      <c r="AE93" t="str">
        <f>'RESUMEN TOTAL'!AN96</f>
        <v>APAGADO</v>
      </c>
      <c r="AF93" t="str">
        <f>'RESUMEN TOTAL'!AO96</f>
        <v>APAGADO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 t="str">
        <f>'RESUMEN TOTAL'!AH113</f>
        <v>APAGADO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 t="str">
        <f>'RESUMEN TOTAL'!AH128</f>
        <v>APAGADO</v>
      </c>
      <c r="Z125" t="str">
        <f>'RESUMEN TOTAL'!AI128</f>
        <v>APAGADO</v>
      </c>
      <c r="AA125" t="str">
        <f>'RESUMEN TOTAL'!AJ128</f>
        <v>APAGADO</v>
      </c>
      <c r="AB125" t="str">
        <f>'RESUMEN TOTAL'!AK128</f>
        <v>APAGADO</v>
      </c>
      <c r="AC125" t="str">
        <f>'RESUMEN TOTAL'!AL128</f>
        <v>APAGADO</v>
      </c>
      <c r="AD125" t="str">
        <f>'RESUMEN TOTAL'!AM128</f>
        <v>APAGADO</v>
      </c>
      <c r="AE125" t="str">
        <f>'RESUMEN TOTAL'!AN128</f>
        <v>APAGADO</v>
      </c>
      <c r="AF125" t="str">
        <f>'RESUMEN TOTAL'!AO128</f>
        <v>APAGADO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 t="str">
        <f>'RESUMEN TOTAL'!AK129</f>
        <v>APAGADO</v>
      </c>
      <c r="AC126" t="str">
        <f>'RESUMEN TOTAL'!AL129</f>
        <v>APAGADO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 t="str">
        <f>'RESUMEN TOTAL'!AJ132</f>
        <v>APAGADO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 t="str">
        <f>'RESUMEN TOTAL'!AG134</f>
        <v>APAGADO</v>
      </c>
      <c r="Y131" t="str">
        <f>'RESUMEN TOTAL'!AH134</f>
        <v>APAGADO</v>
      </c>
      <c r="Z131" t="str">
        <f>'RESUMEN TOTAL'!AI134</f>
        <v>APAGADO</v>
      </c>
      <c r="AA131" t="str">
        <f>'RESUMEN TOTAL'!AJ134</f>
        <v>APAGADO</v>
      </c>
      <c r="AB131" t="str">
        <f>'RESUMEN TOTAL'!AK134</f>
        <v>APAGADO</v>
      </c>
      <c r="AC131" t="str">
        <f>'RESUMEN TOTAL'!AL134</f>
        <v>APAGADO</v>
      </c>
      <c r="AD131" t="str">
        <f>'RESUMEN TOTAL'!AM134</f>
        <v>APAGADO</v>
      </c>
      <c r="AE131" t="str">
        <f>'RESUMEN TOTAL'!AN134</f>
        <v>APAGADO</v>
      </c>
      <c r="AF131" t="str">
        <f>'RESUMEN TOTAL'!AO134</f>
        <v>APAGADO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 t="str">
        <f>'RESUMEN TOTAL'!AJ137</f>
        <v>APAGADO</v>
      </c>
      <c r="AB134" t="str">
        <f>'RESUMEN TOTAL'!AK137</f>
        <v>APAGADO</v>
      </c>
      <c r="AC134" t="str">
        <f>'RESUMEN TOTAL'!AL137</f>
        <v>APAGADO</v>
      </c>
      <c r="AD134" t="str">
        <f>'RESUMEN TOTAL'!AM137</f>
        <v>APAGADO</v>
      </c>
      <c r="AE134" t="str">
        <f>'RESUMEN TOTAL'!AN137</f>
        <v>APAGADO</v>
      </c>
      <c r="AF134" t="str">
        <f>'RESUMEN TOTAL'!AO137</f>
        <v>APAGADO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 t="str">
        <f>'RESUMEN TOTAL'!AK141</f>
        <v>APAGADO</v>
      </c>
      <c r="AC138" t="str">
        <f>'RESUMEN TOTAL'!AL141</f>
        <v>APAGADO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 t="str">
        <f>'RESUMEN TOTAL'!AK142</f>
        <v>APAGADO</v>
      </c>
      <c r="AC139" t="str">
        <f>'RESUMEN TOTAL'!AL142</f>
        <v>APAGADO</v>
      </c>
      <c r="AD139" t="str">
        <f>'RESUMEN TOTAL'!AM142</f>
        <v>APAGADO</v>
      </c>
      <c r="AE139" t="str">
        <f>'RESUMEN TOTAL'!AN142</f>
        <v>APAGADO</v>
      </c>
      <c r="AF139" t="str">
        <f>'RESUMEN TOTAL'!AO142</f>
        <v>APAGADO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 t="str">
        <f>'RESUMEN TOTAL'!AK143</f>
        <v>APAGADO</v>
      </c>
      <c r="AC140" t="str">
        <f>'RESUMEN TOTAL'!AL143</f>
        <v>APAGADO</v>
      </c>
      <c r="AD140" t="str">
        <f>'RESUMEN TOTAL'!AM143</f>
        <v>APAGADO</v>
      </c>
      <c r="AE140" t="str">
        <f>'RESUMEN TOTAL'!AN143</f>
        <v>APAGADO</v>
      </c>
      <c r="AF140" t="str">
        <f>'RESUMEN TOTAL'!AO143</f>
        <v>APAGADO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 t="str">
        <f>'RESUMEN TOTAL'!AO148</f>
        <v>APAGADO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 t="str">
        <f>'RESUMEN TOTAL'!AO149</f>
        <v>APAGADO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 t="str">
        <f>'RESUMEN TOTAL'!AO150</f>
        <v>APAGADO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 t="str">
        <f>'RESUMEN TOTAL'!AN191</f>
        <v>APAGADO</v>
      </c>
      <c r="AF188" t="str">
        <f>'RESUMEN TOTAL'!AO191</f>
        <v>APAGADO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 t="str">
        <f>'RESUMEN TOTAL'!AH197</f>
        <v>APAGADO</v>
      </c>
      <c r="Z194" t="str">
        <f>'RESUMEN TOTAL'!AI197</f>
        <v>APAGADO</v>
      </c>
      <c r="AA194" t="str">
        <f>'RESUMEN TOTAL'!AJ197</f>
        <v>APAGADO</v>
      </c>
      <c r="AB194" t="str">
        <f>'RESUMEN TOTAL'!AK197</f>
        <v>APAGADO</v>
      </c>
      <c r="AC194" t="str">
        <f>'RESUMEN TOTAL'!AL197</f>
        <v>APAGADO</v>
      </c>
      <c r="AD194" t="str">
        <f>'RESUMEN TOTAL'!AM197</f>
        <v>APAGADO</v>
      </c>
      <c r="AE194" t="str">
        <f>'RESUMEN TOTAL'!AN197</f>
        <v>APAGADO</v>
      </c>
      <c r="AF194" t="str">
        <f>'RESUMEN TOTAL'!AO197</f>
        <v>APAGADO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 t="str">
        <f>'RESUMEN TOTAL'!AM198</f>
        <v>APAGADO</v>
      </c>
      <c r="AE195" t="str">
        <f>'RESUMEN TOTAL'!AN198</f>
        <v>APAGADO</v>
      </c>
      <c r="AF195" t="str">
        <f>'RESUMEN TOTAL'!AO198</f>
        <v>APAGADO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 t="str">
        <f>'RESUMEN TOTAL'!AN207</f>
        <v>APAGADO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 t="str">
        <f>'RESUMEN TOTAL'!AM208</f>
        <v>APAGADO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 t="str">
        <f>'RESUMEN TOTAL'!AO210</f>
        <v>APAGADO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 t="str">
        <f>'RESUMEN TOTAL'!AO211</f>
        <v>APAGADO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 t="str">
        <f>'RESUMEN TOTAL'!AO212</f>
        <v>APAGADO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 t="str">
        <f>'RESUMEN TOTAL'!AM216</f>
        <v>APAGADO</v>
      </c>
      <c r="AE213" t="str">
        <f>'RESUMEN TOTAL'!AN216</f>
        <v>APAGADO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 t="str">
        <f>'RESUMEN TOTAL'!AM217</f>
        <v>APAGADO</v>
      </c>
      <c r="AE214" t="str">
        <f>'RESUMEN TOTAL'!AN217</f>
        <v>APAGADO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 t="str">
        <f>'RESUMEN TOTAL'!AN220</f>
        <v>APAGADO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 t="str">
        <f>'RESUMEN TOTAL'!AN221</f>
        <v>APAGADO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 t="str">
        <f>'RESUMEN TOTAL'!AM222</f>
        <v>APAGADO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 t="str">
        <f>'RESUMEN TOTAL'!AO225</f>
        <v>APAGADO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 t="str">
        <f>'RESUMEN TOTAL'!AK254</f>
        <v>APAGADO</v>
      </c>
      <c r="AC251" t="str">
        <f>'RESUMEN TOTAL'!AL254</f>
        <v>APAGADO</v>
      </c>
      <c r="AD251" t="str">
        <f>'RESUMEN TOTAL'!AM254</f>
        <v>APAGADO</v>
      </c>
      <c r="AE251" t="str">
        <f>'RESUMEN TOTAL'!AN254</f>
        <v>APAGADO</v>
      </c>
      <c r="AF251" t="str">
        <f>'RESUMEN TOTAL'!AO254</f>
        <v>APAGADO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 t="str">
        <f>'RESUMEN TOTAL'!AH255</f>
        <v>APAGADO</v>
      </c>
      <c r="Z252" t="str">
        <f>'RESUMEN TOTAL'!AI255</f>
        <v>APAGADO</v>
      </c>
      <c r="AA252" t="str">
        <f>'RESUMEN TOTAL'!AJ255</f>
        <v>APAGADO</v>
      </c>
      <c r="AB252" t="str">
        <f>'RESUMEN TOTAL'!AK255</f>
        <v>APAGADO</v>
      </c>
      <c r="AC252" t="str">
        <f>'RESUMEN TOTAL'!AL255</f>
        <v>APAGADO</v>
      </c>
      <c r="AD252" t="str">
        <f>'RESUMEN TOTAL'!AM255</f>
        <v>APAGADO</v>
      </c>
      <c r="AE252" t="str">
        <f>'RESUMEN TOTAL'!AN255</f>
        <v>APAGADO</v>
      </c>
      <c r="AF252" t="str">
        <f>'RESUMEN TOTAL'!AO255</f>
        <v>APAGADO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 t="str">
        <f>'RESUMEN TOTAL'!AH272</f>
        <v>APAGADO</v>
      </c>
      <c r="Z269" t="str">
        <f>'RESUMEN TOTAL'!AI272</f>
        <v>APAGADO</v>
      </c>
      <c r="AA269" t="str">
        <f>'RESUMEN TOTAL'!AJ272</f>
        <v>APAGADO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 t="str">
        <f>'RESUMEN TOTAL'!AL275</f>
        <v>APAGADO</v>
      </c>
      <c r="AD272">
        <f>'RESUMEN TOTAL'!AM275</f>
        <v>0</v>
      </c>
      <c r="AE272" t="str">
        <f>'RESUMEN TOTAL'!AN275</f>
        <v>APAGADO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 t="str">
        <f>'RESUMEN TOTAL'!AO277</f>
        <v>APAGADO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 t="str">
        <f>'RESUMEN TOTAL'!AO278</f>
        <v>APAGADO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 t="str">
        <f>'RESUMEN TOTAL'!AO280</f>
        <v>APAGADO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 t="str">
        <f>'RESUMEN TOTAL'!AO281</f>
        <v>APAGADO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 t="str">
        <f>'RESUMEN TOTAL'!AK290</f>
        <v>APAGADO</v>
      </c>
      <c r="AC287" t="str">
        <f>'RESUMEN TOTAL'!AL290</f>
        <v>APAGADO</v>
      </c>
      <c r="AD287" t="str">
        <f>'RESUMEN TOTAL'!AM290</f>
        <v>APAGADO</v>
      </c>
      <c r="AE287" t="str">
        <f>'RESUMEN TOTAL'!AN290</f>
        <v>APAGADO</v>
      </c>
      <c r="AF287" t="str">
        <f>'RESUMEN TOTAL'!AO290</f>
        <v>APAGADO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 t="str">
        <f>'RESUMEN TOTAL'!AK291</f>
        <v>APAGADO</v>
      </c>
      <c r="AC288" t="str">
        <f>'RESUMEN TOTAL'!AL291</f>
        <v>APAGADO</v>
      </c>
      <c r="AD288" t="str">
        <f>'RESUMEN TOTAL'!AM291</f>
        <v>APAGADO</v>
      </c>
      <c r="AE288" t="str">
        <f>'RESUMEN TOTAL'!AN291</f>
        <v>APAGADO</v>
      </c>
      <c r="AF288" t="str">
        <f>'RESUMEN TOTAL'!AO291</f>
        <v>APAGADO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 t="str">
        <f>'RESUMEN TOTAL'!AK292</f>
        <v>APAGADO</v>
      </c>
      <c r="AC289" t="str">
        <f>'RESUMEN TOTAL'!AL292</f>
        <v>APAGADO</v>
      </c>
      <c r="AD289" t="str">
        <f>'RESUMEN TOTAL'!AM292</f>
        <v>APAGADO</v>
      </c>
      <c r="AE289" t="str">
        <f>'RESUMEN TOTAL'!AN292</f>
        <v>APAGADO</v>
      </c>
      <c r="AF289" t="str">
        <f>'RESUMEN TOTAL'!AO292</f>
        <v>APAGADO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 t="str">
        <f>'RESUMEN TOTAL'!AO295</f>
        <v>APAGADO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 t="str">
        <f>'RESUMEN TOTAL'!AO298</f>
        <v>APAGADO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 t="str">
        <f>'RESUMEN TOTAL'!AO299</f>
        <v>APAGADO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 t="str">
        <f>'RESUMEN TOTAL'!AH327</f>
        <v>APAGADO</v>
      </c>
      <c r="Z324" t="str">
        <f>'RESUMEN TOTAL'!AI327</f>
        <v>APAGADO</v>
      </c>
      <c r="AA324" t="str">
        <f>'RESUMEN TOTAL'!AJ327</f>
        <v>APAGADO</v>
      </c>
      <c r="AB324" t="str">
        <f>'RESUMEN TOTAL'!AK327</f>
        <v>APAGADO</v>
      </c>
      <c r="AC324" t="str">
        <f>'RESUMEN TOTAL'!AL327</f>
        <v>APAGADO</v>
      </c>
      <c r="AD324" t="str">
        <f>'RESUMEN TOTAL'!AM327</f>
        <v>APAGADO</v>
      </c>
      <c r="AE324" t="str">
        <f>'RESUMEN TOTAL'!AN327</f>
        <v>APAGADO</v>
      </c>
      <c r="AF324" t="str">
        <f>'RESUMEN TOTAL'!AO327</f>
        <v>APAGADO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 t="str">
        <f>'RESUMEN TOTAL'!AL328</f>
        <v>APAGADO</v>
      </c>
      <c r="AD325" t="str">
        <f>'RESUMEN TOTAL'!AM328</f>
        <v>APAGADO</v>
      </c>
      <c r="AE325" t="str">
        <f>'RESUMEN TOTAL'!AN328</f>
        <v>APAGADO</v>
      </c>
      <c r="AF325" t="str">
        <f>'RESUMEN TOTAL'!AO328</f>
        <v>APAGADO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 t="str">
        <f>'RESUMEN TOTAL'!AE378</f>
        <v>APAGADO</v>
      </c>
      <c r="W375" s="51">
        <f>'RESUMEN TOTAL'!AF378</f>
        <v>0</v>
      </c>
      <c r="X375" s="51">
        <f>'RESUMEN TOTAL'!AG378</f>
        <v>0</v>
      </c>
      <c r="Y375" s="51" t="str">
        <f>'RESUMEN TOTAL'!AH378</f>
        <v>APAGADO</v>
      </c>
      <c r="Z375" s="51" t="str">
        <f>'RESUMEN TOTAL'!AI378</f>
        <v>APAGADO</v>
      </c>
      <c r="AA375" s="51" t="str">
        <f>'RESUMEN TOTAL'!AJ378</f>
        <v>APAGADO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 t="str">
        <f>'RESUMEN TOTAL'!AE379</f>
        <v>APAGADO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 t="str">
        <f>'RESUMEN TOTAL'!AE380</f>
        <v>APAGADO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 t="str">
        <f>'RESUMEN TOTAL'!AE381</f>
        <v>APAGADO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 t="str">
        <f>'RESUMEN TOTAL'!AE382</f>
        <v>APAGADO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 t="str">
        <f>'RESUMEN TOTAL'!AE383</f>
        <v>APAGADO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 t="str">
        <f>'RESUMEN TOTAL'!AE384</f>
        <v>APAGADO</v>
      </c>
      <c r="W381" s="51">
        <f>'RESUMEN TOTAL'!AF384</f>
        <v>0</v>
      </c>
      <c r="X381" s="51">
        <f>'RESUMEN TOTAL'!AG384</f>
        <v>0</v>
      </c>
      <c r="Y381" s="51" t="str">
        <f>'RESUMEN TOTAL'!AH384</f>
        <v>APAGADO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>
        <f>'RESUMEN TOTAL'!O385</f>
        <v>0</v>
      </c>
      <c r="G382" s="51">
        <f>'RESUMEN TOTAL'!P385</f>
        <v>0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 t="str">
        <f>'RESUMEN TOTAL'!AE385</f>
        <v>APAGADO</v>
      </c>
      <c r="W382" s="51">
        <f>'RESUMEN TOTAL'!AF385</f>
        <v>0</v>
      </c>
      <c r="X382" s="51">
        <f>'RESUMEN TOTAL'!AG385</f>
        <v>0</v>
      </c>
      <c r="Y382" s="51" t="str">
        <f>'RESUMEN TOTAL'!AH385</f>
        <v>APAGADO</v>
      </c>
      <c r="Z382" s="51" t="str">
        <f>'RESUMEN TOTAL'!AI385</f>
        <v>APAGADO</v>
      </c>
      <c r="AA382" s="51" t="str">
        <f>'RESUMEN TOTAL'!AJ385</f>
        <v>APAGADO</v>
      </c>
      <c r="AB382" s="51" t="str">
        <f>'RESUMEN TOTAL'!AK385</f>
        <v>APAGADO</v>
      </c>
      <c r="AC382" s="51" t="str">
        <f>'RESUMEN TOTAL'!AL385</f>
        <v>APAGADO</v>
      </c>
      <c r="AD382" s="51" t="str">
        <f>'RESUMEN TOTAL'!AM385</f>
        <v>APAGADO</v>
      </c>
      <c r="AE382" s="51" t="str">
        <f>'RESUMEN TOTAL'!AN385</f>
        <v>APAGADO</v>
      </c>
      <c r="AF382" s="51" t="str">
        <f>'RESUMEN TOTAL'!AO385</f>
        <v>APAGADO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>
        <f>'RESUMEN TOTAL'!O386</f>
        <v>0</v>
      </c>
      <c r="G383" s="51">
        <f>'RESUMEN TOTAL'!P386</f>
        <v>0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 t="str">
        <f>'RESUMEN TOTAL'!AE386</f>
        <v>APAGADO</v>
      </c>
      <c r="W383" s="51">
        <f>'RESUMEN TOTAL'!AF386</f>
        <v>0</v>
      </c>
      <c r="X383" s="51">
        <f>'RESUMEN TOTAL'!AG386</f>
        <v>0</v>
      </c>
      <c r="Y383" s="51" t="str">
        <f>'RESUMEN TOTAL'!AH386</f>
        <v>APAGADO</v>
      </c>
      <c r="Z383" s="51" t="str">
        <f>'RESUMEN TOTAL'!AI386</f>
        <v>APAGADO</v>
      </c>
      <c r="AA383" s="51" t="str">
        <f>'RESUMEN TOTAL'!AJ386</f>
        <v>APAGADO</v>
      </c>
      <c r="AB383" s="51" t="str">
        <f>'RESUMEN TOTAL'!AK386</f>
        <v>APAGADO</v>
      </c>
      <c r="AC383" s="51" t="str">
        <f>'RESUMEN TOTAL'!AL386</f>
        <v>APAGADO</v>
      </c>
      <c r="AD383" s="51" t="str">
        <f>'RESUMEN TOTAL'!AM386</f>
        <v>APAGADO</v>
      </c>
      <c r="AE383" s="51" t="str">
        <f>'RESUMEN TOTAL'!AN386</f>
        <v>APAGADO</v>
      </c>
      <c r="AF383" s="51" t="str">
        <f>'RESUMEN TOTAL'!AO386</f>
        <v>APAGADO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>
        <f>'RESUMEN TOTAL'!O387</f>
        <v>0</v>
      </c>
      <c r="G384" s="51">
        <f>'RESUMEN TOTAL'!P387</f>
        <v>0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 t="str">
        <f>'RESUMEN TOTAL'!AE387</f>
        <v>APAGADO</v>
      </c>
      <c r="W384" s="51">
        <f>'RESUMEN TOTAL'!AF387</f>
        <v>0</v>
      </c>
      <c r="X384" s="51">
        <f>'RESUMEN TOTAL'!AG387</f>
        <v>0</v>
      </c>
      <c r="Y384" s="51" t="str">
        <f>'RESUMEN TOTAL'!AH387</f>
        <v>APAGADO</v>
      </c>
      <c r="Z384" s="51" t="str">
        <f>'RESUMEN TOTAL'!AI387</f>
        <v>APAGADO</v>
      </c>
      <c r="AA384" s="51" t="str">
        <f>'RESUMEN TOTAL'!AJ387</f>
        <v>APAGADO</v>
      </c>
      <c r="AB384" s="51" t="str">
        <f>'RESUMEN TOTAL'!AK387</f>
        <v>APAGADO</v>
      </c>
      <c r="AC384" s="51" t="str">
        <f>'RESUMEN TOTAL'!AL387</f>
        <v>APAGADO</v>
      </c>
      <c r="AD384" s="51" t="str">
        <f>'RESUMEN TOTAL'!AM387</f>
        <v>APAGADO</v>
      </c>
      <c r="AE384" s="51" t="str">
        <f>'RESUMEN TOTAL'!AN387</f>
        <v>APAGADO</v>
      </c>
      <c r="AF384" s="51" t="str">
        <f>'RESUMEN TOTAL'!AO387</f>
        <v>APAGADO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>
        <f>'RESUMEN TOTAL'!O388</f>
        <v>0</v>
      </c>
      <c r="G385" s="51">
        <f>'RESUMEN TOTAL'!P388</f>
        <v>0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 t="str">
        <f>'RESUMEN TOTAL'!AE388</f>
        <v>APAGADO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 t="str">
        <f>'RESUMEN TOTAL'!AI388</f>
        <v>APAGADO</v>
      </c>
      <c r="AA385" s="51" t="str">
        <f>'RESUMEN TOTAL'!AJ388</f>
        <v>APAGADO</v>
      </c>
      <c r="AB385" s="51" t="str">
        <f>'RESUMEN TOTAL'!AK388</f>
        <v>APAGADO</v>
      </c>
      <c r="AC385" s="51" t="str">
        <f>'RESUMEN TOTAL'!AL388</f>
        <v>APAGADO</v>
      </c>
      <c r="AD385" s="51" t="str">
        <f>'RESUMEN TOTAL'!AM388</f>
        <v>APAGADO</v>
      </c>
      <c r="AE385" s="51" t="str">
        <f>'RESUMEN TOTAL'!AN388</f>
        <v>APAGADO</v>
      </c>
      <c r="AF385" s="51" t="str">
        <f>'RESUMEN TOTAL'!AO388</f>
        <v>APAGADO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 t="str">
        <f>'RESUMEN TOTAL'!AE389</f>
        <v>APAGADO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 t="str">
        <f>'RESUMEN TOTAL'!AE390</f>
        <v>APAGADO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 t="str">
        <f>'RESUMEN TOTAL'!AE391</f>
        <v>APAGADO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 t="str">
        <f>'RESUMEN TOTAL'!AE392</f>
        <v>APAGADO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 t="str">
        <f>'RESUMEN TOTAL'!AE393</f>
        <v>APAGADO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 t="str">
        <f>'RESUMEN TOTAL'!AE394</f>
        <v>APAGADO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 t="str">
        <f>'RESUMEN TOTAL'!AE395</f>
        <v>APAGADO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 t="str">
        <f>'RESUMEN TOTAL'!AE396</f>
        <v>APAGADO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F376" activePane="bottomRight" state="frozen"/>
      <selection pane="topRight" activeCell="F1" sqref="F1"/>
      <selection pane="bottomLeft" activeCell="A3" sqref="A3"/>
      <selection pane="bottomRight" activeCell="AB358" sqref="AB35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35</v>
      </c>
      <c r="G1" s="26">
        <f t="shared" ref="G1:AI1" si="0">COUNTIF(G3:G400, "APAGADO")</f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71</v>
      </c>
      <c r="W1" s="26">
        <f t="shared" si="0"/>
        <v>30</v>
      </c>
      <c r="X1" s="26">
        <f t="shared" si="0"/>
        <v>27</v>
      </c>
      <c r="Y1" s="26">
        <f t="shared" si="0"/>
        <v>24</v>
      </c>
      <c r="Z1" s="26">
        <f t="shared" si="0"/>
        <v>23</v>
      </c>
      <c r="AA1" s="26">
        <f t="shared" si="0"/>
        <v>25</v>
      </c>
      <c r="AB1" s="26">
        <f t="shared" si="0"/>
        <v>35</v>
      </c>
      <c r="AC1" s="26">
        <f t="shared" si="0"/>
        <v>36</v>
      </c>
      <c r="AD1" s="26">
        <f t="shared" si="0"/>
        <v>38</v>
      </c>
      <c r="AE1" s="26">
        <f t="shared" si="0"/>
        <v>40</v>
      </c>
      <c r="AF1" s="26">
        <f t="shared" si="0"/>
        <v>55</v>
      </c>
      <c r="AG1" s="26">
        <f t="shared" si="0"/>
        <v>0</v>
      </c>
      <c r="AH1" s="26">
        <f t="shared" si="0"/>
        <v>0</v>
      </c>
      <c r="AI1" s="26">
        <f t="shared" si="0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 t="str">
        <f>ESTADISTICA!AB13</f>
        <v>APAGADO</v>
      </c>
      <c r="AC14">
        <f>ESTADISTICA!AC13</f>
        <v>0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/>
      <c r="AI14"/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 t="str">
        <f>ESTADISTICA!AF19</f>
        <v>APAGADO</v>
      </c>
      <c r="AG20">
        <f>ESTADISTICA!AG19</f>
        <v>0</v>
      </c>
      <c r="AH20"/>
      <c r="AI20"/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/>
      <c r="AI27"/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>
        <f>ESTADISTICA!AG31</f>
        <v>0</v>
      </c>
      <c r="AH32"/>
      <c r="AI32"/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 t="str">
        <f>ESTADISTICA!AF50</f>
        <v>APAGADO</v>
      </c>
      <c r="AG51">
        <f>ESTADISTICA!AG50</f>
        <v>0</v>
      </c>
      <c r="AH51"/>
      <c r="AI51"/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 t="str">
        <f>ESTADISTICA!AF67</f>
        <v>APAGADO</v>
      </c>
      <c r="AG68">
        <f>ESTADISTICA!AG67</f>
        <v>0</v>
      </c>
      <c r="AH68"/>
      <c r="AI68"/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>
        <f>ESTADISTICA!AG93</f>
        <v>0</v>
      </c>
      <c r="AH94"/>
      <c r="AI94"/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 t="str">
        <f>ESTADISTICA!AF125</f>
        <v>APAGADO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>
        <f>ESTADISTICA!AG131</f>
        <v>0</v>
      </c>
      <c r="AH132"/>
      <c r="AI132"/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 t="str">
        <f>ESTADISTICA!AA134</f>
        <v>APAGADO</v>
      </c>
      <c r="AB135" t="str">
        <f>ESTADISTICA!AB134</f>
        <v>APAGADO</v>
      </c>
      <c r="AC135" t="str">
        <f>ESTADISTICA!AC134</f>
        <v>APAGADO</v>
      </c>
      <c r="AD135" t="str">
        <f>ESTADISTICA!AD134</f>
        <v>APAGADO</v>
      </c>
      <c r="AE135" t="str">
        <f>ESTADISTICA!AE134</f>
        <v>APAGADO</v>
      </c>
      <c r="AF135" t="str">
        <f>ESTADISTICA!AF134</f>
        <v>APAGADO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>
        <f>ESTADISTICA!AG139</f>
        <v>0</v>
      </c>
      <c r="AH140"/>
      <c r="AI140"/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 t="str">
        <f>ESTADISTICA!AB140</f>
        <v>APAGADO</v>
      </c>
      <c r="AC141" t="str">
        <f>ESTADISTICA!AC140</f>
        <v>APAGADO</v>
      </c>
      <c r="AD141" t="str">
        <f>ESTADISTICA!AD140</f>
        <v>APAGADO</v>
      </c>
      <c r="AE141" t="str">
        <f>ESTADISTICA!AE140</f>
        <v>APAGADO</v>
      </c>
      <c r="AF141" t="str">
        <f>ESTADISTICA!AF140</f>
        <v>APAGADO</v>
      </c>
      <c r="AG141">
        <f>ESTADISTICA!AG140</f>
        <v>0</v>
      </c>
      <c r="AH141"/>
      <c r="AI141"/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>
        <f>ESTADISTICA!AG145</f>
        <v>0</v>
      </c>
      <c r="AH146"/>
      <c r="AI146"/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 t="str">
        <f>ESTADISTICA!AF146</f>
        <v>APAGADO</v>
      </c>
      <c r="AG147">
        <f>ESTADISTICA!AG146</f>
        <v>0</v>
      </c>
      <c r="AH147"/>
      <c r="AI147"/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 t="str">
        <f>ESTADISTICA!AF147</f>
        <v>APAGADO</v>
      </c>
      <c r="AG148">
        <f>ESTADISTICA!AG147</f>
        <v>0</v>
      </c>
      <c r="AH148"/>
      <c r="AI148"/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>
        <f>ESTADISTICA!AG163</f>
        <v>0</v>
      </c>
      <c r="AH164"/>
      <c r="AI164"/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>
        <f>ESTADISTICA!AG194</f>
        <v>0</v>
      </c>
      <c r="AH195"/>
      <c r="AI195"/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>
        <f>ESTADISTICA!AG195</f>
        <v>0</v>
      </c>
      <c r="AH196"/>
      <c r="AI196"/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/>
      <c r="AI205"/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  <c r="AH213"/>
      <c r="AI213"/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>
        <f>ESTADISTICA!AG213</f>
        <v>0</v>
      </c>
      <c r="AH214"/>
      <c r="AI214"/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>
        <f>ESTADISTICA!AG214</f>
        <v>0</v>
      </c>
      <c r="AH215"/>
      <c r="AI215"/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>
        <f>ESTADISTICA!AF217</f>
        <v>0</v>
      </c>
      <c r="AG218">
        <f>ESTADISTICA!AG217</f>
        <v>0</v>
      </c>
      <c r="AH218"/>
      <c r="AI218"/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>
        <f>ESTADISTICA!AF218</f>
        <v>0</v>
      </c>
      <c r="AG219">
        <f>ESTADISTICA!AG218</f>
        <v>0</v>
      </c>
      <c r="AH219"/>
      <c r="AI219"/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  <c r="AH221"/>
      <c r="AI221"/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 t="str">
        <f>ESTADISTICA!AF222</f>
        <v>APAGADO</v>
      </c>
      <c r="AG223">
        <f>ESTADISTICA!AG222</f>
        <v>0</v>
      </c>
      <c r="AH223"/>
      <c r="AI223"/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/>
      <c r="AI253"/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 t="str">
        <f>ESTADISTICA!Y269</f>
        <v>APAGADO</v>
      </c>
      <c r="Z270" t="str">
        <f>ESTADISTICA!Z269</f>
        <v>APAGADO</v>
      </c>
      <c r="AA270" t="str">
        <f>ESTADISTICA!AA269</f>
        <v>APAGADO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 t="str">
        <f>ESTADISTICA!AC272</f>
        <v>APAGADO</v>
      </c>
      <c r="AD273">
        <f>ESTADISTICA!AD272</f>
        <v>0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/>
      <c r="AI273"/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/>
      <c r="AI275"/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/>
      <c r="AI276"/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/>
      <c r="AI277"/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 t="str">
        <f>ESTADISTICA!AF278</f>
        <v>APAGADO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>
        <f>ESTADISTICA!AG286</f>
        <v>0</v>
      </c>
      <c r="AH287"/>
      <c r="AI287"/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>
        <f>ESTADISTICA!AG287</f>
        <v>0</v>
      </c>
      <c r="AH288"/>
      <c r="AI288"/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>
        <f>ESTADISTICA!AG288</f>
        <v>0</v>
      </c>
      <c r="AH289"/>
      <c r="AI289"/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/>
      <c r="AI290"/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 t="str">
        <f>ESTADISTICA!AF292</f>
        <v>APAGADO</v>
      </c>
      <c r="AG293">
        <f>ESTADISTICA!AG292</f>
        <v>0</v>
      </c>
      <c r="AH293"/>
      <c r="AI293"/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 t="str">
        <f>ESTADISTICA!AF295</f>
        <v>APAGADO</v>
      </c>
      <c r="AG296">
        <f>ESTADISTICA!AG295</f>
        <v>0</v>
      </c>
      <c r="AH296"/>
      <c r="AI296"/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 t="str">
        <f>ESTADISTICA!AF296</f>
        <v>APAGADO</v>
      </c>
      <c r="AG297">
        <f>ESTADISTICA!AG296</f>
        <v>0</v>
      </c>
      <c r="AH297"/>
      <c r="AI297"/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>
        <f>ESTADISTICA!AG299</f>
        <v>0</v>
      </c>
      <c r="AH300"/>
      <c r="AI300"/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 t="str">
        <f>ESTADISTICA!AF300</f>
        <v>APAGADO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>
        <f>ESTADISTICA!AG324</f>
        <v>0</v>
      </c>
      <c r="AH325"/>
      <c r="AI325"/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 t="str">
        <f>ESTADISTICA!AF325</f>
        <v>APAGADO</v>
      </c>
      <c r="AG326">
        <f>ESTADISTICA!AG325</f>
        <v>0</v>
      </c>
      <c r="AH326"/>
      <c r="AI326"/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 t="str">
        <f>ESTADISTICA!AF349</f>
        <v>APAGADO</v>
      </c>
      <c r="AG350">
        <f>ESTADISTICA!AG349</f>
        <v>0</v>
      </c>
      <c r="AH350"/>
      <c r="AI350"/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>
        <f>ESTADISTICA!AG358</f>
        <v>0</v>
      </c>
      <c r="AH359"/>
      <c r="AI359"/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>
        <f>ESTADISTICA!AG359</f>
        <v>0</v>
      </c>
      <c r="AH360"/>
      <c r="AI360"/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 t="str">
        <f>ESTADISTICA!V375</f>
        <v>APAGADO</v>
      </c>
      <c r="W376">
        <f>ESTADISTICA!W375</f>
        <v>0</v>
      </c>
      <c r="X376">
        <f>ESTADISTICA!X375</f>
        <v>0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>APAGADO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 t="str">
        <f>ESTADISTICA!V377</f>
        <v>APAGADO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 t="str">
        <f>ESTADISTICA!V379</f>
        <v>APAGADO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 t="str">
        <f>ESTADISTICA!V380</f>
        <v>APAGADO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 t="str">
        <f>ESTADISTICA!V381</f>
        <v>APAGADO</v>
      </c>
      <c r="W382" s="51">
        <f>ESTADISTICA!W381</f>
        <v>0</v>
      </c>
      <c r="X382" s="51">
        <f>ESTADISTICA!X381</f>
        <v>0</v>
      </c>
      <c r="Y382" s="51" t="str">
        <f>ESTADISTICA!Y381</f>
        <v>APAGADO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>
        <f>ESTADISTICA!F382</f>
        <v>0</v>
      </c>
      <c r="G383" s="51">
        <f>ESTADISTICA!G382</f>
        <v>0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 t="str">
        <f>ESTADISTICA!V382</f>
        <v>APAGADO</v>
      </c>
      <c r="W383" s="51">
        <f>ESTADISTICA!W382</f>
        <v>0</v>
      </c>
      <c r="X383" s="51">
        <f>ESTADISTICA!X382</f>
        <v>0</v>
      </c>
      <c r="Y383" s="51" t="str">
        <f>ESTADISTICA!Y382</f>
        <v>APAGADO</v>
      </c>
      <c r="Z383" s="51" t="str">
        <f>ESTADISTICA!Z382</f>
        <v>APAGADO</v>
      </c>
      <c r="AA383" s="51" t="str">
        <f>ESTADISTICA!AA382</f>
        <v>APAGADO</v>
      </c>
      <c r="AB383" s="51" t="str">
        <f>ESTADISTICA!AB382</f>
        <v>APAGADO</v>
      </c>
      <c r="AC383" s="51" t="str">
        <f>ESTADISTICA!AC382</f>
        <v>APAGADO</v>
      </c>
      <c r="AD383" s="51" t="str">
        <f>ESTADISTICA!AD382</f>
        <v>APAGADO</v>
      </c>
      <c r="AE383" s="51" t="str">
        <f>ESTADISTICA!AE382</f>
        <v>APAGADO</v>
      </c>
      <c r="AF383" s="51" t="str">
        <f>ESTADISTICA!AF382</f>
        <v>APAGADO</v>
      </c>
      <c r="AG383" s="51">
        <f>ESTADISTICA!AG382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>
        <f>ESTADISTICA!F383</f>
        <v>0</v>
      </c>
      <c r="G384" s="51">
        <f>ESTADISTICA!G383</f>
        <v>0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 t="str">
        <f>ESTADISTICA!V383</f>
        <v>APAGADO</v>
      </c>
      <c r="W384" s="51">
        <f>ESTADISTICA!W383</f>
        <v>0</v>
      </c>
      <c r="X384" s="51">
        <f>ESTADISTICA!X383</f>
        <v>0</v>
      </c>
      <c r="Y384" s="51" t="str">
        <f>ESTADISTICA!Y383</f>
        <v>APAGADO</v>
      </c>
      <c r="Z384" s="51" t="str">
        <f>ESTADISTICA!Z383</f>
        <v>APAGADO</v>
      </c>
      <c r="AA384" s="51" t="str">
        <f>ESTADISTICA!AA383</f>
        <v>APAGADO</v>
      </c>
      <c r="AB384" s="51" t="str">
        <f>ESTADISTICA!AB383</f>
        <v>APAGADO</v>
      </c>
      <c r="AC384" s="51" t="str">
        <f>ESTADISTICA!AC383</f>
        <v>APAGADO</v>
      </c>
      <c r="AD384" s="51" t="str">
        <f>ESTADISTICA!AD383</f>
        <v>APAGADO</v>
      </c>
      <c r="AE384" s="51" t="str">
        <f>ESTADISTICA!AE383</f>
        <v>APAGADO</v>
      </c>
      <c r="AF384" s="51" t="str">
        <f>ESTADISTICA!AF383</f>
        <v>APAGADO</v>
      </c>
      <c r="AG384" s="51">
        <f>ESTADISTICA!AG383</f>
        <v>0</v>
      </c>
    </row>
    <row r="385" spans="1:33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>
        <f>ESTADISTICA!F384</f>
        <v>0</v>
      </c>
      <c r="G385" s="51">
        <f>ESTADISTICA!G384</f>
        <v>0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 t="str">
        <f>ESTADISTICA!V384</f>
        <v>APAGADO</v>
      </c>
      <c r="W385" s="51">
        <f>ESTADISTICA!W384</f>
        <v>0</v>
      </c>
      <c r="X385" s="51">
        <f>ESTADISTICA!X384</f>
        <v>0</v>
      </c>
      <c r="Y385" s="51" t="str">
        <f>ESTADISTICA!Y384</f>
        <v>APAGADO</v>
      </c>
      <c r="Z385" s="51" t="str">
        <f>ESTADISTICA!Z384</f>
        <v>APAGADO</v>
      </c>
      <c r="AA385" s="51" t="str">
        <f>ESTADISTICA!AA384</f>
        <v>APAGADO</v>
      </c>
      <c r="AB385" s="51" t="str">
        <f>ESTADISTICA!AB384</f>
        <v>APAGADO</v>
      </c>
      <c r="AC385" s="51" t="str">
        <f>ESTADISTICA!AC384</f>
        <v>APAGADO</v>
      </c>
      <c r="AD385" s="51" t="str">
        <f>ESTADISTICA!AD384</f>
        <v>APAGADO</v>
      </c>
      <c r="AE385" s="51" t="str">
        <f>ESTADISTICA!AE384</f>
        <v>APAGADO</v>
      </c>
      <c r="AF385" s="51" t="str">
        <f>ESTADISTICA!AF384</f>
        <v>APAGADO</v>
      </c>
      <c r="AG385" s="51">
        <f>ESTADISTICA!AG384</f>
        <v>0</v>
      </c>
    </row>
    <row r="386" spans="1:33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>
        <f>ESTADISTICA!F385</f>
        <v>0</v>
      </c>
      <c r="G386" s="51">
        <f>ESTADISTICA!G385</f>
        <v>0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 t="str">
        <f>ESTADISTICA!V385</f>
        <v>APAGADO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 t="str">
        <f>ESTADISTICA!Z385</f>
        <v>APAGADO</v>
      </c>
      <c r="AA386" s="51" t="str">
        <f>ESTADISTICA!AA385</f>
        <v>APAGADO</v>
      </c>
      <c r="AB386" s="51" t="str">
        <f>ESTADISTICA!AB385</f>
        <v>APAGADO</v>
      </c>
      <c r="AC386" s="51" t="str">
        <f>ESTADISTICA!AC385</f>
        <v>APAGADO</v>
      </c>
      <c r="AD386" s="51" t="str">
        <f>ESTADISTICA!AD385</f>
        <v>APAGADO</v>
      </c>
      <c r="AE386" s="51" t="str">
        <f>ESTADISTICA!AE385</f>
        <v>APAGADO</v>
      </c>
      <c r="AF386" s="51" t="str">
        <f>ESTADISTICA!AF385</f>
        <v>APAGADO</v>
      </c>
      <c r="AG386" s="51">
        <f>ESTADISTICA!AG385</f>
        <v>0</v>
      </c>
    </row>
    <row r="387" spans="1:33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 t="str">
        <f>ESTADISTICA!V386</f>
        <v>APAGADO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</row>
    <row r="388" spans="1:33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 t="str">
        <f>ESTADISTICA!V387</f>
        <v>APAGADO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</row>
    <row r="389" spans="1:33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 t="str">
        <f>ESTADISTICA!V388</f>
        <v>APAGADO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</row>
    <row r="390" spans="1:33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 t="str">
        <f>ESTADISTICA!V389</f>
        <v>APAGADO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</row>
    <row r="391" spans="1:33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 t="str">
        <f>ESTADISTICA!V390</f>
        <v>APAGADO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</row>
    <row r="392" spans="1:33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 t="str">
        <f>ESTADISTICA!V391</f>
        <v>APAGADO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</row>
    <row r="393" spans="1:33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 t="str">
        <f>ESTADISTICA!V392</f>
        <v>APAGADO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</row>
    <row r="394" spans="1:33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 t="str">
        <f>ESTADISTICA!V393</f>
        <v>APAGADO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</row>
    <row r="395" spans="1:33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</row>
    <row r="396" spans="1:33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</row>
    <row r="397" spans="1:33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</row>
    <row r="398" spans="1:33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</row>
    <row r="399" spans="1:33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</row>
    <row r="400" spans="1:33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</row>
    <row r="401" spans="1:33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</row>
  </sheetData>
  <autoFilter ref="A2:AG379" xr:uid="{2CD2C71F-307D-4E12-901F-A6B69A40CA8C}"/>
  <conditionalFormatting sqref="AH78:AI78 AH87:AI90 AH102:AI103 AH113:AI114 AH127:AI128 AH131:AI131 AH136:AI139 AH151:AI151 AH154:AI154 AH157:AI157 AH189:AI192 AH204:AI204 AH209:AI210 AH243:AI244 AH249:AI252 AH260:AI264 AH279:AI280 AH282:AI283 AH302:AI305 AH309:AI311 AH319:AI319 AH322:AI322 AH347:AI348 F3:AG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1191</v>
      </c>
      <c r="D1" s="49">
        <f>COUNTIFS(E4:E400,"=Fibra Optica")</f>
        <v>260</v>
      </c>
    </row>
    <row r="2" spans="1:35" ht="21" x14ac:dyDescent="0.35">
      <c r="E2" s="26" t="s">
        <v>821</v>
      </c>
      <c r="F2" s="26">
        <f>COUNTIFS(F4:F400, "=APAGADO",E4:E400,"=Fibra Optica")</f>
        <v>20</v>
      </c>
      <c r="G2" s="26">
        <f>COUNTIFS(G4:G400, "=APAGADO",E4:E400,"=Fibra Optica")</f>
        <v>19</v>
      </c>
      <c r="H2" s="26">
        <f>COUNTIFS(H4:H400, "=APAGADO",E4:E400,"=Fibra Optica")</f>
        <v>20</v>
      </c>
      <c r="I2" s="26">
        <f>COUNTIFS(I4:I400, "=APAGADO",E4:E400,"=Fibra Optica")</f>
        <v>21</v>
      </c>
      <c r="J2" s="26">
        <f>COUNTIFS(J4:J400, "=APAGADO",E4:E400,"=Fibra Optica")</f>
        <v>18</v>
      </c>
      <c r="K2" s="26">
        <f>COUNTIFS(K4:K400, "=APAGADO",E4:E400,"=Fibra Optica")</f>
        <v>0</v>
      </c>
      <c r="L2" s="26">
        <f>COUNTIFS(L4:L400, "=APAGADO",E4:E400,"=Fibra Optica")</f>
        <v>31</v>
      </c>
      <c r="M2" s="26">
        <f>COUNTIFS(M4:M400, "=APAGADO",E4:E400,"=Fibra Optica")</f>
        <v>30</v>
      </c>
      <c r="N2" s="26">
        <f>COUNTIFS(N4:N400, "=APAGADO",E4:E400,"=Fibra Optica")</f>
        <v>22</v>
      </c>
      <c r="O2" s="26">
        <f>COUNTIFS(O4:O400, "=APAGADO",E4:E400,"=Fibra Optica")</f>
        <v>19</v>
      </c>
      <c r="P2" s="26">
        <f>COUNTIFS(P4:P400, "=APAGADO",E4:E400,"=Fibra Optica")</f>
        <v>19</v>
      </c>
      <c r="Q2" s="26">
        <f>COUNTIFS(Q4:Q400, "=APAGADO",E4:E400,"=Fibra Optica")</f>
        <v>20</v>
      </c>
      <c r="R2" s="26">
        <f>COUNTIFS(R4:R400, "=APAGADO",E4:E400,"=Fibra Optica")</f>
        <v>23</v>
      </c>
      <c r="S2" s="26">
        <f>COUNTIFS(S4:S400, "=APAGADO",E4:E400,"=Fibra Optica")</f>
        <v>21</v>
      </c>
      <c r="T2" s="26">
        <f>COUNTIFS(T4:T400, "=APAGADO",E4:E400,"=Fibra Optica")</f>
        <v>19</v>
      </c>
      <c r="U2" s="26">
        <f>COUNTIFS(U4:U400, "=APAGADO",E4:E400,"=Fibra Optica")</f>
        <v>18</v>
      </c>
      <c r="V2" s="26">
        <f>COUNTIFS(V4:V400, "=APAGADO",E4:E400,"=Fibra Optica")</f>
        <v>47</v>
      </c>
      <c r="W2" s="26">
        <f>COUNTIFS(W4:W400, "=APAGADO",E4:E400,"=Fibra Optica")</f>
        <v>18</v>
      </c>
      <c r="X2" s="26">
        <f>COUNTIFS(X4:X400, "=APAGADO",E4:E400,"=Fibra Optica")</f>
        <v>15</v>
      </c>
      <c r="Y2" s="26">
        <f>COUNTIFS(Y4:Y400, "=APAGADO",E4:E400,"=Fibra Optica")</f>
        <v>16</v>
      </c>
      <c r="Z2" s="26">
        <f>COUNTIFS(Z4:Z400, "=APAGADO",E4:E400,"=Fibra Optica")</f>
        <v>15</v>
      </c>
      <c r="AA2" s="26">
        <f>COUNTIFS(AA4:AA400, "=APAGADO",E4:E400,"=Fibra Optica")</f>
        <v>15</v>
      </c>
      <c r="AB2" s="26">
        <f>COUNTIFS(AB4:AB400, "=APAGADO",E4:E400,"=Fibra Optica")</f>
        <v>23</v>
      </c>
      <c r="AC2" s="26">
        <f>COUNTIFS(AC4:AC400, "=APAGADO",E4:E400,"=Fibra Optica")</f>
        <v>22</v>
      </c>
      <c r="AD2" s="26">
        <f>COUNTIFS(AD4:AD400, "=APAGADO",E4:E400,"=Fibra Optica")</f>
        <v>26</v>
      </c>
      <c r="AE2" s="26">
        <f>COUNTIFS(AE4:AE400, "=APAGADO",E4:E400,"=Fibra Optica")</f>
        <v>28</v>
      </c>
      <c r="AF2" s="26">
        <f>COUNTIFS(AF4:AF400, "=APAGADO",E4:E400,"=Fibra Optica")</f>
        <v>37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>
        <f>ESTADISTICA!AG382</f>
        <v>0</v>
      </c>
      <c r="AH384" s="51"/>
      <c r="AI384" s="51"/>
    </row>
    <row r="385" spans="1:35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>
        <f>ESTADISTICA!AG383</f>
        <v>0</v>
      </c>
      <c r="AH385" s="51"/>
      <c r="AI385" s="51"/>
    </row>
    <row r="386" spans="1:35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>
        <f>ESTADISTICA!AG384</f>
        <v>0</v>
      </c>
      <c r="AH386" s="51"/>
      <c r="AI386" s="51"/>
    </row>
    <row r="387" spans="1:35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1400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9</v>
      </c>
      <c r="G2" s="26">
        <f>COUNTIFS(G4:G400, "=APAGADO",E4:E400,"=PTO A FO")</f>
        <v>6</v>
      </c>
      <c r="H2" s="26">
        <f>COUNTIFS(H4:H400, "=APAGADO",E4:E400,"=PTO A FO")</f>
        <v>5</v>
      </c>
      <c r="I2" s="26">
        <f>COUNTIFS(I4:I400, "=APAGADO",E4:E400,"=PTO A FO")</f>
        <v>5</v>
      </c>
      <c r="J2" s="26">
        <f>COUNTIFS(J4:J400, "=APAGADO",E4:E400,"=PTO A FO")</f>
        <v>5</v>
      </c>
      <c r="K2" s="26">
        <f>COUNTIFS(K4:K400, "=APAGADO",E4:E400,"=PTO A FO")</f>
        <v>0</v>
      </c>
      <c r="L2" s="26">
        <f>COUNTIFS(L4:L400, "=APAGADO",E4:E400,"=PTO A FO")</f>
        <v>11</v>
      </c>
      <c r="M2" s="26">
        <f>COUNTIFS(M4:M400, "=APAGADO",E4:E400,"=PTO A FO")</f>
        <v>8</v>
      </c>
      <c r="N2" s="26">
        <f>COUNTIFS(N4:N400, "=APAGADO",E4:E400,"=PTO A FO")</f>
        <v>5</v>
      </c>
      <c r="O2" s="26">
        <f>COUNTIFS(O4:O400, "=APAGADO",E4:E400,"=PTO A FO")</f>
        <v>5</v>
      </c>
      <c r="P2" s="26">
        <f>COUNTIFS(P4:P400, "=APAGADO",E4:E400,"=PTO A FO")</f>
        <v>5</v>
      </c>
      <c r="Q2" s="26">
        <f>COUNTIFS(Q4:Q400, "=APAGADO",E4:E400,"=PTO A FO")</f>
        <v>5</v>
      </c>
      <c r="R2" s="26">
        <f>COUNTIFS(R4:R400, "=APAGADO",E4:E400,"=PTO A FO")</f>
        <v>5</v>
      </c>
      <c r="S2" s="26">
        <f>COUNTIFS(S4:S400, "=APAGADO",E4:E400,"=PTO A FO")</f>
        <v>6</v>
      </c>
      <c r="T2" s="26">
        <f>COUNTIFS(T4:T400, "=APAGADO",E4:E400,"=PTO A FO")</f>
        <v>7</v>
      </c>
      <c r="U2" s="26">
        <f>COUNTIFS(U4:U400, "=APAGADO",E4:E400,"=PTO A FO")</f>
        <v>5</v>
      </c>
      <c r="V2" s="26">
        <f>COUNTIFS(V4:V400, "=APAGADO",E4:E400,"=PTO A FO")</f>
        <v>6</v>
      </c>
      <c r="W2" s="26">
        <f>COUNTIFS(W4:W400, "=APAGADO",E4:E400,"=PTO A FO")</f>
        <v>5</v>
      </c>
      <c r="X2" s="26">
        <f>COUNTIFS(X4:X400, "=APAGADO",E4:E400,"=PTO A FO")</f>
        <v>5</v>
      </c>
      <c r="Y2" s="26">
        <f>COUNTIFS(Y4:Y400, "=APAGADO",E4:E400,"=PTO A FO")</f>
        <v>3</v>
      </c>
      <c r="Z2" s="26">
        <f>COUNTIFS(Z4:Z400, "=APAGADO",E4:E400,"=PTO A FO")</f>
        <v>2</v>
      </c>
      <c r="AA2" s="26">
        <f>COUNTIFS(AA4:AA400, "=APAGADO",E4:E400,"=PTO A FO")</f>
        <v>2</v>
      </c>
      <c r="AB2" s="26">
        <f>COUNTIFS(AB4:AB400, "=APAGADO",E4:E400,"=PTO A FO")</f>
        <v>6</v>
      </c>
      <c r="AC2" s="26">
        <f>COUNTIFS(AC4:AC400, "=APAGADO",E4:E400,"=PTO A FO")</f>
        <v>6</v>
      </c>
      <c r="AD2" s="26">
        <f>COUNTIFS(AD4:AD400, "=APAGADO",E4:E400,"=PTO A FO")</f>
        <v>6</v>
      </c>
      <c r="AE2" s="26">
        <f>COUNTIFS(AE4:AE400, "=APAGADO",E4:E400,"=PTO A FO")</f>
        <v>6</v>
      </c>
      <c r="AF2" s="26">
        <f>COUNTIFS(AF4:AF400, "=APAGADO",E4:E400,"=PTO A FO")</f>
        <v>9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26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V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1192</v>
      </c>
      <c r="D1" s="50">
        <f>COUNTIFS(E4:E400,"=radio")</f>
        <v>95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7</v>
      </c>
      <c r="Y2" s="26">
        <f>COUNTIFS(Y4:Y367, "=APAGADO",E4:E367,"=radio")</f>
        <v>5</v>
      </c>
      <c r="Z2" s="26">
        <f>COUNTIFS(Z4:Z367, "=APAGADO",E4:E367,"=radio")</f>
        <v>6</v>
      </c>
      <c r="AA2" s="26">
        <f>COUNTIFS(AA4:AA367, "=APAGADO",E4:E367,"=radio")</f>
        <v>8</v>
      </c>
      <c r="AB2" s="26">
        <f>COUNTIFS(AB4:AB367, "=APAGADO",E4:E367,"=radio")</f>
        <v>6</v>
      </c>
      <c r="AC2" s="26">
        <f>COUNTIFS(AC4:AC367, "=APAGADO",E4:E367,"=radio")</f>
        <v>8</v>
      </c>
      <c r="AD2" s="26">
        <f>COUNTIFS(AD4:AD367, "=APAGADO",E4:E367,"=radio")</f>
        <v>6</v>
      </c>
      <c r="AE2" s="26">
        <f>COUNTIFS(AE4:AE367, "=APAGADO",E4:E367,"=radio")</f>
        <v>6</v>
      </c>
      <c r="AF2" s="26">
        <f>COUNTIFS(AF4:AF367, "=APAGADO",E4:E367,"=radio")</f>
        <v>9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 t="str">
        <f>ESTADISTICA!AB13</f>
        <v>APAGADO</v>
      </c>
      <c r="AC15">
        <f>ESTADISTICA!AC13</f>
        <v>0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 t="str">
        <f>ESTADISTICA!AB19</f>
        <v>APAGADO</v>
      </c>
      <c r="AC21" t="str">
        <f>ESTADISTICA!AC19</f>
        <v>APAGADO</v>
      </c>
      <c r="AD21" t="str">
        <f>ESTADISTICA!AD19</f>
        <v>APAGADO</v>
      </c>
      <c r="AE21" t="str">
        <f>ESTADISTICA!AE19</f>
        <v>APAGADO</v>
      </c>
      <c r="AF21" t="str">
        <f>ESTADISTICA!AF19</f>
        <v>APAGADO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 t="str">
        <f>ESTADISTICA!AB26</f>
        <v>APAGADO</v>
      </c>
      <c r="AC28" t="str">
        <f>ESTADISTICA!AC26</f>
        <v>APAGADO</v>
      </c>
      <c r="AD28" t="str">
        <f>ESTADISTICA!AD26</f>
        <v>APAGADO</v>
      </c>
      <c r="AE28" t="str">
        <f>ESTADISTICA!AE26</f>
        <v>APAGADO</v>
      </c>
      <c r="AF28" t="str">
        <f>ESTADISTICA!AF26</f>
        <v>APAGADO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 t="str">
        <f>ESTADISTICA!AB50</f>
        <v>APAGADO</v>
      </c>
      <c r="AC52" t="str">
        <f>ESTADISTICA!AC50</f>
        <v>APAGADO</v>
      </c>
      <c r="AD52" t="str">
        <f>ESTADISTICA!AD50</f>
        <v>APAGADO</v>
      </c>
      <c r="AE52" t="str">
        <f>ESTADISTICA!AE50</f>
        <v>APAGADO</v>
      </c>
      <c r="AF52" t="str">
        <f>ESTADISTICA!AF50</f>
        <v>APAGADO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 t="str">
        <f>ESTADISTICA!AE88</f>
        <v>APAGADO</v>
      </c>
      <c r="AF90" t="str">
        <f>ESTADISTICA!AF88</f>
        <v>APAGADO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 t="str">
        <f>ESTADISTICA!Y110</f>
        <v>APAGADO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 t="str">
        <f>ESTADISTICA!AA125</f>
        <v>APAGADO</v>
      </c>
      <c r="AB127" t="str">
        <f>ESTADISTICA!AB125</f>
        <v>APAGADO</v>
      </c>
      <c r="AC127" t="str">
        <f>ESTADISTICA!AC125</f>
        <v>APAGADO</v>
      </c>
      <c r="AD127" t="str">
        <f>ESTADISTICA!AD125</f>
        <v>APAGADO</v>
      </c>
      <c r="AE127" t="str">
        <f>ESTADISTICA!AE125</f>
        <v>APAGADO</v>
      </c>
      <c r="AF127" t="str">
        <f>ESTADISTICA!AF125</f>
        <v>APAGADO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 t="str">
        <f>ESTADISTICA!AA134</f>
        <v>APAGADO</v>
      </c>
      <c r="AB136" t="str">
        <f>ESTADISTICA!AB134</f>
        <v>APAGADO</v>
      </c>
      <c r="AC136" t="str">
        <f>ESTADISTICA!AC134</f>
        <v>APAGADO</v>
      </c>
      <c r="AD136" t="str">
        <f>ESTADISTICA!AD134</f>
        <v>APAGADO</v>
      </c>
      <c r="AE136" t="str">
        <f>ESTADISTICA!AE134</f>
        <v>APAGADO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 t="str">
        <f>ESTADISTICA!AB138</f>
        <v>APAGADO</v>
      </c>
      <c r="AC140" t="str">
        <f>ESTADISTICA!AC138</f>
        <v>APAGADO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 t="str">
        <f>ESTADISTICA!AB139</f>
        <v>APAGADO</v>
      </c>
      <c r="AC141" t="str">
        <f>ESTADISTICA!AC139</f>
        <v>APAGADO</v>
      </c>
      <c r="AD141" t="str">
        <f>ESTADISTICA!AD139</f>
        <v>APAGADO</v>
      </c>
      <c r="AE141" t="str">
        <f>ESTADISTICA!AE139</f>
        <v>APAGADO</v>
      </c>
      <c r="AF141" t="str">
        <f>ESTADISTICA!AF139</f>
        <v>APAGADO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 t="str">
        <f>ESTADISTICA!AB140</f>
        <v>APAGADO</v>
      </c>
      <c r="AC142" t="str">
        <f>ESTADISTICA!AC140</f>
        <v>APAGADO</v>
      </c>
      <c r="AD142" t="str">
        <f>ESTADISTICA!AD140</f>
        <v>APAGADO</v>
      </c>
      <c r="AE142" t="str">
        <f>ESTADISTICA!AE140</f>
        <v>APAGADO</v>
      </c>
      <c r="AF142" t="str">
        <f>ESTADISTICA!AF140</f>
        <v>APAGADO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 t="str">
        <f>ESTADISTICA!AF145</f>
        <v>APAGADO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 t="str">
        <f>ESTADISTICA!AF147</f>
        <v>APAGADO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 t="str">
        <f>ESTADISTICA!AE218</f>
        <v>APAGADO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 t="str">
        <f>ESTADISTICA!AF222</f>
        <v>APAGADO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 t="str">
        <f>ESTADISTICA!Y269</f>
        <v>APAGADO</v>
      </c>
      <c r="Z271" t="str">
        <f>ESTADISTICA!Z269</f>
        <v>APAGADO</v>
      </c>
      <c r="AA271" t="str">
        <f>ESTADISTICA!AA269</f>
        <v>APAGADO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 t="str">
        <f>ESTADISTICA!AC272</f>
        <v>APAGADO</v>
      </c>
      <c r="AD274">
        <f>ESTADISTICA!AD272</f>
        <v>0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 t="str">
        <f>ESTADISTICA!AF278</f>
        <v>APAGADO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 t="str">
        <f>ESTADISTICA!AF292</f>
        <v>APAGADO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 t="str">
        <f>ESTADISTICA!AF295</f>
        <v>APAGADO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 t="str">
        <f>ESTADISTICA!AF296</f>
        <v>APAGADO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 t="str">
        <f>ESTADISTICA!AF324</f>
        <v>APAGADO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 t="str">
        <f>ESTADISTICA!V370</f>
        <v>APAGADO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 t="str">
        <f>ESTADISTICA!V371</f>
        <v>APAGADO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 t="str">
        <f>ESTADISTICA!V372</f>
        <v>APAGADO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 t="str">
        <f>ESTADISTICA!V373</f>
        <v>APAGADO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 t="str">
        <f>ESTADISTICA!V375</f>
        <v>APAGADO</v>
      </c>
      <c r="W377" s="51">
        <f>ESTADISTICA!W375</f>
        <v>0</v>
      </c>
      <c r="X377" s="51">
        <f>ESTADISTICA!X375</f>
        <v>0</v>
      </c>
      <c r="Y377" s="51" t="str">
        <f>ESTADISTICA!Y375</f>
        <v>APAGADO</v>
      </c>
      <c r="Z377" s="51" t="str">
        <f>ESTADISTICA!Z375</f>
        <v>APAGADO</v>
      </c>
      <c r="AA377" s="51" t="str">
        <f>ESTADISTICA!AA375</f>
        <v>APAGADO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 t="str">
        <f>ESTADISTICA!V376</f>
        <v>APAGADO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 t="str">
        <f>ESTADISTICA!V377</f>
        <v>APAGADO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 t="str">
        <f>ESTADISTICA!V378</f>
        <v>APAGADO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 t="str">
        <f>ESTADISTICA!V379</f>
        <v>APAGADO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 t="str">
        <f>ESTADISTICA!V380</f>
        <v>APAGADO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 t="str">
        <f>ESTADISTICA!V381</f>
        <v>APAGADO</v>
      </c>
      <c r="W383" s="51">
        <f>ESTADISTICA!W381</f>
        <v>0</v>
      </c>
      <c r="X383" s="51">
        <f>ESTADISTICA!X381</f>
        <v>0</v>
      </c>
      <c r="Y383" s="51" t="str">
        <f>ESTADISTICA!Y381</f>
        <v>APAGADO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>
        <f>ESTADISTICA!F382</f>
        <v>0</v>
      </c>
      <c r="G384" s="51">
        <f>ESTADISTICA!G382</f>
        <v>0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 t="str">
        <f>ESTADISTICA!V382</f>
        <v>APAGADO</v>
      </c>
      <c r="W384" s="51">
        <f>ESTADISTICA!W382</f>
        <v>0</v>
      </c>
      <c r="X384" s="51">
        <f>ESTADISTICA!X382</f>
        <v>0</v>
      </c>
      <c r="Y384" s="51" t="str">
        <f>ESTADISTICA!Y382</f>
        <v>APAGADO</v>
      </c>
      <c r="Z384" s="51" t="str">
        <f>ESTADISTICA!Z382</f>
        <v>APAGADO</v>
      </c>
      <c r="AA384" s="51" t="str">
        <f>ESTADISTICA!AA382</f>
        <v>APAGADO</v>
      </c>
      <c r="AB384" s="51" t="str">
        <f>ESTADISTICA!AB382</f>
        <v>APAGADO</v>
      </c>
      <c r="AC384" s="51" t="str">
        <f>ESTADISTICA!AC382</f>
        <v>APAGADO</v>
      </c>
      <c r="AD384" s="51" t="str">
        <f>ESTADISTICA!AD382</f>
        <v>APAGADO</v>
      </c>
      <c r="AE384" s="51" t="str">
        <f>ESTADISTICA!AE382</f>
        <v>APAGADO</v>
      </c>
      <c r="AF384" s="51" t="str">
        <f>ESTADISTICA!AF382</f>
        <v>APAGADO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>
        <f>ESTADISTICA!F383</f>
        <v>0</v>
      </c>
      <c r="G385" s="51">
        <f>ESTADISTICA!G383</f>
        <v>0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 t="str">
        <f>ESTADISTICA!V383</f>
        <v>APAGADO</v>
      </c>
      <c r="W385" s="51">
        <f>ESTADISTICA!W383</f>
        <v>0</v>
      </c>
      <c r="X385" s="51">
        <f>ESTADISTICA!X383</f>
        <v>0</v>
      </c>
      <c r="Y385" s="51" t="str">
        <f>ESTADISTICA!Y383</f>
        <v>APAGADO</v>
      </c>
      <c r="Z385" s="51" t="str">
        <f>ESTADISTICA!Z383</f>
        <v>APAGADO</v>
      </c>
      <c r="AA385" s="51" t="str">
        <f>ESTADISTICA!AA383</f>
        <v>APAGADO</v>
      </c>
      <c r="AB385" s="51" t="str">
        <f>ESTADISTICA!AB383</f>
        <v>APAGADO</v>
      </c>
      <c r="AC385" s="51" t="str">
        <f>ESTADISTICA!AC383</f>
        <v>APAGADO</v>
      </c>
      <c r="AD385" s="51" t="str">
        <f>ESTADISTICA!AD383</f>
        <v>APAGADO</v>
      </c>
      <c r="AE385" s="51" t="str">
        <f>ESTADISTICA!AE383</f>
        <v>APAGADO</v>
      </c>
      <c r="AF385" s="51" t="str">
        <f>ESTADISTICA!AF383</f>
        <v>APAGADO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>
        <f>ESTADISTICA!F384</f>
        <v>0</v>
      </c>
      <c r="G386" s="51">
        <f>ESTADISTICA!G384</f>
        <v>0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 t="str">
        <f>ESTADISTICA!V384</f>
        <v>APAGADO</v>
      </c>
      <c r="W386" s="51">
        <f>ESTADISTICA!W384</f>
        <v>0</v>
      </c>
      <c r="X386" s="51">
        <f>ESTADISTICA!X384</f>
        <v>0</v>
      </c>
      <c r="Y386" s="51" t="str">
        <f>ESTADISTICA!Y384</f>
        <v>APAGADO</v>
      </c>
      <c r="Z386" s="51" t="str">
        <f>ESTADISTICA!Z384</f>
        <v>APAGADO</v>
      </c>
      <c r="AA386" s="51" t="str">
        <f>ESTADISTICA!AA384</f>
        <v>APAGADO</v>
      </c>
      <c r="AB386" s="51" t="str">
        <f>ESTADISTICA!AB384</f>
        <v>APAGADO</v>
      </c>
      <c r="AC386" s="51" t="str">
        <f>ESTADISTICA!AC384</f>
        <v>APAGADO</v>
      </c>
      <c r="AD386" s="51" t="str">
        <f>ESTADISTICA!AD384</f>
        <v>APAGADO</v>
      </c>
      <c r="AE386" s="51" t="str">
        <f>ESTADISTICA!AE384</f>
        <v>APAGADO</v>
      </c>
      <c r="AF386" s="51" t="str">
        <f>ESTADISTICA!AF384</f>
        <v>APAGADO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>
        <f>ESTADISTICA!F385</f>
        <v>0</v>
      </c>
      <c r="G387" s="51">
        <f>ESTADISTICA!G385</f>
        <v>0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 t="str">
        <f>ESTADISTICA!V385</f>
        <v>APAGADO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 t="str">
        <f>ESTADISTICA!Z385</f>
        <v>APAGADO</v>
      </c>
      <c r="AA387" s="51" t="str">
        <f>ESTADISTICA!AA385</f>
        <v>APAGADO</v>
      </c>
      <c r="AB387" s="51" t="str">
        <f>ESTADISTICA!AB385</f>
        <v>APAGADO</v>
      </c>
      <c r="AC387" s="51" t="str">
        <f>ESTADISTICA!AC385</f>
        <v>APAGADO</v>
      </c>
      <c r="AD387" s="51" t="str">
        <f>ESTADISTICA!AD385</f>
        <v>APAGADO</v>
      </c>
      <c r="AE387" s="51" t="str">
        <f>ESTADISTICA!AE385</f>
        <v>APAGADO</v>
      </c>
      <c r="AF387" s="51" t="str">
        <f>ESTADISTICA!AF385</f>
        <v>APAGADO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 t="str">
        <f>ESTADISTICA!V386</f>
        <v>APAGADO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 t="str">
        <f>ESTADISTICA!V387</f>
        <v>APAGADO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 t="str">
        <f>ESTADISTICA!V388</f>
        <v>APAGADO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 t="str">
        <f>ESTADISTICA!V389</f>
        <v>APAGADO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 t="str">
        <f>ESTADISTICA!V390</f>
        <v>APAGADO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 t="str">
        <f>ESTADISTICA!V391</f>
        <v>APAGADO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 t="str">
        <f>ESTADISTICA!V392</f>
        <v>APAGADO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 t="str">
        <f>ESTADISTICA!V393</f>
        <v>APAGADO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G29" sqref="G29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1203</v>
      </c>
    </row>
    <row r="2" spans="1:7" x14ac:dyDescent="0.25">
      <c r="A2" s="25">
        <f>'APAGADOS RADIO'!F3</f>
        <v>44743</v>
      </c>
      <c r="B2">
        <f>'APAGADOS RADIO'!F2+D2</f>
        <v>15</v>
      </c>
      <c r="C2">
        <f>'APAGADOS FIBRA'!F2</f>
        <v>20</v>
      </c>
      <c r="D2">
        <f>'APAGADOS ANTENA'!F2</f>
        <v>9</v>
      </c>
      <c r="E2">
        <f t="shared" ref="E2" si="0">B2+C2</f>
        <v>35</v>
      </c>
      <c r="F2">
        <f>'RESUMEN TOTAL'!B1</f>
        <v>392</v>
      </c>
      <c r="G2" s="55">
        <f t="shared" ref="G2:G3" si="1">E2/F2</f>
        <v>8.9285714285714288E-2</v>
      </c>
    </row>
    <row r="3" spans="1:7" x14ac:dyDescent="0.25">
      <c r="A3" s="25">
        <f>'APAGADOS RADIO'!G3</f>
        <v>44744</v>
      </c>
      <c r="B3" s="51">
        <f>'APAGADOS RADIO'!G2+D3</f>
        <v>14</v>
      </c>
      <c r="C3" s="51">
        <f>'APAGADOS FIBRA'!G2</f>
        <v>19</v>
      </c>
      <c r="D3" s="51">
        <f>'APAGADOS ANTENA'!G2</f>
        <v>6</v>
      </c>
      <c r="E3" s="51">
        <f t="shared" ref="E3" si="2">B3+C3</f>
        <v>33</v>
      </c>
      <c r="F3" s="51">
        <f>'RESUMEN TOTAL'!B1</f>
        <v>392</v>
      </c>
      <c r="G3" s="55">
        <f t="shared" si="1"/>
        <v>8.4183673469387751E-2</v>
      </c>
    </row>
    <row r="4" spans="1:7" x14ac:dyDescent="0.25">
      <c r="A4" s="25">
        <f>'APAGADOS RADIO'!H3</f>
        <v>44745</v>
      </c>
      <c r="B4" s="51">
        <f>'APAGADOS RADIO'!H2+D4</f>
        <v>16</v>
      </c>
      <c r="C4" s="51">
        <f>'APAGADOS FIBRA'!H2</f>
        <v>20</v>
      </c>
      <c r="D4" s="51">
        <f>'APAGADOS ANTENA'!H2</f>
        <v>5</v>
      </c>
      <c r="E4" s="51">
        <f t="shared" ref="E4" si="3">B4+C4</f>
        <v>36</v>
      </c>
      <c r="F4" s="51">
        <f>'RESUMEN TOTAL'!B1</f>
        <v>392</v>
      </c>
      <c r="G4" s="55">
        <f t="shared" ref="G4" si="4">E4/F4</f>
        <v>9.1836734693877556E-2</v>
      </c>
    </row>
    <row r="5" spans="1:7" x14ac:dyDescent="0.25">
      <c r="A5" s="25">
        <f>'APAGADOS RADIO'!I3</f>
        <v>44746</v>
      </c>
      <c r="B5" s="51">
        <f>'APAGADOS RADIO'!I2+D5</f>
        <v>19</v>
      </c>
      <c r="C5" s="51">
        <f>'APAGADOS FIBRA'!I2</f>
        <v>21</v>
      </c>
      <c r="D5" s="51">
        <f>'APAGADOS ANTENA'!I2</f>
        <v>5</v>
      </c>
      <c r="E5" s="51">
        <f t="shared" ref="E5:E6" si="5">B5+C5</f>
        <v>40</v>
      </c>
      <c r="F5" s="51">
        <f>'RESUMEN TOTAL'!B1</f>
        <v>392</v>
      </c>
      <c r="G5" s="55">
        <f t="shared" ref="G5:G7" si="6">E5/F5</f>
        <v>0.10204081632653061</v>
      </c>
    </row>
    <row r="6" spans="1:7" x14ac:dyDescent="0.25">
      <c r="A6" s="25">
        <f>'APAGADOS RADIO'!J3</f>
        <v>44747</v>
      </c>
      <c r="B6" s="51">
        <f>'APAGADOS RADIO'!J2+D6</f>
        <v>14</v>
      </c>
      <c r="C6" s="51">
        <f>'APAGADOS FIBRA'!J2</f>
        <v>18</v>
      </c>
      <c r="D6" s="51">
        <f>'APAGADOS ANTENA'!J2</f>
        <v>5</v>
      </c>
      <c r="E6" s="51">
        <f t="shared" si="5"/>
        <v>32</v>
      </c>
      <c r="F6" s="51">
        <f>'RESUMEN TOTAL'!B1</f>
        <v>392</v>
      </c>
      <c r="G6" s="55">
        <f t="shared" si="6"/>
        <v>8.1632653061224483E-2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26</v>
      </c>
      <c r="C8" s="51">
        <f>'APAGADOS FIBRA'!L2</f>
        <v>31</v>
      </c>
      <c r="D8" s="51">
        <f>'APAGADOS ANTENA'!L2</f>
        <v>11</v>
      </c>
      <c r="E8" s="51">
        <f t="shared" ref="E8" si="7">B8+C8</f>
        <v>57</v>
      </c>
      <c r="F8" s="51">
        <f>'RESUMEN TOTAL'!B1</f>
        <v>392</v>
      </c>
      <c r="G8" s="55">
        <f t="shared" ref="G8" si="8">E8/F8</f>
        <v>0.14540816326530612</v>
      </c>
    </row>
    <row r="9" spans="1:7" x14ac:dyDescent="0.25">
      <c r="A9" s="25">
        <f>'APAGADOS RADIO'!M3</f>
        <v>44750</v>
      </c>
      <c r="B9" s="51">
        <f>'APAGADOS RADIO'!M2+D9</f>
        <v>18</v>
      </c>
      <c r="C9" s="51">
        <f>'APAGADOS FIBRA'!M2</f>
        <v>30</v>
      </c>
      <c r="D9" s="51">
        <f>'APAGADOS ANTENA'!M2</f>
        <v>8</v>
      </c>
      <c r="E9" s="51">
        <f t="shared" ref="E9" si="9">B9+C9</f>
        <v>48</v>
      </c>
      <c r="F9" s="51">
        <f>'RESUMEN TOTAL'!B1</f>
        <v>392</v>
      </c>
      <c r="G9" s="55">
        <f t="shared" ref="G9" si="10">E9/F9</f>
        <v>0.12244897959183673</v>
      </c>
    </row>
    <row r="10" spans="1:7" x14ac:dyDescent="0.25">
      <c r="A10" s="25">
        <f>'APAGADOS RADIO'!N3</f>
        <v>44751</v>
      </c>
      <c r="B10" s="51">
        <f>'APAGADOS RADIO'!N2+D10</f>
        <v>12</v>
      </c>
      <c r="C10" s="51">
        <f>'APAGADOS FIBRA'!N2</f>
        <v>22</v>
      </c>
      <c r="D10" s="51">
        <f>'APAGADOS ANTENA'!N2</f>
        <v>5</v>
      </c>
      <c r="E10" s="51">
        <f t="shared" ref="E10" si="11">B10+C10</f>
        <v>34</v>
      </c>
      <c r="F10" s="51">
        <f>'RESUMEN TOTAL'!B1</f>
        <v>392</v>
      </c>
      <c r="G10" s="55">
        <f t="shared" ref="G10" si="12">E10/F10</f>
        <v>8.673469387755102E-2</v>
      </c>
    </row>
    <row r="11" spans="1:7" x14ac:dyDescent="0.25">
      <c r="A11" s="25">
        <f>'APAGADOS RADIO'!O3</f>
        <v>44752</v>
      </c>
      <c r="B11" s="51">
        <f>'APAGADOS RADIO'!O2+D11</f>
        <v>10</v>
      </c>
      <c r="C11" s="51">
        <f>'APAGADOS FIBRA'!O2</f>
        <v>19</v>
      </c>
      <c r="D11" s="51">
        <f>'APAGADOS ANTENA'!O2</f>
        <v>5</v>
      </c>
      <c r="E11" s="51">
        <f t="shared" ref="E11" si="13">B11+C11</f>
        <v>29</v>
      </c>
      <c r="F11" s="51">
        <f>'RESUMEN TOTAL'!B1</f>
        <v>392</v>
      </c>
      <c r="G11" s="55">
        <f t="shared" ref="G11" si="14">E11/F11</f>
        <v>7.3979591836734693E-2</v>
      </c>
    </row>
    <row r="12" spans="1:7" x14ac:dyDescent="0.25">
      <c r="A12" s="25">
        <f>'APAGADOS RADIO'!P3</f>
        <v>44753</v>
      </c>
      <c r="B12" s="51">
        <f>'APAGADOS RADIO'!P2+D12</f>
        <v>10</v>
      </c>
      <c r="C12" s="51">
        <f>'APAGADOS FIBRA'!P2</f>
        <v>19</v>
      </c>
      <c r="D12" s="51">
        <f>'APAGADOS ANTENA'!P2</f>
        <v>5</v>
      </c>
      <c r="E12" s="51">
        <f t="shared" ref="E12" si="15">B12+C12</f>
        <v>29</v>
      </c>
      <c r="F12" s="51">
        <f>'RESUMEN TOTAL'!B1</f>
        <v>392</v>
      </c>
      <c r="G12" s="55">
        <f t="shared" ref="G12" si="16">E12/F12</f>
        <v>7.3979591836734693E-2</v>
      </c>
    </row>
    <row r="13" spans="1:7" x14ac:dyDescent="0.25">
      <c r="A13" s="25">
        <f>'APAGADOS RADIO'!Q3</f>
        <v>44754</v>
      </c>
      <c r="B13" s="51">
        <f>'APAGADOS RADIO'!Q2+D13</f>
        <v>13</v>
      </c>
      <c r="C13" s="51">
        <f>'APAGADOS FIBRA'!Q2</f>
        <v>20</v>
      </c>
      <c r="D13" s="51">
        <f>'APAGADOS ANTENA'!Q2</f>
        <v>5</v>
      </c>
      <c r="E13" s="51">
        <f t="shared" ref="E13:E14" si="17">B13+C13</f>
        <v>33</v>
      </c>
      <c r="F13" s="51">
        <f>'RESUMEN TOTAL'!B1</f>
        <v>392</v>
      </c>
      <c r="G13" s="55">
        <f t="shared" ref="G13:G14" si="18">E13/F13</f>
        <v>8.4183673469387751E-2</v>
      </c>
    </row>
    <row r="14" spans="1:7" x14ac:dyDescent="0.25">
      <c r="A14" s="25">
        <f>'APAGADOS RADIO'!R3</f>
        <v>44755</v>
      </c>
      <c r="B14" s="51">
        <f>'APAGADOS RADIO'!R2+D14</f>
        <v>13</v>
      </c>
      <c r="C14" s="51">
        <f>'APAGADOS FIBRA'!R2</f>
        <v>23</v>
      </c>
      <c r="D14" s="51">
        <f>'APAGADOS ANTENA'!R2</f>
        <v>5</v>
      </c>
      <c r="E14" s="51">
        <f t="shared" si="17"/>
        <v>36</v>
      </c>
      <c r="F14" s="51">
        <f>'RESUMEN TOTAL'!B1</f>
        <v>392</v>
      </c>
      <c r="G14" s="55">
        <f t="shared" si="18"/>
        <v>9.1836734693877556E-2</v>
      </c>
    </row>
    <row r="15" spans="1:7" x14ac:dyDescent="0.25">
      <c r="A15" s="25">
        <f>'APAGADOS RADIO'!S3</f>
        <v>44756</v>
      </c>
      <c r="B15" s="51">
        <f>'APAGADOS RADIO'!S2+D15</f>
        <v>13</v>
      </c>
      <c r="C15" s="51">
        <f>'APAGADOS FIBRA'!S2</f>
        <v>21</v>
      </c>
      <c r="D15" s="51">
        <f>'APAGADOS ANTENA'!S2</f>
        <v>6</v>
      </c>
      <c r="E15" s="51">
        <f t="shared" ref="E15" si="19">B15+C15</f>
        <v>34</v>
      </c>
      <c r="F15" s="51">
        <f>'RESUMEN TOTAL'!B1</f>
        <v>392</v>
      </c>
      <c r="G15" s="55">
        <f t="shared" ref="G15" si="20">E15/F15</f>
        <v>8.673469387755102E-2</v>
      </c>
    </row>
    <row r="16" spans="1:7" x14ac:dyDescent="0.25">
      <c r="A16" s="25">
        <f>'APAGADOS RADIO'!T3</f>
        <v>44757</v>
      </c>
      <c r="B16" s="51">
        <f>'APAGADOS RADIO'!T2+D16</f>
        <v>14</v>
      </c>
      <c r="C16" s="51">
        <f>'APAGADOS FIBRA'!T2</f>
        <v>19</v>
      </c>
      <c r="D16" s="51">
        <f>'APAGADOS ANTENA'!T2</f>
        <v>7</v>
      </c>
      <c r="E16" s="51">
        <f t="shared" ref="E16:E21" si="21">B16+C16</f>
        <v>33</v>
      </c>
      <c r="F16" s="51">
        <f>'RESUMEN TOTAL'!B1</f>
        <v>392</v>
      </c>
      <c r="G16" s="55">
        <f t="shared" ref="G16:G21" si="22">E16/F16</f>
        <v>8.4183673469387751E-2</v>
      </c>
    </row>
    <row r="17" spans="1:7" x14ac:dyDescent="0.25">
      <c r="A17" s="25">
        <f>'APAGADOS RADIO'!U3</f>
        <v>44758</v>
      </c>
      <c r="B17" s="51">
        <f>'APAGADOS RADIO'!U2+D17</f>
        <v>10</v>
      </c>
      <c r="C17" s="51">
        <f>'APAGADOS FIBRA'!U2</f>
        <v>18</v>
      </c>
      <c r="D17" s="51">
        <f>'APAGADOS ANTENA'!U2</f>
        <v>5</v>
      </c>
      <c r="E17" s="51">
        <f t="shared" si="21"/>
        <v>28</v>
      </c>
      <c r="F17" s="51">
        <f>'RESUMEN TOTAL'!B1</f>
        <v>392</v>
      </c>
      <c r="G17" s="55">
        <f t="shared" si="22"/>
        <v>7.1428571428571425E-2</v>
      </c>
    </row>
    <row r="18" spans="1:7" x14ac:dyDescent="0.25">
      <c r="A18" s="25">
        <f>'APAGADOS RADIO'!V3</f>
        <v>44759</v>
      </c>
      <c r="B18" s="51">
        <f>'APAGADOS RADIO'!V2+D18</f>
        <v>16</v>
      </c>
      <c r="C18" s="51">
        <f>'APAGADOS FIBRA'!V2</f>
        <v>47</v>
      </c>
      <c r="D18" s="51">
        <f>'APAGADOS ANTENA'!V2</f>
        <v>6</v>
      </c>
      <c r="E18" s="51">
        <f t="shared" si="21"/>
        <v>63</v>
      </c>
      <c r="F18" s="51">
        <f>'RESUMEN TOTAL'!B1</f>
        <v>392</v>
      </c>
      <c r="G18" s="55">
        <f t="shared" si="22"/>
        <v>0.16071428571428573</v>
      </c>
    </row>
    <row r="19" spans="1:7" x14ac:dyDescent="0.25">
      <c r="A19" s="25">
        <f>'APAGADOS RADIO'!W3</f>
        <v>44760</v>
      </c>
      <c r="B19" s="51">
        <f>'APAGADOS RADIO'!W2+D19</f>
        <v>12</v>
      </c>
      <c r="C19" s="51">
        <f>'APAGADOS FIBRA'!W2</f>
        <v>18</v>
      </c>
      <c r="D19" s="51">
        <f>'APAGADOS ANTENA'!W2</f>
        <v>5</v>
      </c>
      <c r="E19" s="51">
        <f t="shared" si="21"/>
        <v>30</v>
      </c>
      <c r="F19" s="51">
        <f>'RESUMEN TOTAL'!B1</f>
        <v>392</v>
      </c>
      <c r="G19" s="55">
        <f t="shared" si="22"/>
        <v>7.6530612244897961E-2</v>
      </c>
    </row>
    <row r="20" spans="1:7" x14ac:dyDescent="0.25">
      <c r="A20" s="25">
        <f>'APAGADOS RADIO'!X3</f>
        <v>44761</v>
      </c>
      <c r="B20" s="51">
        <f>'APAGADOS RADIO'!X2+D20</f>
        <v>12</v>
      </c>
      <c r="C20" s="51">
        <f>'APAGADOS FIBRA'!X2</f>
        <v>15</v>
      </c>
      <c r="D20" s="51">
        <f>'APAGADOS ANTENA'!X2</f>
        <v>5</v>
      </c>
      <c r="E20" s="51">
        <f t="shared" si="21"/>
        <v>27</v>
      </c>
      <c r="F20" s="51">
        <f>'RESUMEN TOTAL'!B1</f>
        <v>392</v>
      </c>
      <c r="G20" s="55">
        <f t="shared" si="22"/>
        <v>6.8877551020408156E-2</v>
      </c>
    </row>
    <row r="21" spans="1:7" x14ac:dyDescent="0.25">
      <c r="A21" s="25">
        <f>'APAGADOS RADIO'!Y3</f>
        <v>44762</v>
      </c>
      <c r="B21" s="51">
        <f>'APAGADOS RADIO'!Y2+D21</f>
        <v>8</v>
      </c>
      <c r="C21" s="51">
        <f>'APAGADOS FIBRA'!Y2</f>
        <v>16</v>
      </c>
      <c r="D21" s="51">
        <f>'APAGADOS ANTENA'!Y2</f>
        <v>3</v>
      </c>
      <c r="E21" s="51">
        <f t="shared" si="21"/>
        <v>24</v>
      </c>
      <c r="F21" s="51">
        <f>'RESUMEN TOTAL'!B1</f>
        <v>392</v>
      </c>
      <c r="G21" s="55">
        <f t="shared" si="22"/>
        <v>6.1224489795918366E-2</v>
      </c>
    </row>
    <row r="22" spans="1:7" x14ac:dyDescent="0.25">
      <c r="A22" s="25">
        <f>'APAGADOS RADIO'!Z3</f>
        <v>44763</v>
      </c>
      <c r="B22" s="51">
        <f>'APAGADOS RADIO'!Z2+D22</f>
        <v>8</v>
      </c>
      <c r="C22" s="51">
        <f>'APAGADOS FIBRA'!Z2</f>
        <v>15</v>
      </c>
      <c r="D22" s="51">
        <f>'APAGADOS ANTENA'!Z2</f>
        <v>2</v>
      </c>
      <c r="E22" s="51">
        <f t="shared" ref="E22" si="23">B22+C22</f>
        <v>23</v>
      </c>
      <c r="F22" s="51">
        <f>'RESUMEN TOTAL'!B1</f>
        <v>392</v>
      </c>
      <c r="G22" s="55">
        <f t="shared" ref="G22" si="24">E22/F22</f>
        <v>5.8673469387755105E-2</v>
      </c>
    </row>
    <row r="23" spans="1:7" x14ac:dyDescent="0.25">
      <c r="A23" s="25">
        <f>'APAGADOS RADIO'!AA3</f>
        <v>44764</v>
      </c>
      <c r="B23" s="51">
        <f>'APAGADOS RADIO'!AA2+D23</f>
        <v>10</v>
      </c>
      <c r="C23" s="51">
        <f>'APAGADOS FIBRA'!AA2</f>
        <v>15</v>
      </c>
      <c r="D23" s="51">
        <f>'APAGADOS ANTENA'!AA2</f>
        <v>2</v>
      </c>
      <c r="E23" s="51">
        <f t="shared" ref="E23" si="25">B23+C23</f>
        <v>25</v>
      </c>
      <c r="F23" s="51">
        <f>'RESUMEN TOTAL'!B1</f>
        <v>392</v>
      </c>
      <c r="G23" s="55">
        <f t="shared" ref="G23" si="26">E23/F23</f>
        <v>6.3775510204081634E-2</v>
      </c>
    </row>
    <row r="24" spans="1:7" x14ac:dyDescent="0.25">
      <c r="A24" s="25">
        <f>'APAGADOS RADIO'!AB3</f>
        <v>44765</v>
      </c>
      <c r="B24" s="51">
        <f>'APAGADOS RADIO'!AB2+D24</f>
        <v>12</v>
      </c>
      <c r="C24" s="51">
        <f>'APAGADOS FIBRA'!AB2</f>
        <v>23</v>
      </c>
      <c r="D24" s="51">
        <f>'APAGADOS ANTENA'!AB2</f>
        <v>6</v>
      </c>
      <c r="E24" s="51">
        <f t="shared" ref="E24:E26" si="27">B24+C24</f>
        <v>35</v>
      </c>
      <c r="F24" s="51">
        <f>'RESUMEN TOTAL'!B1</f>
        <v>392</v>
      </c>
      <c r="G24" s="55">
        <f t="shared" ref="G24:G26" si="28">E24/F24</f>
        <v>8.9285714285714288E-2</v>
      </c>
    </row>
    <row r="25" spans="1:7" x14ac:dyDescent="0.25">
      <c r="A25" s="25">
        <f>'APAGADOS RADIO'!AC3</f>
        <v>44766</v>
      </c>
      <c r="B25" s="51">
        <f>'APAGADOS RADIO'!AC2+D25</f>
        <v>14</v>
      </c>
      <c r="C25" s="51">
        <f>'APAGADOS FIBRA'!AC2</f>
        <v>22</v>
      </c>
      <c r="D25" s="51">
        <f>'APAGADOS ANTENA'!AC2</f>
        <v>6</v>
      </c>
      <c r="E25" s="51">
        <f t="shared" si="27"/>
        <v>36</v>
      </c>
      <c r="F25" s="51">
        <f>'RESUMEN TOTAL'!B1</f>
        <v>392</v>
      </c>
      <c r="G25" s="55">
        <f t="shared" si="28"/>
        <v>9.1836734693877556E-2</v>
      </c>
    </row>
    <row r="26" spans="1:7" x14ac:dyDescent="0.25">
      <c r="A26" s="25">
        <f>'APAGADOS RADIO'!AD3</f>
        <v>44767</v>
      </c>
      <c r="B26" s="51">
        <f>'APAGADOS RADIO'!AD2+D26</f>
        <v>12</v>
      </c>
      <c r="C26" s="51">
        <f>'APAGADOS FIBRA'!AD2</f>
        <v>26</v>
      </c>
      <c r="D26" s="51">
        <f>'APAGADOS ANTENA'!AD2</f>
        <v>6</v>
      </c>
      <c r="E26" s="51">
        <f t="shared" si="27"/>
        <v>38</v>
      </c>
      <c r="F26" s="51">
        <f>'RESUMEN TOTAL'!B1</f>
        <v>392</v>
      </c>
      <c r="G26" s="55">
        <f t="shared" si="28"/>
        <v>9.6938775510204078E-2</v>
      </c>
    </row>
    <row r="27" spans="1:7" x14ac:dyDescent="0.25">
      <c r="A27" s="25">
        <f>'APAGADOS RADIO'!AE3</f>
        <v>44768</v>
      </c>
      <c r="B27" s="51">
        <f>'APAGADOS RADIO'!AE2+D27</f>
        <v>12</v>
      </c>
      <c r="C27" s="51">
        <f>'APAGADOS FIBRA'!AE2</f>
        <v>28</v>
      </c>
      <c r="D27" s="51">
        <f>'APAGADOS ANTENA'!AE2</f>
        <v>6</v>
      </c>
      <c r="E27" s="51">
        <f t="shared" ref="E27" si="29">B27+C27</f>
        <v>40</v>
      </c>
      <c r="F27" s="51">
        <f>'RESUMEN TOTAL'!B1</f>
        <v>392</v>
      </c>
      <c r="G27" s="55">
        <f t="shared" ref="G27" si="30">E27/F27</f>
        <v>0.10204081632653061</v>
      </c>
    </row>
    <row r="28" spans="1:7" x14ac:dyDescent="0.25">
      <c r="A28" s="25">
        <f>'APAGADOS RADIO'!AF3</f>
        <v>44769</v>
      </c>
      <c r="B28" s="51"/>
      <c r="C28" s="51"/>
      <c r="D28" s="51"/>
      <c r="E28" s="51"/>
    </row>
    <row r="29" spans="1:7" x14ac:dyDescent="0.25">
      <c r="A29" s="25">
        <f>'APAGADOS RADIO'!AG3</f>
        <v>44770</v>
      </c>
      <c r="B29" s="51"/>
      <c r="C29" s="51"/>
      <c r="D29" s="51"/>
      <c r="E29" s="51"/>
    </row>
    <row r="30" spans="1:7" x14ac:dyDescent="0.25">
      <c r="A30" s="25">
        <f>'APAGADOS RADIO'!AH3</f>
        <v>44771</v>
      </c>
      <c r="B30" s="51"/>
      <c r="C30" s="51"/>
      <c r="D30" s="51"/>
      <c r="E30" s="51"/>
    </row>
    <row r="31" spans="1:7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7" workbookViewId="0">
      <selection activeCell="B35" sqref="B35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1207</v>
      </c>
      <c r="D1" s="61" t="s">
        <v>1208</v>
      </c>
    </row>
    <row r="2" spans="1:13" ht="16.5" thickTop="1" thickBot="1" x14ac:dyDescent="0.3">
      <c r="A2" s="58" t="s">
        <v>1204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1211</v>
      </c>
      <c r="M3" s="110">
        <v>44753</v>
      </c>
    </row>
    <row r="4" spans="1:13" x14ac:dyDescent="0.25">
      <c r="A4" s="59" t="s">
        <v>1206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1211</v>
      </c>
      <c r="M4" s="111"/>
    </row>
    <row r="5" spans="1:13" x14ac:dyDescent="0.25">
      <c r="A5" s="59" t="s">
        <v>1205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1212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1209</v>
      </c>
      <c r="M6" s="111"/>
    </row>
    <row r="7" spans="1:13" ht="15" customHeight="1" thickTop="1" x14ac:dyDescent="0.25">
      <c r="A7" s="58" t="s">
        <v>1204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1209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1209</v>
      </c>
      <c r="M8" s="116"/>
    </row>
    <row r="9" spans="1:13" ht="16.5" thickTop="1" thickBot="1" x14ac:dyDescent="0.3">
      <c r="A9" s="59" t="s">
        <v>1206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1205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1211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1213</v>
      </c>
      <c r="M11" s="111"/>
    </row>
    <row r="12" spans="1:13" ht="15.75" thickTop="1" x14ac:dyDescent="0.25">
      <c r="A12" s="58" t="s">
        <v>1204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1213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1214</v>
      </c>
      <c r="M13" s="111"/>
    </row>
    <row r="14" spans="1:13" x14ac:dyDescent="0.25">
      <c r="A14" s="59" t="s">
        <v>1206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1209</v>
      </c>
      <c r="M14" s="111"/>
    </row>
    <row r="15" spans="1:13" ht="15" customHeight="1" thickBot="1" x14ac:dyDescent="0.3">
      <c r="A15" s="59" t="s">
        <v>1205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1209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1401</v>
      </c>
      <c r="M16" s="110">
        <v>44763</v>
      </c>
    </row>
    <row r="17" spans="1:13" ht="15.75" thickTop="1" x14ac:dyDescent="0.25">
      <c r="A17" s="58" t="s">
        <v>1204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1213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1168</v>
      </c>
      <c r="L18" s="108" t="s">
        <v>1402</v>
      </c>
      <c r="M18" s="111"/>
    </row>
    <row r="19" spans="1:13" x14ac:dyDescent="0.25">
      <c r="A19" s="59" t="s">
        <v>1206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1027</v>
      </c>
      <c r="L19" s="108" t="s">
        <v>1209</v>
      </c>
      <c r="M19" s="111"/>
    </row>
    <row r="20" spans="1:13" x14ac:dyDescent="0.25">
      <c r="A20" s="59" t="s">
        <v>1205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1204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1206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1205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1204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1206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1205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1204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1206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1205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13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14"/>
    </row>
    <row r="40" spans="1:13" ht="15.75" thickTop="1" x14ac:dyDescent="0.25">
      <c r="A40" s="59"/>
      <c r="B40" s="70"/>
      <c r="C40" s="66"/>
      <c r="D40" s="63"/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/>
      <c r="B41" s="71"/>
      <c r="C41" s="67"/>
      <c r="D41" s="64"/>
      <c r="E41" s="115"/>
      <c r="G41" s="76"/>
      <c r="H41" s="77"/>
      <c r="I41" s="77"/>
      <c r="J41" s="77"/>
      <c r="K41" s="78"/>
      <c r="L41" s="79"/>
      <c r="M41" s="111"/>
    </row>
    <row r="42" spans="1:13" ht="15.75" thickTop="1" x14ac:dyDescent="0.25">
      <c r="G42" s="76"/>
      <c r="H42" s="77"/>
      <c r="I42" s="77"/>
      <c r="J42" s="77"/>
      <c r="K42" s="78"/>
      <c r="L42" s="79"/>
      <c r="M42" s="111"/>
    </row>
    <row r="43" spans="1:13" x14ac:dyDescent="0.25">
      <c r="G43" s="76"/>
      <c r="H43" s="77"/>
      <c r="I43" s="77"/>
      <c r="J43" s="77"/>
      <c r="K43" s="78"/>
      <c r="L43" s="79"/>
      <c r="M43" s="111"/>
    </row>
    <row r="44" spans="1:13" x14ac:dyDescent="0.25"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G45" s="80"/>
      <c r="H45" s="81"/>
      <c r="I45" s="81"/>
      <c r="J45" s="81"/>
      <c r="K45" s="81"/>
      <c r="L45" s="82"/>
      <c r="M45" s="112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2022-07-27T10:50:17Z</dcterms:modified>
</cp:coreProperties>
</file>