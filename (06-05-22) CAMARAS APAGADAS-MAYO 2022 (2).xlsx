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26F553E3-933B-4C67-9834-0E69C2B76738}" xr6:coauthVersionLast="47" xr6:coauthVersionMax="47" xr10:uidLastSave="{00000000-0000-0000-0000-000000000000}"/>
  <bookViews>
    <workbookView xWindow="-108" yWindow="-108" windowWidth="23256" windowHeight="13176" firstSheet="5" activeTab="8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PORCENTAJE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4" l="1"/>
  <c r="B7" i="14"/>
  <c r="D7" i="14"/>
  <c r="C7" i="14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E7" i="14" l="1"/>
  <c r="M377" i="2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N260" i="2" s="1"/>
  <c r="M261" i="2"/>
  <c r="M262" i="2"/>
  <c r="M263" i="2"/>
  <c r="M264" i="2"/>
  <c r="M265" i="2"/>
  <c r="M266" i="2"/>
  <c r="M267" i="2"/>
  <c r="M268" i="2"/>
  <c r="N268" i="2" s="1"/>
  <c r="M269" i="2"/>
  <c r="M270" i="2"/>
  <c r="M271" i="2"/>
  <c r="M272" i="2"/>
  <c r="M273" i="2"/>
  <c r="M274" i="2"/>
  <c r="M275" i="2"/>
  <c r="M276" i="2"/>
  <c r="N276" i="2" s="1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N300" i="2" s="1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N356" i="2" s="1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N249" i="2"/>
  <c r="N257" i="2"/>
  <c r="N331" i="2"/>
  <c r="N370" i="2"/>
  <c r="L247" i="2"/>
  <c r="L248" i="2"/>
  <c r="N248" i="2" s="1"/>
  <c r="L249" i="2"/>
  <c r="L250" i="2"/>
  <c r="N250" i="2" s="1"/>
  <c r="L251" i="2"/>
  <c r="L252" i="2"/>
  <c r="L253" i="2"/>
  <c r="L254" i="2"/>
  <c r="L255" i="2"/>
  <c r="L256" i="2"/>
  <c r="N256" i="2" s="1"/>
  <c r="L257" i="2"/>
  <c r="L258" i="2"/>
  <c r="N258" i="2" s="1"/>
  <c r="L259" i="2"/>
  <c r="N259" i="2" s="1"/>
  <c r="L260" i="2"/>
  <c r="L261" i="2"/>
  <c r="L262" i="2"/>
  <c r="L263" i="2"/>
  <c r="L264" i="2"/>
  <c r="N264" i="2" s="1"/>
  <c r="L265" i="2"/>
  <c r="N265" i="2" s="1"/>
  <c r="L266" i="2"/>
  <c r="N266" i="2" s="1"/>
  <c r="L267" i="2"/>
  <c r="N267" i="2" s="1"/>
  <c r="L268" i="2"/>
  <c r="L269" i="2"/>
  <c r="L270" i="2"/>
  <c r="L271" i="2"/>
  <c r="L272" i="2"/>
  <c r="L273" i="2"/>
  <c r="L274" i="2"/>
  <c r="N274" i="2" s="1"/>
  <c r="L275" i="2"/>
  <c r="N275" i="2" s="1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N312" i="2" s="1"/>
  <c r="L313" i="2"/>
  <c r="L314" i="2"/>
  <c r="N314" i="2" s="1"/>
  <c r="L315" i="2"/>
  <c r="N315" i="2" s="1"/>
  <c r="L316" i="2"/>
  <c r="L317" i="2"/>
  <c r="L318" i="2"/>
  <c r="L319" i="2"/>
  <c r="L320" i="2"/>
  <c r="L321" i="2"/>
  <c r="N321" i="2" s="1"/>
  <c r="L322" i="2"/>
  <c r="N322" i="2" s="1"/>
  <c r="L323" i="2"/>
  <c r="L324" i="2"/>
  <c r="L325" i="2"/>
  <c r="L326" i="2"/>
  <c r="L327" i="2"/>
  <c r="L328" i="2"/>
  <c r="L329" i="2"/>
  <c r="L330" i="2"/>
  <c r="N330" i="2" s="1"/>
  <c r="L331" i="2"/>
  <c r="L332" i="2"/>
  <c r="L333" i="2"/>
  <c r="L334" i="2"/>
  <c r="L335" i="2"/>
  <c r="L336" i="2"/>
  <c r="N336" i="2" s="1"/>
  <c r="L337" i="2"/>
  <c r="L338" i="2"/>
  <c r="N338" i="2" s="1"/>
  <c r="L339" i="2"/>
  <c r="N339" i="2" s="1"/>
  <c r="L340" i="2"/>
  <c r="L341" i="2"/>
  <c r="L342" i="2"/>
  <c r="L343" i="2"/>
  <c r="L344" i="2"/>
  <c r="L345" i="2"/>
  <c r="L346" i="2"/>
  <c r="N346" i="2" s="1"/>
  <c r="L347" i="2"/>
  <c r="L348" i="2"/>
  <c r="L349" i="2"/>
  <c r="L350" i="2"/>
  <c r="L351" i="2"/>
  <c r="L352" i="2"/>
  <c r="L353" i="2"/>
  <c r="N353" i="2" s="1"/>
  <c r="L354" i="2"/>
  <c r="N354" i="2" s="1"/>
  <c r="L355" i="2"/>
  <c r="L356" i="2"/>
  <c r="L357" i="2"/>
  <c r="L358" i="2"/>
  <c r="L359" i="2"/>
  <c r="L360" i="2"/>
  <c r="N360" i="2" s="1"/>
  <c r="L361" i="2"/>
  <c r="N361" i="2" s="1"/>
  <c r="L362" i="2"/>
  <c r="N362" i="2" s="1"/>
  <c r="L363" i="2"/>
  <c r="L364" i="2"/>
  <c r="L365" i="2"/>
  <c r="L366" i="2"/>
  <c r="L367" i="2"/>
  <c r="L368" i="2"/>
  <c r="N368" i="2" s="1"/>
  <c r="L369" i="2"/>
  <c r="N369" i="2" s="1"/>
  <c r="L370" i="2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L372" i="9"/>
  <c r="Q372" i="9"/>
  <c r="R372" i="9"/>
  <c r="S372" i="9"/>
  <c r="Z372" i="9"/>
  <c r="AA372" i="9"/>
  <c r="AG372" i="9"/>
  <c r="H373" i="9"/>
  <c r="I373" i="9"/>
  <c r="J373" i="9"/>
  <c r="P373" i="9"/>
  <c r="Q373" i="9"/>
  <c r="R373" i="9"/>
  <c r="Y373" i="9"/>
  <c r="Z373" i="9"/>
  <c r="AD373" i="9"/>
  <c r="AG373" i="9"/>
  <c r="G374" i="9"/>
  <c r="H374" i="9"/>
  <c r="I374" i="9"/>
  <c r="O374" i="9"/>
  <c r="P374" i="9"/>
  <c r="Q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347" i="2" l="1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C6" i="14" s="1"/>
  <c r="O2" i="10"/>
  <c r="N2" i="10"/>
  <c r="M2" i="10"/>
  <c r="L2" i="10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T2" i="11"/>
  <c r="N2" i="11"/>
  <c r="I2" i="11"/>
  <c r="B5" i="14" s="1"/>
  <c r="J2" i="11"/>
  <c r="B6" i="14" s="1"/>
  <c r="W2" i="1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6" i="14" l="1"/>
  <c r="G6" i="14" s="1"/>
  <c r="E5" i="14"/>
  <c r="G5" i="14" s="1"/>
  <c r="E3" i="14"/>
  <c r="G3" i="14" s="1"/>
  <c r="E4" i="14"/>
  <c r="G4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<sst xmlns="http://schemas.openxmlformats.org/spreadsheetml/2006/main" count="3018" uniqueCount="1350">
  <si>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</si>
  <si>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</si>
  <si>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</si>
  <si>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</si>
  <si>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</si>
  <si>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</si>
  <si>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</si>
  <si>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</si>
  <si>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</si>
  <si>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</si>
  <si>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</si>
  <si>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</si>
  <si>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</si>
  <si>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</si>
  <si>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</si>
  <si>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</si>
  <si>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</si>
  <si>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</si>
  <si>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</si>
  <si>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</si>
  <si>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</si>
  <si>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</si>
  <si>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</si>
  <si>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</si>
  <si>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</si>
  <si>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</si>
  <si>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</si>
  <si>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</si>
  <si>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</si>
  <si>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</si>
  <si>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</si>
  <si>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</si>
  <si>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</si>
  <si>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</si>
  <si>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</si>
  <si>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</si>
  <si>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</si>
  <si>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</si>
  <si>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</si>
  <si>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</si>
  <si>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</si>
  <si>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</si>
  <si>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</si>
  <si>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</si>
  <si>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</si>
  <si>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</si>
  <si>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</si>
  <si>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</si>
  <si>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</si>
  <si>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</si>
  <si>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</si>
  <si>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</si>
  <si>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</si>
  <si>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</si>
  <si>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</si>
  <si>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</si>
  <si>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</si>
  <si>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</si>
  <si>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</si>
  <si>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</si>
  <si>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</si>
  <si>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</si>
  <si>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</si>
  <si>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</si>
  <si>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</si>
  <si>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</si>
  <si>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</si>
  <si>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</si>
  <si>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</si>
  <si>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</si>
  <si>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</si>
  <si>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</si>
  <si>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</si>
  <si>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</si>
  <si>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</si>
  <si>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</si>
  <si>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</si>
  <si>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</si>
  <si>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</si>
  <si>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</si>
  <si>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</si>
  <si>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</si>
  <si>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</si>
  <si>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</si>
  <si>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</si>
  <si>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</si>
  <si>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</si>
  <si>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</si>
  <si>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</si>
  <si>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</si>
  <si>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</si>
  <si>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</si>
  <si>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</si>
  <si>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</si>
  <si>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</si>
  <si>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</si>
  <si>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</si>
  <si>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</si>
  <si>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</si>
  <si>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</si>
  <si>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</si>
  <si>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</si>
  <si>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</si>
  <si>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</si>
  <si>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</si>
  <si>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</si>
  <si>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</si>
  <si>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</si>
  <si>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</si>
  <si>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</si>
  <si>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</si>
  <si>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</si>
  <si>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</si>
  <si>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</si>
  <si>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</si>
  <si>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</si>
  <si>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</si>
  <si>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</si>
  <si>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</si>
  <si>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</si>
  <si>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</si>
  <si>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</si>
  <si>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</si>
  <si>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</si>
  <si>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</si>
  <si>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</si>
  <si>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</si>
  <si>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</si>
  <si>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</si>
  <si>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</si>
  <si>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</si>
  <si>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</si>
  <si>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</si>
  <si>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</si>
  <si>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</si>
  <si>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</si>
  <si>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</si>
  <si>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</si>
  <si>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</si>
  <si>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</si>
  <si>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</si>
  <si>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</si>
  <si>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</si>
  <si>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</si>
  <si>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</si>
  <si>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</si>
  <si>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</si>
  <si>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</si>
  <si>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</si>
  <si>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</si>
  <si>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</si>
  <si>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</si>
  <si>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</si>
  <si>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</si>
  <si>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</si>
  <si>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</si>
  <si>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</si>
  <si>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</si>
  <si>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</si>
  <si>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</si>
  <si>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</si>
  <si>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</si>
  <si>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</si>
  <si>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</si>
  <si>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</si>
  <si>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</si>
  <si>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</si>
  <si>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</si>
  <si>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</si>
  <si>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</si>
  <si>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</si>
  <si>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</si>
  <si>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</si>
  <si>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</si>
  <si>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</si>
  <si>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</si>
  <si>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</si>
  <si>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</si>
  <si>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</si>
  <si>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</si>
  <si>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</si>
  <si>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</si>
  <si>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</si>
  <si>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</si>
  <si>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</si>
  <si>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</si>
  <si>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</si>
  <si>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</si>
  <si>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</si>
  <si>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</si>
  <si>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</si>
  <si>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</si>
  <si>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</si>
  <si>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</si>
  <si>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</si>
  <si>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</si>
  <si>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</si>
  <si>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</si>
  <si>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</si>
  <si>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</si>
  <si>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</si>
  <si>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</si>
  <si>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</si>
  <si>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</si>
  <si>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</si>
  <si>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</si>
  <si>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</si>
  <si>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</si>
  <si>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</si>
  <si>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</si>
  <si>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</si>
  <si>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</si>
  <si>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</si>
  <si>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</si>
  <si>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</si>
  <si>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</si>
  <si>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</si>
  <si>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</si>
  <si>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</si>
  <si>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</si>
  <si>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</si>
  <si>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</si>
  <si>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</si>
  <si>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</si>
  <si>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</si>
  <si>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</si>
  <si>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</si>
  <si>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</si>
  <si>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</si>
  <si>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</si>
  <si>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</si>
  <si>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</si>
  <si>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</si>
  <si>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</si>
  <si>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</si>
  <si>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</si>
  <si>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</si>
  <si>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</si>
  <si>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</si>
  <si>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</si>
  <si>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</si>
  <si>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</si>
  <si>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</si>
  <si>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</si>
  <si>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</si>
  <si>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</si>
  <si>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</si>
  <si>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</si>
  <si>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</si>
  <si>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</si>
  <si>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</si>
  <si>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</si>
  <si>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</si>
  <si>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</si>
  <si>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</si>
  <si>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</si>
  <si>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</si>
  <si>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</si>
  <si>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</si>
  <si>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</si>
  <si>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</si>
  <si>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</si>
  <si>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</si>
  <si>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</si>
  <si>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</si>
  <si>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</si>
  <si>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</si>
  <si>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</si>
  <si>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</si>
  <si>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</si>
  <si>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</si>
  <si>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</si>
  <si>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</si>
  <si>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</si>
  <si>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</si>
  <si>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</si>
  <si>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</si>
  <si>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</si>
  <si>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</si>
  <si>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</si>
  <si>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</si>
  <si>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</si>
  <si>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</si>
  <si>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</si>
  <si>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</si>
  <si>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</si>
  <si>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</si>
  <si>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</si>
  <si>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</si>
  <si>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</si>
  <si>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</si>
  <si>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</si>
  <si>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</si>
  <si>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</si>
  <si>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</si>
  <si>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</si>
  <si>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</si>
  <si>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</si>
  <si>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</si>
  <si>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</si>
  <si>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</si>
  <si>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</si>
  <si>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</si>
  <si>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</si>
  <si>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</si>
  <si>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</si>
  <si>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</si>
  <si>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</si>
  <si>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</si>
  <si>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</si>
  <si>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</si>
  <si>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</si>
  <si>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</si>
  <si>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</si>
  <si>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</si>
  <si>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</si>
  <si>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</si>
  <si>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</si>
  <si>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</si>
  <si>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</si>
  <si>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</si>
  <si>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</si>
  <si>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</si>
  <si>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</si>
  <si>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</si>
  <si>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</si>
  <si>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</si>
  <si>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</si>
  <si>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</si>
  <si>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</si>
  <si>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</si>
  <si>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</si>
  <si>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</si>
  <si>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</si>
  <si>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</si>
  <si>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</si>
  <si>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</si>
  <si>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</si>
  <si>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</si>
  <si>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</si>
  <si>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</si>
  <si>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</si>
  <si>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</si>
  <si>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</si>
  <si>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</si>
  <si>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</si>
  <si>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</si>
  <si>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</si>
  <si>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</si>
  <si>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</si>
  <si>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</si>
  <si>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</si>
  <si>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</si>
  <si>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</si>
  <si>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</si>
  <si>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</si>
  <si>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</si>
  <si>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</si>
  <si>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</si>
  <si>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</si>
  <si>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</si>
  <si>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</si>
  <si>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</si>
  <si>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</si>
  <si>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</si>
  <si>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</si>
  <si>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</si>
  <si>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</si>
  <si>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</si>
  <si>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</si>
  <si>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</si>
  <si>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</si>
  <si>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</si>
  <si>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</si>
  <si>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</si>
  <si>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</si>
  <si>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</si>
  <si>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</si>
  <si>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</si>
  <si>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</si>
  <si>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</si>
  <si>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</si>
  <si>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</si>
  <si>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</si>
  <si>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</si>
  <si>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</si>
  <si>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</si>
  <si>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</si>
  <si>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</si>
  <si>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</si>
  <si>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</si>
  <si>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</si>
  <si>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</si>
  <si>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</si>
  <si>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</si>
  <si>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</si>
  <si>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</si>
  <si>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</si>
  <si>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</si>
  <si>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</si>
  <si>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</si>
  <si>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</si>
  <si>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</si>
  <si>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</si>
  <si>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</si>
  <si>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</si>
  <si>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</si>
  <si>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</si>
  <si>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</si>
  <si>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</si>
  <si>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</si>
  <si>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</si>
  <si>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</si>
  <si>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</si>
  <si>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</si>
  <si>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</si>
  <si>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</si>
  <si>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</si>
  <si>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</si>
  <si>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</si>
  <si>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</si>
  <si>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</si>
  <si>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</si>
  <si>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</si>
  <si>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</si>
  <si>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</si>
  <si>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</si>
  <si>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</si>
  <si>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</si>
  <si>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</si>
  <si>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</si>
  <si>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</si>
  <si>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</si>
  <si>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</si>
  <si>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</si>
  <si>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</si>
  <si>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</si>
  <si>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</si>
  <si>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</si>
  <si>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</si>
  <si>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</si>
  <si>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</si>
  <si>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</si>
  <si>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</si>
  <si>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</si>
  <si>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</si>
  <si>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</si>
  <si>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</si>
  <si>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</si>
  <si>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</si>
  <si>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</si>
  <si>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</si>
  <si>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</si>
  <si>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</si>
  <si>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</si>
  <si>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</si>
  <si>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</si>
  <si>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</si>
  <si>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</si>
  <si>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</si>
  <si>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</si>
  <si>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</si>
  <si>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</si>
  <si>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</si>
  <si>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</si>
  <si>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</si>
  <si>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</si>
  <si>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</si>
  <si>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</si>
  <si>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</si>
  <si>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</si>
  <si>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</si>
  <si>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</si>
  <si>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</si>
  <si>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</si>
  <si>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</si>
  <si>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</si>
  <si>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</si>
  <si>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</si>
  <si>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</si>
  <si>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</si>
  <si>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</si>
  <si>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</si>
  <si>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</si>
  <si>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</si>
  <si>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</si>
  <si>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</si>
  <si>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</si>
  <si>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</si>
  <si>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</si>
  <si>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</si>
  <si>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</si>
  <si>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</si>
  <si>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</si>
  <si>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</si>
  <si>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</si>
  <si>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</si>
  <si>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</si>
  <si>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</si>
  <si>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</si>
  <si>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</si>
  <si>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</si>
  <si>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</si>
  <si>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</si>
  <si>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</si>
  <si>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</si>
  <si>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</si>
  <si>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</si>
  <si>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</si>
  <si>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</si>
  <si>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</si>
  <si>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</si>
  <si>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</si>
  <si>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</si>
  <si>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</si>
  <si>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</si>
  <si>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</si>
  <si>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</si>
  <si>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</si>
  <si>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</si>
  <si>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</si>
  <si>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</si>
  <si>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</si>
  <si>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</si>
  <si>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</si>
  <si>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</si>
  <si>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</si>
  <si>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</si>
  <si>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</si>
  <si>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</si>
  <si>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</si>
  <si>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</si>
  <si>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</si>
  <si>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</si>
  <si>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</si>
  <si>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</si>
  <si>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</si>
  <si>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</si>
  <si>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</si>
  <si>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</si>
  <si>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</si>
  <si>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</si>
  <si>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</si>
  <si>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</si>
  <si>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</si>
  <si>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</si>
  <si>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</si>
  <si>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</si>
  <si>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</si>
  <si>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</si>
  <si>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</si>
  <si>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</si>
  <si>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</si>
  <si>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</si>
  <si>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</si>
  <si>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</si>
  <si>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</si>
  <si>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</si>
  <si>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</si>
  <si>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</si>
  <si>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</si>
  <si>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</si>
  <si>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</si>
  <si>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</si>
  <si>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</si>
  <si>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</si>
  <si>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</si>
  <si>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</si>
  <si>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</si>
  <si>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</si>
  <si>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</si>
  <si>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</si>
  <si>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</si>
  <si>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</si>
  <si>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</si>
  <si>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</si>
  <si>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</si>
  <si>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</si>
  <si>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</si>
  <si>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</si>
  <si>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</si>
  <si>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</si>
  <si>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</si>
  <si>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</si>
  <si>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</si>
  <si>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</si>
  <si>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</si>
  <si>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</si>
  <si>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</si>
  <si>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</si>
  <si>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</si>
  <si>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</si>
  <si>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</si>
  <si>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</si>
  <si>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</si>
  <si>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</si>
  <si>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</si>
  <si>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</si>
  <si>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</si>
  <si>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</si>
  <si>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</si>
  <si>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</si>
  <si>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</si>
  <si>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</si>
  <si>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</si>
  <si>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</si>
  <si>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</si>
  <si>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</si>
  <si>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</si>
  <si>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</si>
  <si>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</si>
  <si>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</si>
  <si>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</si>
  <si>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</si>
  <si>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</si>
  <si>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</si>
  <si>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</si>
  <si>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</si>
  <si>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</si>
  <si>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</si>
  <si>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</si>
  <si>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</si>
  <si>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</si>
  <si>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</si>
  <si>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</si>
  <si>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</si>
  <si>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</si>
  <si>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</si>
  <si>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</si>
  <si>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</si>
  <si>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</si>
  <si>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</si>
  <si>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</si>
  <si>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</si>
  <si>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</si>
  <si>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</si>
  <si>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</si>
  <si>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</si>
  <si>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</si>
  <si>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</si>
  <si>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</si>
  <si>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</si>
  <si>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</si>
  <si>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</si>
  <si>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</si>
  <si>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</si>
  <si>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</si>
  <si>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</si>
  <si>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</si>
  <si>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</si>
  <si>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</si>
  <si>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</si>
  <si>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</si>
  <si>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</si>
  <si>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</si>
  <si>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</si>
  <si>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</si>
  <si>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</si>
  <si>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</si>
  <si>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</si>
  <si>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</si>
  <si>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</si>
  <si>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</si>
  <si>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</si>
  <si>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</si>
  <si>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</si>
  <si>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</si>
  <si>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</si>
  <si>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</si>
  <si>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</si>
  <si>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</si>
  <si>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</si>
  <si>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</si>
  <si>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</si>
  <si>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</si>
  <si>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</si>
  <si>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</si>
  <si>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</si>
  <si>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</si>
  <si>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</si>
  <si>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</si>
  <si>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</si>
  <si>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</si>
  <si>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</si>
  <si>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</si>
  <si>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</si>
  <si>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</si>
  <si>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</si>
  <si>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</si>
  <si>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</si>
  <si>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</si>
  <si>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</si>
  <si>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</si>
  <si>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</si>
  <si>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</si>
  <si>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</si>
  <si>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</si>
  <si>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</si>
  <si>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</si>
  <si>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</si>
  <si>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</si>
  <si>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</si>
  <si>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</si>
  <si>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</si>
  <si>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</si>
  <si>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</si>
  <si>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</si>
  <si>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</si>
  <si>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</si>
  <si>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</si>
  <si>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</si>
  <si>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</si>
  <si>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</si>
  <si>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</si>
  <si>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</si>
  <si>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</si>
  <si>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</si>
  <si>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</si>
  <si>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</si>
  <si>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</si>
  <si>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</si>
  <si>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</si>
  <si>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</si>
  <si>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</si>
  <si>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</si>
  <si>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</si>
  <si>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</si>
  <si>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</si>
  <si>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</si>
  <si>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</si>
  <si>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</si>
  <si>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</si>
  <si>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</si>
  <si>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</si>
  <si>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</si>
  <si>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</si>
  <si>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</si>
  <si>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</si>
  <si>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</si>
  <si>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</si>
  <si>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</si>
  <si>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</si>
  <si>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</si>
  <si>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</si>
  <si>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</si>
  <si>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</si>
  <si>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</si>
  <si>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</si>
  <si>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</si>
  <si>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</si>
  <si>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</si>
  <si>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</si>
  <si>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</si>
  <si>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</si>
  <si>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</si>
  <si>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</si>
  <si>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</si>
  <si>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</si>
  <si>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</si>
  <si>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</si>
  <si>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</si>
  <si>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</si>
  <si>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</si>
  <si>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</si>
  <si>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</si>
  <si>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</si>
  <si>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</si>
  <si>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</si>
  <si>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</si>
  <si>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</si>
  <si>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</si>
  <si>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</si>
  <si>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</si>
  <si>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</si>
  <si>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</si>
  <si>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</si>
  <si>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</si>
  <si>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</si>
  <si>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</si>
  <si>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</si>
  <si>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</si>
  <si>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</si>
  <si>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</si>
  <si>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</si>
  <si>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</si>
  <si>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</si>
  <si>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</si>
  <si>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</si>
  <si>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</si>
  <si>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</si>
  <si>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</si>
  <si>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</si>
  <si>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</si>
  <si>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</si>
  <si>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</si>
  <si>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</si>
  <si>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</si>
  <si>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</si>
  <si>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</si>
  <si>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</si>
  <si>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</si>
  <si>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</si>
  <si>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</si>
  <si>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</si>
  <si>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</si>
  <si>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</si>
  <si>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</si>
  <si>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</si>
  <si>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</si>
  <si>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</si>
  <si>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</si>
  <si>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</si>
  <si>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</si>
  <si>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</si>
  <si>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</si>
  <si>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</si>
  <si>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</si>
  <si>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</si>
  <si>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</si>
  <si>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</si>
  <si>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</si>
  <si>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</si>
  <si>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</si>
  <si>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</si>
  <si>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</si>
  <si>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</si>
  <si>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</si>
  <si>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</si>
  <si>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</si>
  <si>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</si>
  <si>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</si>
  <si>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</si>
  <si>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</si>
  <si>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</si>
  <si>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</si>
  <si>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</si>
  <si>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</si>
  <si>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</si>
  <si>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</si>
  <si>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</si>
  <si>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</si>
  <si>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</si>
  <si>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</si>
  <si>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</si>
  <si>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</si>
  <si>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</si>
  <si>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</si>
  <si>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</si>
  <si>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</si>
  <si>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</si>
  <si>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</si>
  <si>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</si>
  <si>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</si>
  <si>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</si>
  <si>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</si>
  <si>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</si>
  <si>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</si>
  <si>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</si>
  <si>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</si>
  <si>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</si>
  <si>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</si>
  <si>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</si>
  <si>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</si>
  <si>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</si>
  <si>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</si>
  <si>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</si>
  <si>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</si>
  <si>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</si>
  <si>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</si>
  <si>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</si>
  <si>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</si>
  <si>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</si>
  <si>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</si>
  <si>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</si>
  <si>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</si>
  <si>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</si>
  <si>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</si>
  <si>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</si>
  <si>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</si>
  <si>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</si>
  <si>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</si>
  <si>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</si>
  <si>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</si>
  <si>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</si>
  <si>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</si>
  <si>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</si>
  <si>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</si>
  <si>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</si>
  <si>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</si>
  <si>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</si>
  <si>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</si>
  <si>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</si>
  <si>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</si>
  <si>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</si>
  <si>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</si>
  <si>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</si>
  <si>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</si>
  <si>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</si>
  <si>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</si>
  <si>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</si>
  <si>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</si>
  <si>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</si>
  <si>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</si>
  <si>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</si>
  <si>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</si>
  <si>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</si>
  <si>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</si>
  <si>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</si>
  <si>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</si>
  <si>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</si>
  <si>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</si>
  <si>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</si>
  <si>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</si>
  <si>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</si>
  <si>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</si>
  <si>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</si>
  <si>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</si>
  <si>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</si>
  <si>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</si>
  <si>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</si>
  <si>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</si>
  <si>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</si>
  <si>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</si>
  <si>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</si>
  <si>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</si>
  <si>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</si>
  <si>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</si>
  <si>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</si>
  <si>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</si>
  <si>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</si>
  <si>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</si>
  <si>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</si>
  <si>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</si>
  <si>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</si>
  <si>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</si>
  <si>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</si>
  <si>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</si>
  <si>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</si>
  <si>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</si>
  <si>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</si>
  <si>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</si>
  <si>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</si>
  <si>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</si>
  <si>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</si>
  <si>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</si>
  <si>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</si>
  <si>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</si>
  <si>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</si>
  <si>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</si>
  <si>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</si>
  <si>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</si>
  <si>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</si>
  <si>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</si>
  <si>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</si>
  <si>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</si>
  <si>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</si>
  <si>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</si>
  <si>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</si>
  <si>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</si>
  <si>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</si>
  <si>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</si>
  <si>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</si>
  <si>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</si>
  <si>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</si>
  <si>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</si>
  <si>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</si>
  <si>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</si>
  <si>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</si>
  <si>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</si>
  <si>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</si>
  <si>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</si>
  <si>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</si>
  <si>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</si>
  <si>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</si>
  <si>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</si>
  <si>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</si>
  <si>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</si>
  <si>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</si>
  <si>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</si>
  <si>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</si>
  <si>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</si>
  <si>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</si>
  <si>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</si>
  <si>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</si>
  <si>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</si>
  <si>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</si>
  <si>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</si>
  <si>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</si>
  <si>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</si>
  <si>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</si>
  <si>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</si>
  <si>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</si>
  <si>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</si>
  <si>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</si>
  <si>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</si>
  <si>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</si>
  <si>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</si>
  <si>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</si>
  <si>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</si>
  <si>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</si>
  <si>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</si>
  <si>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</si>
  <si>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</si>
  <si>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</si>
  <si>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</si>
  <si>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</si>
  <si>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</si>
  <si>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</si>
  <si>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</si>
  <si>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</si>
  <si>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</si>
  <si>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</si>
  <si>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</si>
  <si>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</si>
  <si>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</si>
  <si>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</si>
  <si>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</si>
  <si>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</si>
  <si>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</si>
  <si>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</si>
  <si>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</si>
  <si>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</si>
  <si>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</si>
  <si>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</si>
  <si>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</si>
  <si>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</si>
  <si>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</si>
  <si>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</si>
  <si>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</si>
  <si>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</si>
  <si>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</si>
  <si>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</si>
  <si>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</si>
  <si>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</si>
  <si>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</si>
  <si>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</si>
  <si>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</si>
  <si>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</si>
  <si>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</si>
  <si>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</si>
  <si>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</si>
  <si>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</si>
  <si>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</si>
  <si>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</si>
  <si>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</si>
  <si>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</si>
  <si>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</si>
  <si>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</si>
  <si>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</si>
  <si>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</si>
  <si>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</si>
  <si>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</si>
  <si>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</si>
  <si>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</si>
  <si>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</si>
  <si>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</si>
  <si>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</si>
  <si>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</si>
  <si>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</si>
  <si>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</si>
  <si>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</si>
  <si>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</si>
  <si>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</si>
  <si>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</si>
  <si>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</si>
  <si>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</si>
  <si>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</si>
  <si>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</si>
  <si>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</si>
  <si>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</si>
  <si>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</si>
  <si>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</si>
  <si>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</si>
  <si>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</si>
  <si>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</si>
  <si>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</si>
  <si>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</si>
  <si>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</si>
  <si>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</si>
  <si>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</si>
  <si>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</si>
  <si>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</si>
  <si>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</si>
  <si>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</si>
  <si>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</si>
  <si>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</si>
  <si>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</si>
  <si>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</si>
  <si>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</si>
  <si>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</si>
  <si>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</si>
  <si>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</si>
  <si>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</si>
  <si>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</si>
  <si>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</si>
  <si>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</si>
  <si>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</si>
  <si>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</si>
  <si>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</si>
  <si>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</si>
  <si>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</si>
  <si>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</si>
  <si>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</si>
  <si>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</si>
  <si>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</si>
  <si>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</si>
  <si>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</si>
  <si>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</si>
  <si>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</si>
  <si>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</si>
  <si>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</si>
  <si>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</si>
  <si>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</si>
  <si>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</si>
  <si>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</si>
  <si>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</si>
  <si>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</si>
  <si>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</si>
  <si>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</si>
  <si>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</si>
  <si>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</si>
  <si>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</si>
  <si>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</si>
  <si>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</si>
  <si>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</si>
  <si>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</si>
  <si>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</si>
  <si>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</si>
  <si>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</si>
  <si>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</si>
  <si>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</si>
  <si>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</si>
  <si>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</si>
  <si>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</si>
  <si>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</si>
  <si>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</si>
  <si>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</si>
  <si>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</si>
  <si>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</si>
  <si>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</si>
  <si>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</si>
  <si>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</si>
  <si>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</si>
  <si>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</si>
  <si>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</si>
  <si>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</si>
  <si>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</si>
  <si>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</si>
  <si>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</si>
  <si>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</si>
  <si>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</si>
  <si>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</si>
  <si>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</si>
  <si>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</si>
  <si>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</si>
  <si>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</si>
  <si>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</si>
  <si>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</si>
  <si>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</si>
  <si>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</si>
  <si>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</si>
  <si>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</si>
  <si>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</si>
  <si>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</si>
  <si>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</si>
  <si>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</si>
  <si>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</si>
  <si>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</si>
  <si>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</si>
  <si>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</si>
  <si>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</si>
  <si>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</si>
  <si>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</si>
  <si>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</si>
  <si>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</si>
  <si>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</si>
  <si>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</si>
  <si>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</si>
  <si>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</si>
  <si>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</si>
  <si>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</si>
  <si>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</si>
  <si>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</si>
  <si>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</si>
  <si>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</si>
  <si>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</si>
  <si>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</si>
  <si>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</si>
  <si>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</si>
  <si>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</si>
  <si>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</si>
  <si>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</si>
  <si>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</si>
  <si>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</si>
  <si>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</si>
  <si>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</si>
  <si>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</si>
  <si>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</si>
  <si>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</si>
  <si>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</si>
  <si>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</si>
  <si>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</si>
  <si>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</si>
  <si>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</si>
  <si>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</si>
  <si>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</si>
  <si>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</si>
  <si>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</si>
  <si>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</si>
  <si>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</si>
  <si>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</si>
  <si>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</si>
  <si>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</si>
  <si>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</si>
  <si>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</si>
  <si>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</si>
  <si>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</si>
  <si>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</si>
  <si>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</si>
  <si>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</si>
  <si>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</si>
  <si>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</si>
  <si>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</si>
  <si>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</si>
  <si>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</si>
  <si>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</si>
  <si>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</si>
  <si>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</si>
  <si>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</si>
  <si>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</si>
  <si>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</si>
  <si>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</si>
  <si>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</si>
  <si>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</si>
  <si>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</si>
  <si>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</si>
  <si>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</si>
  <si>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</si>
  <si>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</si>
  <si>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</si>
  <si>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</si>
  <si>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</si>
  <si>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</si>
  <si>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</si>
  <si>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</si>
  <si>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</si>
  <si>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</si>
  <si>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</si>
  <si>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</si>
  <si>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</si>
  <si>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</si>
  <si>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</si>
  <si>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</si>
  <si>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</si>
  <si>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</si>
  <si>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</si>
  <si>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</si>
  <si>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</si>
  <si>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</si>
  <si>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</si>
  <si>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</si>
  <si>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</si>
  <si>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</si>
  <si>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</si>
  <si>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</si>
  <si>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</si>
  <si>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</si>
  <si>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</si>
  <si>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</si>
  <si>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</si>
  <si>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</si>
  <si>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</si>
  <si>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</si>
  <si>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</si>
  <si>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</si>
  <si>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</si>
  <si>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</si>
  <si>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</si>
  <si>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</si>
  <si>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</si>
  <si>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</si>
  <si>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</si>
  <si>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</si>
  <si>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</si>
  <si>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</si>
  <si>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</si>
  <si>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</si>
  <si>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</si>
  <si>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</si>
  <si>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</si>
  <si>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</si>
  <si>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</si>
  <si>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</si>
  <si>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</si>
  <si>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</si>
  <si>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</si>
  <si>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</si>
  <si>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</si>
  <si>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</si>
  <si>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</si>
  <si>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</si>
  <si>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</si>
  <si>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</si>
  <si>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</si>
  <si>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</si>
  <si>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</si>
  <si>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</si>
  <si>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</si>
  <si>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</si>
  <si>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</si>
  <si>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</si>
  <si>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</si>
  <si>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</si>
  <si>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</si>
  <si>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</si>
  <si>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</si>
  <si>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</si>
  <si>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</si>
  <si>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</si>
  <si>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</si>
  <si>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</si>
  <si>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</si>
  <si>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</si>
  <si>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</si>
  <si>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</si>
  <si>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</si>
  <si>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</si>
  <si>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</si>
  <si>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</si>
  <si>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</si>
  <si>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</si>
  <si>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</si>
  <si>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</si>
  <si>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</si>
  <si>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</si>
  <si>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</si>
  <si>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</si>
  <si>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</si>
  <si>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</si>
  <si>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</si>
  <si>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</si>
  <si>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</si>
  <si>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</si>
  <si>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</si>
  <si>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</si>
  <si>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</si>
  <si>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</si>
  <si>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</si>
  <si>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</si>
  <si>
    <t>SANTA SOFIA Y ALVAR NUÑEZ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</si>
</sst>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</cellXfs>
  <cellStyles count="2">
    <cellStyle name="Normal" xfId="0" builtinId="0"/>
    <cellStyle name="Porcentaje" xfId="1" builtinId="5"/>
  </cellStyles>
  <dxfs count="500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zoomScale="90" zoomScaleNormal="90" workbookViewId="0">
      <pane xSplit="14" ySplit="4" topLeftCell="T206" activePane="bottomRight" state="frozen"/>
      <selection pane="topRight" activeCell="M1" sqref="M1"/>
      <selection pane="bottomLeft" activeCell="A5" sqref="A5"/>
      <selection pane="bottomRight" activeCell="T207" sqref="T207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5" width="9.44140625" style="22" bestFit="1" customWidth="1"/>
  </cols>
  <sheetData>
    <row r="1" spans="1:45" s="5" customFormat="1" ht="27.75" customHeight="1" thickTop="1" x14ac:dyDescent="0.3">
      <c r="A1" s="1" t="s">
        <v>0</v>
      </c>
      <c r="B1" s="55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0.125</v>
      </c>
      <c r="P1" s="4">
        <f t="shared" si="0"/>
        <v>9.2391304347826081E-2</v>
      </c>
      <c r="Q1" s="4">
        <f t="shared" si="0"/>
        <v>8.6956521739130432E-2</v>
      </c>
      <c r="R1" s="4">
        <f t="shared" si="0"/>
        <v>0.43206521739130432</v>
      </c>
      <c r="S1" s="4">
        <f t="shared" si="0"/>
        <v>0.15760869565217392</v>
      </c>
      <c r="T1" s="4">
        <f t="shared" si="0"/>
        <v>0.16129032258064516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/>
    </row>
    <row r="2" spans="1:45" s="11" customFormat="1" x14ac:dyDescent="0.3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COUNTIF(O5:O372, "")</f>
        <v>322</v>
      </c>
      <c r="P2" s="10">
        <f t="shared" ref="P2:AR2" si="2">COUNTIF(P5:P372, "")</f>
        <v>334</v>
      </c>
      <c r="Q2" s="10">
        <f t="shared" si="2"/>
        <v>336</v>
      </c>
      <c r="R2" s="10">
        <f t="shared" si="2"/>
        <v>209</v>
      </c>
      <c r="S2" s="10">
        <f t="shared" si="2"/>
        <v>310</v>
      </c>
      <c r="T2" s="10">
        <f t="shared" si="2"/>
        <v>312</v>
      </c>
      <c r="U2" s="10">
        <f t="shared" si="2"/>
        <v>368</v>
      </c>
      <c r="V2" s="10">
        <f t="shared" si="2"/>
        <v>368</v>
      </c>
      <c r="W2" s="10">
        <f t="shared" si="2"/>
        <v>368</v>
      </c>
      <c r="X2" s="10">
        <f t="shared" si="2"/>
        <v>368</v>
      </c>
      <c r="Y2" s="10">
        <f t="shared" si="2"/>
        <v>368</v>
      </c>
      <c r="Z2" s="10">
        <f t="shared" si="2"/>
        <v>368</v>
      </c>
      <c r="AA2" s="10">
        <f t="shared" si="2"/>
        <v>368</v>
      </c>
      <c r="AB2" s="10">
        <f t="shared" si="2"/>
        <v>368</v>
      </c>
      <c r="AC2" s="10">
        <f t="shared" si="2"/>
        <v>368</v>
      </c>
      <c r="AD2" s="10">
        <f t="shared" si="2"/>
        <v>368</v>
      </c>
      <c r="AE2" s="10">
        <f t="shared" si="2"/>
        <v>368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  <c r="AS2" s="10"/>
    </row>
    <row r="3" spans="1:45" s="11" customFormat="1" ht="15" thickBot="1" x14ac:dyDescent="0.35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32</v>
      </c>
      <c r="R3" s="14">
        <f t="shared" si="3"/>
        <v>159</v>
      </c>
      <c r="S3" s="14">
        <f t="shared" si="3"/>
        <v>58</v>
      </c>
      <c r="T3" s="14">
        <f t="shared" si="3"/>
        <v>60</v>
      </c>
      <c r="U3" s="14">
        <f t="shared" si="3"/>
        <v>0</v>
      </c>
      <c r="V3" s="14">
        <f t="shared" si="3"/>
        <v>0</v>
      </c>
      <c r="W3" s="14">
        <f t="shared" si="3"/>
        <v>0</v>
      </c>
      <c r="X3" s="14">
        <f t="shared" si="3"/>
        <v>0</v>
      </c>
      <c r="Y3" s="14">
        <f t="shared" si="3"/>
        <v>0</v>
      </c>
      <c r="Z3" s="14">
        <f t="shared" si="3"/>
        <v>0</v>
      </c>
      <c r="AA3" s="14">
        <f t="shared" si="3"/>
        <v>0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  <c r="AS3" s="14"/>
    </row>
    <row r="4" spans="1:45" s="11" customFormat="1" ht="30" thickTop="1" thickBot="1" x14ac:dyDescent="0.4">
      <c r="A4" t="s">
        <v>7</v>
      </c>
      <c r="B4" t="s">
        <v>1323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5.6" thickTop="1" thickBot="1" x14ac:dyDescent="0.35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 t="shared" ref="L5:L68" si="5">COUNTIF(O5:AP5,"")</f>
        <v>27</v>
      </c>
      <c r="M5" s="17">
        <f t="shared" ref="M5:M68" si="6">COUNTIF(O5:AP5,"APAGADO")</f>
        <v>1</v>
      </c>
      <c r="N5" s="18">
        <f t="shared" ref="N5:N68" si="7">(L5)/(M5+L5)</f>
        <v>0.9642857142857143</v>
      </c>
      <c r="O5" s="29"/>
      <c r="P5" s="19"/>
      <c r="Q5" s="19"/>
      <c r="R5" s="19"/>
      <c r="S5" s="29"/>
      <c r="T5" s="29" t="s">
        <v>1348</v>
      </c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" thickBot="1" x14ac:dyDescent="0.35">
      <c r="A6" t="s">
        <v>22</v>
      </c>
      <c r="B6" s="68"/>
      <c r="C6" s="67" t="s">
        <v>23</v>
      </c>
      <c r="D6" s="68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17">
        <f t="shared" si="5"/>
        <v>27</v>
      </c>
      <c r="M6" s="17">
        <f t="shared" si="6"/>
        <v>1</v>
      </c>
      <c r="N6" s="18">
        <f t="shared" si="7"/>
        <v>0.9642857142857143</v>
      </c>
      <c r="O6" s="27"/>
      <c r="P6" s="8"/>
      <c r="Q6" s="8"/>
      <c r="R6" s="8" t="s">
        <v>1348</v>
      </c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thickBot="1" x14ac:dyDescent="0.35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17">
        <f t="shared" si="5"/>
        <v>22</v>
      </c>
      <c r="M7" s="17">
        <f t="shared" si="6"/>
        <v>6</v>
      </c>
      <c r="N7" s="18">
        <f t="shared" si="7"/>
        <v>0.7857142857142857</v>
      </c>
      <c r="O7" s="27" t="s">
        <v>1348</v>
      </c>
      <c r="P7" s="8" t="s">
        <v>1348</v>
      </c>
      <c r="Q7" s="8" t="s">
        <v>1348</v>
      </c>
      <c r="R7" s="8" t="s">
        <v>1348</v>
      </c>
      <c r="S7" s="27" t="s">
        <v>1348</v>
      </c>
      <c r="T7" s="27" t="s">
        <v>1348</v>
      </c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thickBot="1" x14ac:dyDescent="0.35">
      <c r="A8" t="s">
        <v>22</v>
      </c>
      <c r="B8" s="68"/>
      <c r="C8" s="67" t="s">
        <v>29</v>
      </c>
      <c r="D8" s="68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17">
        <f t="shared" si="5"/>
        <v>27</v>
      </c>
      <c r="M8" s="17">
        <f t="shared" si="6"/>
        <v>1</v>
      </c>
      <c r="N8" s="18">
        <f t="shared" si="7"/>
        <v>0.9642857142857143</v>
      </c>
      <c r="O8" s="27"/>
      <c r="P8" s="8"/>
      <c r="Q8" s="8"/>
      <c r="R8" s="8" t="s">
        <v>1348</v>
      </c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thickBot="1" x14ac:dyDescent="0.35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thickBot="1" x14ac:dyDescent="0.35">
      <c r="A10" t="s">
        <v>34</v>
      </c>
      <c r="B10" s="68"/>
      <c r="C10" s="69" t="s">
        <v>948</v>
      </c>
      <c r="D10" s="68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17">
        <f t="shared" si="5"/>
        <v>25</v>
      </c>
      <c r="M10" s="17">
        <f t="shared" si="6"/>
        <v>3</v>
      </c>
      <c r="N10" s="18">
        <f t="shared" si="7"/>
        <v>0.8928571428571429</v>
      </c>
      <c r="O10" s="27"/>
      <c r="P10" s="8"/>
      <c r="Q10" s="8"/>
      <c r="R10" s="8" t="s">
        <v>1348</v>
      </c>
      <c r="S10" s="27" t="s">
        <v>1348</v>
      </c>
      <c r="T10" s="27" t="s">
        <v>1348</v>
      </c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" thickBot="1" x14ac:dyDescent="0.35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17">
        <f t="shared" si="5"/>
        <v>23</v>
      </c>
      <c r="M11" s="17">
        <f t="shared" si="6"/>
        <v>5</v>
      </c>
      <c r="N11" s="18">
        <f t="shared" si="7"/>
        <v>0.8214285714285714</v>
      </c>
      <c r="O11" s="27" t="s">
        <v>1348</v>
      </c>
      <c r="P11" s="8" t="s">
        <v>1348</v>
      </c>
      <c r="Q11" s="8" t="s">
        <v>1348</v>
      </c>
      <c r="R11" s="8" t="s">
        <v>1348</v>
      </c>
      <c r="S11" s="27" t="s">
        <v>1348</v>
      </c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thickBot="1" x14ac:dyDescent="0.35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17">
        <f t="shared" si="5"/>
        <v>26</v>
      </c>
      <c r="M12" s="17">
        <f t="shared" si="6"/>
        <v>2</v>
      </c>
      <c r="N12" s="18">
        <f t="shared" si="7"/>
        <v>0.9285714285714286</v>
      </c>
      <c r="O12" s="27"/>
      <c r="P12" s="8"/>
      <c r="Q12" s="8"/>
      <c r="R12" s="8" t="s">
        <v>1348</v>
      </c>
      <c r="S12" s="27" t="s">
        <v>1348</v>
      </c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thickBot="1" x14ac:dyDescent="0.35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" thickBot="1" x14ac:dyDescent="0.35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17">
        <f t="shared" si="5"/>
        <v>28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" thickBot="1" x14ac:dyDescent="0.35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" thickBot="1" x14ac:dyDescent="0.35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 t="s">
        <v>1348</v>
      </c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" thickBot="1" x14ac:dyDescent="0.35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" thickBot="1" x14ac:dyDescent="0.35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" thickBot="1" x14ac:dyDescent="0.35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17">
        <f t="shared" si="5"/>
        <v>27</v>
      </c>
      <c r="M19" s="17">
        <f t="shared" si="6"/>
        <v>1</v>
      </c>
      <c r="N19" s="18">
        <f t="shared" si="7"/>
        <v>0.9642857142857143</v>
      </c>
      <c r="O19" s="27"/>
      <c r="P19" s="8"/>
      <c r="Q19" s="8"/>
      <c r="R19" s="8" t="s">
        <v>1348</v>
      </c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thickBot="1" x14ac:dyDescent="0.35">
      <c r="A20" t="s">
        <v>34</v>
      </c>
      <c r="B20" s="68"/>
      <c r="C20" s="69" t="s">
        <v>954</v>
      </c>
      <c r="D20" s="68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" thickBot="1" x14ac:dyDescent="0.35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thickBot="1" x14ac:dyDescent="0.35">
      <c r="B22" s="68"/>
      <c r="C22" s="69" t="s">
        <v>1007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17">
        <f t="shared" si="5"/>
        <v>27</v>
      </c>
      <c r="M22" s="17">
        <f t="shared" si="6"/>
        <v>1</v>
      </c>
      <c r="N22" s="18">
        <f t="shared" si="7"/>
        <v>0.9642857142857143</v>
      </c>
      <c r="O22" s="27" t="s">
        <v>1348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" thickBot="1" x14ac:dyDescent="0.35">
      <c r="B23" s="68"/>
      <c r="C23" s="69" t="s">
        <v>1010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thickBot="1" x14ac:dyDescent="0.35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thickBot="1" x14ac:dyDescent="0.35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thickBot="1" x14ac:dyDescent="0.35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thickBot="1" x14ac:dyDescent="0.35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thickBot="1" x14ac:dyDescent="0.35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17">
        <f t="shared" si="5"/>
        <v>23</v>
      </c>
      <c r="M28" s="17">
        <f t="shared" si="6"/>
        <v>5</v>
      </c>
      <c r="N28" s="18">
        <f t="shared" si="7"/>
        <v>0.8214285714285714</v>
      </c>
      <c r="O28" s="27" t="s">
        <v>1348</v>
      </c>
      <c r="P28" s="8" t="s">
        <v>1348</v>
      </c>
      <c r="Q28" s="8" t="s">
        <v>1348</v>
      </c>
      <c r="R28" s="8" t="s">
        <v>1348</v>
      </c>
      <c r="S28" s="27" t="s">
        <v>1348</v>
      </c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thickBot="1" x14ac:dyDescent="0.35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17">
        <f t="shared" si="5"/>
        <v>27</v>
      </c>
      <c r="M29" s="17">
        <f t="shared" si="6"/>
        <v>1</v>
      </c>
      <c r="N29" s="18">
        <f t="shared" si="7"/>
        <v>0.9642857142857143</v>
      </c>
      <c r="O29" s="27"/>
      <c r="P29" s="8"/>
      <c r="Q29" s="8"/>
      <c r="R29" s="8" t="s">
        <v>1348</v>
      </c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" thickBot="1" x14ac:dyDescent="0.35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17">
        <f t="shared" si="5"/>
        <v>28</v>
      </c>
      <c r="M30" s="17">
        <f t="shared" si="6"/>
        <v>0</v>
      </c>
      <c r="N30" s="18">
        <f t="shared" si="7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" thickBot="1" x14ac:dyDescent="0.35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thickBot="1" x14ac:dyDescent="0.35">
      <c r="A32" t="s">
        <v>80</v>
      </c>
      <c r="B32" s="68"/>
      <c r="C32" s="69" t="s">
        <v>98</v>
      </c>
      <c r="D32" s="68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17">
        <f t="shared" si="5"/>
        <v>26</v>
      </c>
      <c r="M32" s="17">
        <f t="shared" si="6"/>
        <v>2</v>
      </c>
      <c r="N32" s="18">
        <f t="shared" si="7"/>
        <v>0.9285714285714286</v>
      </c>
      <c r="O32" s="27" t="s">
        <v>1348</v>
      </c>
      <c r="P32" s="8"/>
      <c r="Q32" s="8"/>
      <c r="R32" s="8" t="s">
        <v>1348</v>
      </c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thickBot="1" x14ac:dyDescent="0.35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17">
        <f t="shared" si="5"/>
        <v>27</v>
      </c>
      <c r="M33" s="17">
        <f t="shared" si="6"/>
        <v>1</v>
      </c>
      <c r="N33" s="18">
        <f t="shared" si="7"/>
        <v>0.9642857142857143</v>
      </c>
      <c r="O33" s="27"/>
      <c r="P33" s="8"/>
      <c r="Q33" s="8"/>
      <c r="R33" s="8" t="s">
        <v>1348</v>
      </c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thickBot="1" x14ac:dyDescent="0.35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" thickBot="1" x14ac:dyDescent="0.35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" thickBot="1" x14ac:dyDescent="0.35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" thickBot="1" x14ac:dyDescent="0.35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thickBot="1" x14ac:dyDescent="0.35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thickBot="1" x14ac:dyDescent="0.35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thickBot="1" x14ac:dyDescent="0.35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17">
        <f t="shared" si="5"/>
        <v>27</v>
      </c>
      <c r="M40" s="17">
        <f t="shared" si="6"/>
        <v>1</v>
      </c>
      <c r="N40" s="18">
        <f t="shared" si="7"/>
        <v>0.9642857142857143</v>
      </c>
      <c r="O40" s="27"/>
      <c r="P40" s="8"/>
      <c r="Q40" s="8"/>
      <c r="R40" s="8" t="s">
        <v>1348</v>
      </c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thickBot="1" x14ac:dyDescent="0.35">
      <c r="A41" t="s">
        <v>80</v>
      </c>
      <c r="B41" s="68"/>
      <c r="C41" s="69" t="s">
        <v>124</v>
      </c>
      <c r="D41" s="68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thickBot="1" x14ac:dyDescent="0.35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thickBot="1" x14ac:dyDescent="0.35">
      <c r="A43" t="s">
        <v>80</v>
      </c>
      <c r="B43" s="68"/>
      <c r="C43" s="69" t="s">
        <v>130</v>
      </c>
      <c r="D43" s="68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thickBot="1" x14ac:dyDescent="0.35">
      <c r="A44" t="s">
        <v>80</v>
      </c>
      <c r="B44" s="68"/>
      <c r="C44" s="69" t="s">
        <v>133</v>
      </c>
      <c r="D44" s="68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thickBot="1" x14ac:dyDescent="0.35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 t="s">
        <v>1348</v>
      </c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thickBot="1" x14ac:dyDescent="0.35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thickBot="1" x14ac:dyDescent="0.35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17">
        <f t="shared" si="5"/>
        <v>27</v>
      </c>
      <c r="M47" s="17">
        <f t="shared" si="6"/>
        <v>1</v>
      </c>
      <c r="N47" s="18">
        <f t="shared" si="7"/>
        <v>0.9642857142857143</v>
      </c>
      <c r="O47" s="27"/>
      <c r="P47" s="8"/>
      <c r="Q47" s="8"/>
      <c r="R47" s="8" t="s">
        <v>1348</v>
      </c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thickBot="1" x14ac:dyDescent="0.35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17">
        <f t="shared" si="5"/>
        <v>27</v>
      </c>
      <c r="M48" s="17">
        <f t="shared" si="6"/>
        <v>1</v>
      </c>
      <c r="N48" s="18">
        <f t="shared" si="7"/>
        <v>0.9642857142857143</v>
      </c>
      <c r="O48" s="27"/>
      <c r="P48" s="8"/>
      <c r="Q48" s="8"/>
      <c r="R48" s="8" t="s">
        <v>1348</v>
      </c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thickBot="1" x14ac:dyDescent="0.35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thickBot="1" x14ac:dyDescent="0.35">
      <c r="A50" t="s">
        <v>80</v>
      </c>
      <c r="B50" s="68"/>
      <c r="C50" s="69" t="s">
        <v>150</v>
      </c>
      <c r="D50" s="68" t="s">
        <v>1325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thickBot="1" x14ac:dyDescent="0.35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" thickBot="1" x14ac:dyDescent="0.35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thickBot="1" x14ac:dyDescent="0.35">
      <c r="B53" s="68"/>
      <c r="C53" s="69" t="s">
        <v>159</v>
      </c>
      <c r="D53" s="68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" thickBot="1" x14ac:dyDescent="0.35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17">
        <f t="shared" si="5"/>
        <v>27</v>
      </c>
      <c r="M54" s="17">
        <f t="shared" si="6"/>
        <v>1</v>
      </c>
      <c r="N54" s="18">
        <f t="shared" si="7"/>
        <v>0.9642857142857143</v>
      </c>
      <c r="O54" s="27"/>
      <c r="P54" s="8"/>
      <c r="Q54" s="8"/>
      <c r="R54" s="8" t="s">
        <v>1348</v>
      </c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thickBot="1" x14ac:dyDescent="0.35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17">
        <f t="shared" si="5"/>
        <v>27</v>
      </c>
      <c r="M55" s="17">
        <f t="shared" si="6"/>
        <v>1</v>
      </c>
      <c r="N55" s="18">
        <f t="shared" si="7"/>
        <v>0.9642857142857143</v>
      </c>
      <c r="O55" s="27"/>
      <c r="P55" s="8"/>
      <c r="Q55" s="8"/>
      <c r="R55" s="8" t="s">
        <v>1348</v>
      </c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thickBot="1" x14ac:dyDescent="0.35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17">
        <f t="shared" si="5"/>
        <v>27</v>
      </c>
      <c r="M56" s="17">
        <f t="shared" si="6"/>
        <v>1</v>
      </c>
      <c r="N56" s="18">
        <f t="shared" si="7"/>
        <v>0.9642857142857143</v>
      </c>
      <c r="O56" s="27"/>
      <c r="P56" s="8"/>
      <c r="Q56" s="8"/>
      <c r="R56" s="8" t="s">
        <v>1348</v>
      </c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thickBot="1" x14ac:dyDescent="0.35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thickBot="1" x14ac:dyDescent="0.35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17">
        <f t="shared" si="5"/>
        <v>25</v>
      </c>
      <c r="M58" s="17">
        <f t="shared" si="6"/>
        <v>3</v>
      </c>
      <c r="N58" s="18">
        <f t="shared" si="7"/>
        <v>0.8928571428571429</v>
      </c>
      <c r="O58" s="27" t="s">
        <v>1348</v>
      </c>
      <c r="P58" s="8" t="s">
        <v>1348</v>
      </c>
      <c r="Q58" s="8"/>
      <c r="R58" s="8" t="s">
        <v>1348</v>
      </c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thickBot="1" x14ac:dyDescent="0.35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thickBot="1" x14ac:dyDescent="0.35">
      <c r="A60" t="s">
        <v>80</v>
      </c>
      <c r="B60" s="68"/>
      <c r="C60" s="69" t="s">
        <v>179</v>
      </c>
      <c r="D60" s="68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17">
        <f t="shared" si="5"/>
        <v>27</v>
      </c>
      <c r="M60" s="17">
        <f t="shared" si="6"/>
        <v>1</v>
      </c>
      <c r="N60" s="18">
        <f t="shared" si="7"/>
        <v>0.9642857142857143</v>
      </c>
      <c r="O60" s="27"/>
      <c r="P60" s="8"/>
      <c r="Q60" s="8"/>
      <c r="R60" s="8" t="s">
        <v>1348</v>
      </c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thickBot="1" x14ac:dyDescent="0.35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thickBot="1" x14ac:dyDescent="0.35">
      <c r="A62" t="s">
        <v>80</v>
      </c>
      <c r="B62" s="68"/>
      <c r="C62" s="69" t="s">
        <v>184</v>
      </c>
      <c r="D62" s="68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 t="s">
        <v>1348</v>
      </c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" thickBot="1" x14ac:dyDescent="0.35">
      <c r="A63" t="s">
        <v>80</v>
      </c>
      <c r="B63" s="68"/>
      <c r="C63" s="69" t="s">
        <v>186</v>
      </c>
      <c r="D63" s="68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" thickBot="1" x14ac:dyDescent="0.35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thickBot="1" x14ac:dyDescent="0.35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" thickBot="1" x14ac:dyDescent="0.35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17">
        <f t="shared" si="5"/>
        <v>22</v>
      </c>
      <c r="M66" s="17">
        <f t="shared" si="6"/>
        <v>6</v>
      </c>
      <c r="N66" s="18">
        <f t="shared" si="7"/>
        <v>0.7857142857142857</v>
      </c>
      <c r="O66" s="27" t="s">
        <v>1348</v>
      </c>
      <c r="P66" s="8" t="s">
        <v>1348</v>
      </c>
      <c r="Q66" s="8" t="s">
        <v>1348</v>
      </c>
      <c r="R66" s="8" t="s">
        <v>1348</v>
      </c>
      <c r="S66" s="27" t="s">
        <v>1348</v>
      </c>
      <c r="T66" s="27" t="s">
        <v>1348</v>
      </c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thickBot="1" x14ac:dyDescent="0.35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" thickBot="1" x14ac:dyDescent="0.35">
      <c r="A68" t="s">
        <v>80</v>
      </c>
      <c r="B68" s="68"/>
      <c r="C68" s="69" t="s">
        <v>197</v>
      </c>
      <c r="D68" s="68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" thickBot="1" x14ac:dyDescent="0.35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thickBot="1" x14ac:dyDescent="0.35">
      <c r="A70" t="s">
        <v>80</v>
      </c>
      <c r="B70" s="68"/>
      <c r="C70" s="69" t="s">
        <v>200</v>
      </c>
      <c r="D70" s="68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" thickBot="1" x14ac:dyDescent="0.35">
      <c r="A71" t="s">
        <v>80</v>
      </c>
      <c r="B71" s="68"/>
      <c r="C71" s="69" t="s">
        <v>201</v>
      </c>
      <c r="D71" s="68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thickBot="1" x14ac:dyDescent="0.35">
      <c r="A72" t="s">
        <v>80</v>
      </c>
      <c r="B72" s="68"/>
      <c r="C72" s="69" t="s">
        <v>202</v>
      </c>
      <c r="D72" s="68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17">
        <f t="shared" si="8"/>
        <v>27</v>
      </c>
      <c r="M72" s="17">
        <f t="shared" si="9"/>
        <v>1</v>
      </c>
      <c r="N72" s="18">
        <f t="shared" si="10"/>
        <v>0.9642857142857143</v>
      </c>
      <c r="O72" s="27"/>
      <c r="P72" s="8"/>
      <c r="Q72" s="8"/>
      <c r="R72" s="8" t="s">
        <v>1348</v>
      </c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thickBot="1" x14ac:dyDescent="0.35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thickBot="1" x14ac:dyDescent="0.35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thickBot="1" x14ac:dyDescent="0.35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17">
        <f t="shared" si="8"/>
        <v>27</v>
      </c>
      <c r="M75" s="17">
        <f t="shared" si="9"/>
        <v>1</v>
      </c>
      <c r="N75" s="18">
        <f t="shared" si="10"/>
        <v>0.9642857142857143</v>
      </c>
      <c r="O75" s="27"/>
      <c r="P75" s="8"/>
      <c r="Q75" s="8"/>
      <c r="R75" s="8" t="s">
        <v>1348</v>
      </c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thickBot="1" x14ac:dyDescent="0.35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17">
        <f t="shared" si="8"/>
        <v>27</v>
      </c>
      <c r="M76" s="17">
        <f t="shared" si="9"/>
        <v>1</v>
      </c>
      <c r="N76" s="18">
        <f t="shared" si="10"/>
        <v>0.9642857142857143</v>
      </c>
      <c r="O76" s="27"/>
      <c r="P76" s="8"/>
      <c r="Q76" s="8"/>
      <c r="R76" s="8" t="s">
        <v>1348</v>
      </c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thickBot="1" x14ac:dyDescent="0.35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17">
        <f t="shared" si="8"/>
        <v>27</v>
      </c>
      <c r="M77" s="17">
        <f t="shared" si="9"/>
        <v>1</v>
      </c>
      <c r="N77" s="18">
        <f t="shared" si="10"/>
        <v>0.9642857142857143</v>
      </c>
      <c r="O77" s="27"/>
      <c r="P77" s="8"/>
      <c r="Q77" s="8"/>
      <c r="R77" s="8" t="s">
        <v>1348</v>
      </c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thickBot="1" x14ac:dyDescent="0.35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1348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thickBot="1" x14ac:dyDescent="0.35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thickBot="1" x14ac:dyDescent="0.35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17">
        <f t="shared" si="8"/>
        <v>22</v>
      </c>
      <c r="M80" s="17">
        <f t="shared" si="9"/>
        <v>6</v>
      </c>
      <c r="N80" s="18">
        <f t="shared" si="10"/>
        <v>0.7857142857142857</v>
      </c>
      <c r="O80" s="27" t="s">
        <v>1348</v>
      </c>
      <c r="P80" s="8" t="s">
        <v>1348</v>
      </c>
      <c r="Q80" s="8" t="s">
        <v>1348</v>
      </c>
      <c r="R80" s="8" t="s">
        <v>1348</v>
      </c>
      <c r="S80" s="27" t="s">
        <v>1348</v>
      </c>
      <c r="T80" s="27" t="s">
        <v>1348</v>
      </c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" thickBot="1" x14ac:dyDescent="0.35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17">
        <f t="shared" si="8"/>
        <v>23</v>
      </c>
      <c r="M81" s="17">
        <f t="shared" si="9"/>
        <v>5</v>
      </c>
      <c r="N81" s="18">
        <f t="shared" si="10"/>
        <v>0.8214285714285714</v>
      </c>
      <c r="O81" s="27" t="s">
        <v>1348</v>
      </c>
      <c r="P81" s="8" t="s">
        <v>1348</v>
      </c>
      <c r="Q81" s="8" t="s">
        <v>1348</v>
      </c>
      <c r="R81" s="8" t="s">
        <v>1348</v>
      </c>
      <c r="S81" s="27" t="s">
        <v>1348</v>
      </c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thickBot="1" x14ac:dyDescent="0.35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17">
        <f t="shared" si="8"/>
        <v>23</v>
      </c>
      <c r="M82" s="17">
        <f t="shared" si="9"/>
        <v>5</v>
      </c>
      <c r="N82" s="18">
        <f t="shared" si="10"/>
        <v>0.8214285714285714</v>
      </c>
      <c r="O82" s="27" t="s">
        <v>1348</v>
      </c>
      <c r="P82" s="8" t="s">
        <v>1348</v>
      </c>
      <c r="Q82" s="8" t="s">
        <v>1348</v>
      </c>
      <c r="R82" s="8" t="s">
        <v>1348</v>
      </c>
      <c r="S82" s="27" t="s">
        <v>1348</v>
      </c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" thickBot="1" x14ac:dyDescent="0.35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17">
        <f t="shared" si="8"/>
        <v>26</v>
      </c>
      <c r="M83" s="17">
        <f t="shared" si="9"/>
        <v>2</v>
      </c>
      <c r="N83" s="18">
        <f t="shared" si="10"/>
        <v>0.9285714285714286</v>
      </c>
      <c r="O83" s="27"/>
      <c r="P83" s="8"/>
      <c r="Q83" s="8"/>
      <c r="R83" s="8" t="s">
        <v>1348</v>
      </c>
      <c r="S83" s="27"/>
      <c r="T83" s="27" t="s">
        <v>1348</v>
      </c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thickBot="1" x14ac:dyDescent="0.35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1348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thickBot="1" x14ac:dyDescent="0.35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thickBot="1" x14ac:dyDescent="0.35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thickBot="1" x14ac:dyDescent="0.35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thickBot="1" x14ac:dyDescent="0.35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thickBot="1" x14ac:dyDescent="0.35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1342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thickBot="1" x14ac:dyDescent="0.35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5" customHeight="1" thickBot="1" x14ac:dyDescent="0.35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17">
        <f t="shared" si="8"/>
        <v>27</v>
      </c>
      <c r="M91" s="17">
        <f t="shared" si="9"/>
        <v>1</v>
      </c>
      <c r="N91" s="18">
        <f t="shared" si="10"/>
        <v>0.9642857142857143</v>
      </c>
      <c r="O91" s="27"/>
      <c r="P91" s="8"/>
      <c r="Q91" s="8"/>
      <c r="R91" s="8" t="s">
        <v>1348</v>
      </c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" thickBot="1" x14ac:dyDescent="0.35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17">
        <f t="shared" si="8"/>
        <v>27</v>
      </c>
      <c r="M92" s="17">
        <f t="shared" si="9"/>
        <v>1</v>
      </c>
      <c r="N92" s="18">
        <f t="shared" si="10"/>
        <v>0.9642857142857143</v>
      </c>
      <c r="O92" s="27"/>
      <c r="P92" s="8"/>
      <c r="Q92" s="8"/>
      <c r="R92" s="8" t="s">
        <v>1348</v>
      </c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" thickBot="1" x14ac:dyDescent="0.35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" thickBot="1" x14ac:dyDescent="0.35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thickBot="1" x14ac:dyDescent="0.35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" thickBot="1" x14ac:dyDescent="0.35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" thickBot="1" x14ac:dyDescent="0.35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thickBot="1" x14ac:dyDescent="0.35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thickBot="1" x14ac:dyDescent="0.35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thickBot="1" x14ac:dyDescent="0.35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17">
        <f t="shared" si="8"/>
        <v>27</v>
      </c>
      <c r="M100" s="17">
        <f t="shared" si="9"/>
        <v>1</v>
      </c>
      <c r="N100" s="18">
        <f t="shared" si="10"/>
        <v>0.9642857142857143</v>
      </c>
      <c r="O100" s="27"/>
      <c r="P100" s="8"/>
      <c r="Q100" s="8"/>
      <c r="R100" s="8" t="s">
        <v>1348</v>
      </c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thickBot="1" x14ac:dyDescent="0.35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thickBot="1" x14ac:dyDescent="0.35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thickBot="1" x14ac:dyDescent="0.35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17">
        <f t="shared" si="8"/>
        <v>27</v>
      </c>
      <c r="M103" s="17">
        <f t="shared" si="9"/>
        <v>1</v>
      </c>
      <c r="N103" s="18">
        <f t="shared" si="10"/>
        <v>0.9642857142857143</v>
      </c>
      <c r="O103" s="27"/>
      <c r="P103" s="8"/>
      <c r="Q103" s="8"/>
      <c r="R103" s="8" t="s">
        <v>1348</v>
      </c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thickBot="1" x14ac:dyDescent="0.35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17">
        <f t="shared" si="8"/>
        <v>25</v>
      </c>
      <c r="M104" s="17">
        <f t="shared" si="9"/>
        <v>3</v>
      </c>
      <c r="N104" s="18">
        <f t="shared" si="10"/>
        <v>0.8928571428571429</v>
      </c>
      <c r="O104" s="27"/>
      <c r="P104" s="8"/>
      <c r="Q104" s="8"/>
      <c r="R104" s="8" t="s">
        <v>1348</v>
      </c>
      <c r="S104" s="27" t="s">
        <v>1348</v>
      </c>
      <c r="T104" s="27" t="s">
        <v>1348</v>
      </c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customHeight="1" thickBot="1" x14ac:dyDescent="0.35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17">
        <f t="shared" si="8"/>
        <v>25</v>
      </c>
      <c r="M105" s="17">
        <f t="shared" si="9"/>
        <v>3</v>
      </c>
      <c r="N105" s="18">
        <f t="shared" si="10"/>
        <v>0.8928571428571429</v>
      </c>
      <c r="O105" s="27"/>
      <c r="P105" s="8"/>
      <c r="Q105" s="8"/>
      <c r="R105" s="8" t="s">
        <v>1348</v>
      </c>
      <c r="S105" s="27" t="s">
        <v>1348</v>
      </c>
      <c r="T105" s="27" t="s">
        <v>1348</v>
      </c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" thickBot="1" x14ac:dyDescent="0.35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17">
        <f t="shared" si="8"/>
        <v>27</v>
      </c>
      <c r="M106" s="17">
        <f t="shared" si="9"/>
        <v>1</v>
      </c>
      <c r="N106" s="18">
        <f t="shared" si="10"/>
        <v>0.9642857142857143</v>
      </c>
      <c r="O106" s="27"/>
      <c r="P106" s="8"/>
      <c r="Q106" s="8"/>
      <c r="R106" s="8" t="s">
        <v>1348</v>
      </c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" thickBot="1" x14ac:dyDescent="0.35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17">
        <f t="shared" si="8"/>
        <v>27</v>
      </c>
      <c r="M107" s="17">
        <f t="shared" si="9"/>
        <v>1</v>
      </c>
      <c r="N107" s="18">
        <f t="shared" si="10"/>
        <v>0.9642857142857143</v>
      </c>
      <c r="O107" s="27"/>
      <c r="P107" s="8"/>
      <c r="Q107" s="8"/>
      <c r="R107" s="8" t="s">
        <v>1348</v>
      </c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" thickBot="1" x14ac:dyDescent="0.35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17">
        <f t="shared" si="8"/>
        <v>27</v>
      </c>
      <c r="M108" s="17">
        <f t="shared" si="9"/>
        <v>1</v>
      </c>
      <c r="N108" s="18">
        <f t="shared" si="10"/>
        <v>0.9642857142857143</v>
      </c>
      <c r="O108" s="27"/>
      <c r="P108" s="8"/>
      <c r="Q108" s="8"/>
      <c r="R108" s="8" t="s">
        <v>1348</v>
      </c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" thickBot="1" x14ac:dyDescent="0.35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17">
        <f t="shared" si="8"/>
        <v>27</v>
      </c>
      <c r="M109" s="17">
        <f t="shared" si="9"/>
        <v>1</v>
      </c>
      <c r="N109" s="18">
        <f t="shared" si="10"/>
        <v>0.9642857142857143</v>
      </c>
      <c r="O109" s="27"/>
      <c r="P109" s="8"/>
      <c r="Q109" s="8"/>
      <c r="R109" s="8" t="s">
        <v>1348</v>
      </c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" thickBot="1" x14ac:dyDescent="0.35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17">
        <f t="shared" si="8"/>
        <v>27</v>
      </c>
      <c r="M110" s="17">
        <f t="shared" si="9"/>
        <v>1</v>
      </c>
      <c r="N110" s="18">
        <f t="shared" si="10"/>
        <v>0.9642857142857143</v>
      </c>
      <c r="O110" s="27"/>
      <c r="P110" s="8"/>
      <c r="Q110" s="8"/>
      <c r="R110" s="8" t="s">
        <v>1348</v>
      </c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thickBot="1" x14ac:dyDescent="0.35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thickBot="1" x14ac:dyDescent="0.35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17">
        <f t="shared" si="8"/>
        <v>27</v>
      </c>
      <c r="M112" s="17">
        <f t="shared" si="9"/>
        <v>1</v>
      </c>
      <c r="N112" s="18">
        <f t="shared" si="10"/>
        <v>0.9642857142857143</v>
      </c>
      <c r="O112" s="27"/>
      <c r="P112" s="8"/>
      <c r="Q112" s="8"/>
      <c r="R112" s="8" t="s">
        <v>1348</v>
      </c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17">
        <f t="shared" si="8"/>
        <v>27</v>
      </c>
      <c r="M113" s="17">
        <f t="shared" si="9"/>
        <v>1</v>
      </c>
      <c r="N113" s="18">
        <f t="shared" si="10"/>
        <v>0.9642857142857143</v>
      </c>
      <c r="O113" s="27"/>
      <c r="P113" s="8"/>
      <c r="Q113" s="8"/>
      <c r="R113" s="8" t="s">
        <v>1348</v>
      </c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thickBot="1" x14ac:dyDescent="0.35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 t="s">
        <v>1348</v>
      </c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thickBot="1" x14ac:dyDescent="0.35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17">
        <f t="shared" si="8"/>
        <v>25</v>
      </c>
      <c r="M115" s="17">
        <f t="shared" si="9"/>
        <v>3</v>
      </c>
      <c r="N115" s="18">
        <f t="shared" si="10"/>
        <v>0.8928571428571429</v>
      </c>
      <c r="O115" s="27"/>
      <c r="P115" s="8"/>
      <c r="Q115" s="8"/>
      <c r="R115" s="8" t="s">
        <v>1348</v>
      </c>
      <c r="S115" s="27" t="s">
        <v>1348</v>
      </c>
      <c r="T115" s="27" t="s">
        <v>1348</v>
      </c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" thickBot="1" x14ac:dyDescent="0.35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17">
        <f t="shared" si="8"/>
        <v>25</v>
      </c>
      <c r="M116" s="17">
        <f t="shared" si="9"/>
        <v>3</v>
      </c>
      <c r="N116" s="18">
        <f t="shared" si="10"/>
        <v>0.8928571428571429</v>
      </c>
      <c r="O116" s="27"/>
      <c r="P116" s="8"/>
      <c r="Q116" s="8"/>
      <c r="R116" s="8" t="s">
        <v>1348</v>
      </c>
      <c r="S116" s="27" t="s">
        <v>1348</v>
      </c>
      <c r="T116" s="27" t="s">
        <v>1348</v>
      </c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" thickBot="1" x14ac:dyDescent="0.35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thickBot="1" x14ac:dyDescent="0.35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17">
        <f t="shared" si="8"/>
        <v>23</v>
      </c>
      <c r="M118" s="17">
        <f t="shared" si="9"/>
        <v>5</v>
      </c>
      <c r="N118" s="18">
        <f t="shared" si="10"/>
        <v>0.8214285714285714</v>
      </c>
      <c r="O118" s="27" t="s">
        <v>1348</v>
      </c>
      <c r="P118" s="8" t="s">
        <v>1348</v>
      </c>
      <c r="Q118" s="8" t="s">
        <v>1348</v>
      </c>
      <c r="R118" s="8" t="s">
        <v>1348</v>
      </c>
      <c r="S118" s="27" t="s">
        <v>1348</v>
      </c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thickBot="1" x14ac:dyDescent="0.35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17">
        <f t="shared" si="8"/>
        <v>23</v>
      </c>
      <c r="M119" s="17">
        <f t="shared" si="9"/>
        <v>5</v>
      </c>
      <c r="N119" s="18">
        <f t="shared" si="10"/>
        <v>0.8214285714285714</v>
      </c>
      <c r="O119" s="27" t="s">
        <v>1348</v>
      </c>
      <c r="P119" s="8" t="s">
        <v>1348</v>
      </c>
      <c r="Q119" s="8" t="s">
        <v>1348</v>
      </c>
      <c r="R119" s="8" t="s">
        <v>1348</v>
      </c>
      <c r="S119" s="27" t="s">
        <v>1348</v>
      </c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thickBot="1" x14ac:dyDescent="0.35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17">
        <f t="shared" si="8"/>
        <v>27</v>
      </c>
      <c r="M120" s="17">
        <f t="shared" si="9"/>
        <v>1</v>
      </c>
      <c r="N120" s="18">
        <f t="shared" si="10"/>
        <v>0.9642857142857143</v>
      </c>
      <c r="O120" s="27"/>
      <c r="P120" s="8"/>
      <c r="Q120" s="8"/>
      <c r="R120" s="8" t="s">
        <v>1348</v>
      </c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thickBot="1" x14ac:dyDescent="0.35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17">
        <f t="shared" si="8"/>
        <v>27</v>
      </c>
      <c r="M121" s="17">
        <f t="shared" si="9"/>
        <v>1</v>
      </c>
      <c r="N121" s="18">
        <f t="shared" si="10"/>
        <v>0.9642857142857143</v>
      </c>
      <c r="O121" s="27"/>
      <c r="P121" s="8"/>
      <c r="Q121" s="8"/>
      <c r="R121" s="8" t="s">
        <v>1348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" thickBot="1" x14ac:dyDescent="0.35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17">
        <f t="shared" si="8"/>
        <v>27</v>
      </c>
      <c r="M122" s="17">
        <f t="shared" si="9"/>
        <v>1</v>
      </c>
      <c r="N122" s="18">
        <f t="shared" si="10"/>
        <v>0.9642857142857143</v>
      </c>
      <c r="O122" s="27"/>
      <c r="P122" s="8"/>
      <c r="Q122" s="8"/>
      <c r="R122" s="8" t="s">
        <v>1348</v>
      </c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" thickBot="1" x14ac:dyDescent="0.35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17">
        <f t="shared" si="8"/>
        <v>27</v>
      </c>
      <c r="M123" s="17">
        <f t="shared" si="9"/>
        <v>1</v>
      </c>
      <c r="N123" s="18">
        <f t="shared" si="10"/>
        <v>0.9642857142857143</v>
      </c>
      <c r="O123" s="27"/>
      <c r="P123" s="8"/>
      <c r="Q123" s="8"/>
      <c r="R123" s="8" t="s">
        <v>1348</v>
      </c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" thickBot="1" x14ac:dyDescent="0.35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" thickBot="1" x14ac:dyDescent="0.35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thickBot="1" x14ac:dyDescent="0.35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17">
        <f t="shared" si="8"/>
        <v>27</v>
      </c>
      <c r="M126" s="17">
        <f t="shared" si="9"/>
        <v>1</v>
      </c>
      <c r="N126" s="18">
        <f t="shared" si="10"/>
        <v>0.9642857142857143</v>
      </c>
      <c r="O126" s="27"/>
      <c r="P126" s="8"/>
      <c r="Q126" s="8"/>
      <c r="R126" s="8" t="s">
        <v>1348</v>
      </c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thickBot="1" x14ac:dyDescent="0.35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17">
        <f t="shared" si="8"/>
        <v>27</v>
      </c>
      <c r="M127" s="17">
        <f t="shared" si="9"/>
        <v>1</v>
      </c>
      <c r="N127" s="18">
        <f t="shared" si="10"/>
        <v>0.9642857142857143</v>
      </c>
      <c r="O127" s="27"/>
      <c r="P127" s="8"/>
      <c r="Q127" s="8"/>
      <c r="R127" s="8" t="s">
        <v>1348</v>
      </c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thickBot="1" x14ac:dyDescent="0.35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17">
        <f t="shared" si="8"/>
        <v>26</v>
      </c>
      <c r="M128" s="17">
        <f t="shared" si="9"/>
        <v>2</v>
      </c>
      <c r="N128" s="18">
        <f t="shared" si="10"/>
        <v>0.9285714285714286</v>
      </c>
      <c r="O128" s="27" t="s">
        <v>1348</v>
      </c>
      <c r="P128" s="8"/>
      <c r="Q128" s="8"/>
      <c r="R128" s="8" t="s">
        <v>1348</v>
      </c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" thickBot="1" x14ac:dyDescent="0.35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17">
        <f t="shared" si="8"/>
        <v>25</v>
      </c>
      <c r="M129" s="17">
        <f t="shared" si="9"/>
        <v>3</v>
      </c>
      <c r="N129" s="18">
        <f t="shared" si="10"/>
        <v>0.8928571428571429</v>
      </c>
      <c r="O129" s="27"/>
      <c r="P129" s="8"/>
      <c r="Q129" s="8"/>
      <c r="R129" s="8" t="s">
        <v>1348</v>
      </c>
      <c r="S129" s="27" t="s">
        <v>1348</v>
      </c>
      <c r="T129" s="27" t="s">
        <v>1348</v>
      </c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" thickBot="1" x14ac:dyDescent="0.35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17">
        <f t="shared" si="8"/>
        <v>25</v>
      </c>
      <c r="M130" s="17">
        <f t="shared" si="9"/>
        <v>3</v>
      </c>
      <c r="N130" s="18">
        <f t="shared" si="10"/>
        <v>0.8928571428571429</v>
      </c>
      <c r="O130" s="27"/>
      <c r="P130" s="8"/>
      <c r="Q130" s="8"/>
      <c r="R130" s="8" t="s">
        <v>1348</v>
      </c>
      <c r="S130" s="27" t="s">
        <v>1348</v>
      </c>
      <c r="T130" s="27" t="s">
        <v>1348</v>
      </c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thickBot="1" x14ac:dyDescent="0.35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thickBot="1" x14ac:dyDescent="0.35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thickBot="1" x14ac:dyDescent="0.35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17">
        <f t="shared" ref="L133:L196" si="11">COUNTIF(O133:AP133,"")</f>
        <v>22</v>
      </c>
      <c r="M133" s="17">
        <f t="shared" ref="M133:M196" si="12">COUNTIF(O133:AP133,"APAGADO")</f>
        <v>6</v>
      </c>
      <c r="N133" s="18">
        <f t="shared" ref="N133:N196" si="13">(L133)/(M133+L133)</f>
        <v>0.7857142857142857</v>
      </c>
      <c r="O133" s="27" t="s">
        <v>1348</v>
      </c>
      <c r="P133" s="8" t="s">
        <v>1348</v>
      </c>
      <c r="Q133" s="8" t="s">
        <v>1348</v>
      </c>
      <c r="R133" s="8" t="s">
        <v>1348</v>
      </c>
      <c r="S133" s="27" t="s">
        <v>1348</v>
      </c>
      <c r="T133" s="27" t="s">
        <v>1348</v>
      </c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" thickBot="1" x14ac:dyDescent="0.35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17">
        <f t="shared" si="11"/>
        <v>27</v>
      </c>
      <c r="M134" s="17">
        <f t="shared" si="12"/>
        <v>1</v>
      </c>
      <c r="N134" s="18">
        <f t="shared" si="13"/>
        <v>0.9642857142857143</v>
      </c>
      <c r="O134" s="27"/>
      <c r="P134" s="8"/>
      <c r="Q134" s="8"/>
      <c r="R134" s="8" t="s">
        <v>1348</v>
      </c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" thickBot="1" x14ac:dyDescent="0.35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17">
        <f t="shared" si="11"/>
        <v>23</v>
      </c>
      <c r="M135" s="17">
        <f t="shared" si="12"/>
        <v>5</v>
      </c>
      <c r="N135" s="18">
        <f t="shared" si="13"/>
        <v>0.8214285714285714</v>
      </c>
      <c r="O135" s="27"/>
      <c r="P135" s="8" t="s">
        <v>1348</v>
      </c>
      <c r="Q135" s="8" t="s">
        <v>1348</v>
      </c>
      <c r="R135" s="8" t="s">
        <v>1348</v>
      </c>
      <c r="S135" s="27" t="s">
        <v>1348</v>
      </c>
      <c r="T135" s="27" t="s">
        <v>1348</v>
      </c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" thickBot="1" x14ac:dyDescent="0.35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" thickBot="1" x14ac:dyDescent="0.35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" thickBot="1" x14ac:dyDescent="0.35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17">
        <f t="shared" si="11"/>
        <v>25</v>
      </c>
      <c r="M138" s="17">
        <f t="shared" si="12"/>
        <v>3</v>
      </c>
      <c r="N138" s="18">
        <f t="shared" si="13"/>
        <v>0.8928571428571429</v>
      </c>
      <c r="O138" s="27"/>
      <c r="P138" s="8"/>
      <c r="Q138" s="8"/>
      <c r="R138" s="8" t="s">
        <v>1348</v>
      </c>
      <c r="S138" s="27" t="s">
        <v>1348</v>
      </c>
      <c r="T138" s="27" t="s">
        <v>1348</v>
      </c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thickBot="1" x14ac:dyDescent="0.35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17">
        <f t="shared" si="11"/>
        <v>25</v>
      </c>
      <c r="M139" s="17">
        <f t="shared" si="12"/>
        <v>3</v>
      </c>
      <c r="N139" s="18">
        <f t="shared" si="13"/>
        <v>0.8928571428571429</v>
      </c>
      <c r="O139" s="27"/>
      <c r="P139" s="8"/>
      <c r="Q139" s="8"/>
      <c r="R139" s="8" t="s">
        <v>1348</v>
      </c>
      <c r="S139" s="27" t="s">
        <v>1348</v>
      </c>
      <c r="T139" s="27" t="s">
        <v>1348</v>
      </c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" thickBot="1" x14ac:dyDescent="0.35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17">
        <f t="shared" si="11"/>
        <v>25</v>
      </c>
      <c r="M140" s="17">
        <f t="shared" si="12"/>
        <v>3</v>
      </c>
      <c r="N140" s="18">
        <f t="shared" si="13"/>
        <v>0.8928571428571429</v>
      </c>
      <c r="O140" s="27"/>
      <c r="P140" s="8"/>
      <c r="Q140" s="8"/>
      <c r="R140" s="8" t="s">
        <v>1348</v>
      </c>
      <c r="S140" s="27" t="s">
        <v>1348</v>
      </c>
      <c r="T140" s="27" t="s">
        <v>1348</v>
      </c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thickBot="1" x14ac:dyDescent="0.35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17">
        <f t="shared" si="11"/>
        <v>25</v>
      </c>
      <c r="M141" s="17">
        <f t="shared" si="12"/>
        <v>3</v>
      </c>
      <c r="N141" s="18">
        <f t="shared" si="13"/>
        <v>0.8928571428571429</v>
      </c>
      <c r="O141" s="27"/>
      <c r="P141" s="8"/>
      <c r="Q141" s="8"/>
      <c r="R141" s="8" t="s">
        <v>1348</v>
      </c>
      <c r="S141" s="27" t="s">
        <v>1348</v>
      </c>
      <c r="T141" s="27" t="s">
        <v>1348</v>
      </c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" thickBot="1" x14ac:dyDescent="0.35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" thickBot="1" x14ac:dyDescent="0.35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" thickBot="1" x14ac:dyDescent="0.35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17">
        <f t="shared" si="11"/>
        <v>27</v>
      </c>
      <c r="M144" s="17">
        <f t="shared" si="12"/>
        <v>1</v>
      </c>
      <c r="N144" s="18">
        <f t="shared" si="13"/>
        <v>0.9642857142857143</v>
      </c>
      <c r="O144" s="27"/>
      <c r="P144" s="8"/>
      <c r="Q144" s="8"/>
      <c r="R144" s="8"/>
      <c r="S144" s="27" t="s">
        <v>1348</v>
      </c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thickBot="1" x14ac:dyDescent="0.35">
      <c r="A145" t="s">
        <v>261</v>
      </c>
      <c r="B145" s="68"/>
      <c r="C145" s="69" t="s">
        <v>394</v>
      </c>
      <c r="D145" s="68" t="s">
        <v>1319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thickBot="1" x14ac:dyDescent="0.35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17">
        <f t="shared" si="11"/>
        <v>27</v>
      </c>
      <c r="M146" s="17">
        <f t="shared" si="12"/>
        <v>1</v>
      </c>
      <c r="N146" s="18">
        <f t="shared" si="13"/>
        <v>0.9642857142857143</v>
      </c>
      <c r="O146" s="27"/>
      <c r="P146" s="8"/>
      <c r="Q146" s="8"/>
      <c r="R146" s="8" t="s">
        <v>1348</v>
      </c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thickBot="1" x14ac:dyDescent="0.35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thickBot="1" x14ac:dyDescent="0.35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" thickBot="1" x14ac:dyDescent="0.35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" thickBot="1" x14ac:dyDescent="0.35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" thickBot="1" x14ac:dyDescent="0.35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thickBot="1" x14ac:dyDescent="0.35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17">
        <f t="shared" si="11"/>
        <v>27</v>
      </c>
      <c r="M152" s="17">
        <f t="shared" si="12"/>
        <v>1</v>
      </c>
      <c r="N152" s="18">
        <f t="shared" si="13"/>
        <v>0.9642857142857143</v>
      </c>
      <c r="O152" s="27"/>
      <c r="P152" s="8"/>
      <c r="Q152" s="8"/>
      <c r="R152" s="8" t="s">
        <v>1348</v>
      </c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thickBot="1" x14ac:dyDescent="0.35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17">
        <f t="shared" si="11"/>
        <v>27</v>
      </c>
      <c r="M153" s="17">
        <f t="shared" si="12"/>
        <v>1</v>
      </c>
      <c r="N153" s="18">
        <f t="shared" si="13"/>
        <v>0.9642857142857143</v>
      </c>
      <c r="O153" s="27"/>
      <c r="P153" s="8"/>
      <c r="Q153" s="8"/>
      <c r="R153" s="8" t="s">
        <v>1348</v>
      </c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" thickBot="1" x14ac:dyDescent="0.35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thickBot="1" x14ac:dyDescent="0.35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thickBot="1" x14ac:dyDescent="0.35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17">
        <f t="shared" si="11"/>
        <v>27</v>
      </c>
      <c r="M156" s="17">
        <f t="shared" si="12"/>
        <v>1</v>
      </c>
      <c r="N156" s="18">
        <f t="shared" si="13"/>
        <v>0.9642857142857143</v>
      </c>
      <c r="O156" s="27"/>
      <c r="P156" s="8"/>
      <c r="Q156" s="8"/>
      <c r="R156" s="8" t="s">
        <v>1348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" thickBot="1" x14ac:dyDescent="0.35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 t="s">
        <v>1348</v>
      </c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" thickBot="1" x14ac:dyDescent="0.35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17">
        <f t="shared" si="11"/>
        <v>28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" thickBot="1" x14ac:dyDescent="0.35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" thickBot="1" x14ac:dyDescent="0.35">
      <c r="A160" t="s">
        <v>415</v>
      </c>
      <c r="B160" s="68"/>
      <c r="C160" s="69" t="s">
        <v>430</v>
      </c>
      <c r="D160" s="68" t="s">
        <v>1324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" thickBot="1" x14ac:dyDescent="0.35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17">
        <f t="shared" si="11"/>
        <v>28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thickBot="1" x14ac:dyDescent="0.35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thickBot="1" x14ac:dyDescent="0.35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" thickBot="1" x14ac:dyDescent="0.35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thickBot="1" x14ac:dyDescent="0.35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17">
        <f t="shared" si="11"/>
        <v>22</v>
      </c>
      <c r="M166" s="17">
        <f t="shared" si="12"/>
        <v>6</v>
      </c>
      <c r="N166" s="18">
        <f t="shared" si="13"/>
        <v>0.7857142857142857</v>
      </c>
      <c r="O166" s="27" t="s">
        <v>1348</v>
      </c>
      <c r="P166" s="8" t="s">
        <v>1348</v>
      </c>
      <c r="Q166" s="8" t="s">
        <v>1348</v>
      </c>
      <c r="R166" s="8" t="s">
        <v>1348</v>
      </c>
      <c r="S166" s="27" t="s">
        <v>1348</v>
      </c>
      <c r="T166" s="27" t="s">
        <v>1348</v>
      </c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" thickBot="1" x14ac:dyDescent="0.35">
      <c r="A167" t="s">
        <v>445</v>
      </c>
      <c r="B167" s="68"/>
      <c r="C167" s="69" t="s">
        <v>446</v>
      </c>
      <c r="D167" s="68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" thickBot="1" x14ac:dyDescent="0.35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17">
        <f t="shared" si="11"/>
        <v>27</v>
      </c>
      <c r="M168" s="17">
        <f t="shared" si="12"/>
        <v>1</v>
      </c>
      <c r="N168" s="18">
        <f t="shared" si="13"/>
        <v>0.9642857142857143</v>
      </c>
      <c r="O168" s="27"/>
      <c r="P168" s="8"/>
      <c r="Q168" s="8"/>
      <c r="R168" s="8" t="s">
        <v>1348</v>
      </c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thickBot="1" x14ac:dyDescent="0.35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" thickBot="1" x14ac:dyDescent="0.35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17">
        <f t="shared" si="11"/>
        <v>27</v>
      </c>
      <c r="M170" s="17">
        <f t="shared" si="12"/>
        <v>1</v>
      </c>
      <c r="N170" s="18">
        <f t="shared" si="13"/>
        <v>0.9642857142857143</v>
      </c>
      <c r="O170" s="27"/>
      <c r="P170" s="8"/>
      <c r="Q170" s="8"/>
      <c r="R170" s="8" t="s">
        <v>1348</v>
      </c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thickBot="1" x14ac:dyDescent="0.35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" thickBot="1" x14ac:dyDescent="0.35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thickBot="1" x14ac:dyDescent="0.35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" thickBot="1" x14ac:dyDescent="0.35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" thickBot="1" x14ac:dyDescent="0.35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thickBot="1" x14ac:dyDescent="0.35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thickBot="1" x14ac:dyDescent="0.35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17">
        <f t="shared" si="11"/>
        <v>22</v>
      </c>
      <c r="M177" s="17">
        <f t="shared" si="12"/>
        <v>6</v>
      </c>
      <c r="N177" s="18">
        <f t="shared" si="13"/>
        <v>0.7857142857142857</v>
      </c>
      <c r="O177" s="27" t="s">
        <v>1348</v>
      </c>
      <c r="P177" s="8" t="s">
        <v>1348</v>
      </c>
      <c r="Q177" s="8" t="s">
        <v>1348</v>
      </c>
      <c r="R177" s="8" t="s">
        <v>1348</v>
      </c>
      <c r="S177" s="27" t="s">
        <v>1348</v>
      </c>
      <c r="T177" s="27" t="s">
        <v>1348</v>
      </c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thickBot="1" x14ac:dyDescent="0.35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thickBot="1" x14ac:dyDescent="0.35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thickBot="1" x14ac:dyDescent="0.35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" thickBot="1" x14ac:dyDescent="0.35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thickBot="1" x14ac:dyDescent="0.35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thickBot="1" x14ac:dyDescent="0.35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thickBot="1" x14ac:dyDescent="0.35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thickBot="1" x14ac:dyDescent="0.35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thickBot="1" x14ac:dyDescent="0.35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17">
        <f t="shared" si="11"/>
        <v>25</v>
      </c>
      <c r="M186" s="17">
        <f t="shared" si="12"/>
        <v>3</v>
      </c>
      <c r="N186" s="18">
        <f t="shared" si="13"/>
        <v>0.8928571428571429</v>
      </c>
      <c r="O186" s="27"/>
      <c r="P186" s="8"/>
      <c r="Q186" s="8"/>
      <c r="R186" s="8" t="s">
        <v>1348</v>
      </c>
      <c r="S186" s="27" t="s">
        <v>1348</v>
      </c>
      <c r="T186" s="27" t="s">
        <v>1348</v>
      </c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thickBot="1" x14ac:dyDescent="0.35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thickBot="1" x14ac:dyDescent="0.35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thickBot="1" x14ac:dyDescent="0.35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thickBot="1" x14ac:dyDescent="0.35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thickBot="1" x14ac:dyDescent="0.35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17">
        <f t="shared" si="11"/>
        <v>22</v>
      </c>
      <c r="M191" s="17">
        <f t="shared" si="12"/>
        <v>6</v>
      </c>
      <c r="N191" s="18">
        <f t="shared" si="13"/>
        <v>0.7857142857142857</v>
      </c>
      <c r="O191" s="27" t="s">
        <v>1348</v>
      </c>
      <c r="P191" s="8" t="s">
        <v>1348</v>
      </c>
      <c r="Q191" s="8" t="s">
        <v>1348</v>
      </c>
      <c r="R191" s="8" t="s">
        <v>1348</v>
      </c>
      <c r="S191" s="27" t="s">
        <v>1348</v>
      </c>
      <c r="T191" s="27" t="s">
        <v>1348</v>
      </c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" thickBot="1" x14ac:dyDescent="0.35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17">
        <f t="shared" si="11"/>
        <v>22</v>
      </c>
      <c r="M192" s="17">
        <f t="shared" si="12"/>
        <v>6</v>
      </c>
      <c r="N192" s="18">
        <f t="shared" si="13"/>
        <v>0.7857142857142857</v>
      </c>
      <c r="O192" s="27" t="s">
        <v>1348</v>
      </c>
      <c r="P192" s="8" t="s">
        <v>1348</v>
      </c>
      <c r="Q192" s="8" t="s">
        <v>1348</v>
      </c>
      <c r="R192" s="8" t="s">
        <v>1348</v>
      </c>
      <c r="S192" s="27" t="s">
        <v>1348</v>
      </c>
      <c r="T192" s="27" t="s">
        <v>1348</v>
      </c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" thickBot="1" x14ac:dyDescent="0.35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" thickBot="1" x14ac:dyDescent="0.35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17">
        <f t="shared" si="11"/>
        <v>22</v>
      </c>
      <c r="M194" s="17">
        <f t="shared" si="12"/>
        <v>6</v>
      </c>
      <c r="N194" s="18">
        <f t="shared" si="13"/>
        <v>0.7857142857142857</v>
      </c>
      <c r="O194" s="27" t="s">
        <v>1348</v>
      </c>
      <c r="P194" s="8" t="s">
        <v>1348</v>
      </c>
      <c r="Q194" s="8" t="s">
        <v>1348</v>
      </c>
      <c r="R194" s="8" t="s">
        <v>1348</v>
      </c>
      <c r="S194" s="27" t="s">
        <v>1348</v>
      </c>
      <c r="T194" s="27" t="s">
        <v>1348</v>
      </c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" thickBot="1" x14ac:dyDescent="0.35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17">
        <f t="shared" si="11"/>
        <v>27</v>
      </c>
      <c r="M195" s="17">
        <f t="shared" si="12"/>
        <v>1</v>
      </c>
      <c r="N195" s="18">
        <f t="shared" si="13"/>
        <v>0.9642857142857143</v>
      </c>
      <c r="O195" s="27"/>
      <c r="P195" s="8"/>
      <c r="Q195" s="8"/>
      <c r="R195" s="8" t="s">
        <v>1348</v>
      </c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thickBot="1" x14ac:dyDescent="0.35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17">
        <f t="shared" si="11"/>
        <v>27</v>
      </c>
      <c r="M196" s="17">
        <f t="shared" si="12"/>
        <v>1</v>
      </c>
      <c r="N196" s="18">
        <f t="shared" si="13"/>
        <v>0.9642857142857143</v>
      </c>
      <c r="O196" s="27"/>
      <c r="P196" s="8"/>
      <c r="Q196" s="8"/>
      <c r="R196" s="8" t="s">
        <v>1348</v>
      </c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17">
        <f t="shared" ref="L197:L262" si="14">COUNTIF(O197:AP197,"")</f>
        <v>27</v>
      </c>
      <c r="M197" s="17">
        <f t="shared" ref="M197:M262" si="15">COUNTIF(O197:AP197,"APAGADO")</f>
        <v>1</v>
      </c>
      <c r="N197" s="18">
        <f t="shared" ref="N197:N262" si="16">(L197)/(M197+L197)</f>
        <v>0.9642857142857143</v>
      </c>
      <c r="O197" s="27"/>
      <c r="P197" s="8"/>
      <c r="Q197" s="8"/>
      <c r="R197" s="8" t="s">
        <v>1348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" thickBot="1" x14ac:dyDescent="0.35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17">
        <f t="shared" si="14"/>
        <v>26</v>
      </c>
      <c r="M198" s="17">
        <f t="shared" si="15"/>
        <v>2</v>
      </c>
      <c r="N198" s="18">
        <f t="shared" si="16"/>
        <v>0.9285714285714286</v>
      </c>
      <c r="O198" s="27"/>
      <c r="P198" s="8"/>
      <c r="Q198" s="8"/>
      <c r="R198" s="8" t="s">
        <v>1348</v>
      </c>
      <c r="S198" s="27"/>
      <c r="T198" s="27" t="s">
        <v>1348</v>
      </c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" thickBot="1" x14ac:dyDescent="0.35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17">
        <f t="shared" si="14"/>
        <v>27</v>
      </c>
      <c r="M199" s="17">
        <f t="shared" si="15"/>
        <v>1</v>
      </c>
      <c r="N199" s="18">
        <f t="shared" si="16"/>
        <v>0.9642857142857143</v>
      </c>
      <c r="O199" s="27"/>
      <c r="P199" s="8"/>
      <c r="Q199" s="8"/>
      <c r="R199" s="8" t="s">
        <v>1348</v>
      </c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" thickBot="1" x14ac:dyDescent="0.35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 t="s">
        <v>1348</v>
      </c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" thickBot="1" x14ac:dyDescent="0.35">
      <c r="A201" t="s">
        <v>358</v>
      </c>
      <c r="B201" s="68"/>
      <c r="C201" s="69" t="s">
        <v>1151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 t="s">
        <v>1348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" thickBot="1" x14ac:dyDescent="0.35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 t="s">
        <v>1348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" thickBot="1" x14ac:dyDescent="0.35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17">
        <f t="shared" si="14"/>
        <v>27</v>
      </c>
      <c r="M203" s="17">
        <f t="shared" si="15"/>
        <v>1</v>
      </c>
      <c r="N203" s="18">
        <f t="shared" si="16"/>
        <v>0.9642857142857143</v>
      </c>
      <c r="O203" s="27"/>
      <c r="P203" s="8"/>
      <c r="Q203" s="8"/>
      <c r="R203" s="8" t="s">
        <v>1348</v>
      </c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" thickBot="1" x14ac:dyDescent="0.35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17">
        <f t="shared" si="14"/>
        <v>22</v>
      </c>
      <c r="M204" s="17">
        <f t="shared" si="15"/>
        <v>6</v>
      </c>
      <c r="N204" s="18">
        <f t="shared" si="16"/>
        <v>0.7857142857142857</v>
      </c>
      <c r="O204" s="27" t="s">
        <v>1348</v>
      </c>
      <c r="P204" s="8" t="s">
        <v>1348</v>
      </c>
      <c r="Q204" s="8" t="s">
        <v>1348</v>
      </c>
      <c r="R204" s="8" t="s">
        <v>1348</v>
      </c>
      <c r="S204" s="27" t="s">
        <v>1348</v>
      </c>
      <c r="T204" s="27" t="s">
        <v>1348</v>
      </c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thickBot="1" x14ac:dyDescent="0.35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1348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thickBot="1" x14ac:dyDescent="0.35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17">
        <f t="shared" si="14"/>
        <v>22</v>
      </c>
      <c r="M206" s="17">
        <f t="shared" si="15"/>
        <v>6</v>
      </c>
      <c r="N206" s="18">
        <f t="shared" si="16"/>
        <v>0.7857142857142857</v>
      </c>
      <c r="O206" s="27" t="s">
        <v>1348</v>
      </c>
      <c r="P206" s="8" t="s">
        <v>1348</v>
      </c>
      <c r="Q206" s="8" t="s">
        <v>1348</v>
      </c>
      <c r="R206" s="8" t="s">
        <v>1348</v>
      </c>
      <c r="S206" s="27" t="s">
        <v>1348</v>
      </c>
      <c r="T206" s="27" t="s">
        <v>1348</v>
      </c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" thickBot="1" x14ac:dyDescent="0.35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17">
        <f t="shared" si="14"/>
        <v>25</v>
      </c>
      <c r="M207" s="17">
        <f t="shared" si="15"/>
        <v>3</v>
      </c>
      <c r="N207" s="18">
        <f t="shared" si="16"/>
        <v>0.8928571428571429</v>
      </c>
      <c r="O207" s="27"/>
      <c r="P207" s="8"/>
      <c r="Q207" s="8"/>
      <c r="R207" s="8" t="s">
        <v>1348</v>
      </c>
      <c r="S207" s="27" t="s">
        <v>1348</v>
      </c>
      <c r="T207" s="27" t="s">
        <v>1348</v>
      </c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" thickBot="1" x14ac:dyDescent="0.35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17">
        <f t="shared" si="14"/>
        <v>27</v>
      </c>
      <c r="M208" s="17">
        <f t="shared" si="15"/>
        <v>1</v>
      </c>
      <c r="N208" s="18">
        <f t="shared" si="16"/>
        <v>0.9642857142857143</v>
      </c>
      <c r="O208" s="27"/>
      <c r="P208" s="8"/>
      <c r="Q208" s="8"/>
      <c r="R208" s="8" t="s">
        <v>1348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" thickBot="1" x14ac:dyDescent="0.35">
      <c r="A209" t="s">
        <v>549</v>
      </c>
      <c r="B209" s="68"/>
      <c r="C209" s="69" t="s">
        <v>550</v>
      </c>
      <c r="D209" s="68" t="s">
        <v>1349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17">
        <f t="shared" si="14"/>
        <v>28</v>
      </c>
      <c r="M209" s="17">
        <f t="shared" si="15"/>
        <v>0</v>
      </c>
      <c r="N209" s="18">
        <f t="shared" si="16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" thickBot="1" x14ac:dyDescent="0.35">
      <c r="A210" t="s">
        <v>549</v>
      </c>
      <c r="B210" s="68"/>
      <c r="C210" s="69" t="s">
        <v>551</v>
      </c>
      <c r="D210" s="68" t="s">
        <v>1349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17">
        <f t="shared" si="14"/>
        <v>28</v>
      </c>
      <c r="M210" s="17">
        <f t="shared" si="15"/>
        <v>0</v>
      </c>
      <c r="N210" s="18">
        <f t="shared" si="16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" thickBot="1" x14ac:dyDescent="0.35">
      <c r="A211" t="s">
        <v>538</v>
      </c>
      <c r="B211" s="68"/>
      <c r="C211" s="69" t="s">
        <v>552</v>
      </c>
      <c r="D211" s="68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17">
        <f t="shared" si="14"/>
        <v>22</v>
      </c>
      <c r="M211" s="17">
        <f t="shared" si="15"/>
        <v>6</v>
      </c>
      <c r="N211" s="18">
        <f t="shared" si="16"/>
        <v>0.7857142857142857</v>
      </c>
      <c r="O211" s="27" t="s">
        <v>1348</v>
      </c>
      <c r="P211" s="8" t="s">
        <v>1348</v>
      </c>
      <c r="Q211" s="8" t="s">
        <v>1348</v>
      </c>
      <c r="R211" s="8" t="s">
        <v>1348</v>
      </c>
      <c r="S211" s="27" t="s">
        <v>1348</v>
      </c>
      <c r="T211" s="27" t="s">
        <v>1348</v>
      </c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" thickBot="1" x14ac:dyDescent="0.35">
      <c r="A212" t="s">
        <v>538</v>
      </c>
      <c r="B212" s="68"/>
      <c r="C212" s="69" t="s">
        <v>554</v>
      </c>
      <c r="D212" s="68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17">
        <f t="shared" si="14"/>
        <v>22</v>
      </c>
      <c r="M212" s="17">
        <f t="shared" si="15"/>
        <v>6</v>
      </c>
      <c r="N212" s="18">
        <f t="shared" si="16"/>
        <v>0.7857142857142857</v>
      </c>
      <c r="O212" s="27" t="s">
        <v>1348</v>
      </c>
      <c r="P212" s="8" t="s">
        <v>1348</v>
      </c>
      <c r="Q212" s="8" t="s">
        <v>1348</v>
      </c>
      <c r="R212" s="8" t="s">
        <v>1348</v>
      </c>
      <c r="S212" s="27" t="s">
        <v>1348</v>
      </c>
      <c r="T212" s="27" t="s">
        <v>1348</v>
      </c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" thickBot="1" x14ac:dyDescent="0.35">
      <c r="A213" t="s">
        <v>445</v>
      </c>
      <c r="B213" s="68"/>
      <c r="C213" s="69" t="s">
        <v>555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17">
        <f t="shared" si="14"/>
        <v>27</v>
      </c>
      <c r="M213" s="17">
        <f t="shared" si="15"/>
        <v>1</v>
      </c>
      <c r="N213" s="18">
        <f t="shared" si="16"/>
        <v>0.9642857142857143</v>
      </c>
      <c r="O213" s="27"/>
      <c r="P213" s="8"/>
      <c r="Q213" s="8"/>
      <c r="R213" s="8" t="s">
        <v>1348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" thickBot="1" x14ac:dyDescent="0.35">
      <c r="A214" t="s">
        <v>556</v>
      </c>
      <c r="B214" s="68"/>
      <c r="C214" s="69" t="s">
        <v>557</v>
      </c>
      <c r="D214" s="68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17">
        <f t="shared" si="14"/>
        <v>26</v>
      </c>
      <c r="M214" s="17">
        <f t="shared" si="15"/>
        <v>2</v>
      </c>
      <c r="N214" s="18">
        <f t="shared" si="16"/>
        <v>0.9285714285714286</v>
      </c>
      <c r="O214" s="27"/>
      <c r="P214" s="8"/>
      <c r="Q214" s="8"/>
      <c r="R214" s="8" t="s">
        <v>1348</v>
      </c>
      <c r="S214" s="27"/>
      <c r="T214" s="27" t="s">
        <v>1348</v>
      </c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" thickBot="1" x14ac:dyDescent="0.35">
      <c r="A215" t="s">
        <v>556</v>
      </c>
      <c r="B215" s="68"/>
      <c r="C215" s="69" t="s">
        <v>560</v>
      </c>
      <c r="D215" s="68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17">
        <f t="shared" si="14"/>
        <v>26</v>
      </c>
      <c r="M215" s="17">
        <f t="shared" si="15"/>
        <v>2</v>
      </c>
      <c r="N215" s="18">
        <f t="shared" si="16"/>
        <v>0.9285714285714286</v>
      </c>
      <c r="O215" s="27"/>
      <c r="P215" s="8"/>
      <c r="Q215" s="8"/>
      <c r="R215" s="8" t="s">
        <v>1348</v>
      </c>
      <c r="S215" s="27"/>
      <c r="T215" s="27" t="s">
        <v>1348</v>
      </c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" thickBot="1" x14ac:dyDescent="0.35">
      <c r="A216" t="s">
        <v>556</v>
      </c>
      <c r="B216" s="68"/>
      <c r="C216" s="69" t="s">
        <v>562</v>
      </c>
      <c r="D216" s="68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17">
        <f t="shared" si="14"/>
        <v>25</v>
      </c>
      <c r="M216" s="17">
        <f t="shared" si="15"/>
        <v>3</v>
      </c>
      <c r="N216" s="18">
        <f t="shared" si="16"/>
        <v>0.8928571428571429</v>
      </c>
      <c r="O216" s="27"/>
      <c r="P216" s="8"/>
      <c r="Q216" s="8"/>
      <c r="R216" s="8" t="s">
        <v>1348</v>
      </c>
      <c r="S216" s="27" t="s">
        <v>1348</v>
      </c>
      <c r="T216" s="27" t="s">
        <v>1348</v>
      </c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" thickBot="1" x14ac:dyDescent="0.35">
      <c r="A217" t="s">
        <v>556</v>
      </c>
      <c r="B217" s="68"/>
      <c r="C217" s="69" t="s">
        <v>565</v>
      </c>
      <c r="D217" s="68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17">
        <f t="shared" si="14"/>
        <v>25</v>
      </c>
      <c r="M217" s="17">
        <f t="shared" si="15"/>
        <v>3</v>
      </c>
      <c r="N217" s="18">
        <f t="shared" si="16"/>
        <v>0.8928571428571429</v>
      </c>
      <c r="O217" s="27"/>
      <c r="P217" s="8"/>
      <c r="Q217" s="8"/>
      <c r="R217" s="8" t="s">
        <v>1348</v>
      </c>
      <c r="S217" s="27" t="s">
        <v>1348</v>
      </c>
      <c r="T217" s="27" t="s">
        <v>1348</v>
      </c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" thickBot="1" x14ac:dyDescent="0.35">
      <c r="A218" t="s">
        <v>556</v>
      </c>
      <c r="B218" s="68"/>
      <c r="C218" s="69" t="s">
        <v>566</v>
      </c>
      <c r="D218" s="68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17">
        <f t="shared" si="14"/>
        <v>25</v>
      </c>
      <c r="M218" s="17">
        <f t="shared" si="15"/>
        <v>3</v>
      </c>
      <c r="N218" s="18">
        <f t="shared" si="16"/>
        <v>0.8928571428571429</v>
      </c>
      <c r="O218" s="27"/>
      <c r="P218" s="8"/>
      <c r="Q218" s="8"/>
      <c r="R218" s="8" t="s">
        <v>1348</v>
      </c>
      <c r="S218" s="27" t="s">
        <v>1348</v>
      </c>
      <c r="T218" s="27" t="s">
        <v>1348</v>
      </c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" thickBot="1" x14ac:dyDescent="0.35">
      <c r="A219" t="s">
        <v>556</v>
      </c>
      <c r="B219" s="68"/>
      <c r="C219" s="69" t="s">
        <v>568</v>
      </c>
      <c r="D219" s="68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17">
        <f t="shared" si="14"/>
        <v>25</v>
      </c>
      <c r="M219" s="17">
        <f t="shared" si="15"/>
        <v>3</v>
      </c>
      <c r="N219" s="18">
        <f t="shared" si="16"/>
        <v>0.8928571428571429</v>
      </c>
      <c r="O219" s="27"/>
      <c r="P219" s="8"/>
      <c r="Q219" s="8"/>
      <c r="R219" s="8" t="s">
        <v>1348</v>
      </c>
      <c r="S219" s="27" t="s">
        <v>1348</v>
      </c>
      <c r="T219" s="27" t="s">
        <v>1348</v>
      </c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" thickBot="1" x14ac:dyDescent="0.35">
      <c r="A220" t="s">
        <v>570</v>
      </c>
      <c r="B220" s="68"/>
      <c r="C220" s="69" t="s">
        <v>571</v>
      </c>
      <c r="D220" s="68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17">
        <f t="shared" si="14"/>
        <v>26</v>
      </c>
      <c r="M220" s="17">
        <f t="shared" si="15"/>
        <v>2</v>
      </c>
      <c r="N220" s="18">
        <f t="shared" si="16"/>
        <v>0.9285714285714286</v>
      </c>
      <c r="O220" s="27"/>
      <c r="P220" s="8"/>
      <c r="Q220" s="8"/>
      <c r="R220" s="8" t="s">
        <v>1348</v>
      </c>
      <c r="S220" s="27"/>
      <c r="T220" s="27" t="s">
        <v>1348</v>
      </c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" thickBot="1" x14ac:dyDescent="0.35">
      <c r="A221" t="s">
        <v>570</v>
      </c>
      <c r="B221" s="68"/>
      <c r="C221" s="69" t="s">
        <v>573</v>
      </c>
      <c r="D221" s="68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17">
        <f t="shared" si="14"/>
        <v>26</v>
      </c>
      <c r="M221" s="17">
        <f t="shared" si="15"/>
        <v>2</v>
      </c>
      <c r="N221" s="18">
        <f t="shared" si="16"/>
        <v>0.9285714285714286</v>
      </c>
      <c r="O221" s="27"/>
      <c r="P221" s="8"/>
      <c r="Q221" s="8"/>
      <c r="R221" s="8" t="s">
        <v>1348</v>
      </c>
      <c r="S221" s="27"/>
      <c r="T221" s="27" t="s">
        <v>1348</v>
      </c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" thickBot="1" x14ac:dyDescent="0.35">
      <c r="A222" t="s">
        <v>570</v>
      </c>
      <c r="B222" s="68"/>
      <c r="C222" s="69" t="s">
        <v>575</v>
      </c>
      <c r="D222" s="68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 t="s">
        <v>1348</v>
      </c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" thickBot="1" x14ac:dyDescent="0.35">
      <c r="A223" t="s">
        <v>570</v>
      </c>
      <c r="B223" s="68"/>
      <c r="C223" s="69" t="s">
        <v>577</v>
      </c>
      <c r="D223" s="68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 t="s">
        <v>1348</v>
      </c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" thickBot="1" x14ac:dyDescent="0.35">
      <c r="A224" t="s">
        <v>570</v>
      </c>
      <c r="B224" s="66">
        <v>44629</v>
      </c>
      <c r="C224" s="69" t="s">
        <v>579</v>
      </c>
      <c r="D224" s="68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17">
        <f t="shared" si="14"/>
        <v>27</v>
      </c>
      <c r="M224" s="17">
        <f t="shared" si="15"/>
        <v>1</v>
      </c>
      <c r="N224" s="18">
        <f t="shared" si="16"/>
        <v>0.9642857142857143</v>
      </c>
      <c r="O224" s="27"/>
      <c r="P224" s="8"/>
      <c r="Q224" s="8"/>
      <c r="R224" s="8"/>
      <c r="S224" s="27"/>
      <c r="T224" s="27" t="s">
        <v>1348</v>
      </c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" thickBot="1" x14ac:dyDescent="0.35">
      <c r="A225" t="s">
        <v>412</v>
      </c>
      <c r="B225" s="68"/>
      <c r="C225" s="69" t="s">
        <v>582</v>
      </c>
      <c r="D225" s="68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17">
        <f t="shared" si="14"/>
        <v>27</v>
      </c>
      <c r="M225" s="17">
        <f t="shared" si="15"/>
        <v>1</v>
      </c>
      <c r="N225" s="18">
        <f t="shared" si="16"/>
        <v>0.9642857142857143</v>
      </c>
      <c r="O225" s="27"/>
      <c r="P225" s="8"/>
      <c r="Q225" s="8"/>
      <c r="R225" s="8" t="s">
        <v>1348</v>
      </c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" thickBot="1" x14ac:dyDescent="0.35">
      <c r="A226" t="s">
        <v>585</v>
      </c>
      <c r="B226" s="68"/>
      <c r="C226" s="69" t="s">
        <v>586</v>
      </c>
      <c r="D226" s="68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thickBot="1" x14ac:dyDescent="0.35">
      <c r="A227" t="s">
        <v>585</v>
      </c>
      <c r="B227" s="68"/>
      <c r="C227" s="69" t="s">
        <v>589</v>
      </c>
      <c r="D227" s="68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17">
        <f t="shared" si="14"/>
        <v>27</v>
      </c>
      <c r="M227" s="17">
        <f t="shared" si="15"/>
        <v>1</v>
      </c>
      <c r="N227" s="18">
        <f t="shared" si="16"/>
        <v>0.9642857142857143</v>
      </c>
      <c r="O227" s="27"/>
      <c r="P227" s="8"/>
      <c r="Q227" s="8"/>
      <c r="R227" s="8" t="s">
        <v>1348</v>
      </c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thickBot="1" x14ac:dyDescent="0.35">
      <c r="A228" t="s">
        <v>592</v>
      </c>
      <c r="B228" s="68"/>
      <c r="C228" s="69" t="s">
        <v>593</v>
      </c>
      <c r="D228" s="68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17">
        <f t="shared" si="14"/>
        <v>27</v>
      </c>
      <c r="M228" s="17">
        <f t="shared" si="15"/>
        <v>1</v>
      </c>
      <c r="N228" s="18">
        <f t="shared" si="16"/>
        <v>0.9642857142857143</v>
      </c>
      <c r="O228" s="27"/>
      <c r="P228" s="8"/>
      <c r="Q228" s="8"/>
      <c r="R228" s="8" t="s">
        <v>1348</v>
      </c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thickBot="1" x14ac:dyDescent="0.35">
      <c r="A229" t="s">
        <v>456</v>
      </c>
      <c r="B229" s="68"/>
      <c r="C229" s="69" t="s">
        <v>595</v>
      </c>
      <c r="D229" s="68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thickBot="1" x14ac:dyDescent="0.35">
      <c r="A230" t="s">
        <v>456</v>
      </c>
      <c r="B230" s="66">
        <v>44642</v>
      </c>
      <c r="C230" s="69" t="s">
        <v>598</v>
      </c>
      <c r="D230" s="68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17">
        <f t="shared" si="14"/>
        <v>28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" thickBot="1" x14ac:dyDescent="0.35">
      <c r="A231" t="s">
        <v>456</v>
      </c>
      <c r="B231" s="68"/>
      <c r="C231" s="69" t="s">
        <v>601</v>
      </c>
      <c r="D231" s="68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17">
        <f t="shared" si="14"/>
        <v>28</v>
      </c>
      <c r="M231" s="17">
        <f t="shared" si="15"/>
        <v>0</v>
      </c>
      <c r="N231" s="18">
        <f t="shared" si="16"/>
        <v>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thickBot="1" x14ac:dyDescent="0.35">
      <c r="A232" t="s">
        <v>456</v>
      </c>
      <c r="B232" s="68"/>
      <c r="C232" s="69" t="s">
        <v>603</v>
      </c>
      <c r="D232" s="68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thickBot="1" x14ac:dyDescent="0.35">
      <c r="A233" t="s">
        <v>585</v>
      </c>
      <c r="B233" s="68"/>
      <c r="C233" s="69" t="s">
        <v>604</v>
      </c>
      <c r="D233" s="68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thickBot="1" x14ac:dyDescent="0.35">
      <c r="B234" s="68"/>
      <c r="C234" s="69" t="s">
        <v>606</v>
      </c>
      <c r="D234" s="68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thickBot="1" x14ac:dyDescent="0.35">
      <c r="A235" t="s">
        <v>608</v>
      </c>
      <c r="B235" s="68"/>
      <c r="C235" s="69" t="s">
        <v>609</v>
      </c>
      <c r="D235" s="68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" thickBot="1" x14ac:dyDescent="0.35">
      <c r="A236" t="s">
        <v>608</v>
      </c>
      <c r="B236" s="68"/>
      <c r="C236" s="69" t="s">
        <v>612</v>
      </c>
      <c r="D236" s="68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17">
        <f t="shared" si="14"/>
        <v>28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" thickBot="1" x14ac:dyDescent="0.35">
      <c r="A237" t="s">
        <v>608</v>
      </c>
      <c r="B237" s="68"/>
      <c r="C237" s="69" t="s">
        <v>614</v>
      </c>
      <c r="D237" s="68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" thickBot="1" x14ac:dyDescent="0.35">
      <c r="A238" t="s">
        <v>608</v>
      </c>
      <c r="B238" s="68"/>
      <c r="C238" s="69" t="s">
        <v>615</v>
      </c>
      <c r="D238" s="68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17">
        <f t="shared" si="14"/>
        <v>27</v>
      </c>
      <c r="M238" s="17">
        <f t="shared" si="15"/>
        <v>1</v>
      </c>
      <c r="N238" s="18">
        <f t="shared" si="16"/>
        <v>0.9642857142857143</v>
      </c>
      <c r="O238" s="27"/>
      <c r="P238" s="8"/>
      <c r="Q238" s="8"/>
      <c r="R238" s="8" t="s">
        <v>1348</v>
      </c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thickBot="1" x14ac:dyDescent="0.35">
      <c r="A239" t="s">
        <v>618</v>
      </c>
      <c r="B239" s="68"/>
      <c r="C239" s="69" t="s">
        <v>619</v>
      </c>
      <c r="D239" s="68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17">
        <f t="shared" si="14"/>
        <v>27</v>
      </c>
      <c r="M239" s="17">
        <f t="shared" si="15"/>
        <v>1</v>
      </c>
      <c r="N239" s="18">
        <f t="shared" si="16"/>
        <v>0.9642857142857143</v>
      </c>
      <c r="O239" s="27" t="s">
        <v>1348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" thickBot="1" x14ac:dyDescent="0.35">
      <c r="A240" t="s">
        <v>618</v>
      </c>
      <c r="B240" s="68"/>
      <c r="C240" s="69" t="s">
        <v>621</v>
      </c>
      <c r="D240" s="68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 t="s">
        <v>1348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" thickBot="1" x14ac:dyDescent="0.35">
      <c r="A241" t="s">
        <v>608</v>
      </c>
      <c r="B241" s="68"/>
      <c r="C241" s="69" t="s">
        <v>622</v>
      </c>
      <c r="D241" s="68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" thickBot="1" x14ac:dyDescent="0.35">
      <c r="A242" t="s">
        <v>608</v>
      </c>
      <c r="B242" s="68"/>
      <c r="C242" s="69" t="s">
        <v>625</v>
      </c>
      <c r="D242" s="68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" thickBot="1" x14ac:dyDescent="0.35">
      <c r="A243" t="s">
        <v>608</v>
      </c>
      <c r="B243" s="68"/>
      <c r="C243" s="69" t="s">
        <v>626</v>
      </c>
      <c r="D243" s="68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" thickBot="1" x14ac:dyDescent="0.35">
      <c r="A244" t="s">
        <v>608</v>
      </c>
      <c r="B244" s="68"/>
      <c r="C244" s="69" t="s">
        <v>629</v>
      </c>
      <c r="D244" s="68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" thickBot="1" x14ac:dyDescent="0.35">
      <c r="A245" t="s">
        <v>618</v>
      </c>
      <c r="B245" s="68"/>
      <c r="C245" s="69" t="s">
        <v>1326</v>
      </c>
      <c r="D245" s="68" t="s">
        <v>1327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1342</v>
      </c>
      <c r="L245" s="17">
        <f t="shared" si="14"/>
        <v>27</v>
      </c>
      <c r="M245" s="17">
        <f t="shared" si="15"/>
        <v>1</v>
      </c>
      <c r="N245" s="18">
        <f t="shared" si="16"/>
        <v>0.9642857142857143</v>
      </c>
      <c r="O245" s="27" t="s">
        <v>1348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" thickBot="1" x14ac:dyDescent="0.35">
      <c r="A246" t="s">
        <v>608</v>
      </c>
      <c r="B246" s="68"/>
      <c r="C246" s="69" t="s">
        <v>1328</v>
      </c>
      <c r="D246" s="68" t="s">
        <v>1329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1343</v>
      </c>
      <c r="L246" s="17">
        <f t="shared" si="14"/>
        <v>28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" thickBot="1" x14ac:dyDescent="0.35">
      <c r="A247" t="s">
        <v>310</v>
      </c>
      <c r="B247" s="68"/>
      <c r="C247" s="69" t="s">
        <v>630</v>
      </c>
      <c r="D247" s="68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1348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thickBot="1" x14ac:dyDescent="0.35">
      <c r="A248" t="s">
        <v>310</v>
      </c>
      <c r="B248" s="68"/>
      <c r="C248" s="69" t="s">
        <v>633</v>
      </c>
      <c r="D248" s="68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thickBot="1" x14ac:dyDescent="0.35">
      <c r="A249" t="s">
        <v>310</v>
      </c>
      <c r="B249" s="68"/>
      <c r="C249" s="69" t="s">
        <v>635</v>
      </c>
      <c r="D249" s="68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thickBot="1" x14ac:dyDescent="0.35">
      <c r="A250" t="s">
        <v>310</v>
      </c>
      <c r="B250" s="68"/>
      <c r="C250" s="69" t="s">
        <v>637</v>
      </c>
      <c r="D250" s="68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thickBot="1" x14ac:dyDescent="0.35">
      <c r="A251" t="s">
        <v>310</v>
      </c>
      <c r="B251" s="66">
        <v>44634</v>
      </c>
      <c r="C251" s="69" t="s">
        <v>640</v>
      </c>
      <c r="D251" s="68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17">
        <f t="shared" si="14"/>
        <v>27</v>
      </c>
      <c r="M251" s="17">
        <f t="shared" si="15"/>
        <v>1</v>
      </c>
      <c r="N251" s="18">
        <f t="shared" si="16"/>
        <v>0.9642857142857143</v>
      </c>
      <c r="O251" s="27"/>
      <c r="P251" s="8"/>
      <c r="Q251" s="8"/>
      <c r="R251" s="8" t="s">
        <v>1348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thickBot="1" x14ac:dyDescent="0.35">
      <c r="A252" t="s">
        <v>310</v>
      </c>
      <c r="B252" s="66">
        <v>44634</v>
      </c>
      <c r="C252" s="69" t="s">
        <v>642</v>
      </c>
      <c r="D252" s="68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17">
        <f t="shared" si="14"/>
        <v>27</v>
      </c>
      <c r="M252" s="17">
        <f t="shared" si="15"/>
        <v>1</v>
      </c>
      <c r="N252" s="18">
        <f t="shared" si="16"/>
        <v>0.9642857142857143</v>
      </c>
      <c r="O252" s="27"/>
      <c r="P252" s="8"/>
      <c r="Q252" s="8"/>
      <c r="R252" s="8" t="s">
        <v>1348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thickBot="1" x14ac:dyDescent="0.35">
      <c r="A253" t="s">
        <v>310</v>
      </c>
      <c r="B253" s="66">
        <v>44634</v>
      </c>
      <c r="C253" s="69" t="s">
        <v>643</v>
      </c>
      <c r="D253" s="68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17">
        <f t="shared" si="14"/>
        <v>27</v>
      </c>
      <c r="M253" s="17">
        <f t="shared" si="15"/>
        <v>1</v>
      </c>
      <c r="N253" s="18">
        <f t="shared" si="16"/>
        <v>0.9642857142857143</v>
      </c>
      <c r="O253" s="27"/>
      <c r="P253" s="8"/>
      <c r="Q253" s="8"/>
      <c r="R253" s="8" t="s">
        <v>1348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thickBot="1" x14ac:dyDescent="0.35">
      <c r="A254" t="s">
        <v>310</v>
      </c>
      <c r="B254" s="66">
        <v>44634</v>
      </c>
      <c r="C254" s="69" t="s">
        <v>645</v>
      </c>
      <c r="D254" s="68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17">
        <f t="shared" si="14"/>
        <v>27</v>
      </c>
      <c r="M254" s="17">
        <f t="shared" si="15"/>
        <v>1</v>
      </c>
      <c r="N254" s="18">
        <f t="shared" si="16"/>
        <v>0.9642857142857143</v>
      </c>
      <c r="O254" s="27"/>
      <c r="P254" s="8"/>
      <c r="Q254" s="8"/>
      <c r="R254" s="8" t="s">
        <v>1348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" thickBot="1" x14ac:dyDescent="0.35">
      <c r="A255" t="s">
        <v>646</v>
      </c>
      <c r="B255" s="68"/>
      <c r="C255" s="69" t="s">
        <v>647</v>
      </c>
      <c r="D255" s="68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" thickBot="1" x14ac:dyDescent="0.35">
      <c r="B256" s="68"/>
      <c r="C256" s="69" t="s">
        <v>651</v>
      </c>
      <c r="D256" s="68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thickBot="1" x14ac:dyDescent="0.35">
      <c r="A257" t="s">
        <v>653</v>
      </c>
      <c r="B257" s="68"/>
      <c r="C257" s="69" t="s">
        <v>654</v>
      </c>
      <c r="D257" s="68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thickBot="1" x14ac:dyDescent="0.35">
      <c r="A258" t="s">
        <v>653</v>
      </c>
      <c r="B258" s="68"/>
      <c r="C258" s="69" t="s">
        <v>658</v>
      </c>
      <c r="D258" s="68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17">
        <f t="shared" si="14"/>
        <v>28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" thickBot="1" x14ac:dyDescent="0.35">
      <c r="A259" t="s">
        <v>653</v>
      </c>
      <c r="B259" s="68"/>
      <c r="C259" s="69" t="s">
        <v>660</v>
      </c>
      <c r="D259" s="68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" thickBot="1" x14ac:dyDescent="0.35">
      <c r="A260" t="s">
        <v>653</v>
      </c>
      <c r="B260" s="68"/>
      <c r="C260" s="69" t="s">
        <v>662</v>
      </c>
      <c r="D260" s="68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thickBot="1" x14ac:dyDescent="0.35">
      <c r="A261" t="s">
        <v>653</v>
      </c>
      <c r="B261" s="66">
        <v>44629</v>
      </c>
      <c r="C261" s="69" t="s">
        <v>664</v>
      </c>
      <c r="D261" s="68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thickBot="1" x14ac:dyDescent="0.35">
      <c r="A262" t="s">
        <v>653</v>
      </c>
      <c r="B262" s="68"/>
      <c r="C262" s="69" t="s">
        <v>666</v>
      </c>
      <c r="D262" s="68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 t="s">
        <v>1348</v>
      </c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thickBot="1" x14ac:dyDescent="0.35">
      <c r="A263" t="s">
        <v>258</v>
      </c>
      <c r="B263" s="68"/>
      <c r="C263" s="69" t="s">
        <v>669</v>
      </c>
      <c r="D263" s="68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" thickBot="1" x14ac:dyDescent="0.35">
      <c r="A264" t="s">
        <v>258</v>
      </c>
      <c r="B264" s="68"/>
      <c r="C264" s="69" t="s">
        <v>672</v>
      </c>
      <c r="D264" s="68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" thickBot="1" x14ac:dyDescent="0.35">
      <c r="A265" t="s">
        <v>258</v>
      </c>
      <c r="B265" s="68"/>
      <c r="C265" s="69" t="s">
        <v>673</v>
      </c>
      <c r="D265" s="68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" thickBot="1" x14ac:dyDescent="0.35">
      <c r="A266" t="s">
        <v>258</v>
      </c>
      <c r="B266" s="68"/>
      <c r="C266" s="69" t="s">
        <v>675</v>
      </c>
      <c r="D266" s="68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" thickBot="1" x14ac:dyDescent="0.35">
      <c r="A267" t="s">
        <v>676</v>
      </c>
      <c r="B267" s="68"/>
      <c r="C267" s="69" t="s">
        <v>677</v>
      </c>
      <c r="D267" s="68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thickBot="1" x14ac:dyDescent="0.35">
      <c r="A268" t="s">
        <v>676</v>
      </c>
      <c r="B268" s="68"/>
      <c r="C268" s="69" t="s">
        <v>679</v>
      </c>
      <c r="D268" s="68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17">
        <f t="shared" si="17"/>
        <v>27</v>
      </c>
      <c r="M268" s="17">
        <f t="shared" si="18"/>
        <v>1</v>
      </c>
      <c r="N268" s="18">
        <f t="shared" si="19"/>
        <v>0.9642857142857143</v>
      </c>
      <c r="O268" s="27"/>
      <c r="P268" s="8"/>
      <c r="Q268" s="8"/>
      <c r="R268" s="8" t="s">
        <v>1348</v>
      </c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thickBot="1" x14ac:dyDescent="0.35">
      <c r="A269" t="s">
        <v>676</v>
      </c>
      <c r="B269" s="68"/>
      <c r="C269" s="69" t="s">
        <v>682</v>
      </c>
      <c r="D269" s="68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17">
        <f t="shared" si="17"/>
        <v>27</v>
      </c>
      <c r="M269" s="17">
        <f t="shared" si="18"/>
        <v>1</v>
      </c>
      <c r="N269" s="18">
        <f t="shared" si="19"/>
        <v>0.9642857142857143</v>
      </c>
      <c r="O269" s="27"/>
      <c r="P269" s="8"/>
      <c r="Q269" s="8"/>
      <c r="R269" s="8" t="s">
        <v>1348</v>
      </c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thickBot="1" x14ac:dyDescent="0.35">
      <c r="A270" t="s">
        <v>676</v>
      </c>
      <c r="B270" s="68"/>
      <c r="C270" s="69" t="s">
        <v>684</v>
      </c>
      <c r="D270" s="68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 t="s">
        <v>1348</v>
      </c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thickBot="1" x14ac:dyDescent="0.35">
      <c r="A271" t="s">
        <v>676</v>
      </c>
      <c r="B271" s="68"/>
      <c r="C271" s="69" t="s">
        <v>686</v>
      </c>
      <c r="D271" s="68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thickBot="1" x14ac:dyDescent="0.35">
      <c r="A272" t="s">
        <v>676</v>
      </c>
      <c r="B272" s="66">
        <v>44629</v>
      </c>
      <c r="C272" s="69" t="s">
        <v>689</v>
      </c>
      <c r="D272" s="68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17">
        <f t="shared" si="17"/>
        <v>27</v>
      </c>
      <c r="M272" s="17">
        <f t="shared" si="18"/>
        <v>1</v>
      </c>
      <c r="N272" s="18">
        <f t="shared" si="19"/>
        <v>0.9642857142857143</v>
      </c>
      <c r="O272" s="27"/>
      <c r="P272" s="8"/>
      <c r="Q272" s="8"/>
      <c r="R272" s="8" t="s">
        <v>1348</v>
      </c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thickBot="1" x14ac:dyDescent="0.35">
      <c r="A273" t="s">
        <v>676</v>
      </c>
      <c r="B273" s="66">
        <v>44634</v>
      </c>
      <c r="C273" s="69" t="s">
        <v>692</v>
      </c>
      <c r="D273" s="68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17">
        <f t="shared" si="17"/>
        <v>27</v>
      </c>
      <c r="M273" s="17">
        <f t="shared" si="18"/>
        <v>1</v>
      </c>
      <c r="N273" s="18">
        <f t="shared" si="19"/>
        <v>0.9642857142857143</v>
      </c>
      <c r="O273" s="27"/>
      <c r="P273" s="8"/>
      <c r="Q273" s="8"/>
      <c r="R273" s="8" t="s">
        <v>1348</v>
      </c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thickBot="1" x14ac:dyDescent="0.35">
      <c r="A274" t="s">
        <v>676</v>
      </c>
      <c r="B274" s="66">
        <v>44634</v>
      </c>
      <c r="C274" s="69" t="s">
        <v>695</v>
      </c>
      <c r="D274" s="68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17">
        <f t="shared" si="17"/>
        <v>27</v>
      </c>
      <c r="M274" s="17">
        <f t="shared" si="18"/>
        <v>1</v>
      </c>
      <c r="N274" s="18">
        <f t="shared" si="19"/>
        <v>0.9642857142857143</v>
      </c>
      <c r="O274" s="27"/>
      <c r="P274" s="8"/>
      <c r="Q274" s="8"/>
      <c r="R274" s="8" t="s">
        <v>1348</v>
      </c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thickBot="1" x14ac:dyDescent="0.35">
      <c r="A275" t="s">
        <v>676</v>
      </c>
      <c r="B275" s="68"/>
      <c r="C275" s="69" t="s">
        <v>696</v>
      </c>
      <c r="D275" s="68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" thickBot="1" x14ac:dyDescent="0.35">
      <c r="A276" t="s">
        <v>538</v>
      </c>
      <c r="B276" s="68"/>
      <c r="C276" s="69" t="s">
        <v>697</v>
      </c>
      <c r="D276" s="68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thickBot="1" x14ac:dyDescent="0.35">
      <c r="A277" t="s">
        <v>676</v>
      </c>
      <c r="B277" s="68"/>
      <c r="C277" s="69" t="s">
        <v>699</v>
      </c>
      <c r="D277" s="68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17">
        <f t="shared" si="17"/>
        <v>27</v>
      </c>
      <c r="M277" s="17">
        <f t="shared" si="18"/>
        <v>1</v>
      </c>
      <c r="N277" s="18">
        <f t="shared" si="19"/>
        <v>0.9642857142857143</v>
      </c>
      <c r="O277" s="27"/>
      <c r="P277" s="8"/>
      <c r="Q277" s="8"/>
      <c r="R277" s="8" t="s">
        <v>1348</v>
      </c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" thickBot="1" x14ac:dyDescent="0.35">
      <c r="A278" t="s">
        <v>676</v>
      </c>
      <c r="B278" s="68"/>
      <c r="C278" s="69" t="s">
        <v>702</v>
      </c>
      <c r="D278" s="68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" thickBot="1" x14ac:dyDescent="0.35">
      <c r="A279" t="s">
        <v>676</v>
      </c>
      <c r="B279" s="68"/>
      <c r="C279" s="69" t="s">
        <v>705</v>
      </c>
      <c r="D279" s="68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17">
        <f t="shared" si="17"/>
        <v>28</v>
      </c>
      <c r="M279" s="17">
        <f t="shared" si="18"/>
        <v>0</v>
      </c>
      <c r="N279" s="18">
        <f t="shared" si="19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" thickBot="1" x14ac:dyDescent="0.35">
      <c r="A280" t="s">
        <v>676</v>
      </c>
      <c r="B280" s="68"/>
      <c r="C280" s="69" t="s">
        <v>708</v>
      </c>
      <c r="D280" s="68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 t="s">
        <v>1348</v>
      </c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" thickBot="1" x14ac:dyDescent="0.35">
      <c r="A281" t="s">
        <v>538</v>
      </c>
      <c r="B281" s="66">
        <v>44634</v>
      </c>
      <c r="C281" s="69" t="s">
        <v>710</v>
      </c>
      <c r="D281" s="68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17">
        <f t="shared" si="17"/>
        <v>27</v>
      </c>
      <c r="M281" s="17">
        <f t="shared" si="18"/>
        <v>1</v>
      </c>
      <c r="N281" s="18">
        <f t="shared" si="19"/>
        <v>0.9642857142857143</v>
      </c>
      <c r="O281" s="27"/>
      <c r="P281" s="8"/>
      <c r="Q281" s="8"/>
      <c r="R281" s="8"/>
      <c r="S281" s="27" t="s">
        <v>1348</v>
      </c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" thickBot="1" x14ac:dyDescent="0.35">
      <c r="A282" t="s">
        <v>538</v>
      </c>
      <c r="B282" s="66">
        <v>44634</v>
      </c>
      <c r="C282" s="69" t="s">
        <v>712</v>
      </c>
      <c r="D282" s="68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17">
        <f t="shared" si="17"/>
        <v>27</v>
      </c>
      <c r="M282" s="17">
        <f t="shared" si="18"/>
        <v>1</v>
      </c>
      <c r="N282" s="18">
        <f t="shared" si="19"/>
        <v>0.9642857142857143</v>
      </c>
      <c r="O282" s="27"/>
      <c r="P282" s="8"/>
      <c r="Q282" s="8"/>
      <c r="R282" s="8"/>
      <c r="S282" s="27" t="s">
        <v>1348</v>
      </c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" thickBot="1" x14ac:dyDescent="0.35">
      <c r="A283" t="s">
        <v>676</v>
      </c>
      <c r="B283" s="68"/>
      <c r="C283" s="69" t="s">
        <v>713</v>
      </c>
      <c r="D283" s="68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/>
      <c r="P283" s="8"/>
      <c r="Q283" s="8"/>
      <c r="R283" s="8" t="s">
        <v>1348</v>
      </c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" thickBot="1" x14ac:dyDescent="0.35">
      <c r="A284" t="s">
        <v>676</v>
      </c>
      <c r="B284" s="68"/>
      <c r="C284" s="69" t="s">
        <v>716</v>
      </c>
      <c r="D284" s="68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 t="s">
        <v>1348</v>
      </c>
      <c r="S284" s="27" t="s">
        <v>1348</v>
      </c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" thickBot="1" x14ac:dyDescent="0.35">
      <c r="A285" t="s">
        <v>676</v>
      </c>
      <c r="B285" s="68"/>
      <c r="C285" s="69" t="s">
        <v>719</v>
      </c>
      <c r="D285" s="68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 t="s">
        <v>1348</v>
      </c>
      <c r="S285" s="27" t="s">
        <v>1348</v>
      </c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" thickBot="1" x14ac:dyDescent="0.35">
      <c r="A286" t="s">
        <v>549</v>
      </c>
      <c r="B286" s="68"/>
      <c r="C286" s="69" t="s">
        <v>720</v>
      </c>
      <c r="D286" s="68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 t="s">
        <v>1348</v>
      </c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" thickBot="1" x14ac:dyDescent="0.35">
      <c r="A287" t="s">
        <v>549</v>
      </c>
      <c r="B287" s="68"/>
      <c r="C287" s="69" t="s">
        <v>722</v>
      </c>
      <c r="D287" s="68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17">
        <f t="shared" si="17"/>
        <v>27</v>
      </c>
      <c r="M287" s="17">
        <f t="shared" si="18"/>
        <v>1</v>
      </c>
      <c r="N287" s="18">
        <f t="shared" si="19"/>
        <v>0.9642857142857143</v>
      </c>
      <c r="O287" s="27"/>
      <c r="P287" s="8"/>
      <c r="Q287" s="8"/>
      <c r="R287" s="8"/>
      <c r="S287" s="27"/>
      <c r="T287" s="27" t="s">
        <v>1348</v>
      </c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" thickBot="1" x14ac:dyDescent="0.35">
      <c r="A288" t="s">
        <v>723</v>
      </c>
      <c r="B288" s="68"/>
      <c r="C288" s="69" t="s">
        <v>724</v>
      </c>
      <c r="D288" s="68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 t="s">
        <v>1348</v>
      </c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95" customHeight="1" thickBot="1" x14ac:dyDescent="0.35">
      <c r="A289" t="s">
        <v>723</v>
      </c>
      <c r="B289" s="68"/>
      <c r="C289" s="69" t="s">
        <v>727</v>
      </c>
      <c r="D289" s="68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17">
        <f t="shared" si="17"/>
        <v>22</v>
      </c>
      <c r="M289" s="17">
        <f t="shared" si="18"/>
        <v>6</v>
      </c>
      <c r="N289" s="18">
        <f t="shared" si="19"/>
        <v>0.7857142857142857</v>
      </c>
      <c r="O289" s="27" t="s">
        <v>1348</v>
      </c>
      <c r="P289" s="8" t="s">
        <v>1348</v>
      </c>
      <c r="Q289" s="8" t="s">
        <v>1348</v>
      </c>
      <c r="R289" s="8" t="s">
        <v>1348</v>
      </c>
      <c r="S289" s="27" t="s">
        <v>1348</v>
      </c>
      <c r="T289" s="27" t="s">
        <v>1348</v>
      </c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" thickBot="1" x14ac:dyDescent="0.35">
      <c r="A290" t="s">
        <v>729</v>
      </c>
      <c r="B290" s="68"/>
      <c r="C290" s="69" t="s">
        <v>730</v>
      </c>
      <c r="D290" s="68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 t="s">
        <v>1348</v>
      </c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" thickBot="1" x14ac:dyDescent="0.35">
      <c r="A291" t="s">
        <v>723</v>
      </c>
      <c r="B291" s="68"/>
      <c r="C291" s="69" t="s">
        <v>732</v>
      </c>
      <c r="D291" s="68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17">
        <f t="shared" si="17"/>
        <v>27</v>
      </c>
      <c r="M291" s="17">
        <f t="shared" si="18"/>
        <v>1</v>
      </c>
      <c r="N291" s="18">
        <f t="shared" si="19"/>
        <v>0.9642857142857143</v>
      </c>
      <c r="O291" s="27"/>
      <c r="P291" s="8"/>
      <c r="Q291" s="8"/>
      <c r="R291" s="8" t="s">
        <v>1348</v>
      </c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" thickBot="1" x14ac:dyDescent="0.35">
      <c r="A292" t="s">
        <v>723</v>
      </c>
      <c r="B292" s="68"/>
      <c r="C292" s="69" t="s">
        <v>736</v>
      </c>
      <c r="D292" s="68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17">
        <f t="shared" si="17"/>
        <v>27</v>
      </c>
      <c r="M292" s="17">
        <f t="shared" si="18"/>
        <v>1</v>
      </c>
      <c r="N292" s="18">
        <f t="shared" si="19"/>
        <v>0.9642857142857143</v>
      </c>
      <c r="O292" s="27"/>
      <c r="P292" s="8"/>
      <c r="Q292" s="8"/>
      <c r="R292" s="8" t="s">
        <v>1348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" thickBot="1" x14ac:dyDescent="0.35">
      <c r="A293" t="s">
        <v>723</v>
      </c>
      <c r="B293" s="68"/>
      <c r="C293" s="69" t="s">
        <v>738</v>
      </c>
      <c r="D293" s="68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17">
        <f t="shared" si="17"/>
        <v>27</v>
      </c>
      <c r="M293" s="17">
        <f t="shared" si="18"/>
        <v>1</v>
      </c>
      <c r="N293" s="18">
        <f t="shared" si="19"/>
        <v>0.9642857142857143</v>
      </c>
      <c r="O293" s="27"/>
      <c r="P293" s="8"/>
      <c r="Q293" s="8"/>
      <c r="R293" s="8" t="s">
        <v>1348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" thickBot="1" x14ac:dyDescent="0.35">
      <c r="A294" t="s">
        <v>723</v>
      </c>
      <c r="B294" s="68"/>
      <c r="C294" s="69" t="s">
        <v>741</v>
      </c>
      <c r="D294" s="68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17">
        <f t="shared" si="17"/>
        <v>27</v>
      </c>
      <c r="M294" s="17">
        <f t="shared" si="18"/>
        <v>1</v>
      </c>
      <c r="N294" s="18">
        <f t="shared" si="19"/>
        <v>0.9642857142857143</v>
      </c>
      <c r="O294" s="27"/>
      <c r="P294" s="8"/>
      <c r="Q294" s="8"/>
      <c r="R294" s="8" t="s">
        <v>1348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" thickBot="1" x14ac:dyDescent="0.35">
      <c r="A295" t="s">
        <v>723</v>
      </c>
      <c r="B295" s="68"/>
      <c r="C295" s="69" t="s">
        <v>743</v>
      </c>
      <c r="D295" s="68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17">
        <f t="shared" si="17"/>
        <v>27</v>
      </c>
      <c r="M295" s="17">
        <f t="shared" si="18"/>
        <v>1</v>
      </c>
      <c r="N295" s="18">
        <f t="shared" si="19"/>
        <v>0.9642857142857143</v>
      </c>
      <c r="O295" s="27"/>
      <c r="P295" s="8"/>
      <c r="Q295" s="8"/>
      <c r="R295" s="8" t="s">
        <v>1348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" thickBot="1" x14ac:dyDescent="0.35">
      <c r="A296" t="s">
        <v>412</v>
      </c>
      <c r="B296" s="68"/>
      <c r="C296" s="69" t="s">
        <v>745</v>
      </c>
      <c r="D296" s="68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17">
        <f t="shared" si="17"/>
        <v>28</v>
      </c>
      <c r="M296" s="17">
        <f t="shared" si="18"/>
        <v>0</v>
      </c>
      <c r="N296" s="18">
        <f t="shared" si="19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thickBot="1" x14ac:dyDescent="0.35">
      <c r="A297" t="s">
        <v>358</v>
      </c>
      <c r="B297" s="68"/>
      <c r="C297" s="69" t="s">
        <v>747</v>
      </c>
      <c r="D297" s="68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" thickBot="1" x14ac:dyDescent="0.35">
      <c r="A298" t="s">
        <v>358</v>
      </c>
      <c r="B298" s="68"/>
      <c r="C298" s="69" t="s">
        <v>750</v>
      </c>
      <c r="D298" s="68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" thickBot="1" x14ac:dyDescent="0.35">
      <c r="A299" t="s">
        <v>358</v>
      </c>
      <c r="B299" s="68"/>
      <c r="C299" s="69" t="s">
        <v>752</v>
      </c>
      <c r="D299" s="68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" thickBot="1" x14ac:dyDescent="0.35">
      <c r="A300" t="s">
        <v>358</v>
      </c>
      <c r="B300" s="68"/>
      <c r="C300" s="69" t="s">
        <v>754</v>
      </c>
      <c r="D300" s="68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" thickBot="1" x14ac:dyDescent="0.35">
      <c r="A301" t="s">
        <v>358</v>
      </c>
      <c r="B301" s="68"/>
      <c r="C301" s="69" t="s">
        <v>755</v>
      </c>
      <c r="D301" s="68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thickBot="1" x14ac:dyDescent="0.35">
      <c r="A302" t="s">
        <v>358</v>
      </c>
      <c r="B302" s="68"/>
      <c r="C302" s="69" t="s">
        <v>757</v>
      </c>
      <c r="D302" s="68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" thickBot="1" x14ac:dyDescent="0.35">
      <c r="A303" t="s">
        <v>358</v>
      </c>
      <c r="B303" s="68"/>
      <c r="C303" s="69" t="s">
        <v>758</v>
      </c>
      <c r="D303" s="68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17">
        <f t="shared" si="17"/>
        <v>22</v>
      </c>
      <c r="M303" s="17">
        <f t="shared" si="18"/>
        <v>6</v>
      </c>
      <c r="N303" s="18">
        <f t="shared" si="19"/>
        <v>0.7857142857142857</v>
      </c>
      <c r="O303" s="27" t="s">
        <v>1348</v>
      </c>
      <c r="P303" s="8" t="s">
        <v>1348</v>
      </c>
      <c r="Q303" s="8" t="s">
        <v>1348</v>
      </c>
      <c r="R303" s="8" t="s">
        <v>1348</v>
      </c>
      <c r="S303" s="27" t="s">
        <v>1348</v>
      </c>
      <c r="T303" s="27" t="s">
        <v>1348</v>
      </c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" thickBot="1" x14ac:dyDescent="0.35">
      <c r="A304" t="s">
        <v>358</v>
      </c>
      <c r="B304" s="66">
        <v>44634</v>
      </c>
      <c r="C304" s="69" t="s">
        <v>760</v>
      </c>
      <c r="D304" s="68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17">
        <f t="shared" si="17"/>
        <v>25</v>
      </c>
      <c r="M304" s="17">
        <f t="shared" si="18"/>
        <v>3</v>
      </c>
      <c r="N304" s="18">
        <f t="shared" si="19"/>
        <v>0.8928571428571429</v>
      </c>
      <c r="O304" s="27"/>
      <c r="P304" s="8"/>
      <c r="Q304" s="8"/>
      <c r="R304" s="8" t="s">
        <v>1348</v>
      </c>
      <c r="S304" s="27" t="s">
        <v>1348</v>
      </c>
      <c r="T304" s="27" t="s">
        <v>1348</v>
      </c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thickBot="1" x14ac:dyDescent="0.35">
      <c r="A305" t="s">
        <v>358</v>
      </c>
      <c r="B305" s="66">
        <v>44634</v>
      </c>
      <c r="C305" s="69" t="s">
        <v>763</v>
      </c>
      <c r="D305" s="68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17">
        <f t="shared" si="17"/>
        <v>25</v>
      </c>
      <c r="M305" s="17">
        <f t="shared" si="18"/>
        <v>3</v>
      </c>
      <c r="N305" s="18">
        <f t="shared" si="19"/>
        <v>0.8928571428571429</v>
      </c>
      <c r="O305" s="27"/>
      <c r="P305" s="8"/>
      <c r="Q305" s="8"/>
      <c r="R305" s="8" t="s">
        <v>1348</v>
      </c>
      <c r="S305" s="27" t="s">
        <v>1348</v>
      </c>
      <c r="T305" s="27" t="s">
        <v>1348</v>
      </c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" thickBot="1" x14ac:dyDescent="0.35">
      <c r="A306" t="s">
        <v>358</v>
      </c>
      <c r="B306" s="66">
        <v>44634</v>
      </c>
      <c r="C306" s="69" t="s">
        <v>764</v>
      </c>
      <c r="D306" s="68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17">
        <f t="shared" si="17"/>
        <v>25</v>
      </c>
      <c r="M306" s="17">
        <f t="shared" si="18"/>
        <v>3</v>
      </c>
      <c r="N306" s="18">
        <f t="shared" si="19"/>
        <v>0.8928571428571429</v>
      </c>
      <c r="O306" s="27"/>
      <c r="P306" s="8"/>
      <c r="Q306" s="8"/>
      <c r="R306" s="8" t="s">
        <v>1348</v>
      </c>
      <c r="S306" s="27" t="s">
        <v>1348</v>
      </c>
      <c r="T306" s="27" t="s">
        <v>1348</v>
      </c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thickBot="1" x14ac:dyDescent="0.35">
      <c r="A307" t="s">
        <v>358</v>
      </c>
      <c r="B307" s="66">
        <v>44634</v>
      </c>
      <c r="C307" s="69" t="s">
        <v>767</v>
      </c>
      <c r="D307" s="68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17">
        <f t="shared" si="17"/>
        <v>25</v>
      </c>
      <c r="M307" s="17">
        <f t="shared" si="18"/>
        <v>3</v>
      </c>
      <c r="N307" s="18">
        <f t="shared" si="19"/>
        <v>0.8928571428571429</v>
      </c>
      <c r="O307" s="27"/>
      <c r="P307" s="8"/>
      <c r="Q307" s="8"/>
      <c r="R307" s="8" t="s">
        <v>1348</v>
      </c>
      <c r="S307" s="27" t="s">
        <v>1348</v>
      </c>
      <c r="T307" s="27" t="s">
        <v>1348</v>
      </c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thickBot="1" x14ac:dyDescent="0.35">
      <c r="B308" s="68"/>
      <c r="C308" s="69" t="s">
        <v>768</v>
      </c>
      <c r="D308" s="68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17">
        <f t="shared" si="17"/>
        <v>27</v>
      </c>
      <c r="M308" s="17">
        <f t="shared" si="18"/>
        <v>1</v>
      </c>
      <c r="N308" s="18">
        <f t="shared" si="19"/>
        <v>0.9642857142857143</v>
      </c>
      <c r="O308" s="27"/>
      <c r="P308" s="8"/>
      <c r="Q308" s="8"/>
      <c r="R308" s="8" t="s">
        <v>1348</v>
      </c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thickBot="1" x14ac:dyDescent="0.35">
      <c r="A309" t="s">
        <v>771</v>
      </c>
      <c r="B309" s="68"/>
      <c r="C309" s="69" t="s">
        <v>772</v>
      </c>
      <c r="D309" s="68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17">
        <f t="shared" si="17"/>
        <v>27</v>
      </c>
      <c r="M309" s="17">
        <f t="shared" si="18"/>
        <v>1</v>
      </c>
      <c r="N309" s="18">
        <f t="shared" si="19"/>
        <v>0.9642857142857143</v>
      </c>
      <c r="O309" s="27"/>
      <c r="P309" s="8"/>
      <c r="Q309" s="8"/>
      <c r="R309" s="8" t="s">
        <v>1348</v>
      </c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thickBot="1" x14ac:dyDescent="0.35">
      <c r="B310" s="68"/>
      <c r="C310" s="69" t="s">
        <v>775</v>
      </c>
      <c r="D310" s="68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17">
        <f t="shared" si="17"/>
        <v>23</v>
      </c>
      <c r="M310" s="17">
        <f t="shared" si="18"/>
        <v>5</v>
      </c>
      <c r="N310" s="18">
        <f t="shared" si="19"/>
        <v>0.8214285714285714</v>
      </c>
      <c r="O310" s="27" t="s">
        <v>1348</v>
      </c>
      <c r="P310" s="8" t="s">
        <v>1348</v>
      </c>
      <c r="Q310" s="8" t="s">
        <v>1348</v>
      </c>
      <c r="R310" s="8" t="s">
        <v>1348</v>
      </c>
      <c r="S310" s="27" t="s">
        <v>1348</v>
      </c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thickBot="1" x14ac:dyDescent="0.35">
      <c r="A311" t="s">
        <v>778</v>
      </c>
      <c r="B311" s="68"/>
      <c r="C311" s="69" t="s">
        <v>779</v>
      </c>
      <c r="D311" s="68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thickBot="1" x14ac:dyDescent="0.35">
      <c r="A312" t="s">
        <v>778</v>
      </c>
      <c r="B312" s="68"/>
      <c r="C312" s="69" t="s">
        <v>782</v>
      </c>
      <c r="D312" s="68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thickBot="1" x14ac:dyDescent="0.35">
      <c r="A313" t="s">
        <v>771</v>
      </c>
      <c r="B313" s="68"/>
      <c r="C313" s="69" t="s">
        <v>783</v>
      </c>
      <c r="D313" s="68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17">
        <f t="shared" si="17"/>
        <v>23</v>
      </c>
      <c r="M313" s="17">
        <f t="shared" si="18"/>
        <v>5</v>
      </c>
      <c r="N313" s="18">
        <f t="shared" si="19"/>
        <v>0.8214285714285714</v>
      </c>
      <c r="O313" s="27" t="s">
        <v>1348</v>
      </c>
      <c r="P313" s="8" t="s">
        <v>1348</v>
      </c>
      <c r="Q313" s="8" t="s">
        <v>1348</v>
      </c>
      <c r="R313" s="8" t="s">
        <v>1348</v>
      </c>
      <c r="S313" s="27" t="s">
        <v>1348</v>
      </c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thickBot="1" x14ac:dyDescent="0.35">
      <c r="A314" t="s">
        <v>771</v>
      </c>
      <c r="B314" s="68"/>
      <c r="C314" s="69" t="s">
        <v>785</v>
      </c>
      <c r="D314" s="68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 t="s">
        <v>1348</v>
      </c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" thickBot="1" x14ac:dyDescent="0.35">
      <c r="A315" t="s">
        <v>778</v>
      </c>
      <c r="B315" s="68"/>
      <c r="C315" s="69" t="s">
        <v>787</v>
      </c>
      <c r="D315" s="68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thickBot="1" x14ac:dyDescent="0.35">
      <c r="A316" t="s">
        <v>778</v>
      </c>
      <c r="B316" s="68"/>
      <c r="C316" s="69" t="s">
        <v>789</v>
      </c>
      <c r="D316" s="68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17">
        <f t="shared" si="17"/>
        <v>27</v>
      </c>
      <c r="M316" s="17">
        <f t="shared" si="18"/>
        <v>1</v>
      </c>
      <c r="N316" s="18">
        <f t="shared" si="19"/>
        <v>0.9642857142857143</v>
      </c>
      <c r="O316" s="27"/>
      <c r="P316" s="8"/>
      <c r="Q316" s="8"/>
      <c r="R316" s="8" t="s">
        <v>1348</v>
      </c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thickBot="1" x14ac:dyDescent="0.35">
      <c r="A317" t="s">
        <v>771</v>
      </c>
      <c r="B317" s="68"/>
      <c r="C317" s="69" t="s">
        <v>791</v>
      </c>
      <c r="D317" s="68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17">
        <f t="shared" si="17"/>
        <v>27</v>
      </c>
      <c r="M317" s="17">
        <f t="shared" si="18"/>
        <v>1</v>
      </c>
      <c r="N317" s="18">
        <f t="shared" si="19"/>
        <v>0.9642857142857143</v>
      </c>
      <c r="O317" s="27"/>
      <c r="P317" s="8"/>
      <c r="Q317" s="8"/>
      <c r="R317" s="8" t="s">
        <v>1348</v>
      </c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thickBot="1" x14ac:dyDescent="0.35">
      <c r="A318" t="s">
        <v>771</v>
      </c>
      <c r="B318" s="68"/>
      <c r="C318" s="69" t="s">
        <v>792</v>
      </c>
      <c r="D318" s="68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17">
        <f t="shared" si="17"/>
        <v>23</v>
      </c>
      <c r="M318" s="17">
        <f t="shared" si="18"/>
        <v>5</v>
      </c>
      <c r="N318" s="18">
        <f t="shared" si="19"/>
        <v>0.8214285714285714</v>
      </c>
      <c r="O318" s="27" t="s">
        <v>1348</v>
      </c>
      <c r="P318" s="8" t="s">
        <v>1348</v>
      </c>
      <c r="Q318" s="8" t="s">
        <v>1348</v>
      </c>
      <c r="R318" s="8" t="s">
        <v>1348</v>
      </c>
      <c r="S318" s="27" t="s">
        <v>1348</v>
      </c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thickBot="1" x14ac:dyDescent="0.35">
      <c r="A319" t="s">
        <v>771</v>
      </c>
      <c r="B319" s="68"/>
      <c r="C319" s="69" t="s">
        <v>795</v>
      </c>
      <c r="D319" s="68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17">
        <f t="shared" si="17"/>
        <v>23</v>
      </c>
      <c r="M319" s="17">
        <f t="shared" si="18"/>
        <v>5</v>
      </c>
      <c r="N319" s="18">
        <f t="shared" si="19"/>
        <v>0.8214285714285714</v>
      </c>
      <c r="O319" s="27" t="s">
        <v>1348</v>
      </c>
      <c r="P319" s="8" t="s">
        <v>1348</v>
      </c>
      <c r="Q319" s="8" t="s">
        <v>1348</v>
      </c>
      <c r="R319" s="8" t="s">
        <v>1348</v>
      </c>
      <c r="S319" s="27" t="s">
        <v>1348</v>
      </c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thickBot="1" x14ac:dyDescent="0.35">
      <c r="A320" t="s">
        <v>771</v>
      </c>
      <c r="B320" s="68"/>
      <c r="C320" s="69" t="s">
        <v>798</v>
      </c>
      <c r="D320" s="68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17">
        <f t="shared" si="17"/>
        <v>27</v>
      </c>
      <c r="M320" s="17">
        <f t="shared" si="18"/>
        <v>1</v>
      </c>
      <c r="N320" s="18">
        <f t="shared" si="19"/>
        <v>0.9642857142857143</v>
      </c>
      <c r="O320" s="27"/>
      <c r="P320" s="8"/>
      <c r="Q320" s="8"/>
      <c r="R320" s="8" t="s">
        <v>1348</v>
      </c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thickBot="1" x14ac:dyDescent="0.35">
      <c r="A321" t="s">
        <v>771</v>
      </c>
      <c r="B321" s="68"/>
      <c r="C321" s="69" t="s">
        <v>801</v>
      </c>
      <c r="D321" s="68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17">
        <f t="shared" si="17"/>
        <v>28</v>
      </c>
      <c r="M321" s="17">
        <f t="shared" si="18"/>
        <v>0</v>
      </c>
      <c r="N321" s="18">
        <f t="shared" si="19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" thickBot="1" x14ac:dyDescent="0.35">
      <c r="A322" t="s">
        <v>771</v>
      </c>
      <c r="B322" s="68"/>
      <c r="C322" s="69" t="s">
        <v>802</v>
      </c>
      <c r="D322" s="68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thickBot="1" x14ac:dyDescent="0.35">
      <c r="A323" t="s">
        <v>778</v>
      </c>
      <c r="B323" s="68"/>
      <c r="C323" s="69" t="s">
        <v>804</v>
      </c>
      <c r="D323" s="68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 t="s">
        <v>1348</v>
      </c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thickBot="1" x14ac:dyDescent="0.35">
      <c r="A324" t="s">
        <v>778</v>
      </c>
      <c r="B324" s="68"/>
      <c r="C324" s="69" t="s">
        <v>806</v>
      </c>
      <c r="D324" s="68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 t="s">
        <v>1348</v>
      </c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" thickBot="1" x14ac:dyDescent="0.35">
      <c r="A325" t="s">
        <v>771</v>
      </c>
      <c r="B325" s="68"/>
      <c r="C325" s="69" t="s">
        <v>809</v>
      </c>
      <c r="D325" s="68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17">
        <f t="shared" si="17"/>
        <v>23</v>
      </c>
      <c r="M325" s="17">
        <f t="shared" si="18"/>
        <v>5</v>
      </c>
      <c r="N325" s="18">
        <f t="shared" si="19"/>
        <v>0.8214285714285714</v>
      </c>
      <c r="O325" s="27" t="s">
        <v>1348</v>
      </c>
      <c r="P325" s="8" t="s">
        <v>1348</v>
      </c>
      <c r="Q325" s="8" t="s">
        <v>1348</v>
      </c>
      <c r="R325" s="8" t="s">
        <v>1348</v>
      </c>
      <c r="S325" s="27" t="s">
        <v>1348</v>
      </c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thickBot="1" x14ac:dyDescent="0.35">
      <c r="A326" t="s">
        <v>778</v>
      </c>
      <c r="B326" s="68"/>
      <c r="C326" s="69" t="s">
        <v>811</v>
      </c>
      <c r="D326" s="68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17">
        <f t="shared" si="17"/>
        <v>27</v>
      </c>
      <c r="M326" s="17">
        <f t="shared" si="18"/>
        <v>1</v>
      </c>
      <c r="N326" s="18">
        <f t="shared" si="19"/>
        <v>0.9642857142857143</v>
      </c>
      <c r="O326" s="27"/>
      <c r="P326" s="8"/>
      <c r="Q326" s="8"/>
      <c r="R326" s="8" t="s">
        <v>1348</v>
      </c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B327" s="68"/>
      <c r="C327" s="69" t="s">
        <v>813</v>
      </c>
      <c r="D327" s="68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17">
        <f t="shared" ref="L327:L372" si="20">COUNTIF(O327:AP327,"")</f>
        <v>24</v>
      </c>
      <c r="M327" s="17">
        <f t="shared" ref="M327:M372" si="21">COUNTIF(O327:AP327,"APAGADO")</f>
        <v>4</v>
      </c>
      <c r="N327" s="18">
        <f t="shared" ref="N327:N372" si="22">(L327)/(M327+L327)</f>
        <v>0.8571428571428571</v>
      </c>
      <c r="O327" s="27" t="s">
        <v>1348</v>
      </c>
      <c r="P327" s="8" t="s">
        <v>1348</v>
      </c>
      <c r="Q327" s="8" t="s">
        <v>1348</v>
      </c>
      <c r="R327" s="8" t="s">
        <v>1348</v>
      </c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" thickBot="1" x14ac:dyDescent="0.35">
      <c r="A328" t="s">
        <v>771</v>
      </c>
      <c r="B328" s="68"/>
      <c r="C328" s="69" t="s">
        <v>817</v>
      </c>
      <c r="D328" s="68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17">
        <f t="shared" si="20"/>
        <v>23</v>
      </c>
      <c r="M328" s="17">
        <f t="shared" si="21"/>
        <v>5</v>
      </c>
      <c r="N328" s="18">
        <f t="shared" si="22"/>
        <v>0.8214285714285714</v>
      </c>
      <c r="O328" s="27" t="s">
        <v>1348</v>
      </c>
      <c r="P328" s="8" t="s">
        <v>1348</v>
      </c>
      <c r="Q328" s="8" t="s">
        <v>1348</v>
      </c>
      <c r="R328" s="8" t="s">
        <v>1348</v>
      </c>
      <c r="S328" s="27" t="s">
        <v>1348</v>
      </c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" thickBot="1" x14ac:dyDescent="0.35">
      <c r="A329" t="s">
        <v>771</v>
      </c>
      <c r="B329" s="68"/>
      <c r="C329" s="69" t="s">
        <v>819</v>
      </c>
      <c r="D329" s="68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17">
        <f t="shared" si="20"/>
        <v>23</v>
      </c>
      <c r="M329" s="17">
        <f t="shared" si="21"/>
        <v>5</v>
      </c>
      <c r="N329" s="18">
        <f t="shared" si="22"/>
        <v>0.8214285714285714</v>
      </c>
      <c r="O329" s="27" t="s">
        <v>1348</v>
      </c>
      <c r="P329" s="8" t="s">
        <v>1348</v>
      </c>
      <c r="Q329" s="8" t="s">
        <v>1348</v>
      </c>
      <c r="R329" s="8" t="s">
        <v>1348</v>
      </c>
      <c r="S329" s="27" t="s">
        <v>1348</v>
      </c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thickBot="1" x14ac:dyDescent="0.35">
      <c r="A330" t="s">
        <v>771</v>
      </c>
      <c r="B330" s="68"/>
      <c r="C330" s="69" t="s">
        <v>820</v>
      </c>
      <c r="D330" s="68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thickBot="1" x14ac:dyDescent="0.35">
      <c r="A331" t="s">
        <v>771</v>
      </c>
      <c r="B331" s="68"/>
      <c r="C331" s="69" t="s">
        <v>822</v>
      </c>
      <c r="D331" s="68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thickBot="1" x14ac:dyDescent="0.35">
      <c r="A332" t="s">
        <v>618</v>
      </c>
      <c r="B332" s="68"/>
      <c r="C332" s="69" t="s">
        <v>823</v>
      </c>
      <c r="D332" s="68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1348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" thickBot="1" x14ac:dyDescent="0.35">
      <c r="A333" t="s">
        <v>618</v>
      </c>
      <c r="B333" s="68"/>
      <c r="C333" s="69" t="s">
        <v>827</v>
      </c>
      <c r="D333" s="68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17">
        <f t="shared" si="20"/>
        <v>28</v>
      </c>
      <c r="M333" s="17">
        <f t="shared" si="21"/>
        <v>0</v>
      </c>
      <c r="N333" s="18">
        <f t="shared" si="22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thickBot="1" x14ac:dyDescent="0.35">
      <c r="A334" t="s">
        <v>456</v>
      </c>
      <c r="B334" s="68"/>
      <c r="C334" s="69" t="s">
        <v>829</v>
      </c>
      <c r="D334" s="68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thickBot="1" x14ac:dyDescent="0.35">
      <c r="A335" t="s">
        <v>618</v>
      </c>
      <c r="B335" s="68"/>
      <c r="C335" s="69" t="s">
        <v>831</v>
      </c>
      <c r="D335" s="68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thickBot="1" x14ac:dyDescent="0.35">
      <c r="A336" t="s">
        <v>618</v>
      </c>
      <c r="B336" s="68"/>
      <c r="C336" s="69" t="s">
        <v>833</v>
      </c>
      <c r="D336" s="68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thickBot="1" x14ac:dyDescent="0.35">
      <c r="A337" t="s">
        <v>618</v>
      </c>
      <c r="B337" s="68"/>
      <c r="C337" s="69" t="s">
        <v>834</v>
      </c>
      <c r="D337" s="68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1348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" thickBot="1" x14ac:dyDescent="0.35">
      <c r="A338" t="s">
        <v>618</v>
      </c>
      <c r="B338" s="68"/>
      <c r="C338" s="69" t="s">
        <v>837</v>
      </c>
      <c r="D338" s="68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1348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" thickBot="1" x14ac:dyDescent="0.35">
      <c r="A339" t="s">
        <v>618</v>
      </c>
      <c r="B339" s="68"/>
      <c r="C339" s="69" t="s">
        <v>838</v>
      </c>
      <c r="D339" s="68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 t="s">
        <v>1348</v>
      </c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" thickBot="1" x14ac:dyDescent="0.35">
      <c r="A340" t="s">
        <v>729</v>
      </c>
      <c r="B340" s="68"/>
      <c r="C340" s="69" t="s">
        <v>840</v>
      </c>
      <c r="D340" s="68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 t="s">
        <v>1348</v>
      </c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thickBot="1" x14ac:dyDescent="0.35">
      <c r="A341" t="s">
        <v>729</v>
      </c>
      <c r="B341" s="68"/>
      <c r="C341" s="69" t="s">
        <v>842</v>
      </c>
      <c r="D341" s="68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thickBot="1" x14ac:dyDescent="0.35">
      <c r="A342" t="s">
        <v>729</v>
      </c>
      <c r="B342" s="68"/>
      <c r="C342" s="69" t="s">
        <v>845</v>
      </c>
      <c r="D342" s="68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 t="s">
        <v>1348</v>
      </c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" thickBot="1" x14ac:dyDescent="0.35">
      <c r="A343" t="s">
        <v>729</v>
      </c>
      <c r="B343" s="68"/>
      <c r="C343" s="69" t="s">
        <v>847</v>
      </c>
      <c r="D343" s="68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17">
        <f t="shared" si="20"/>
        <v>22</v>
      </c>
      <c r="M343" s="17">
        <f t="shared" si="21"/>
        <v>6</v>
      </c>
      <c r="N343" s="18">
        <f t="shared" si="22"/>
        <v>0.7857142857142857</v>
      </c>
      <c r="O343" s="27" t="s">
        <v>1348</v>
      </c>
      <c r="P343" s="8" t="s">
        <v>1348</v>
      </c>
      <c r="Q343" s="8" t="s">
        <v>1348</v>
      </c>
      <c r="R343" s="8" t="s">
        <v>1348</v>
      </c>
      <c r="S343" s="27" t="s">
        <v>1348</v>
      </c>
      <c r="T343" s="27" t="s">
        <v>1348</v>
      </c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thickBot="1" x14ac:dyDescent="0.35">
      <c r="A344" t="s">
        <v>723</v>
      </c>
      <c r="B344" s="68"/>
      <c r="C344" s="69" t="s">
        <v>849</v>
      </c>
      <c r="D344" s="68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17">
        <f t="shared" si="20"/>
        <v>26</v>
      </c>
      <c r="M344" s="17">
        <f t="shared" si="21"/>
        <v>2</v>
      </c>
      <c r="N344" s="18">
        <f t="shared" si="22"/>
        <v>0.9285714285714286</v>
      </c>
      <c r="O344" s="27"/>
      <c r="P344" s="8" t="s">
        <v>1348</v>
      </c>
      <c r="Q344" s="8"/>
      <c r="R344" s="8" t="s">
        <v>1348</v>
      </c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thickBot="1" x14ac:dyDescent="0.35">
      <c r="A345" t="s">
        <v>852</v>
      </c>
      <c r="B345" s="68"/>
      <c r="C345" s="69" t="s">
        <v>853</v>
      </c>
      <c r="D345" s="68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 t="s">
        <v>1348</v>
      </c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" thickBot="1" x14ac:dyDescent="0.35">
      <c r="A346" t="s">
        <v>852</v>
      </c>
      <c r="B346" s="68"/>
      <c r="C346" s="69" t="s">
        <v>855</v>
      </c>
      <c r="D346" s="68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 t="s">
        <v>1348</v>
      </c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" thickBot="1" x14ac:dyDescent="0.35">
      <c r="A347" t="s">
        <v>852</v>
      </c>
      <c r="B347" s="66">
        <v>44629</v>
      </c>
      <c r="C347" s="69" t="s">
        <v>857</v>
      </c>
      <c r="D347" s="68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17">
        <f t="shared" si="20"/>
        <v>27</v>
      </c>
      <c r="M347" s="17">
        <f t="shared" si="21"/>
        <v>1</v>
      </c>
      <c r="N347" s="18">
        <f t="shared" si="22"/>
        <v>0.9642857142857143</v>
      </c>
      <c r="O347" s="27"/>
      <c r="P347" s="8"/>
      <c r="Q347" s="8"/>
      <c r="R347" s="8"/>
      <c r="S347" s="27"/>
      <c r="T347" s="27" t="s">
        <v>1348</v>
      </c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" thickBot="1" x14ac:dyDescent="0.35">
      <c r="A348" t="s">
        <v>852</v>
      </c>
      <c r="B348" s="66">
        <v>44629</v>
      </c>
      <c r="C348" s="69" t="s">
        <v>859</v>
      </c>
      <c r="D348" s="68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 t="s">
        <v>1348</v>
      </c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" thickBot="1" x14ac:dyDescent="0.35">
      <c r="A349" t="s">
        <v>860</v>
      </c>
      <c r="B349" s="66">
        <v>44629</v>
      </c>
      <c r="C349" s="69" t="s">
        <v>861</v>
      </c>
      <c r="D349" s="68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" thickBot="1" x14ac:dyDescent="0.35">
      <c r="A350" t="s">
        <v>860</v>
      </c>
      <c r="B350" s="68"/>
      <c r="C350" s="69" t="s">
        <v>864</v>
      </c>
      <c r="D350" s="68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thickBot="1" x14ac:dyDescent="0.35">
      <c r="A351" t="s">
        <v>860</v>
      </c>
      <c r="B351" s="66">
        <v>44629</v>
      </c>
      <c r="C351" s="69" t="s">
        <v>866</v>
      </c>
      <c r="D351" s="68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" thickBot="1" x14ac:dyDescent="0.35">
      <c r="A352" t="s">
        <v>860</v>
      </c>
      <c r="B352" s="68"/>
      <c r="C352" s="69" t="s">
        <v>869</v>
      </c>
      <c r="D352" s="68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17">
        <f t="shared" si="20"/>
        <v>22</v>
      </c>
      <c r="M352" s="17">
        <f t="shared" si="21"/>
        <v>6</v>
      </c>
      <c r="N352" s="18">
        <f t="shared" si="22"/>
        <v>0.7857142857142857</v>
      </c>
      <c r="O352" s="27" t="s">
        <v>1348</v>
      </c>
      <c r="P352" s="8" t="s">
        <v>1348</v>
      </c>
      <c r="Q352" s="8" t="s">
        <v>1348</v>
      </c>
      <c r="R352" s="8" t="s">
        <v>1348</v>
      </c>
      <c r="S352" s="27" t="s">
        <v>1348</v>
      </c>
      <c r="T352" s="27" t="s">
        <v>1348</v>
      </c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" thickBot="1" x14ac:dyDescent="0.35">
      <c r="A353" t="s">
        <v>860</v>
      </c>
      <c r="B353" s="68"/>
      <c r="C353" s="69" t="s">
        <v>871</v>
      </c>
      <c r="D353" s="68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" thickBot="1" x14ac:dyDescent="0.35">
      <c r="A354" t="s">
        <v>271</v>
      </c>
      <c r="B354" s="68"/>
      <c r="C354" s="69" t="s">
        <v>873</v>
      </c>
      <c r="D354" s="68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thickBot="1" x14ac:dyDescent="0.35">
      <c r="B355" s="68"/>
      <c r="C355" s="69" t="s">
        <v>874</v>
      </c>
      <c r="D355" s="68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17">
        <f t="shared" si="20"/>
        <v>27</v>
      </c>
      <c r="M355" s="17">
        <f t="shared" si="21"/>
        <v>1</v>
      </c>
      <c r="N355" s="18">
        <f t="shared" si="22"/>
        <v>0.9642857142857143</v>
      </c>
      <c r="O355" s="27" t="s">
        <v>1348</v>
      </c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" thickBot="1" x14ac:dyDescent="0.35">
      <c r="A356" t="s">
        <v>271</v>
      </c>
      <c r="B356" s="68"/>
      <c r="C356" s="69" t="s">
        <v>877</v>
      </c>
      <c r="D356" s="68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thickBot="1" x14ac:dyDescent="0.35">
      <c r="A357" t="s">
        <v>271</v>
      </c>
      <c r="B357" s="68"/>
      <c r="C357" s="69" t="s">
        <v>879</v>
      </c>
      <c r="D357" s="68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thickBot="1" x14ac:dyDescent="0.35">
      <c r="A358" t="s">
        <v>271</v>
      </c>
      <c r="B358" s="68"/>
      <c r="C358" s="69" t="s">
        <v>881</v>
      </c>
      <c r="D358" s="68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" thickBot="1" x14ac:dyDescent="0.35">
      <c r="A359" t="s">
        <v>883</v>
      </c>
      <c r="B359" s="68"/>
      <c r="C359" s="69" t="s">
        <v>884</v>
      </c>
      <c r="D359" s="68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thickBot="1" x14ac:dyDescent="0.35">
      <c r="A360" t="s">
        <v>883</v>
      </c>
      <c r="B360" s="68"/>
      <c r="C360" s="69" t="s">
        <v>887</v>
      </c>
      <c r="D360" s="68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thickBot="1" x14ac:dyDescent="0.35">
      <c r="A361" t="s">
        <v>883</v>
      </c>
      <c r="B361" s="68"/>
      <c r="C361" s="69" t="s">
        <v>888</v>
      </c>
      <c r="D361" s="68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" thickBot="1" x14ac:dyDescent="0.35">
      <c r="A362" t="s">
        <v>883</v>
      </c>
      <c r="B362" s="68"/>
      <c r="C362" s="69" t="s">
        <v>890</v>
      </c>
      <c r="D362" s="68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" thickBot="1" x14ac:dyDescent="0.35">
      <c r="A363" t="s">
        <v>891</v>
      </c>
      <c r="B363" s="68"/>
      <c r="C363" s="69" t="s">
        <v>892</v>
      </c>
      <c r="D363" s="68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 t="s">
        <v>1348</v>
      </c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" thickBot="1" x14ac:dyDescent="0.35">
      <c r="A364" t="s">
        <v>894</v>
      </c>
      <c r="B364" s="68"/>
      <c r="C364" s="69" t="s">
        <v>895</v>
      </c>
      <c r="D364" s="68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17">
        <f t="shared" si="20"/>
        <v>27</v>
      </c>
      <c r="M364" s="17">
        <f t="shared" si="21"/>
        <v>1</v>
      </c>
      <c r="N364" s="18">
        <f t="shared" si="22"/>
        <v>0.9642857142857143</v>
      </c>
      <c r="O364" s="27"/>
      <c r="P364" s="8"/>
      <c r="Q364" s="8"/>
      <c r="R364" s="8" t="s">
        <v>1348</v>
      </c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thickBot="1" x14ac:dyDescent="0.35">
      <c r="A365" t="s">
        <v>894</v>
      </c>
      <c r="B365" s="68"/>
      <c r="C365" s="69" t="s">
        <v>897</v>
      </c>
      <c r="D365" s="68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thickBot="1" x14ac:dyDescent="0.35">
      <c r="A366" t="s">
        <v>894</v>
      </c>
      <c r="B366" s="68"/>
      <c r="C366" s="69" t="s">
        <v>900</v>
      </c>
      <c r="D366" s="68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thickBot="1" x14ac:dyDescent="0.35">
      <c r="B367" s="68"/>
      <c r="C367" s="69" t="s">
        <v>902</v>
      </c>
      <c r="D367" s="68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thickBot="1" x14ac:dyDescent="0.35">
      <c r="A368" t="s">
        <v>904</v>
      </c>
      <c r="B368" s="68"/>
      <c r="C368" s="69" t="s">
        <v>905</v>
      </c>
      <c r="D368" s="68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thickBot="1" x14ac:dyDescent="0.35">
      <c r="A369" t="s">
        <v>480</v>
      </c>
      <c r="B369" s="66">
        <v>44629</v>
      </c>
      <c r="C369" s="69" t="s">
        <v>907</v>
      </c>
      <c r="D369" s="68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" thickBot="1" x14ac:dyDescent="0.35">
      <c r="B370" s="68"/>
      <c r="C370" s="69" t="s">
        <v>909</v>
      </c>
      <c r="D370" s="68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thickBot="1" x14ac:dyDescent="0.35">
      <c r="A371" t="s">
        <v>1315</v>
      </c>
      <c r="B371" s="68"/>
      <c r="C371" s="69" t="s">
        <v>1311</v>
      </c>
      <c r="D371" s="68" t="s">
        <v>1313</v>
      </c>
      <c r="E371" s="45" t="s">
        <v>113</v>
      </c>
      <c r="F371" s="45" t="s">
        <v>36</v>
      </c>
      <c r="G371" s="9"/>
      <c r="H371" s="9" t="s">
        <v>1318</v>
      </c>
      <c r="I371" s="9"/>
      <c r="J371" s="9"/>
      <c r="K371" s="28" t="s">
        <v>1316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" thickBot="1" x14ac:dyDescent="0.35">
      <c r="A372" t="s">
        <v>1315</v>
      </c>
      <c r="B372" s="68"/>
      <c r="C372" s="69" t="s">
        <v>1312</v>
      </c>
      <c r="D372" s="68" t="s">
        <v>1314</v>
      </c>
      <c r="E372" s="45" t="s">
        <v>113</v>
      </c>
      <c r="F372" s="45" t="s">
        <v>36</v>
      </c>
      <c r="G372" s="9" t="s">
        <v>1318</v>
      </c>
      <c r="H372" s="9"/>
      <c r="I372" s="9"/>
      <c r="J372" s="9"/>
      <c r="K372" s="28" t="s">
        <v>1317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" thickBot="1" x14ac:dyDescent="0.35">
      <c r="A373" s="58" t="s">
        <v>570</v>
      </c>
      <c r="B373" s="68"/>
      <c r="C373" s="69" t="s">
        <v>1330</v>
      </c>
      <c r="D373" s="68" t="s">
        <v>1334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1338</v>
      </c>
      <c r="L373" s="62">
        <f t="shared" ref="L373:L377" si="23">COUNTIF(O373:AP373,"")</f>
        <v>27</v>
      </c>
      <c r="M373" s="62">
        <f t="shared" ref="M373:M377" si="24">COUNTIF(O373:AP373,"APAGADO")</f>
        <v>1</v>
      </c>
      <c r="N373" s="63">
        <f t="shared" ref="N373:N377" si="25">(L373)/(M373+L373)</f>
        <v>0.9642857142857143</v>
      </c>
      <c r="O373" s="64"/>
      <c r="P373" s="64"/>
      <c r="Q373" s="64"/>
      <c r="R373" s="64"/>
      <c r="S373" s="64"/>
      <c r="T373" s="64" t="s">
        <v>1348</v>
      </c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</row>
    <row r="374" spans="1:45" ht="15" thickBot="1" x14ac:dyDescent="0.35">
      <c r="A374" s="58" t="s">
        <v>570</v>
      </c>
      <c r="B374" s="68"/>
      <c r="C374" s="69" t="s">
        <v>1331</v>
      </c>
      <c r="D374" s="68" t="s">
        <v>1335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1339</v>
      </c>
      <c r="L374" s="62">
        <f t="shared" si="23"/>
        <v>27</v>
      </c>
      <c r="M374" s="62">
        <f t="shared" si="24"/>
        <v>1</v>
      </c>
      <c r="N374" s="63">
        <f t="shared" si="25"/>
        <v>0.9642857142857143</v>
      </c>
      <c r="O374" s="64"/>
      <c r="P374" s="64"/>
      <c r="Q374" s="64"/>
      <c r="R374" s="64"/>
      <c r="S374" s="64"/>
      <c r="T374" s="64" t="s">
        <v>1348</v>
      </c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</row>
    <row r="375" spans="1:45" ht="15" thickBot="1" x14ac:dyDescent="0.35">
      <c r="A375" s="58" t="s">
        <v>570</v>
      </c>
      <c r="B375" s="68"/>
      <c r="C375" s="69" t="s">
        <v>1332</v>
      </c>
      <c r="D375" s="68" t="s">
        <v>1336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1340</v>
      </c>
      <c r="L375" s="62">
        <f t="shared" si="23"/>
        <v>27</v>
      </c>
      <c r="M375" s="62">
        <f t="shared" si="24"/>
        <v>1</v>
      </c>
      <c r="N375" s="63">
        <f t="shared" si="25"/>
        <v>0.9642857142857143</v>
      </c>
      <c r="O375" s="64"/>
      <c r="P375" s="64"/>
      <c r="Q375" s="64"/>
      <c r="R375" s="64"/>
      <c r="S375" s="64"/>
      <c r="T375" s="64" t="s">
        <v>1348</v>
      </c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</row>
    <row r="376" spans="1:45" ht="15" thickBot="1" x14ac:dyDescent="0.35">
      <c r="A376" s="58" t="s">
        <v>570</v>
      </c>
      <c r="B376" s="68"/>
      <c r="C376" s="69" t="s">
        <v>1333</v>
      </c>
      <c r="D376" s="68" t="s">
        <v>1337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1341</v>
      </c>
      <c r="L376" s="62">
        <f t="shared" si="23"/>
        <v>27</v>
      </c>
      <c r="M376" s="62">
        <f t="shared" si="24"/>
        <v>1</v>
      </c>
      <c r="N376" s="63">
        <f t="shared" si="25"/>
        <v>0.9642857142857143</v>
      </c>
      <c r="O376" s="64"/>
      <c r="P376" s="64"/>
      <c r="Q376" s="64"/>
      <c r="R376" s="64"/>
      <c r="S376" s="64"/>
      <c r="T376" s="64" t="s">
        <v>1348</v>
      </c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</row>
    <row r="377" spans="1:45" s="59" customFormat="1" ht="15" thickBot="1" x14ac:dyDescent="0.35">
      <c r="A377" s="59" t="s">
        <v>80</v>
      </c>
      <c r="B377" s="68"/>
      <c r="C377" s="69" t="s">
        <v>1346</v>
      </c>
      <c r="D377" s="68" t="s">
        <v>1344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1345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3">
      <c r="B378" s="68"/>
      <c r="C378" s="69"/>
      <c r="D378" s="68"/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61"/>
    </row>
    <row r="379" spans="1:45" x14ac:dyDescent="0.3">
      <c r="B379" s="68"/>
      <c r="C379" s="69"/>
      <c r="D379" s="68"/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61"/>
    </row>
    <row r="380" spans="1:45" x14ac:dyDescent="0.3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3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3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3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3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3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3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3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3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3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3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3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3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Y96:AJ372 AK95:AP369 AR95:AR369 N245:X246 N247:N377">
    <cfRule type="cellIs" dxfId="499" priority="1913" operator="lessThan">
      <formula>0.8</formula>
    </cfRule>
    <cfRule type="cellIs" dxfId="498" priority="1914" operator="greaterThan">
      <formula>0.8</formula>
    </cfRule>
  </conditionalFormatting>
  <conditionalFormatting sqref="E1:K3 E284:K334 E236:K236 E5:K32 E36:K91 E94:K230 E337:K364 E369:K372 E243:K281 E391:K1048576">
    <cfRule type="containsText" dxfId="497" priority="191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496" priority="1908" operator="notContains" text="Caida">
      <formula>ISERROR(SEARCH("Caida",O95))</formula>
    </cfRule>
    <cfRule type="containsText" dxfId="495" priority="1909" operator="containsText" text="Caida">
      <formula>NOT(ISERROR(SEARCH("Caida",O95)))</formula>
    </cfRule>
  </conditionalFormatting>
  <conditionalFormatting sqref="E282:K282">
    <cfRule type="containsText" dxfId="494" priority="1881" operator="containsText" text="Radio">
      <formula>NOT(ISERROR(SEARCH("Radio",E282)))</formula>
    </cfRule>
  </conditionalFormatting>
  <conditionalFormatting sqref="E283:K283">
    <cfRule type="containsText" dxfId="493" priority="1856" operator="containsText" text="Radio">
      <formula>NOT(ISERROR(SEARCH("Radio",E283)))</formula>
    </cfRule>
  </conditionalFormatting>
  <conditionalFormatting sqref="E4:K4">
    <cfRule type="containsText" dxfId="492" priority="1831" operator="containsText" text="Radio">
      <formula>NOT(ISERROR(SEARCH("Radio",E4)))</formula>
    </cfRule>
  </conditionalFormatting>
  <conditionalFormatting sqref="E231:K231">
    <cfRule type="containsText" dxfId="491" priority="1830" operator="containsText" text="Radio">
      <formula>NOT(ISERROR(SEARCH("Radio",E231)))</formula>
    </cfRule>
  </conditionalFormatting>
  <conditionalFormatting sqref="E232:K232">
    <cfRule type="containsText" dxfId="490" priority="1805" operator="containsText" text="Radio">
      <formula>NOT(ISERROR(SEARCH("Radio",E232)))</formula>
    </cfRule>
  </conditionalFormatting>
  <conditionalFormatting sqref="E233:K233">
    <cfRule type="containsText" dxfId="489" priority="1780" operator="containsText" text="Radio">
      <formula>NOT(ISERROR(SEARCH("Radio",E233)))</formula>
    </cfRule>
  </conditionalFormatting>
  <conditionalFormatting sqref="E234:K234">
    <cfRule type="containsText" dxfId="488" priority="1755" operator="containsText" text="Radio">
      <formula>NOT(ISERROR(SEARCH("Radio",E234)))</formula>
    </cfRule>
  </conditionalFormatting>
  <conditionalFormatting sqref="E235:K235">
    <cfRule type="containsText" dxfId="487" priority="1730" operator="containsText" text="Radio">
      <formula>NOT(ISERROR(SEARCH("Radio",E235)))</formula>
    </cfRule>
  </conditionalFormatting>
  <conditionalFormatting sqref="E335:K335">
    <cfRule type="containsText" dxfId="486" priority="1681" operator="containsText" text="Radio">
      <formula>NOT(ISERROR(SEARCH("Radio",E335)))</formula>
    </cfRule>
  </conditionalFormatting>
  <conditionalFormatting sqref="E336:K336">
    <cfRule type="containsText" dxfId="485" priority="1656" operator="containsText" text="Radio">
      <formula>NOT(ISERROR(SEARCH("Radio",E336)))</formula>
    </cfRule>
  </conditionalFormatting>
  <conditionalFormatting sqref="E237:K237">
    <cfRule type="containsText" dxfId="484" priority="1631" operator="containsText" text="Radio">
      <formula>NOT(ISERROR(SEARCH("Radio",E237)))</formula>
    </cfRule>
  </conditionalFormatting>
  <conditionalFormatting sqref="E238:K238">
    <cfRule type="containsText" dxfId="483" priority="1606" operator="containsText" text="Radio">
      <formula>NOT(ISERROR(SEARCH("Radio",E238)))</formula>
    </cfRule>
  </conditionalFormatting>
  <conditionalFormatting sqref="E33:K35">
    <cfRule type="containsText" dxfId="482" priority="1581" operator="containsText" text="Radio">
      <formula>NOT(ISERROR(SEARCH("Radio",E33)))</formula>
    </cfRule>
  </conditionalFormatting>
  <conditionalFormatting sqref="E239:K239">
    <cfRule type="containsText" dxfId="481" priority="1556" operator="containsText" text="Radio">
      <formula>NOT(ISERROR(SEARCH("Radio",E239)))</formula>
    </cfRule>
  </conditionalFormatting>
  <conditionalFormatting sqref="E240:K240">
    <cfRule type="containsText" dxfId="480" priority="1531" operator="containsText" text="Radio">
      <formula>NOT(ISERROR(SEARCH("Radio",E240)))</formula>
    </cfRule>
  </conditionalFormatting>
  <conditionalFormatting sqref="E241:K241">
    <cfRule type="containsText" dxfId="479" priority="1506" operator="containsText" text="Radio">
      <formula>NOT(ISERROR(SEARCH("Radio",E241)))</formula>
    </cfRule>
  </conditionalFormatting>
  <conditionalFormatting sqref="E242:K242">
    <cfRule type="containsText" dxfId="478" priority="1481" operator="containsText" text="Radio">
      <formula>NOT(ISERROR(SEARCH("Radio",E242)))</formula>
    </cfRule>
  </conditionalFormatting>
  <conditionalFormatting sqref="P6:P92 P96:P230">
    <cfRule type="cellIs" dxfId="477" priority="1406" operator="lessThan">
      <formula>0.8</formula>
    </cfRule>
    <cfRule type="cellIs" dxfId="476" priority="1407" operator="greaterThan">
      <formula>0.8</formula>
    </cfRule>
  </conditionalFormatting>
  <conditionalFormatting sqref="P6:P92 P96:P230">
    <cfRule type="notContainsText" dxfId="475" priority="1404" operator="notContains" text="Caida">
      <formula>ISERROR(SEARCH("Caida",P6))</formula>
    </cfRule>
    <cfRule type="containsText" dxfId="474" priority="1405" operator="containsText" text="Caida">
      <formula>NOT(ISERROR(SEARCH("Caida",P6)))</formula>
    </cfRule>
  </conditionalFormatting>
  <conditionalFormatting sqref="P337:P366 P284:P334">
    <cfRule type="cellIs" dxfId="473" priority="1402" operator="lessThan">
      <formula>0.8</formula>
    </cfRule>
    <cfRule type="cellIs" dxfId="472" priority="1403" operator="greaterThan">
      <formula>0.8</formula>
    </cfRule>
  </conditionalFormatting>
  <conditionalFormatting sqref="P337:P366 P284:P334 P391:P1048576">
    <cfRule type="notContainsText" dxfId="471" priority="1400" operator="notContains" text="Caida">
      <formula>ISERROR(SEARCH("Caida",P284))</formula>
    </cfRule>
    <cfRule type="containsText" dxfId="470" priority="1401" operator="containsText" text="Caida">
      <formula>NOT(ISERROR(SEARCH("Caida",P284)))</formula>
    </cfRule>
  </conditionalFormatting>
  <conditionalFormatting sqref="O391:O1048576">
    <cfRule type="notContainsText" dxfId="469" priority="1449" operator="notContains" text="Caida">
      <formula>ISERROR(SEARCH("Caida",O391))</formula>
    </cfRule>
    <cfRule type="containsText" dxfId="468" priority="1450" operator="containsText" text="Caida">
      <formula>NOT(ISERROR(SEARCH("Caida",O391)))</formula>
    </cfRule>
  </conditionalFormatting>
  <conditionalFormatting sqref="P336">
    <cfRule type="cellIs" dxfId="467" priority="1361" operator="lessThan">
      <formula>0.8</formula>
    </cfRule>
    <cfRule type="cellIs" dxfId="466" priority="1362" operator="greaterThan">
      <formula>0.8</formula>
    </cfRule>
  </conditionalFormatting>
  <conditionalFormatting sqref="P336">
    <cfRule type="notContainsText" dxfId="465" priority="1359" operator="notContains" text="Caida">
      <formula>ISERROR(SEARCH("Caida",P336))</formula>
    </cfRule>
    <cfRule type="containsText" dxfId="464" priority="1360" operator="containsText" text="Caida">
      <formula>NOT(ISERROR(SEARCH("Caida",P336)))</formula>
    </cfRule>
  </conditionalFormatting>
  <conditionalFormatting sqref="P22">
    <cfRule type="containsText" dxfId="463" priority="1399" operator="containsText" text="Instaladas en Funcionamiento Caida">
      <formula>NOT(ISERROR(SEARCH("Instaladas en Funcionamiento Caida",P22)))</formula>
    </cfRule>
  </conditionalFormatting>
  <conditionalFormatting sqref="P282">
    <cfRule type="cellIs" dxfId="462" priority="1397" operator="lessThan">
      <formula>0.8</formula>
    </cfRule>
    <cfRule type="cellIs" dxfId="461" priority="1398" operator="greaterThan">
      <formula>0.8</formula>
    </cfRule>
  </conditionalFormatting>
  <conditionalFormatting sqref="P282">
    <cfRule type="notContainsText" dxfId="460" priority="1395" operator="notContains" text="Caida">
      <formula>ISERROR(SEARCH("Caida",P282))</formula>
    </cfRule>
    <cfRule type="containsText" dxfId="459" priority="1396" operator="containsText" text="Caida">
      <formula>NOT(ISERROR(SEARCH("Caida",P282)))</formula>
    </cfRule>
  </conditionalFormatting>
  <conditionalFormatting sqref="P283">
    <cfRule type="cellIs" dxfId="458" priority="1393" operator="lessThan">
      <formula>0.8</formula>
    </cfRule>
    <cfRule type="cellIs" dxfId="457" priority="1394" operator="greaterThan">
      <formula>0.8</formula>
    </cfRule>
  </conditionalFormatting>
  <conditionalFormatting sqref="P283">
    <cfRule type="notContainsText" dxfId="456" priority="1391" operator="notContains" text="Caida">
      <formula>ISERROR(SEARCH("Caida",P283))</formula>
    </cfRule>
    <cfRule type="containsText" dxfId="455" priority="1392" operator="containsText" text="Caida">
      <formula>NOT(ISERROR(SEARCH("Caida",P283)))</formula>
    </cfRule>
  </conditionalFormatting>
  <conditionalFormatting sqref="P5">
    <cfRule type="cellIs" dxfId="454" priority="1389" operator="lessThan">
      <formula>0.8</formula>
    </cfRule>
    <cfRule type="cellIs" dxfId="453" priority="1390" operator="greaterThan">
      <formula>0.8</formula>
    </cfRule>
  </conditionalFormatting>
  <conditionalFormatting sqref="P5">
    <cfRule type="notContainsText" dxfId="452" priority="1387" operator="notContains" text="Caida">
      <formula>ISERROR(SEARCH("Caida",P5))</formula>
    </cfRule>
    <cfRule type="containsText" dxfId="451" priority="1388" operator="containsText" text="Caida">
      <formula>NOT(ISERROR(SEARCH("Caida",P5)))</formula>
    </cfRule>
  </conditionalFormatting>
  <conditionalFormatting sqref="P231">
    <cfRule type="cellIs" dxfId="450" priority="1385" operator="lessThan">
      <formula>0.8</formula>
    </cfRule>
    <cfRule type="cellIs" dxfId="449" priority="1386" operator="greaterThan">
      <formula>0.8</formula>
    </cfRule>
  </conditionalFormatting>
  <conditionalFormatting sqref="P231">
    <cfRule type="notContainsText" dxfId="448" priority="1383" operator="notContains" text="Caida">
      <formula>ISERROR(SEARCH("Caida",P231))</formula>
    </cfRule>
    <cfRule type="containsText" dxfId="447" priority="1384" operator="containsText" text="Caida">
      <formula>NOT(ISERROR(SEARCH("Caida",P231)))</formula>
    </cfRule>
  </conditionalFormatting>
  <conditionalFormatting sqref="P232">
    <cfRule type="cellIs" dxfId="446" priority="1381" operator="lessThan">
      <formula>0.8</formula>
    </cfRule>
    <cfRule type="cellIs" dxfId="445" priority="1382" operator="greaterThan">
      <formula>0.8</formula>
    </cfRule>
  </conditionalFormatting>
  <conditionalFormatting sqref="P232">
    <cfRule type="notContainsText" dxfId="444" priority="1379" operator="notContains" text="Caida">
      <formula>ISERROR(SEARCH("Caida",P232))</formula>
    </cfRule>
    <cfRule type="containsText" dxfId="443" priority="1380" operator="containsText" text="Caida">
      <formula>NOT(ISERROR(SEARCH("Caida",P232)))</formula>
    </cfRule>
  </conditionalFormatting>
  <conditionalFormatting sqref="P233">
    <cfRule type="cellIs" dxfId="442" priority="1377" operator="lessThan">
      <formula>0.8</formula>
    </cfRule>
    <cfRule type="cellIs" dxfId="441" priority="1378" operator="greaterThan">
      <formula>0.8</formula>
    </cfRule>
  </conditionalFormatting>
  <conditionalFormatting sqref="P233">
    <cfRule type="notContainsText" dxfId="440" priority="1375" operator="notContains" text="Caida">
      <formula>ISERROR(SEARCH("Caida",P233))</formula>
    </cfRule>
    <cfRule type="containsText" dxfId="439" priority="1376" operator="containsText" text="Caida">
      <formula>NOT(ISERROR(SEARCH("Caida",P233)))</formula>
    </cfRule>
  </conditionalFormatting>
  <conditionalFormatting sqref="P234">
    <cfRule type="cellIs" dxfId="438" priority="1373" operator="lessThan">
      <formula>0.8</formula>
    </cfRule>
    <cfRule type="cellIs" dxfId="437" priority="1374" operator="greaterThan">
      <formula>0.8</formula>
    </cfRule>
  </conditionalFormatting>
  <conditionalFormatting sqref="P234">
    <cfRule type="notContainsText" dxfId="436" priority="1371" operator="notContains" text="Caida">
      <formula>ISERROR(SEARCH("Caida",P234))</formula>
    </cfRule>
    <cfRule type="containsText" dxfId="435" priority="1372" operator="containsText" text="Caida">
      <formula>NOT(ISERROR(SEARCH("Caida",P234)))</formula>
    </cfRule>
  </conditionalFormatting>
  <conditionalFormatting sqref="P235">
    <cfRule type="cellIs" dxfId="434" priority="1369" operator="lessThan">
      <formula>0.8</formula>
    </cfRule>
    <cfRule type="cellIs" dxfId="433" priority="1370" operator="greaterThan">
      <formula>0.8</formula>
    </cfRule>
  </conditionalFormatting>
  <conditionalFormatting sqref="P235">
    <cfRule type="notContainsText" dxfId="432" priority="1367" operator="notContains" text="Caida">
      <formula>ISERROR(SEARCH("Caida",P235))</formula>
    </cfRule>
    <cfRule type="containsText" dxfId="431" priority="1368" operator="containsText" text="Caida">
      <formula>NOT(ISERROR(SEARCH("Caida",P235)))</formula>
    </cfRule>
  </conditionalFormatting>
  <conditionalFormatting sqref="P335">
    <cfRule type="cellIs" dxfId="430" priority="1365" operator="lessThan">
      <formula>0.8</formula>
    </cfRule>
    <cfRule type="cellIs" dxfId="429" priority="1366" operator="greaterThan">
      <formula>0.8</formula>
    </cfRule>
  </conditionalFormatting>
  <conditionalFormatting sqref="P335">
    <cfRule type="notContainsText" dxfId="428" priority="1363" operator="notContains" text="Caida">
      <formula>ISERROR(SEARCH("Caida",P335))</formula>
    </cfRule>
    <cfRule type="containsText" dxfId="427" priority="1364" operator="containsText" text="Caida">
      <formula>NOT(ISERROR(SEARCH("Caida",P335)))</formula>
    </cfRule>
  </conditionalFormatting>
  <conditionalFormatting sqref="Q6:Q92 Q96:Q230">
    <cfRule type="cellIs" dxfId="426" priority="1357" operator="lessThan">
      <formula>0.8</formula>
    </cfRule>
    <cfRule type="cellIs" dxfId="425" priority="1358" operator="greaterThan">
      <formula>0.8</formula>
    </cfRule>
  </conditionalFormatting>
  <conditionalFormatting sqref="Q6:Q92 Q96:Q230">
    <cfRule type="notContainsText" dxfId="424" priority="1355" operator="notContains" text="Caida">
      <formula>ISERROR(SEARCH("Caida",Q6))</formula>
    </cfRule>
    <cfRule type="containsText" dxfId="423" priority="1356" operator="containsText" text="Caida">
      <formula>NOT(ISERROR(SEARCH("Caida",Q6)))</formula>
    </cfRule>
  </conditionalFormatting>
  <conditionalFormatting sqref="Q336">
    <cfRule type="cellIs" dxfId="422" priority="1312" operator="lessThan">
      <formula>0.8</formula>
    </cfRule>
    <cfRule type="cellIs" dxfId="421" priority="1313" operator="greaterThan">
      <formula>0.8</formula>
    </cfRule>
  </conditionalFormatting>
  <conditionalFormatting sqref="Q336">
    <cfRule type="notContainsText" dxfId="420" priority="1310" operator="notContains" text="Caida">
      <formula>ISERROR(SEARCH("Caida",Q336))</formula>
    </cfRule>
    <cfRule type="containsText" dxfId="419" priority="1311" operator="containsText" text="Caida">
      <formula>NOT(ISERROR(SEARCH("Caida",Q336)))</formula>
    </cfRule>
  </conditionalFormatting>
  <conditionalFormatting sqref="Q337:Q366 Q284:Q334">
    <cfRule type="cellIs" dxfId="418" priority="1353" operator="lessThan">
      <formula>0.8</formula>
    </cfRule>
    <cfRule type="cellIs" dxfId="417" priority="1354" operator="greaterThan">
      <formula>0.8</formula>
    </cfRule>
  </conditionalFormatting>
  <conditionalFormatting sqref="Q337:Q366 Q284:Q334 Q391:Q1048576">
    <cfRule type="notContainsText" dxfId="416" priority="1351" operator="notContains" text="Caida">
      <formula>ISERROR(SEARCH("Caida",Q284))</formula>
    </cfRule>
    <cfRule type="containsText" dxfId="415" priority="1352" operator="containsText" text="Caida">
      <formula>NOT(ISERROR(SEARCH("Caida",Q284)))</formula>
    </cfRule>
  </conditionalFormatting>
  <conditionalFormatting sqref="Q22">
    <cfRule type="containsText" dxfId="414" priority="1350" operator="containsText" text="Instaladas en Funcionamiento Caida">
      <formula>NOT(ISERROR(SEARCH("Instaladas en Funcionamiento Caida",Q22)))</formula>
    </cfRule>
  </conditionalFormatting>
  <conditionalFormatting sqref="Q282">
    <cfRule type="cellIs" dxfId="413" priority="1348" operator="lessThan">
      <formula>0.8</formula>
    </cfRule>
    <cfRule type="cellIs" dxfId="412" priority="1349" operator="greaterThan">
      <formula>0.8</formula>
    </cfRule>
  </conditionalFormatting>
  <conditionalFormatting sqref="Q282">
    <cfRule type="notContainsText" dxfId="411" priority="1346" operator="notContains" text="Caida">
      <formula>ISERROR(SEARCH("Caida",Q282))</formula>
    </cfRule>
    <cfRule type="containsText" dxfId="410" priority="1347" operator="containsText" text="Caida">
      <formula>NOT(ISERROR(SEARCH("Caida",Q282)))</formula>
    </cfRule>
  </conditionalFormatting>
  <conditionalFormatting sqref="Q283">
    <cfRule type="cellIs" dxfId="409" priority="1344" operator="lessThan">
      <formula>0.8</formula>
    </cfRule>
    <cfRule type="cellIs" dxfId="408" priority="1345" operator="greaterThan">
      <formula>0.8</formula>
    </cfRule>
  </conditionalFormatting>
  <conditionalFormatting sqref="Q283">
    <cfRule type="notContainsText" dxfId="407" priority="1342" operator="notContains" text="Caida">
      <formula>ISERROR(SEARCH("Caida",Q283))</formula>
    </cfRule>
    <cfRule type="containsText" dxfId="406" priority="1343" operator="containsText" text="Caida">
      <formula>NOT(ISERROR(SEARCH("Caida",Q283)))</formula>
    </cfRule>
  </conditionalFormatting>
  <conditionalFormatting sqref="Q5">
    <cfRule type="cellIs" dxfId="405" priority="1340" operator="lessThan">
      <formula>0.8</formula>
    </cfRule>
    <cfRule type="cellIs" dxfId="404" priority="1341" operator="greaterThan">
      <formula>0.8</formula>
    </cfRule>
  </conditionalFormatting>
  <conditionalFormatting sqref="Q5">
    <cfRule type="notContainsText" dxfId="403" priority="1338" operator="notContains" text="Caida">
      <formula>ISERROR(SEARCH("Caida",Q5))</formula>
    </cfRule>
    <cfRule type="containsText" dxfId="402" priority="1339" operator="containsText" text="Caida">
      <formula>NOT(ISERROR(SEARCH("Caida",Q5)))</formula>
    </cfRule>
  </conditionalFormatting>
  <conditionalFormatting sqref="Q231">
    <cfRule type="cellIs" dxfId="401" priority="1336" operator="lessThan">
      <formula>0.8</formula>
    </cfRule>
    <cfRule type="cellIs" dxfId="400" priority="1337" operator="greaterThan">
      <formula>0.8</formula>
    </cfRule>
  </conditionalFormatting>
  <conditionalFormatting sqref="Q231">
    <cfRule type="notContainsText" dxfId="399" priority="1334" operator="notContains" text="Caida">
      <formula>ISERROR(SEARCH("Caida",Q231))</formula>
    </cfRule>
    <cfRule type="containsText" dxfId="398" priority="1335" operator="containsText" text="Caida">
      <formula>NOT(ISERROR(SEARCH("Caida",Q231)))</formula>
    </cfRule>
  </conditionalFormatting>
  <conditionalFormatting sqref="Q232">
    <cfRule type="cellIs" dxfId="397" priority="1332" operator="lessThan">
      <formula>0.8</formula>
    </cfRule>
    <cfRule type="cellIs" dxfId="396" priority="1333" operator="greaterThan">
      <formula>0.8</formula>
    </cfRule>
  </conditionalFormatting>
  <conditionalFormatting sqref="Q232">
    <cfRule type="notContainsText" dxfId="395" priority="1330" operator="notContains" text="Caida">
      <formula>ISERROR(SEARCH("Caida",Q232))</formula>
    </cfRule>
    <cfRule type="containsText" dxfId="394" priority="1331" operator="containsText" text="Caida">
      <formula>NOT(ISERROR(SEARCH("Caida",Q232)))</formula>
    </cfRule>
  </conditionalFormatting>
  <conditionalFormatting sqref="Q233">
    <cfRule type="cellIs" dxfId="393" priority="1328" operator="lessThan">
      <formula>0.8</formula>
    </cfRule>
    <cfRule type="cellIs" dxfId="392" priority="1329" operator="greaterThan">
      <formula>0.8</formula>
    </cfRule>
  </conditionalFormatting>
  <conditionalFormatting sqref="Q233">
    <cfRule type="notContainsText" dxfId="391" priority="1326" operator="notContains" text="Caida">
      <formula>ISERROR(SEARCH("Caida",Q233))</formula>
    </cfRule>
    <cfRule type="containsText" dxfId="390" priority="1327" operator="containsText" text="Caida">
      <formula>NOT(ISERROR(SEARCH("Caida",Q233)))</formula>
    </cfRule>
  </conditionalFormatting>
  <conditionalFormatting sqref="Q234">
    <cfRule type="cellIs" dxfId="389" priority="1324" operator="lessThan">
      <formula>0.8</formula>
    </cfRule>
    <cfRule type="cellIs" dxfId="388" priority="1325" operator="greaterThan">
      <formula>0.8</formula>
    </cfRule>
  </conditionalFormatting>
  <conditionalFormatting sqref="Q234">
    <cfRule type="notContainsText" dxfId="387" priority="1322" operator="notContains" text="Caida">
      <formula>ISERROR(SEARCH("Caida",Q234))</formula>
    </cfRule>
    <cfRule type="containsText" dxfId="386" priority="1323" operator="containsText" text="Caida">
      <formula>NOT(ISERROR(SEARCH("Caida",Q234)))</formula>
    </cfRule>
  </conditionalFormatting>
  <conditionalFormatting sqref="Q235">
    <cfRule type="cellIs" dxfId="385" priority="1320" operator="lessThan">
      <formula>0.8</formula>
    </cfRule>
    <cfRule type="cellIs" dxfId="384" priority="1321" operator="greaterThan">
      <formula>0.8</formula>
    </cfRule>
  </conditionalFormatting>
  <conditionalFormatting sqref="Q235">
    <cfRule type="notContainsText" dxfId="383" priority="1318" operator="notContains" text="Caida">
      <formula>ISERROR(SEARCH("Caida",Q235))</formula>
    </cfRule>
    <cfRule type="containsText" dxfId="382" priority="1319" operator="containsText" text="Caida">
      <formula>NOT(ISERROR(SEARCH("Caida",Q235)))</formula>
    </cfRule>
  </conditionalFormatting>
  <conditionalFormatting sqref="Q335">
    <cfRule type="cellIs" dxfId="381" priority="1316" operator="lessThan">
      <formula>0.8</formula>
    </cfRule>
    <cfRule type="cellIs" dxfId="380" priority="1317" operator="greaterThan">
      <formula>0.8</formula>
    </cfRule>
  </conditionalFormatting>
  <conditionalFormatting sqref="Q335">
    <cfRule type="notContainsText" dxfId="379" priority="1314" operator="notContains" text="Caida">
      <formula>ISERROR(SEARCH("Caida",Q335))</formula>
    </cfRule>
    <cfRule type="containsText" dxfId="378" priority="1315" operator="containsText" text="Caida">
      <formula>NOT(ISERROR(SEARCH("Caida",Q335)))</formula>
    </cfRule>
  </conditionalFormatting>
  <conditionalFormatting sqref="R6:R92 R96:R230">
    <cfRule type="cellIs" dxfId="377" priority="1308" operator="lessThan">
      <formula>0.8</formula>
    </cfRule>
    <cfRule type="cellIs" dxfId="376" priority="1309" operator="greaterThan">
      <formula>0.8</formula>
    </cfRule>
  </conditionalFormatting>
  <conditionalFormatting sqref="R6:R92 R96:R230">
    <cfRule type="notContainsText" dxfId="375" priority="1306" operator="notContains" text="Caida">
      <formula>ISERROR(SEARCH("Caida",R6))</formula>
    </cfRule>
    <cfRule type="containsText" dxfId="374" priority="1307" operator="containsText" text="Caida">
      <formula>NOT(ISERROR(SEARCH("Caida",R6)))</formula>
    </cfRule>
  </conditionalFormatting>
  <conditionalFormatting sqref="R336:T336">
    <cfRule type="cellIs" dxfId="373" priority="1263" operator="lessThan">
      <formula>0.8</formula>
    </cfRule>
    <cfRule type="cellIs" dxfId="372" priority="1264" operator="greaterThan">
      <formula>0.8</formula>
    </cfRule>
  </conditionalFormatting>
  <conditionalFormatting sqref="R336:T336">
    <cfRule type="notContainsText" dxfId="371" priority="1261" operator="notContains" text="Caida">
      <formula>ISERROR(SEARCH("Caida",R336))</formula>
    </cfRule>
    <cfRule type="containsText" dxfId="370" priority="1262" operator="containsText" text="Caida">
      <formula>NOT(ISERROR(SEARCH("Caida",R336)))</formula>
    </cfRule>
  </conditionalFormatting>
  <conditionalFormatting sqref="R337:R366 R284:R334">
    <cfRule type="cellIs" dxfId="369" priority="1304" operator="lessThan">
      <formula>0.8</formula>
    </cfRule>
    <cfRule type="cellIs" dxfId="368" priority="1305" operator="greaterThan">
      <formula>0.8</formula>
    </cfRule>
  </conditionalFormatting>
  <conditionalFormatting sqref="R337:R366 R284:R334 R391:R1048576">
    <cfRule type="notContainsText" dxfId="367" priority="1302" operator="notContains" text="Caida">
      <formula>ISERROR(SEARCH("Caida",R284))</formula>
    </cfRule>
    <cfRule type="containsText" dxfId="366" priority="1303" operator="containsText" text="Caida">
      <formula>NOT(ISERROR(SEARCH("Caida",R284)))</formula>
    </cfRule>
  </conditionalFormatting>
  <conditionalFormatting sqref="R22:T22">
    <cfRule type="containsText" dxfId="365" priority="1301" operator="containsText" text="Instaladas en Funcionamiento Caida">
      <formula>NOT(ISERROR(SEARCH("Instaladas en Funcionamiento Caida",R22)))</formula>
    </cfRule>
  </conditionalFormatting>
  <conditionalFormatting sqref="R282:T282">
    <cfRule type="cellIs" dxfId="364" priority="1299" operator="lessThan">
      <formula>0.8</formula>
    </cfRule>
    <cfRule type="cellIs" dxfId="363" priority="1300" operator="greaterThan">
      <formula>0.8</formula>
    </cfRule>
  </conditionalFormatting>
  <conditionalFormatting sqref="R282:T282">
    <cfRule type="notContainsText" dxfId="362" priority="1297" operator="notContains" text="Caida">
      <formula>ISERROR(SEARCH("Caida",R282))</formula>
    </cfRule>
    <cfRule type="containsText" dxfId="361" priority="1298" operator="containsText" text="Caida">
      <formula>NOT(ISERROR(SEARCH("Caida",R282)))</formula>
    </cfRule>
  </conditionalFormatting>
  <conditionalFormatting sqref="R283:T283">
    <cfRule type="cellIs" dxfId="360" priority="1295" operator="lessThan">
      <formula>0.8</formula>
    </cfRule>
    <cfRule type="cellIs" dxfId="359" priority="1296" operator="greaterThan">
      <formula>0.8</formula>
    </cfRule>
  </conditionalFormatting>
  <conditionalFormatting sqref="R283:T283">
    <cfRule type="notContainsText" dxfId="358" priority="1293" operator="notContains" text="Caida">
      <formula>ISERROR(SEARCH("Caida",R283))</formula>
    </cfRule>
    <cfRule type="containsText" dxfId="357" priority="1294" operator="containsText" text="Caida">
      <formula>NOT(ISERROR(SEARCH("Caida",R283)))</formula>
    </cfRule>
  </conditionalFormatting>
  <conditionalFormatting sqref="R5:T5">
    <cfRule type="cellIs" dxfId="356" priority="1291" operator="lessThan">
      <formula>0.8</formula>
    </cfRule>
    <cfRule type="cellIs" dxfId="355" priority="1292" operator="greaterThan">
      <formula>0.8</formula>
    </cfRule>
  </conditionalFormatting>
  <conditionalFormatting sqref="R5:T5">
    <cfRule type="notContainsText" dxfId="354" priority="1289" operator="notContains" text="Caida">
      <formula>ISERROR(SEARCH("Caida",R5))</formula>
    </cfRule>
    <cfRule type="containsText" dxfId="353" priority="1290" operator="containsText" text="Caida">
      <formula>NOT(ISERROR(SEARCH("Caida",R5)))</formula>
    </cfRule>
  </conditionalFormatting>
  <conditionalFormatting sqref="R231:T231">
    <cfRule type="cellIs" dxfId="352" priority="1287" operator="lessThan">
      <formula>0.8</formula>
    </cfRule>
    <cfRule type="cellIs" dxfId="351" priority="1288" operator="greaterThan">
      <formula>0.8</formula>
    </cfRule>
  </conditionalFormatting>
  <conditionalFormatting sqref="R231:T231">
    <cfRule type="notContainsText" dxfId="350" priority="1285" operator="notContains" text="Caida">
      <formula>ISERROR(SEARCH("Caida",R231))</formula>
    </cfRule>
    <cfRule type="containsText" dxfId="349" priority="1286" operator="containsText" text="Caida">
      <formula>NOT(ISERROR(SEARCH("Caida",R231)))</formula>
    </cfRule>
  </conditionalFormatting>
  <conditionalFormatting sqref="R232:T232">
    <cfRule type="cellIs" dxfId="348" priority="1283" operator="lessThan">
      <formula>0.8</formula>
    </cfRule>
    <cfRule type="cellIs" dxfId="347" priority="1284" operator="greaterThan">
      <formula>0.8</formula>
    </cfRule>
  </conditionalFormatting>
  <conditionalFormatting sqref="R232:T232">
    <cfRule type="notContainsText" dxfId="346" priority="1281" operator="notContains" text="Caida">
      <formula>ISERROR(SEARCH("Caida",R232))</formula>
    </cfRule>
    <cfRule type="containsText" dxfId="345" priority="1282" operator="containsText" text="Caida">
      <formula>NOT(ISERROR(SEARCH("Caida",R232)))</formula>
    </cfRule>
  </conditionalFormatting>
  <conditionalFormatting sqref="R233:T233">
    <cfRule type="cellIs" dxfId="344" priority="1279" operator="lessThan">
      <formula>0.8</formula>
    </cfRule>
    <cfRule type="cellIs" dxfId="343" priority="1280" operator="greaterThan">
      <formula>0.8</formula>
    </cfRule>
  </conditionalFormatting>
  <conditionalFormatting sqref="R233:T233">
    <cfRule type="notContainsText" dxfId="342" priority="1277" operator="notContains" text="Caida">
      <formula>ISERROR(SEARCH("Caida",R233))</formula>
    </cfRule>
    <cfRule type="containsText" dxfId="341" priority="1278" operator="containsText" text="Caida">
      <formula>NOT(ISERROR(SEARCH("Caida",R233)))</formula>
    </cfRule>
  </conditionalFormatting>
  <conditionalFormatting sqref="R234:T234">
    <cfRule type="cellIs" dxfId="340" priority="1275" operator="lessThan">
      <formula>0.8</formula>
    </cfRule>
    <cfRule type="cellIs" dxfId="339" priority="1276" operator="greaterThan">
      <formula>0.8</formula>
    </cfRule>
  </conditionalFormatting>
  <conditionalFormatting sqref="R234:T234">
    <cfRule type="notContainsText" dxfId="338" priority="1273" operator="notContains" text="Caida">
      <formula>ISERROR(SEARCH("Caida",R234))</formula>
    </cfRule>
    <cfRule type="containsText" dxfId="337" priority="1274" operator="containsText" text="Caida">
      <formula>NOT(ISERROR(SEARCH("Caida",R234)))</formula>
    </cfRule>
  </conditionalFormatting>
  <conditionalFormatting sqref="R235:T235">
    <cfRule type="cellIs" dxfId="336" priority="1271" operator="lessThan">
      <formula>0.8</formula>
    </cfRule>
    <cfRule type="cellIs" dxfId="335" priority="1272" operator="greaterThan">
      <formula>0.8</formula>
    </cfRule>
  </conditionalFormatting>
  <conditionalFormatting sqref="R235:T235">
    <cfRule type="notContainsText" dxfId="334" priority="1269" operator="notContains" text="Caida">
      <formula>ISERROR(SEARCH("Caida",R235))</formula>
    </cfRule>
    <cfRule type="containsText" dxfId="333" priority="1270" operator="containsText" text="Caida">
      <formula>NOT(ISERROR(SEARCH("Caida",R235)))</formula>
    </cfRule>
  </conditionalFormatting>
  <conditionalFormatting sqref="R335:T335">
    <cfRule type="cellIs" dxfId="332" priority="1267" operator="lessThan">
      <formula>0.8</formula>
    </cfRule>
    <cfRule type="cellIs" dxfId="331" priority="1268" operator="greaterThan">
      <formula>0.8</formula>
    </cfRule>
  </conditionalFormatting>
  <conditionalFormatting sqref="R335:T335">
    <cfRule type="notContainsText" dxfId="330" priority="1265" operator="notContains" text="Caida">
      <formula>ISERROR(SEARCH("Caida",R335))</formula>
    </cfRule>
    <cfRule type="containsText" dxfId="329" priority="1266" operator="containsText" text="Caida">
      <formula>NOT(ISERROR(SEARCH("Caida",R335)))</formula>
    </cfRule>
  </conditionalFormatting>
  <conditionalFormatting sqref="S391:S1048576">
    <cfRule type="notContainsText" dxfId="328" priority="1253" operator="notContains" text="Caida">
      <formula>ISERROR(SEARCH("Caida",S391))</formula>
    </cfRule>
    <cfRule type="containsText" dxfId="327" priority="1254" operator="containsText" text="Caida">
      <formula>NOT(ISERROR(SEARCH("Caida",S391)))</formula>
    </cfRule>
  </conditionalFormatting>
  <conditionalFormatting sqref="T391:T1048576">
    <cfRule type="notContainsText" dxfId="326" priority="1204" operator="notContains" text="Caida">
      <formula>ISERROR(SEARCH("Caida",T391))</formula>
    </cfRule>
    <cfRule type="containsText" dxfId="325" priority="1205" operator="containsText" text="Caida">
      <formula>NOT(ISERROR(SEARCH("Caida",T391)))</formula>
    </cfRule>
  </conditionalFormatting>
  <conditionalFormatting sqref="E92:K93">
    <cfRule type="containsText" dxfId="324" priority="1160" operator="containsText" text="Radio">
      <formula>NOT(ISERROR(SEARCH("Radio",E92)))</formula>
    </cfRule>
  </conditionalFormatting>
  <conditionalFormatting sqref="P93:P95">
    <cfRule type="cellIs" dxfId="323" priority="1130" operator="lessThan">
      <formula>0.8</formula>
    </cfRule>
    <cfRule type="cellIs" dxfId="322" priority="1131" operator="greaterThan">
      <formula>0.8</formula>
    </cfRule>
  </conditionalFormatting>
  <conditionalFormatting sqref="P93:P95">
    <cfRule type="notContainsText" dxfId="321" priority="1128" operator="notContains" text="Caida">
      <formula>ISERROR(SEARCH("Caida",P93))</formula>
    </cfRule>
    <cfRule type="containsText" dxfId="320" priority="1129" operator="containsText" text="Caida">
      <formula>NOT(ISERROR(SEARCH("Caida",P93)))</formula>
    </cfRule>
  </conditionalFormatting>
  <conditionalFormatting sqref="Q93:Q95">
    <cfRule type="cellIs" dxfId="319" priority="1126" operator="lessThan">
      <formula>0.8</formula>
    </cfRule>
    <cfRule type="cellIs" dxfId="318" priority="1127" operator="greaterThan">
      <formula>0.8</formula>
    </cfRule>
  </conditionalFormatting>
  <conditionalFormatting sqref="Q93:Q95">
    <cfRule type="notContainsText" dxfId="317" priority="1124" operator="notContains" text="Caida">
      <formula>ISERROR(SEARCH("Caida",Q93))</formula>
    </cfRule>
    <cfRule type="containsText" dxfId="316" priority="1125" operator="containsText" text="Caida">
      <formula>NOT(ISERROR(SEARCH("Caida",Q93)))</formula>
    </cfRule>
  </conditionalFormatting>
  <conditionalFormatting sqref="R93:R95">
    <cfRule type="cellIs" dxfId="315" priority="1122" operator="lessThan">
      <formula>0.8</formula>
    </cfRule>
    <cfRule type="cellIs" dxfId="314" priority="1123" operator="greaterThan">
      <formula>0.8</formula>
    </cfRule>
  </conditionalFormatting>
  <conditionalFormatting sqref="R93:R95">
    <cfRule type="notContainsText" dxfId="313" priority="1120" operator="notContains" text="Caida">
      <formula>ISERROR(SEARCH("Caida",R93))</formula>
    </cfRule>
    <cfRule type="containsText" dxfId="312" priority="1121" operator="containsText" text="Caida">
      <formula>NOT(ISERROR(SEARCH("Caida",R93)))</formula>
    </cfRule>
  </conditionalFormatting>
  <conditionalFormatting sqref="E365:K365">
    <cfRule type="containsText" dxfId="311" priority="1109" operator="containsText" text="Radio">
      <formula>NOT(ISERROR(SEARCH("Radio",E365)))</formula>
    </cfRule>
  </conditionalFormatting>
  <conditionalFormatting sqref="P367">
    <cfRule type="cellIs" dxfId="310" priority="1091" operator="lessThan">
      <formula>0.8</formula>
    </cfRule>
    <cfRule type="cellIs" dxfId="309" priority="1092" operator="greaterThan">
      <formula>0.8</formula>
    </cfRule>
  </conditionalFormatting>
  <conditionalFormatting sqref="P367">
    <cfRule type="notContainsText" dxfId="308" priority="1089" operator="notContains" text="Caida">
      <formula>ISERROR(SEARCH("Caida",P367))</formula>
    </cfRule>
    <cfRule type="containsText" dxfId="307" priority="1090" operator="containsText" text="Caida">
      <formula>NOT(ISERROR(SEARCH("Caida",P367)))</formula>
    </cfRule>
  </conditionalFormatting>
  <conditionalFormatting sqref="Q367">
    <cfRule type="cellIs" dxfId="306" priority="1087" operator="lessThan">
      <formula>0.8</formula>
    </cfRule>
    <cfRule type="cellIs" dxfId="305" priority="1088" operator="greaterThan">
      <formula>0.8</formula>
    </cfRule>
  </conditionalFormatting>
  <conditionalFormatting sqref="Q367">
    <cfRule type="notContainsText" dxfId="304" priority="1085" operator="notContains" text="Caida">
      <formula>ISERROR(SEARCH("Caida",Q367))</formula>
    </cfRule>
    <cfRule type="containsText" dxfId="303" priority="1086" operator="containsText" text="Caida">
      <formula>NOT(ISERROR(SEARCH("Caida",Q367)))</formula>
    </cfRule>
  </conditionalFormatting>
  <conditionalFormatting sqref="R367:T367">
    <cfRule type="cellIs" dxfId="302" priority="1083" operator="lessThan">
      <formula>0.8</formula>
    </cfRule>
    <cfRule type="cellIs" dxfId="301" priority="1084" operator="greaterThan">
      <formula>0.8</formula>
    </cfRule>
  </conditionalFormatting>
  <conditionalFormatting sqref="R367:T367">
    <cfRule type="notContainsText" dxfId="300" priority="1081" operator="notContains" text="Caida">
      <formula>ISERROR(SEARCH("Caida",R367))</formula>
    </cfRule>
    <cfRule type="containsText" dxfId="299" priority="1082" operator="containsText" text="Caida">
      <formula>NOT(ISERROR(SEARCH("Caida",R367)))</formula>
    </cfRule>
  </conditionalFormatting>
  <conditionalFormatting sqref="E366:K366">
    <cfRule type="containsText" dxfId="298" priority="1070" operator="containsText" text="Radio">
      <formula>NOT(ISERROR(SEARCH("Radio",E366)))</formula>
    </cfRule>
  </conditionalFormatting>
  <conditionalFormatting sqref="P368">
    <cfRule type="cellIs" dxfId="297" priority="1052" operator="lessThan">
      <formula>0.8</formula>
    </cfRule>
    <cfRule type="cellIs" dxfId="296" priority="1053" operator="greaterThan">
      <formula>0.8</formula>
    </cfRule>
  </conditionalFormatting>
  <conditionalFormatting sqref="P368">
    <cfRule type="notContainsText" dxfId="295" priority="1050" operator="notContains" text="Caida">
      <formula>ISERROR(SEARCH("Caida",P368))</formula>
    </cfRule>
    <cfRule type="containsText" dxfId="294" priority="1051" operator="containsText" text="Caida">
      <formula>NOT(ISERROR(SEARCH("Caida",P368)))</formula>
    </cfRule>
  </conditionalFormatting>
  <conditionalFormatting sqref="Q368">
    <cfRule type="cellIs" dxfId="293" priority="1048" operator="lessThan">
      <formula>0.8</formula>
    </cfRule>
    <cfRule type="cellIs" dxfId="292" priority="1049" operator="greaterThan">
      <formula>0.8</formula>
    </cfRule>
  </conditionalFormatting>
  <conditionalFormatting sqref="Q368">
    <cfRule type="notContainsText" dxfId="291" priority="1046" operator="notContains" text="Caida">
      <formula>ISERROR(SEARCH("Caida",Q368))</formula>
    </cfRule>
    <cfRule type="containsText" dxfId="290" priority="1047" operator="containsText" text="Caida">
      <formula>NOT(ISERROR(SEARCH("Caida",Q368)))</formula>
    </cfRule>
  </conditionalFormatting>
  <conditionalFormatting sqref="R368:T368">
    <cfRule type="cellIs" dxfId="289" priority="1044" operator="lessThan">
      <formula>0.8</formula>
    </cfRule>
    <cfRule type="cellIs" dxfId="288" priority="1045" operator="greaterThan">
      <formula>0.8</formula>
    </cfRule>
  </conditionalFormatting>
  <conditionalFormatting sqref="R368:T368">
    <cfRule type="notContainsText" dxfId="287" priority="1042" operator="notContains" text="Caida">
      <formula>ISERROR(SEARCH("Caida",R368))</formula>
    </cfRule>
    <cfRule type="containsText" dxfId="286" priority="1043" operator="containsText" text="Caida">
      <formula>NOT(ISERROR(SEARCH("Caida",R368)))</formula>
    </cfRule>
  </conditionalFormatting>
  <conditionalFormatting sqref="E367:K367">
    <cfRule type="containsText" dxfId="285" priority="1031" operator="containsText" text="Radio">
      <formula>NOT(ISERROR(SEARCH("Radio",E367)))</formula>
    </cfRule>
  </conditionalFormatting>
  <conditionalFormatting sqref="P369">
    <cfRule type="cellIs" dxfId="284" priority="1013" operator="lessThan">
      <formula>0.8</formula>
    </cfRule>
    <cfRule type="cellIs" dxfId="283" priority="1014" operator="greaterThan">
      <formula>0.8</formula>
    </cfRule>
  </conditionalFormatting>
  <conditionalFormatting sqref="P369">
    <cfRule type="notContainsText" dxfId="282" priority="1011" operator="notContains" text="Caida">
      <formula>ISERROR(SEARCH("Caida",P369))</formula>
    </cfRule>
    <cfRule type="containsText" dxfId="281" priority="1012" operator="containsText" text="Caida">
      <formula>NOT(ISERROR(SEARCH("Caida",P369)))</formula>
    </cfRule>
  </conditionalFormatting>
  <conditionalFormatting sqref="Q369">
    <cfRule type="cellIs" dxfId="280" priority="1009" operator="lessThan">
      <formula>0.8</formula>
    </cfRule>
    <cfRule type="cellIs" dxfId="279" priority="1010" operator="greaterThan">
      <formula>0.8</formula>
    </cfRule>
  </conditionalFormatting>
  <conditionalFormatting sqref="Q369">
    <cfRule type="notContainsText" dxfId="278" priority="1007" operator="notContains" text="Caida">
      <formula>ISERROR(SEARCH("Caida",Q369))</formula>
    </cfRule>
    <cfRule type="containsText" dxfId="277" priority="1008" operator="containsText" text="Caida">
      <formula>NOT(ISERROR(SEARCH("Caida",Q369)))</formula>
    </cfRule>
  </conditionalFormatting>
  <conditionalFormatting sqref="R369:T369">
    <cfRule type="cellIs" dxfId="276" priority="1005" operator="lessThan">
      <formula>0.8</formula>
    </cfRule>
    <cfRule type="cellIs" dxfId="275" priority="1006" operator="greaterThan">
      <formula>0.8</formula>
    </cfRule>
  </conditionalFormatting>
  <conditionalFormatting sqref="R369:T369">
    <cfRule type="notContainsText" dxfId="274" priority="1003" operator="notContains" text="Caida">
      <formula>ISERROR(SEARCH("Caida",R369))</formula>
    </cfRule>
    <cfRule type="containsText" dxfId="273" priority="1004" operator="containsText" text="Caida">
      <formula>NOT(ISERROR(SEARCH("Caida",R369)))</formula>
    </cfRule>
  </conditionalFormatting>
  <conditionalFormatting sqref="E368:K368">
    <cfRule type="containsText" dxfId="272" priority="992" operator="containsText" text="Radio">
      <formula>NOT(ISERROR(SEARCH("Radio",E368)))</formula>
    </cfRule>
  </conditionalFormatting>
  <conditionalFormatting sqref="U231">
    <cfRule type="cellIs" dxfId="271" priority="933" operator="lessThan">
      <formula>0.8</formula>
    </cfRule>
    <cfRule type="cellIs" dxfId="270" priority="934" operator="greaterThan">
      <formula>0.8</formula>
    </cfRule>
  </conditionalFormatting>
  <conditionalFormatting sqref="U231">
    <cfRule type="notContainsText" dxfId="269" priority="931" operator="notContains" text="Caida">
      <formula>ISERROR(SEARCH("Caida",U231))</formula>
    </cfRule>
    <cfRule type="containsText" dxfId="268" priority="932" operator="containsText" text="Caida">
      <formula>NOT(ISERROR(SEARCH("Caida",U231)))</formula>
    </cfRule>
  </conditionalFormatting>
  <conditionalFormatting sqref="U232">
    <cfRule type="cellIs" dxfId="267" priority="929" operator="lessThan">
      <formula>0.8</formula>
    </cfRule>
    <cfRule type="cellIs" dxfId="266" priority="930" operator="greaterThan">
      <formula>0.8</formula>
    </cfRule>
  </conditionalFormatting>
  <conditionalFormatting sqref="U232">
    <cfRule type="notContainsText" dxfId="265" priority="927" operator="notContains" text="Caida">
      <formula>ISERROR(SEARCH("Caida",U232))</formula>
    </cfRule>
    <cfRule type="containsText" dxfId="264" priority="928" operator="containsText" text="Caida">
      <formula>NOT(ISERROR(SEARCH("Caida",U232)))</formula>
    </cfRule>
  </conditionalFormatting>
  <conditionalFormatting sqref="P370:P372">
    <cfRule type="cellIs" dxfId="263" priority="974" operator="lessThan">
      <formula>0.8</formula>
    </cfRule>
    <cfRule type="cellIs" dxfId="262" priority="975" operator="greaterThan">
      <formula>0.8</formula>
    </cfRule>
  </conditionalFormatting>
  <conditionalFormatting sqref="P370:P372">
    <cfRule type="notContainsText" dxfId="261" priority="972" operator="notContains" text="Caida">
      <formula>ISERROR(SEARCH("Caida",P370))</formula>
    </cfRule>
    <cfRule type="containsText" dxfId="260" priority="973" operator="containsText" text="Caida">
      <formula>NOT(ISERROR(SEARCH("Caida",P370)))</formula>
    </cfRule>
  </conditionalFormatting>
  <conditionalFormatting sqref="Q370:Q372">
    <cfRule type="cellIs" dxfId="259" priority="970" operator="lessThan">
      <formula>0.8</formula>
    </cfRule>
    <cfRule type="cellIs" dxfId="258" priority="971" operator="greaterThan">
      <formula>0.8</formula>
    </cfRule>
  </conditionalFormatting>
  <conditionalFormatting sqref="Q370:Q372">
    <cfRule type="notContainsText" dxfId="257" priority="968" operator="notContains" text="Caida">
      <formula>ISERROR(SEARCH("Caida",Q370))</formula>
    </cfRule>
    <cfRule type="containsText" dxfId="256" priority="969" operator="containsText" text="Caida">
      <formula>NOT(ISERROR(SEARCH("Caida",Q370)))</formula>
    </cfRule>
  </conditionalFormatting>
  <conditionalFormatting sqref="R370:T370">
    <cfRule type="cellIs" dxfId="255" priority="966" operator="lessThan">
      <formula>0.8</formula>
    </cfRule>
    <cfRule type="cellIs" dxfId="254" priority="967" operator="greaterThan">
      <formula>0.8</formula>
    </cfRule>
  </conditionalFormatting>
  <conditionalFormatting sqref="R370:T370">
    <cfRule type="notContainsText" dxfId="253" priority="964" operator="notContains" text="Caida">
      <formula>ISERROR(SEARCH("Caida",R370))</formula>
    </cfRule>
    <cfRule type="containsText" dxfId="252" priority="965" operator="containsText" text="Caida">
      <formula>NOT(ISERROR(SEARCH("Caida",R370)))</formula>
    </cfRule>
  </conditionalFormatting>
  <conditionalFormatting sqref="U368">
    <cfRule type="cellIs" dxfId="251" priority="897" operator="lessThan">
      <formula>0.8</formula>
    </cfRule>
    <cfRule type="cellIs" dxfId="250" priority="898" operator="greaterThan">
      <formula>0.8</formula>
    </cfRule>
  </conditionalFormatting>
  <conditionalFormatting sqref="U368">
    <cfRule type="notContainsText" dxfId="249" priority="895" operator="notContains" text="Caida">
      <formula>ISERROR(SEARCH("Caida",U368))</formula>
    </cfRule>
    <cfRule type="containsText" dxfId="248" priority="896" operator="containsText" text="Caida">
      <formula>NOT(ISERROR(SEARCH("Caida",U368)))</formula>
    </cfRule>
  </conditionalFormatting>
  <conditionalFormatting sqref="U369">
    <cfRule type="cellIs" dxfId="247" priority="893" operator="lessThan">
      <formula>0.8</formula>
    </cfRule>
    <cfRule type="cellIs" dxfId="246" priority="894" operator="greaterThan">
      <formula>0.8</formula>
    </cfRule>
  </conditionalFormatting>
  <conditionalFormatting sqref="U369">
    <cfRule type="notContainsText" dxfId="245" priority="891" operator="notContains" text="Caida">
      <formula>ISERROR(SEARCH("Caida",U369))</formula>
    </cfRule>
    <cfRule type="containsText" dxfId="244" priority="892" operator="containsText" text="Caida">
      <formula>NOT(ISERROR(SEARCH("Caida",U369)))</formula>
    </cfRule>
  </conditionalFormatting>
  <conditionalFormatting sqref="U370:U372">
    <cfRule type="cellIs" dxfId="243" priority="889" operator="lessThan">
      <formula>0.8</formula>
    </cfRule>
    <cfRule type="cellIs" dxfId="242" priority="890" operator="greaterThan">
      <formula>0.8</formula>
    </cfRule>
  </conditionalFormatting>
  <conditionalFormatting sqref="U370:U372">
    <cfRule type="notContainsText" dxfId="241" priority="887" operator="notContains" text="Caida">
      <formula>ISERROR(SEARCH("Caida",U370))</formula>
    </cfRule>
    <cfRule type="containsText" dxfId="240" priority="888" operator="containsText" text="Caida">
      <formula>NOT(ISERROR(SEARCH("Caida",U370)))</formula>
    </cfRule>
  </conditionalFormatting>
  <conditionalFormatting sqref="U6:U92 U96:U230">
    <cfRule type="cellIs" dxfId="239" priority="954" operator="lessThan">
      <formula>0.8</formula>
    </cfRule>
    <cfRule type="cellIs" dxfId="238" priority="955" operator="greaterThan">
      <formula>0.8</formula>
    </cfRule>
  </conditionalFormatting>
  <conditionalFormatting sqref="U6:U92 U96:U230">
    <cfRule type="notContainsText" dxfId="237" priority="952" operator="notContains" text="Caida">
      <formula>ISERROR(SEARCH("Caida",U6))</formula>
    </cfRule>
    <cfRule type="containsText" dxfId="236" priority="953" operator="containsText" text="Caida">
      <formula>NOT(ISERROR(SEARCH("Caida",U6)))</formula>
    </cfRule>
  </conditionalFormatting>
  <conditionalFormatting sqref="U336">
    <cfRule type="cellIs" dxfId="235" priority="909" operator="lessThan">
      <formula>0.8</formula>
    </cfRule>
    <cfRule type="cellIs" dxfId="234" priority="910" operator="greaterThan">
      <formula>0.8</formula>
    </cfRule>
  </conditionalFormatting>
  <conditionalFormatting sqref="U336">
    <cfRule type="notContainsText" dxfId="233" priority="907" operator="notContains" text="Caida">
      <formula>ISERROR(SEARCH("Caida",U336))</formula>
    </cfRule>
    <cfRule type="containsText" dxfId="232" priority="908" operator="containsText" text="Caida">
      <formula>NOT(ISERROR(SEARCH("Caida",U336)))</formula>
    </cfRule>
  </conditionalFormatting>
  <conditionalFormatting sqref="U337:U366 U284:U334">
    <cfRule type="cellIs" dxfId="231" priority="950" operator="lessThan">
      <formula>0.8</formula>
    </cfRule>
    <cfRule type="cellIs" dxfId="230" priority="951" operator="greaterThan">
      <formula>0.8</formula>
    </cfRule>
  </conditionalFormatting>
  <conditionalFormatting sqref="U337:U366 U284:U334 U391:U1048576">
    <cfRule type="notContainsText" dxfId="229" priority="948" operator="notContains" text="Caida">
      <formula>ISERROR(SEARCH("Caida",U284))</formula>
    </cfRule>
    <cfRule type="containsText" dxfId="228" priority="949" operator="containsText" text="Caida">
      <formula>NOT(ISERROR(SEARCH("Caida",U284)))</formula>
    </cfRule>
  </conditionalFormatting>
  <conditionalFormatting sqref="U22">
    <cfRule type="containsText" dxfId="227" priority="947" operator="containsText" text="Instaladas en Funcionamiento Caida">
      <formula>NOT(ISERROR(SEARCH("Instaladas en Funcionamiento Caida",U22)))</formula>
    </cfRule>
  </conditionalFormatting>
  <conditionalFormatting sqref="U282">
    <cfRule type="cellIs" dxfId="226" priority="945" operator="lessThan">
      <formula>0.8</formula>
    </cfRule>
    <cfRule type="cellIs" dxfId="225" priority="946" operator="greaterThan">
      <formula>0.8</formula>
    </cfRule>
  </conditionalFormatting>
  <conditionalFormatting sqref="U282">
    <cfRule type="notContainsText" dxfId="224" priority="943" operator="notContains" text="Caida">
      <formula>ISERROR(SEARCH("Caida",U282))</formula>
    </cfRule>
    <cfRule type="containsText" dxfId="223" priority="944" operator="containsText" text="Caida">
      <formula>NOT(ISERROR(SEARCH("Caida",U282)))</formula>
    </cfRule>
  </conditionalFormatting>
  <conditionalFormatting sqref="U283">
    <cfRule type="cellIs" dxfId="222" priority="941" operator="lessThan">
      <formula>0.8</formula>
    </cfRule>
    <cfRule type="cellIs" dxfId="221" priority="942" operator="greaterThan">
      <formula>0.8</formula>
    </cfRule>
  </conditionalFormatting>
  <conditionalFormatting sqref="U283">
    <cfRule type="notContainsText" dxfId="220" priority="939" operator="notContains" text="Caida">
      <formula>ISERROR(SEARCH("Caida",U283))</formula>
    </cfRule>
    <cfRule type="containsText" dxfId="219" priority="940" operator="containsText" text="Caida">
      <formula>NOT(ISERROR(SEARCH("Caida",U283)))</formula>
    </cfRule>
  </conditionalFormatting>
  <conditionalFormatting sqref="U5">
    <cfRule type="cellIs" dxfId="218" priority="937" operator="lessThan">
      <formula>0.8</formula>
    </cfRule>
    <cfRule type="cellIs" dxfId="217" priority="938" operator="greaterThan">
      <formula>0.8</formula>
    </cfRule>
  </conditionalFormatting>
  <conditionalFormatting sqref="U5">
    <cfRule type="notContainsText" dxfId="216" priority="935" operator="notContains" text="Caida">
      <formula>ISERROR(SEARCH("Caida",U5))</formula>
    </cfRule>
    <cfRule type="containsText" dxfId="215" priority="936" operator="containsText" text="Caida">
      <formula>NOT(ISERROR(SEARCH("Caida",U5)))</formula>
    </cfRule>
  </conditionalFormatting>
  <conditionalFormatting sqref="U233">
    <cfRule type="cellIs" dxfId="214" priority="925" operator="lessThan">
      <formula>0.8</formula>
    </cfRule>
    <cfRule type="cellIs" dxfId="213" priority="926" operator="greaterThan">
      <formula>0.8</formula>
    </cfRule>
  </conditionalFormatting>
  <conditionalFormatting sqref="U233">
    <cfRule type="notContainsText" dxfId="212" priority="923" operator="notContains" text="Caida">
      <formula>ISERROR(SEARCH("Caida",U233))</formula>
    </cfRule>
    <cfRule type="containsText" dxfId="211" priority="924" operator="containsText" text="Caida">
      <formula>NOT(ISERROR(SEARCH("Caida",U233)))</formula>
    </cfRule>
  </conditionalFormatting>
  <conditionalFormatting sqref="U234">
    <cfRule type="cellIs" dxfId="210" priority="921" operator="lessThan">
      <formula>0.8</formula>
    </cfRule>
    <cfRule type="cellIs" dxfId="209" priority="922" operator="greaterThan">
      <formula>0.8</formula>
    </cfRule>
  </conditionalFormatting>
  <conditionalFormatting sqref="U234">
    <cfRule type="notContainsText" dxfId="208" priority="919" operator="notContains" text="Caida">
      <formula>ISERROR(SEARCH("Caida",U234))</formula>
    </cfRule>
    <cfRule type="containsText" dxfId="207" priority="920" operator="containsText" text="Caida">
      <formula>NOT(ISERROR(SEARCH("Caida",U234)))</formula>
    </cfRule>
  </conditionalFormatting>
  <conditionalFormatting sqref="U235">
    <cfRule type="cellIs" dxfId="206" priority="917" operator="lessThan">
      <formula>0.8</formula>
    </cfRule>
    <cfRule type="cellIs" dxfId="205" priority="918" operator="greaterThan">
      <formula>0.8</formula>
    </cfRule>
  </conditionalFormatting>
  <conditionalFormatting sqref="U235">
    <cfRule type="notContainsText" dxfId="204" priority="915" operator="notContains" text="Caida">
      <formula>ISERROR(SEARCH("Caida",U235))</formula>
    </cfRule>
    <cfRule type="containsText" dxfId="203" priority="916" operator="containsText" text="Caida">
      <formula>NOT(ISERROR(SEARCH("Caida",U235)))</formula>
    </cfRule>
  </conditionalFormatting>
  <conditionalFormatting sqref="U335">
    <cfRule type="cellIs" dxfId="202" priority="913" operator="lessThan">
      <formula>0.8</formula>
    </cfRule>
    <cfRule type="cellIs" dxfId="201" priority="914" operator="greaterThan">
      <formula>0.8</formula>
    </cfRule>
  </conditionalFormatting>
  <conditionalFormatting sqref="U335">
    <cfRule type="notContainsText" dxfId="200" priority="911" operator="notContains" text="Caida">
      <formula>ISERROR(SEARCH("Caida",U335))</formula>
    </cfRule>
    <cfRule type="containsText" dxfId="199" priority="912" operator="containsText" text="Caida">
      <formula>NOT(ISERROR(SEARCH("Caida",U335)))</formula>
    </cfRule>
  </conditionalFormatting>
  <conditionalFormatting sqref="U93:U95">
    <cfRule type="cellIs" dxfId="198" priority="905" operator="lessThan">
      <formula>0.8</formula>
    </cfRule>
    <cfRule type="cellIs" dxfId="197" priority="906" operator="greaterThan">
      <formula>0.8</formula>
    </cfRule>
  </conditionalFormatting>
  <conditionalFormatting sqref="U93:U95">
    <cfRule type="notContainsText" dxfId="196" priority="903" operator="notContains" text="Caida">
      <formula>ISERROR(SEARCH("Caida",U93))</formula>
    </cfRule>
    <cfRule type="containsText" dxfId="195" priority="904" operator="containsText" text="Caida">
      <formula>NOT(ISERROR(SEARCH("Caida",U93)))</formula>
    </cfRule>
  </conditionalFormatting>
  <conditionalFormatting sqref="U367">
    <cfRule type="cellIs" dxfId="194" priority="901" operator="lessThan">
      <formula>0.8</formula>
    </cfRule>
    <cfRule type="cellIs" dxfId="193" priority="902" operator="greaterThan">
      <formula>0.8</formula>
    </cfRule>
  </conditionalFormatting>
  <conditionalFormatting sqref="U367">
    <cfRule type="notContainsText" dxfId="192" priority="899" operator="notContains" text="Caida">
      <formula>ISERROR(SEARCH("Caida",U367))</formula>
    </cfRule>
    <cfRule type="containsText" dxfId="191" priority="900" operator="containsText" text="Caida">
      <formula>NOT(ISERROR(SEARCH("Caida",U367)))</formula>
    </cfRule>
  </conditionalFormatting>
  <conditionalFormatting sqref="V6:X92">
    <cfRule type="cellIs" dxfId="190" priority="885" operator="lessThan">
      <formula>0.8</formula>
    </cfRule>
    <cfRule type="cellIs" dxfId="189" priority="886" operator="greaterThan">
      <formula>0.8</formula>
    </cfRule>
  </conditionalFormatting>
  <conditionalFormatting sqref="V6:X92">
    <cfRule type="notContainsText" dxfId="188" priority="883" operator="notContains" text="Caida">
      <formula>ISERROR(SEARCH("Caida",V6))</formula>
    </cfRule>
    <cfRule type="containsText" dxfId="187" priority="884" operator="containsText" text="Caida">
      <formula>NOT(ISERROR(SEARCH("Caida",V6)))</formula>
    </cfRule>
  </conditionalFormatting>
  <conditionalFormatting sqref="V22:AJ22">
    <cfRule type="containsText" dxfId="186" priority="882" operator="containsText" text="Instaladas en Funcionamiento Caida">
      <formula>NOT(ISERROR(SEARCH("Instaladas en Funcionamiento Caida",V22)))</formula>
    </cfRule>
  </conditionalFormatting>
  <conditionalFormatting sqref="V5:AJ5">
    <cfRule type="cellIs" dxfId="185" priority="880" operator="lessThan">
      <formula>0.8</formula>
    </cfRule>
    <cfRule type="cellIs" dxfId="184" priority="881" operator="greaterThan">
      <formula>0.8</formula>
    </cfRule>
  </conditionalFormatting>
  <conditionalFormatting sqref="V5:AJ5">
    <cfRule type="notContainsText" dxfId="183" priority="878" operator="notContains" text="Caida">
      <formula>ISERROR(SEARCH("Caida",V5))</formula>
    </cfRule>
    <cfRule type="containsText" dxfId="182" priority="879" operator="containsText" text="Caida">
      <formula>NOT(ISERROR(SEARCH("Caida",V5)))</formula>
    </cfRule>
  </conditionalFormatting>
  <conditionalFormatting sqref="V93:X95">
    <cfRule type="cellIs" dxfId="181" priority="876" operator="lessThan">
      <formula>0.8</formula>
    </cfRule>
    <cfRule type="cellIs" dxfId="180" priority="877" operator="greaterThan">
      <formula>0.8</formula>
    </cfRule>
  </conditionalFormatting>
  <conditionalFormatting sqref="V93:X95">
    <cfRule type="notContainsText" dxfId="179" priority="874" operator="notContains" text="Caida">
      <formula>ISERROR(SEARCH("Caida",V93))</formula>
    </cfRule>
    <cfRule type="containsText" dxfId="178" priority="875" operator="containsText" text="Caida">
      <formula>NOT(ISERROR(SEARCH("Caida",V93)))</formula>
    </cfRule>
  </conditionalFormatting>
  <conditionalFormatting sqref="E1:E372 E391:E1048576">
    <cfRule type="containsText" dxfId="177" priority="734" operator="containsText" text="fija">
      <formula>NOT(ISERROR(SEARCH("fija",E1)))</formula>
    </cfRule>
    <cfRule type="containsText" dxfId="176" priority="735" operator="containsText" text="domo">
      <formula>NOT(ISERROR(SEARCH("domo",E1)))</formula>
    </cfRule>
  </conditionalFormatting>
  <conditionalFormatting sqref="AK6:AP92">
    <cfRule type="cellIs" dxfId="175" priority="710" operator="lessThan">
      <formula>0.8</formula>
    </cfRule>
    <cfRule type="cellIs" dxfId="174" priority="711" operator="greaterThan">
      <formula>0.8</formula>
    </cfRule>
  </conditionalFormatting>
  <conditionalFormatting sqref="AK6:AP92">
    <cfRule type="notContainsText" dxfId="173" priority="708" operator="notContains" text="Caida">
      <formula>ISERROR(SEARCH("Caida",AK6))</formula>
    </cfRule>
    <cfRule type="containsText" dxfId="172" priority="709" operator="containsText" text="Caida">
      <formula>NOT(ISERROR(SEARCH("Caida",AK6)))</formula>
    </cfRule>
  </conditionalFormatting>
  <conditionalFormatting sqref="AK22:AR22">
    <cfRule type="containsText" dxfId="171" priority="707" operator="containsText" text="Instaladas en Funcionamiento Caida">
      <formula>NOT(ISERROR(SEARCH("Instaladas en Funcionamiento Caida",AK22)))</formula>
    </cfRule>
  </conditionalFormatting>
  <conditionalFormatting sqref="AK5:AR5">
    <cfRule type="cellIs" dxfId="170" priority="705" operator="lessThan">
      <formula>0.8</formula>
    </cfRule>
    <cfRule type="cellIs" dxfId="169" priority="706" operator="greaterThan">
      <formula>0.8</formula>
    </cfRule>
  </conditionalFormatting>
  <conditionalFormatting sqref="AK5:AR5">
    <cfRule type="notContainsText" dxfId="168" priority="703" operator="notContains" text="Caida">
      <formula>ISERROR(SEARCH("Caida",AK5))</formula>
    </cfRule>
    <cfRule type="containsText" dxfId="167" priority="704" operator="containsText" text="Caida">
      <formula>NOT(ISERROR(SEARCH("Caida",AK5)))</formula>
    </cfRule>
  </conditionalFormatting>
  <conditionalFormatting sqref="AK93:AP94">
    <cfRule type="cellIs" dxfId="166" priority="701" operator="lessThan">
      <formula>0.8</formula>
    </cfRule>
    <cfRule type="cellIs" dxfId="165" priority="702" operator="greaterThan">
      <formula>0.8</formula>
    </cfRule>
  </conditionalFormatting>
  <conditionalFormatting sqref="AK93:AP94">
    <cfRule type="notContainsText" dxfId="164" priority="699" operator="notContains" text="Caida">
      <formula>ISERROR(SEARCH("Caida",AK93))</formula>
    </cfRule>
    <cfRule type="containsText" dxfId="163" priority="700" operator="containsText" text="Caida">
      <formula>NOT(ISERROR(SEARCH("Caida",AK93)))</formula>
    </cfRule>
  </conditionalFormatting>
  <conditionalFormatting sqref="O247:O372 O5:AJ369 AK1:AR1 AK391:AR1048576 AK5:AR372">
    <cfRule type="cellIs" dxfId="162" priority="698" operator="equal">
      <formula>"APAGADO"</formula>
    </cfRule>
  </conditionalFormatting>
  <conditionalFormatting sqref="S6:S92 S96:S230">
    <cfRule type="cellIs" dxfId="161" priority="682" operator="lessThan">
      <formula>0.8</formula>
    </cfRule>
    <cfRule type="cellIs" dxfId="160" priority="683" operator="greaterThan">
      <formula>0.8</formula>
    </cfRule>
  </conditionalFormatting>
  <conditionalFormatting sqref="S6:S92 S96:S230">
    <cfRule type="notContainsText" dxfId="159" priority="680" operator="notContains" text="Caida">
      <formula>ISERROR(SEARCH("Caida",S6))</formula>
    </cfRule>
    <cfRule type="containsText" dxfId="158" priority="681" operator="containsText" text="Caida">
      <formula>NOT(ISERROR(SEARCH("Caida",S6)))</formula>
    </cfRule>
  </conditionalFormatting>
  <conditionalFormatting sqref="S337:S366 S284:S334">
    <cfRule type="cellIs" dxfId="157" priority="678" operator="lessThan">
      <formula>0.8</formula>
    </cfRule>
    <cfRule type="cellIs" dxfId="156" priority="679" operator="greaterThan">
      <formula>0.8</formula>
    </cfRule>
  </conditionalFormatting>
  <conditionalFormatting sqref="S337:S366 S284:S334">
    <cfRule type="notContainsText" dxfId="155" priority="676" operator="notContains" text="Caida">
      <formula>ISERROR(SEARCH("Caida",S284))</formula>
    </cfRule>
    <cfRule type="containsText" dxfId="154" priority="677" operator="containsText" text="Caida">
      <formula>NOT(ISERROR(SEARCH("Caida",S284)))</formula>
    </cfRule>
  </conditionalFormatting>
  <conditionalFormatting sqref="S93:S95">
    <cfRule type="cellIs" dxfId="153" priority="674" operator="lessThan">
      <formula>0.8</formula>
    </cfRule>
    <cfRule type="cellIs" dxfId="152" priority="675" operator="greaterThan">
      <formula>0.8</formula>
    </cfRule>
  </conditionalFormatting>
  <conditionalFormatting sqref="S93:S95">
    <cfRule type="notContainsText" dxfId="151" priority="672" operator="notContains" text="Caida">
      <formula>ISERROR(SEARCH("Caida",S93))</formula>
    </cfRule>
    <cfRule type="containsText" dxfId="150" priority="673" operator="containsText" text="Caida">
      <formula>NOT(ISERROR(SEARCH("Caida",S93)))</formula>
    </cfRule>
  </conditionalFormatting>
  <conditionalFormatting sqref="T6:T92 T96:T230">
    <cfRule type="cellIs" dxfId="149" priority="670" operator="lessThan">
      <formula>0.8</formula>
    </cfRule>
    <cfRule type="cellIs" dxfId="148" priority="671" operator="greaterThan">
      <formula>0.8</formula>
    </cfRule>
  </conditionalFormatting>
  <conditionalFormatting sqref="T6:T92 T96:T230">
    <cfRule type="notContainsText" dxfId="147" priority="668" operator="notContains" text="Caida">
      <formula>ISERROR(SEARCH("Caida",T6))</formula>
    </cfRule>
    <cfRule type="containsText" dxfId="146" priority="669" operator="containsText" text="Caida">
      <formula>NOT(ISERROR(SEARCH("Caida",T6)))</formula>
    </cfRule>
  </conditionalFormatting>
  <conditionalFormatting sqref="T337:T366 T284:T334">
    <cfRule type="cellIs" dxfId="145" priority="666" operator="lessThan">
      <formula>0.8</formula>
    </cfRule>
    <cfRule type="cellIs" dxfId="144" priority="667" operator="greaterThan">
      <formula>0.8</formula>
    </cfRule>
  </conditionalFormatting>
  <conditionalFormatting sqref="T337:T366 T284:T334">
    <cfRule type="notContainsText" dxfId="143" priority="664" operator="notContains" text="Caida">
      <formula>ISERROR(SEARCH("Caida",T284))</formula>
    </cfRule>
    <cfRule type="containsText" dxfId="142" priority="665" operator="containsText" text="Caida">
      <formula>NOT(ISERROR(SEARCH("Caida",T284)))</formula>
    </cfRule>
  </conditionalFormatting>
  <conditionalFormatting sqref="T93:T95">
    <cfRule type="cellIs" dxfId="141" priority="662" operator="lessThan">
      <formula>0.8</formula>
    </cfRule>
    <cfRule type="cellIs" dxfId="140" priority="663" operator="greaterThan">
      <formula>0.8</formula>
    </cfRule>
  </conditionalFormatting>
  <conditionalFormatting sqref="T93:T95">
    <cfRule type="notContainsText" dxfId="139" priority="660" operator="notContains" text="Caida">
      <formula>ISERROR(SEARCH("Caida",T93))</formula>
    </cfRule>
    <cfRule type="containsText" dxfId="138" priority="661" operator="containsText" text="Caida">
      <formula>NOT(ISERROR(SEARCH("Caida",T93)))</formula>
    </cfRule>
  </conditionalFormatting>
  <conditionalFormatting sqref="F1:F372 F391:F1048576">
    <cfRule type="cellIs" dxfId="137" priority="589" operator="equal">
      <formula>"PTP A FO"</formula>
    </cfRule>
  </conditionalFormatting>
  <conditionalFormatting sqref="R371:T372">
    <cfRule type="cellIs" dxfId="136" priority="218" operator="lessThan">
      <formula>0.8</formula>
    </cfRule>
    <cfRule type="cellIs" dxfId="135" priority="219" operator="greaterThan">
      <formula>0.8</formula>
    </cfRule>
  </conditionalFormatting>
  <conditionalFormatting sqref="R371:T372">
    <cfRule type="notContainsText" dxfId="134" priority="216" operator="notContains" text="Caida">
      <formula>ISERROR(SEARCH("Caida",R371))</formula>
    </cfRule>
    <cfRule type="containsText" dxfId="133" priority="217" operator="containsText" text="Caida">
      <formula>NOT(ISERROR(SEARCH("Caida",R371)))</formula>
    </cfRule>
  </conditionalFormatting>
  <conditionalFormatting sqref="O6:O92">
    <cfRule type="cellIs" dxfId="132" priority="206" operator="lessThan">
      <formula>0.8</formula>
    </cfRule>
    <cfRule type="cellIs" dxfId="131" priority="207" operator="greaterThan">
      <formula>0.8</formula>
    </cfRule>
  </conditionalFormatting>
  <conditionalFormatting sqref="O6:O92">
    <cfRule type="notContainsText" dxfId="130" priority="204" operator="notContains" text="Caida">
      <formula>ISERROR(SEARCH("Caida",O6))</formula>
    </cfRule>
    <cfRule type="containsText" dxfId="129" priority="205" operator="containsText" text="Caida">
      <formula>NOT(ISERROR(SEARCH("Caida",O6)))</formula>
    </cfRule>
  </conditionalFormatting>
  <conditionalFormatting sqref="O22">
    <cfRule type="containsText" dxfId="128" priority="203" operator="containsText" text="Instaladas en Funcionamiento Caida">
      <formula>NOT(ISERROR(SEARCH("Instaladas en Funcionamiento Caida",O22)))</formula>
    </cfRule>
  </conditionalFormatting>
  <conditionalFormatting sqref="O5">
    <cfRule type="cellIs" dxfId="127" priority="201" operator="lessThan">
      <formula>0.8</formula>
    </cfRule>
    <cfRule type="cellIs" dxfId="126" priority="202" operator="greaterThan">
      <formula>0.8</formula>
    </cfRule>
  </conditionalFormatting>
  <conditionalFormatting sqref="O5">
    <cfRule type="notContainsText" dxfId="125" priority="199" operator="notContains" text="Caida">
      <formula>ISERROR(SEARCH("Caida",O5))</formula>
    </cfRule>
    <cfRule type="containsText" dxfId="124" priority="200" operator="containsText" text="Caida">
      <formula>NOT(ISERROR(SEARCH("Caida",O5)))</formula>
    </cfRule>
  </conditionalFormatting>
  <conditionalFormatting sqref="O93:O94">
    <cfRule type="cellIs" dxfId="123" priority="197" operator="lessThan">
      <formula>0.8</formula>
    </cfRule>
    <cfRule type="cellIs" dxfId="122" priority="198" operator="greaterThan">
      <formula>0.8</formula>
    </cfRule>
  </conditionalFormatting>
  <conditionalFormatting sqref="O93:O94">
    <cfRule type="notContainsText" dxfId="121" priority="195" operator="notContains" text="Caida">
      <formula>ISERROR(SEARCH("Caida",O93))</formula>
    </cfRule>
    <cfRule type="containsText" dxfId="120" priority="196" operator="containsText" text="Caida">
      <formula>NOT(ISERROR(SEARCH("Caida",O93)))</formula>
    </cfRule>
  </conditionalFormatting>
  <conditionalFormatting sqref="AR6:AR92">
    <cfRule type="cellIs" dxfId="119" priority="188" operator="lessThan">
      <formula>0.8</formula>
    </cfRule>
    <cfRule type="cellIs" dxfId="118" priority="189" operator="greaterThan">
      <formula>0.8</formula>
    </cfRule>
  </conditionalFormatting>
  <conditionalFormatting sqref="AR6:AR92">
    <cfRule type="notContainsText" dxfId="117" priority="186" operator="notContains" text="Caida">
      <formula>ISERROR(SEARCH("Caida",AR6))</formula>
    </cfRule>
    <cfRule type="containsText" dxfId="116" priority="187" operator="containsText" text="Caida">
      <formula>NOT(ISERROR(SEARCH("Caida",AR6)))</formula>
    </cfRule>
  </conditionalFormatting>
  <conditionalFormatting sqref="AR93:AR94">
    <cfRule type="cellIs" dxfId="115" priority="184" operator="lessThan">
      <formula>0.8</formula>
    </cfRule>
    <cfRule type="cellIs" dxfId="114" priority="185" operator="greaterThan">
      <formula>0.8</formula>
    </cfRule>
  </conditionalFormatting>
  <conditionalFormatting sqref="AR93:AR94">
    <cfRule type="notContainsText" dxfId="113" priority="182" operator="notContains" text="Caida">
      <formula>ISERROR(SEARCH("Caida",AR93))</formula>
    </cfRule>
    <cfRule type="containsText" dxfId="112" priority="183" operator="containsText" text="Caida">
      <formula>NOT(ISERROR(SEARCH("Caida",AR93)))</formula>
    </cfRule>
  </conditionalFormatting>
  <conditionalFormatting sqref="Y6:AF92">
    <cfRule type="cellIs" dxfId="111" priority="123" operator="lessThan">
      <formula>0.8</formula>
    </cfRule>
    <cfRule type="cellIs" dxfId="110" priority="124" operator="greaterThan">
      <formula>0.8</formula>
    </cfRule>
  </conditionalFormatting>
  <conditionalFormatting sqref="Y6:AF92">
    <cfRule type="notContainsText" dxfId="109" priority="121" operator="notContains" text="Caida">
      <formula>ISERROR(SEARCH("Caida",Y6))</formula>
    </cfRule>
    <cfRule type="containsText" dxfId="108" priority="122" operator="containsText" text="Caida">
      <formula>NOT(ISERROR(SEARCH("Caida",Y6)))</formula>
    </cfRule>
  </conditionalFormatting>
  <conditionalFormatting sqref="Y93:AF95">
    <cfRule type="cellIs" dxfId="107" priority="119" operator="lessThan">
      <formula>0.8</formula>
    </cfRule>
    <cfRule type="cellIs" dxfId="106" priority="120" operator="greaterThan">
      <formula>0.8</formula>
    </cfRule>
  </conditionalFormatting>
  <conditionalFormatting sqref="Y93:AF95">
    <cfRule type="notContainsText" dxfId="105" priority="117" operator="notContains" text="Caida">
      <formula>ISERROR(SEARCH("Caida",Y93))</formula>
    </cfRule>
    <cfRule type="containsText" dxfId="104" priority="118" operator="containsText" text="Caida">
      <formula>NOT(ISERROR(SEARCH("Caida",Y93)))</formula>
    </cfRule>
  </conditionalFormatting>
  <conditionalFormatting sqref="AF1:AF3 AF5:AF376 AF378:AF1048576">
    <cfRule type="cellIs" dxfId="103" priority="116" operator="equal">
      <formula>"apagado"</formula>
    </cfRule>
  </conditionalFormatting>
  <conditionalFormatting sqref="AE1:AE3 AE5:AE376 AE378:AE1048576">
    <cfRule type="cellIs" dxfId="102" priority="115" operator="equal">
      <formula>"apagado"</formula>
    </cfRule>
  </conditionalFormatting>
  <conditionalFormatting sqref="AD1:AD3 AD5:AD376 AD378:AD1048576">
    <cfRule type="cellIs" dxfId="101" priority="114" operator="equal">
      <formula>"apagado"</formula>
    </cfRule>
  </conditionalFormatting>
  <conditionalFormatting sqref="AC1:AC3 AC5:AC376 AC378:AC1048576">
    <cfRule type="cellIs" dxfId="100" priority="113" operator="equal">
      <formula>"apagado"</formula>
    </cfRule>
  </conditionalFormatting>
  <conditionalFormatting sqref="AB1:AB3 AB5:AB376 AB378:AB1048576">
    <cfRule type="cellIs" dxfId="99" priority="112" operator="equal">
      <formula>"apagado"</formula>
    </cfRule>
  </conditionalFormatting>
  <conditionalFormatting sqref="AA1:AA3 AA5:AA376 AA378:AA1048576">
    <cfRule type="cellIs" dxfId="98" priority="111" operator="equal">
      <formula>"apagado"</formula>
    </cfRule>
  </conditionalFormatting>
  <conditionalFormatting sqref="Z1:Z3 Z5:Z376 Z378:Z1048576">
    <cfRule type="cellIs" dxfId="97" priority="110" operator="equal">
      <formula>"apagado"</formula>
    </cfRule>
  </conditionalFormatting>
  <conditionalFormatting sqref="Y1:Y3 Y5:Y376 Y378:Y1048576">
    <cfRule type="cellIs" dxfId="96" priority="109" operator="equal">
      <formula>"apagado"</formula>
    </cfRule>
  </conditionalFormatting>
  <conditionalFormatting sqref="AG6:AG92">
    <cfRule type="cellIs" dxfId="95" priority="107" operator="lessThan">
      <formula>0.8</formula>
    </cfRule>
    <cfRule type="cellIs" dxfId="94" priority="108" operator="greaterThan">
      <formula>0.8</formula>
    </cfRule>
  </conditionalFormatting>
  <conditionalFormatting sqref="AG6:AG92">
    <cfRule type="notContainsText" dxfId="93" priority="105" operator="notContains" text="Caida">
      <formula>ISERROR(SEARCH("Caida",AG6))</formula>
    </cfRule>
    <cfRule type="containsText" dxfId="92" priority="106" operator="containsText" text="Caida">
      <formula>NOT(ISERROR(SEARCH("Caida",AG6)))</formula>
    </cfRule>
  </conditionalFormatting>
  <conditionalFormatting sqref="AG93:AG95">
    <cfRule type="cellIs" dxfId="91" priority="103" operator="lessThan">
      <formula>0.8</formula>
    </cfRule>
    <cfRule type="cellIs" dxfId="90" priority="104" operator="greaterThan">
      <formula>0.8</formula>
    </cfRule>
  </conditionalFormatting>
  <conditionalFormatting sqref="AG93:AG95">
    <cfRule type="notContainsText" dxfId="89" priority="101" operator="notContains" text="Caida">
      <formula>ISERROR(SEARCH("Caida",AG93))</formula>
    </cfRule>
    <cfRule type="containsText" dxfId="88" priority="102" operator="containsText" text="Caida">
      <formula>NOT(ISERROR(SEARCH("Caida",AG93)))</formula>
    </cfRule>
  </conditionalFormatting>
  <conditionalFormatting sqref="AG1:AG3 AG5:AG376 AG378:AG1048576">
    <cfRule type="cellIs" dxfId="87" priority="100" operator="equal">
      <formula>"apagado"</formula>
    </cfRule>
  </conditionalFormatting>
  <conditionalFormatting sqref="AH6:AH92">
    <cfRule type="cellIs" dxfId="86" priority="98" operator="lessThan">
      <formula>0.8</formula>
    </cfRule>
    <cfRule type="cellIs" dxfId="85" priority="99" operator="greaterThan">
      <formula>0.8</formula>
    </cfRule>
  </conditionalFormatting>
  <conditionalFormatting sqref="AH6:AH92">
    <cfRule type="notContainsText" dxfId="84" priority="96" operator="notContains" text="Caida">
      <formula>ISERROR(SEARCH("Caida",AH6))</formula>
    </cfRule>
    <cfRule type="containsText" dxfId="83" priority="97" operator="containsText" text="Caida">
      <formula>NOT(ISERROR(SEARCH("Caida",AH6)))</formula>
    </cfRule>
  </conditionalFormatting>
  <conditionalFormatting sqref="AH93:AH95">
    <cfRule type="cellIs" dxfId="82" priority="94" operator="lessThan">
      <formula>0.8</formula>
    </cfRule>
    <cfRule type="cellIs" dxfId="81" priority="95" operator="greaterThan">
      <formula>0.8</formula>
    </cfRule>
  </conditionalFormatting>
  <conditionalFormatting sqref="AH93:AH95">
    <cfRule type="notContainsText" dxfId="80" priority="92" operator="notContains" text="Caida">
      <formula>ISERROR(SEARCH("Caida",AH93))</formula>
    </cfRule>
    <cfRule type="containsText" dxfId="79" priority="93" operator="containsText" text="Caida">
      <formula>NOT(ISERROR(SEARCH("Caida",AH93)))</formula>
    </cfRule>
  </conditionalFormatting>
  <conditionalFormatting sqref="AH1:AH3 AH5:AH376 AH378:AH1048576">
    <cfRule type="cellIs" dxfId="78" priority="91" operator="equal">
      <formula>"apagado"</formula>
    </cfRule>
  </conditionalFormatting>
  <conditionalFormatting sqref="AI6:AI92">
    <cfRule type="cellIs" dxfId="77" priority="89" operator="lessThan">
      <formula>0.8</formula>
    </cfRule>
    <cfRule type="cellIs" dxfId="76" priority="90" operator="greaterThan">
      <formula>0.8</formula>
    </cfRule>
  </conditionalFormatting>
  <conditionalFormatting sqref="AI6:AI92">
    <cfRule type="notContainsText" dxfId="75" priority="87" operator="notContains" text="Caida">
      <formula>ISERROR(SEARCH("Caida",AI6))</formula>
    </cfRule>
    <cfRule type="containsText" dxfId="74" priority="88" operator="containsText" text="Caida">
      <formula>NOT(ISERROR(SEARCH("Caida",AI6)))</formula>
    </cfRule>
  </conditionalFormatting>
  <conditionalFormatting sqref="AI93:AI95">
    <cfRule type="cellIs" dxfId="73" priority="85" operator="lessThan">
      <formula>0.8</formula>
    </cfRule>
    <cfRule type="cellIs" dxfId="72" priority="86" operator="greaterThan">
      <formula>0.8</formula>
    </cfRule>
  </conditionalFormatting>
  <conditionalFormatting sqref="AI93:AI95">
    <cfRule type="notContainsText" dxfId="71" priority="83" operator="notContains" text="Caida">
      <formula>ISERROR(SEARCH("Caida",AI93))</formula>
    </cfRule>
    <cfRule type="containsText" dxfId="70" priority="84" operator="containsText" text="Caida">
      <formula>NOT(ISERROR(SEARCH("Caida",AI93)))</formula>
    </cfRule>
  </conditionalFormatting>
  <conditionalFormatting sqref="AI1:AI3 AI5:AI376 AI378:AI1048576">
    <cfRule type="cellIs" dxfId="69" priority="82" operator="equal">
      <formula>"apagado"</formula>
    </cfRule>
  </conditionalFormatting>
  <conditionalFormatting sqref="AJ6:AJ92">
    <cfRule type="cellIs" dxfId="68" priority="80" operator="lessThan">
      <formula>0.8</formula>
    </cfRule>
    <cfRule type="cellIs" dxfId="67" priority="81" operator="greaterThan">
      <formula>0.8</formula>
    </cfRule>
  </conditionalFormatting>
  <conditionalFormatting sqref="AJ6:AJ92">
    <cfRule type="notContainsText" dxfId="66" priority="78" operator="notContains" text="Caida">
      <formula>ISERROR(SEARCH("Caida",AJ6))</formula>
    </cfRule>
    <cfRule type="containsText" dxfId="65" priority="79" operator="containsText" text="Caida">
      <formula>NOT(ISERROR(SEARCH("Caida",AJ6)))</formula>
    </cfRule>
  </conditionalFormatting>
  <conditionalFormatting sqref="AJ93:AJ95">
    <cfRule type="cellIs" dxfId="64" priority="76" operator="lessThan">
      <formula>0.8</formula>
    </cfRule>
    <cfRule type="cellIs" dxfId="63" priority="77" operator="greaterThan">
      <formula>0.8</formula>
    </cfRule>
  </conditionalFormatting>
  <conditionalFormatting sqref="AJ93:AJ95">
    <cfRule type="notContainsText" dxfId="62" priority="74" operator="notContains" text="Caida">
      <formula>ISERROR(SEARCH("Caida",AJ93))</formula>
    </cfRule>
    <cfRule type="containsText" dxfId="61" priority="75" operator="containsText" text="Caida">
      <formula>NOT(ISERROR(SEARCH("Caida",AJ93)))</formula>
    </cfRule>
  </conditionalFormatting>
  <conditionalFormatting sqref="AJ1:AJ3 AJ5:AJ376 AJ378:AJ1048576">
    <cfRule type="cellIs" dxfId="60" priority="73" operator="equal">
      <formula>"apagado"</formula>
    </cfRule>
  </conditionalFormatting>
  <conditionalFormatting sqref="AQ95:AQ369">
    <cfRule type="cellIs" dxfId="59" priority="54" operator="lessThan">
      <formula>0.8</formula>
    </cfRule>
    <cfRule type="cellIs" dxfId="58" priority="55" operator="greaterThan">
      <formula>0.8</formula>
    </cfRule>
  </conditionalFormatting>
  <conditionalFormatting sqref="AQ95:AQ372 AQ391:AQ1048576">
    <cfRule type="notContainsText" dxfId="57" priority="52" operator="notContains" text="Caida">
      <formula>ISERROR(SEARCH("Caida",AQ95))</formula>
    </cfRule>
    <cfRule type="containsText" dxfId="56" priority="53" operator="containsText" text="Caida">
      <formula>NOT(ISERROR(SEARCH("Caida",AQ95)))</formula>
    </cfRule>
  </conditionalFormatting>
  <conditionalFormatting sqref="AQ6:AQ92">
    <cfRule type="cellIs" dxfId="55" priority="50" operator="lessThan">
      <formula>0.8</formula>
    </cfRule>
    <cfRule type="cellIs" dxfId="54" priority="51" operator="greaterThan">
      <formula>0.8</formula>
    </cfRule>
  </conditionalFormatting>
  <conditionalFormatting sqref="AQ6:AQ92">
    <cfRule type="notContainsText" dxfId="53" priority="48" operator="notContains" text="Caida">
      <formula>ISERROR(SEARCH("Caida",AQ6))</formula>
    </cfRule>
    <cfRule type="containsText" dxfId="52" priority="49" operator="containsText" text="Caida">
      <formula>NOT(ISERROR(SEARCH("Caida",AQ6)))</formula>
    </cfRule>
  </conditionalFormatting>
  <conditionalFormatting sqref="AQ93:AQ94">
    <cfRule type="cellIs" dxfId="51" priority="46" operator="lessThan">
      <formula>0.8</formula>
    </cfRule>
    <cfRule type="cellIs" dxfId="50" priority="47" operator="greaterThan">
      <formula>0.8</formula>
    </cfRule>
  </conditionalFormatting>
  <conditionalFormatting sqref="AQ93:AQ94">
    <cfRule type="notContainsText" dxfId="49" priority="44" operator="notContains" text="Caida">
      <formula>ISERROR(SEARCH("Caida",AQ93))</formula>
    </cfRule>
    <cfRule type="containsText" dxfId="48" priority="45" operator="containsText" text="Caida">
      <formula>NOT(ISERROR(SEARCH("Caida",AQ93)))</formula>
    </cfRule>
  </conditionalFormatting>
  <conditionalFormatting sqref="AQ10">
    <cfRule type="cellIs" dxfId="47" priority="39" operator="equal">
      <formula>"apagado"</formula>
    </cfRule>
    <cfRule type="cellIs" dxfId="46" priority="42" operator="lessThan">
      <formula>0.8</formula>
    </cfRule>
    <cfRule type="cellIs" dxfId="45" priority="43" operator="greaterThan">
      <formula>0.8</formula>
    </cfRule>
  </conditionalFormatting>
  <conditionalFormatting sqref="AQ10">
    <cfRule type="notContainsText" dxfId="44" priority="40" operator="notContains" text="Caida">
      <formula>ISERROR(SEARCH("Caida",AQ10))</formula>
    </cfRule>
    <cfRule type="containsText" dxfId="43" priority="41" operator="containsText" text="Caida">
      <formula>NOT(ISERROR(SEARCH("Caida",AQ10)))</formula>
    </cfRule>
  </conditionalFormatting>
  <conditionalFormatting sqref="AQ1:AQ3 AQ5:AQ376 AQ378:AQ1048576">
    <cfRule type="cellIs" dxfId="42" priority="38" operator="equal">
      <formula>"apagado"</formula>
    </cfRule>
  </conditionalFormatting>
  <conditionalFormatting sqref="O5:AR376">
    <cfRule type="cellIs" dxfId="41" priority="37" operator="equal">
      <formula>"APAGADO"</formula>
    </cfRule>
  </conditionalFormatting>
  <conditionalFormatting sqref="AF377">
    <cfRule type="cellIs" dxfId="40" priority="34" operator="equal">
      <formula>"apagado"</formula>
    </cfRule>
  </conditionalFormatting>
  <conditionalFormatting sqref="AE377">
    <cfRule type="cellIs" dxfId="39" priority="33" operator="equal">
      <formula>"apagado"</formula>
    </cfRule>
  </conditionalFormatting>
  <conditionalFormatting sqref="AD377">
    <cfRule type="cellIs" dxfId="38" priority="32" operator="equal">
      <formula>"apagado"</formula>
    </cfRule>
  </conditionalFormatting>
  <conditionalFormatting sqref="AC377">
    <cfRule type="cellIs" dxfId="37" priority="31" operator="equal">
      <formula>"apagado"</formula>
    </cfRule>
  </conditionalFormatting>
  <conditionalFormatting sqref="AB377">
    <cfRule type="cellIs" dxfId="36" priority="30" operator="equal">
      <formula>"apagado"</formula>
    </cfRule>
  </conditionalFormatting>
  <conditionalFormatting sqref="AA377">
    <cfRule type="cellIs" dxfId="35" priority="29" operator="equal">
      <formula>"apagado"</formula>
    </cfRule>
  </conditionalFormatting>
  <conditionalFormatting sqref="Z377">
    <cfRule type="cellIs" dxfId="34" priority="28" operator="equal">
      <formula>"apagado"</formula>
    </cfRule>
  </conditionalFormatting>
  <conditionalFormatting sqref="Y377">
    <cfRule type="cellIs" dxfId="33" priority="27" operator="equal">
      <formula>"apagado"</formula>
    </cfRule>
  </conditionalFormatting>
  <conditionalFormatting sqref="AG377">
    <cfRule type="cellIs" dxfId="32" priority="26" operator="equal">
      <formula>"apagado"</formula>
    </cfRule>
  </conditionalFormatting>
  <conditionalFormatting sqref="AH377">
    <cfRule type="cellIs" dxfId="31" priority="25" operator="equal">
      <formula>"apagado"</formula>
    </cfRule>
  </conditionalFormatting>
  <conditionalFormatting sqref="AI377">
    <cfRule type="cellIs" dxfId="30" priority="24" operator="equal">
      <formula>"apagado"</formula>
    </cfRule>
  </conditionalFormatting>
  <conditionalFormatting sqref="AJ377">
    <cfRule type="cellIs" dxfId="29" priority="23" operator="equal">
      <formula>"apagado"</formula>
    </cfRule>
  </conditionalFormatting>
  <conditionalFormatting sqref="AQ377">
    <cfRule type="cellIs" dxfId="28" priority="22" operator="equal">
      <formula>"apagado"</formula>
    </cfRule>
  </conditionalFormatting>
  <conditionalFormatting sqref="O377:AR377">
    <cfRule type="cellIs" dxfId="27" priority="21" operator="equal">
      <formula>"APAGADO"</formula>
    </cfRule>
  </conditionalFormatting>
  <conditionalFormatting sqref="AS95:AS369">
    <cfRule type="cellIs" dxfId="26" priority="19" operator="lessThan">
      <formula>0.8</formula>
    </cfRule>
    <cfRule type="cellIs" dxfId="25" priority="20" operator="greaterThan">
      <formula>0.8</formula>
    </cfRule>
  </conditionalFormatting>
  <conditionalFormatting sqref="AS391:AS1048576 AS95:AS372">
    <cfRule type="notContainsText" dxfId="24" priority="17" operator="notContains" text="Caida">
      <formula>ISERROR(SEARCH("Caida",AS95))</formula>
    </cfRule>
    <cfRule type="containsText" dxfId="23" priority="18" operator="containsText" text="Caida">
      <formula>NOT(ISERROR(SEARCH("Caida",AS95)))</formula>
    </cfRule>
  </conditionalFormatting>
  <conditionalFormatting sqref="AS22">
    <cfRule type="containsText" dxfId="22" priority="16" operator="containsText" text="Instaladas en Funcionamiento Caida">
      <formula>NOT(ISERROR(SEARCH("Instaladas en Funcionamiento Caida",AS22)))</formula>
    </cfRule>
  </conditionalFormatting>
  <conditionalFormatting sqref="AS5">
    <cfRule type="cellIs" dxfId="21" priority="14" operator="lessThan">
      <formula>0.8</formula>
    </cfRule>
    <cfRule type="cellIs" dxfId="20" priority="15" operator="greaterThan">
      <formula>0.8</formula>
    </cfRule>
  </conditionalFormatting>
  <conditionalFormatting sqref="AS5">
    <cfRule type="notContainsText" dxfId="19" priority="12" operator="notContains" text="Caida">
      <formula>ISERROR(SEARCH("Caida",AS5))</formula>
    </cfRule>
    <cfRule type="containsText" dxfId="18" priority="13" operator="containsText" text="Caida">
      <formula>NOT(ISERROR(SEARCH("Caida",AS5)))</formula>
    </cfRule>
  </conditionalFormatting>
  <conditionalFormatting sqref="AS1 AS391:AS1048576 AS5:AS372">
    <cfRule type="cellIs" dxfId="17" priority="11" operator="equal">
      <formula>"APAGADO"</formula>
    </cfRule>
  </conditionalFormatting>
  <conditionalFormatting sqref="AS6:AS92">
    <cfRule type="cellIs" dxfId="16" priority="9" operator="lessThan">
      <formula>0.8</formula>
    </cfRule>
    <cfRule type="cellIs" dxfId="15" priority="10" operator="greaterThan">
      <formula>0.8</formula>
    </cfRule>
  </conditionalFormatting>
  <conditionalFormatting sqref="AS6:AS92">
    <cfRule type="notContainsText" dxfId="14" priority="7" operator="notContains" text="Caida">
      <formula>ISERROR(SEARCH("Caida",AS6))</formula>
    </cfRule>
    <cfRule type="containsText" dxfId="13" priority="8" operator="containsText" text="Caida">
      <formula>NOT(ISERROR(SEARCH("Caida",AS6)))</formula>
    </cfRule>
  </conditionalFormatting>
  <conditionalFormatting sqref="AS93:AS94">
    <cfRule type="cellIs" dxfId="12" priority="5" operator="lessThan">
      <formula>0.8</formula>
    </cfRule>
    <cfRule type="cellIs" dxfId="11" priority="6" operator="greaterThan">
      <formula>0.8</formula>
    </cfRule>
  </conditionalFormatting>
  <conditionalFormatting sqref="AS93:AS94">
    <cfRule type="notContainsText" dxfId="10" priority="3" operator="notContains" text="Caida">
      <formula>ISERROR(SEARCH("Caida",AS93))</formula>
    </cfRule>
    <cfRule type="containsText" dxfId="9" priority="4" operator="containsText" text="Caida">
      <formula>NOT(ISERROR(SEARCH("Caida",AS93)))</formula>
    </cfRule>
  </conditionalFormatting>
  <conditionalFormatting sqref="AS5:AS376">
    <cfRule type="cellIs" dxfId="8" priority="2" operator="equal">
      <formula>"APAGADO"</formula>
    </cfRule>
  </conditionalFormatting>
  <conditionalFormatting sqref="AS377">
    <cfRule type="cellIs" dxfId="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"/>
  <sheetViews>
    <sheetView workbookViewId="0">
      <selection sqref="A1:I14"/>
    </sheetView>
  </sheetViews>
  <sheetFormatPr baseColWidth="10" defaultRowHeight="14.4" x14ac:dyDescent="0.3"/>
  <cols>
    <col min="2" max="2" width="22.33203125" bestFit="1" customWidth="1"/>
    <col min="3" max="3" width="37.6640625" bestFit="1" customWidth="1"/>
    <col min="4" max="4" width="34.33203125" bestFit="1" customWidth="1"/>
    <col min="7" max="7" width="9.6640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F33"/>
  <sheetViews>
    <sheetView workbookViewId="0">
      <selection activeCell="D4" sqref="D4:F10"/>
    </sheetView>
  </sheetViews>
  <sheetFormatPr baseColWidth="10" defaultColWidth="11.5546875" defaultRowHeight="14.4" x14ac:dyDescent="0.3"/>
  <cols>
    <col min="1" max="1" width="18.33203125" style="46" bestFit="1" customWidth="1"/>
    <col min="2" max="2" width="81.109375" style="46" bestFit="1" customWidth="1"/>
    <col min="3" max="4" width="11.5546875" style="46"/>
    <col min="5" max="5" width="33.6640625" style="46" bestFit="1" customWidth="1"/>
    <col min="6" max="16384" width="11.5546875" style="46"/>
  </cols>
  <sheetData>
    <row r="1" spans="1:6" x14ac:dyDescent="0.3">
      <c r="A1" s="46" t="s">
        <v>1309</v>
      </c>
    </row>
    <row r="2" spans="1:6" ht="15" thickBot="1" x14ac:dyDescent="0.35"/>
    <row r="3" spans="1:6" ht="19.2" thickTop="1" thickBot="1" x14ac:dyDescent="0.35">
      <c r="A3" s="47">
        <v>44682</v>
      </c>
    </row>
    <row r="4" spans="1:6" ht="19.2" thickTop="1" thickBot="1" x14ac:dyDescent="0.35">
      <c r="A4" s="47">
        <v>44683</v>
      </c>
      <c r="D4" s="59"/>
      <c r="E4" s="59"/>
      <c r="F4" s="59"/>
    </row>
    <row r="5" spans="1:6" ht="19.2" thickTop="1" thickBot="1" x14ac:dyDescent="0.35">
      <c r="A5" s="47">
        <v>44684</v>
      </c>
      <c r="D5" s="59"/>
      <c r="E5" s="59"/>
      <c r="F5" s="59"/>
    </row>
    <row r="6" spans="1:6" ht="19.2" thickTop="1" thickBot="1" x14ac:dyDescent="0.35">
      <c r="A6" s="47">
        <v>44685</v>
      </c>
      <c r="D6" s="59"/>
      <c r="E6" s="59"/>
      <c r="F6" s="59"/>
    </row>
    <row r="7" spans="1:6" ht="19.2" thickTop="1" thickBot="1" x14ac:dyDescent="0.35">
      <c r="A7" s="47">
        <v>44686</v>
      </c>
      <c r="D7" s="59"/>
      <c r="E7" s="59"/>
      <c r="F7" s="59"/>
    </row>
    <row r="8" spans="1:6" ht="19.2" thickTop="1" thickBot="1" x14ac:dyDescent="0.35">
      <c r="A8" s="47">
        <v>44687</v>
      </c>
      <c r="D8" s="59"/>
      <c r="E8" s="59"/>
      <c r="F8" s="59"/>
    </row>
    <row r="9" spans="1:6" ht="19.2" thickTop="1" thickBot="1" x14ac:dyDescent="0.35">
      <c r="A9" s="47">
        <v>44688</v>
      </c>
      <c r="D9" s="59"/>
      <c r="E9" s="59"/>
      <c r="F9" s="59"/>
    </row>
    <row r="10" spans="1:6" ht="19.2" thickTop="1" thickBot="1" x14ac:dyDescent="0.35">
      <c r="A10" s="47">
        <v>44689</v>
      </c>
      <c r="D10" s="59"/>
      <c r="E10" s="59"/>
      <c r="F10" s="59"/>
    </row>
    <row r="11" spans="1:6" ht="19.2" thickTop="1" thickBot="1" x14ac:dyDescent="0.35">
      <c r="A11" s="47">
        <v>44690</v>
      </c>
    </row>
    <row r="12" spans="1:6" ht="19.2" thickTop="1" thickBot="1" x14ac:dyDescent="0.35">
      <c r="A12" s="47">
        <v>44691</v>
      </c>
    </row>
    <row r="13" spans="1:6" ht="19.2" thickTop="1" thickBot="1" x14ac:dyDescent="0.35">
      <c r="A13" s="47">
        <v>44692</v>
      </c>
    </row>
    <row r="14" spans="1:6" ht="19.2" thickTop="1" thickBot="1" x14ac:dyDescent="0.35">
      <c r="A14" s="47">
        <v>44693</v>
      </c>
    </row>
    <row r="15" spans="1:6" ht="19.2" thickTop="1" thickBot="1" x14ac:dyDescent="0.35">
      <c r="A15" s="47">
        <v>44694</v>
      </c>
    </row>
    <row r="16" spans="1:6" ht="19.2" thickTop="1" thickBot="1" x14ac:dyDescent="0.35">
      <c r="A16" s="47">
        <v>44695</v>
      </c>
    </row>
    <row r="17" spans="1:2" ht="19.2" thickTop="1" thickBot="1" x14ac:dyDescent="0.35">
      <c r="A17" s="47">
        <v>44696</v>
      </c>
    </row>
    <row r="18" spans="1:2" ht="19.2" thickTop="1" thickBot="1" x14ac:dyDescent="0.35">
      <c r="A18" s="47">
        <v>44697</v>
      </c>
    </row>
    <row r="19" spans="1:2" ht="19.2" thickTop="1" thickBot="1" x14ac:dyDescent="0.35">
      <c r="A19" s="47">
        <v>44698</v>
      </c>
    </row>
    <row r="20" spans="1:2" ht="19.2" thickTop="1" thickBot="1" x14ac:dyDescent="0.35">
      <c r="A20" s="47">
        <v>44699</v>
      </c>
    </row>
    <row r="21" spans="1:2" ht="19.2" thickTop="1" thickBot="1" x14ac:dyDescent="0.35">
      <c r="A21" s="47">
        <v>44700</v>
      </c>
    </row>
    <row r="22" spans="1:2" ht="19.2" thickTop="1" thickBot="1" x14ac:dyDescent="0.35">
      <c r="A22" s="47">
        <v>44701</v>
      </c>
    </row>
    <row r="23" spans="1:2" ht="19.2" thickTop="1" thickBot="1" x14ac:dyDescent="0.35">
      <c r="A23" s="47">
        <v>44702</v>
      </c>
      <c r="B23" s="48"/>
    </row>
    <row r="24" spans="1:2" ht="19.2" thickTop="1" thickBot="1" x14ac:dyDescent="0.35">
      <c r="A24" s="47">
        <v>44703</v>
      </c>
      <c r="B24" s="49"/>
    </row>
    <row r="25" spans="1:2" ht="19.2" thickTop="1" thickBot="1" x14ac:dyDescent="0.35">
      <c r="A25" s="47">
        <v>44704</v>
      </c>
    </row>
    <row r="26" spans="1:2" ht="19.2" thickTop="1" thickBot="1" x14ac:dyDescent="0.35">
      <c r="A26" s="47">
        <v>44705</v>
      </c>
    </row>
    <row r="27" spans="1:2" ht="19.2" thickTop="1" thickBot="1" x14ac:dyDescent="0.35">
      <c r="A27" s="47">
        <v>44706</v>
      </c>
    </row>
    <row r="28" spans="1:2" ht="19.2" thickTop="1" thickBot="1" x14ac:dyDescent="0.35">
      <c r="A28" s="47">
        <v>44707</v>
      </c>
    </row>
    <row r="29" spans="1:2" ht="19.2" thickTop="1" thickBot="1" x14ac:dyDescent="0.35">
      <c r="A29" s="47">
        <v>44708</v>
      </c>
    </row>
    <row r="30" spans="1:2" ht="19.2" thickTop="1" thickBot="1" x14ac:dyDescent="0.35">
      <c r="A30" s="47">
        <v>44709</v>
      </c>
    </row>
    <row r="31" spans="1:2" ht="19.2" thickTop="1" thickBot="1" x14ac:dyDescent="0.35">
      <c r="A31" s="47">
        <v>44710</v>
      </c>
    </row>
    <row r="32" spans="1:2" ht="19.2" thickTop="1" thickBot="1" x14ac:dyDescent="0.35">
      <c r="A32" s="47">
        <v>44711</v>
      </c>
    </row>
    <row r="33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s="59">
        <f>'RESUMEN TOTAL'!AS5</f>
        <v>0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 t="str">
        <f>'RESUMEN TOTAL'!R6</f>
        <v>APAGADO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s="59">
        <f>'RESUMEN TOTAL'!AS7</f>
        <v>0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 t="str">
        <f>'RESUMEN TOTAL'!R8</f>
        <v>APAGADO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 t="str">
        <f>'RESUMEN TOTAL'!R10</f>
        <v>APAGADO</v>
      </c>
      <c r="J7" t="str">
        <f>'RESUMEN TOTAL'!S10</f>
        <v>APAGADO</v>
      </c>
      <c r="K7" t="str">
        <f>'RESUMEN TOTAL'!T10</f>
        <v>APAGADO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 t="str">
        <f>'RESUMEN TOTAL'!Q11</f>
        <v>APAGADO</v>
      </c>
      <c r="I8" t="str">
        <f>'RESUMEN TOTAL'!R11</f>
        <v>APAGADO</v>
      </c>
      <c r="J8" t="str">
        <f>'RESUMEN TOTAL'!S11</f>
        <v>APAGADO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s="59">
        <f>'RESUMEN TOTAL'!AS11</f>
        <v>0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 t="str">
        <f>'RESUMEN TOTAL'!R12</f>
        <v>APAGADO</v>
      </c>
      <c r="J9" t="str">
        <f>'RESUMEN TOTAL'!S12</f>
        <v>APAGADO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 t="str">
        <f>'RESUMEN TOTAL'!R16</f>
        <v>APAGADO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 t="str">
        <f>'RESUMEN TOTAL'!R19</f>
        <v>APAGADO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s="59">
        <f>'RESUMEN TOTAL'!AS21</f>
        <v>0</v>
      </c>
    </row>
    <row r="19" spans="1:36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s="59">
        <f>'RESUMEN TOTAL'!AS22</f>
        <v>0</v>
      </c>
    </row>
    <row r="20" spans="1:36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s="59">
        <f>'RESUMEN TOTAL'!AS25</f>
        <v>0</v>
      </c>
    </row>
    <row r="23" spans="1:36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s="59">
        <f>'RESUMEN TOTAL'!AS26</f>
        <v>0</v>
      </c>
    </row>
    <row r="24" spans="1:36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 t="str">
        <f>'RESUMEN TOTAL'!Q28</f>
        <v>APAGADO</v>
      </c>
      <c r="I25" t="str">
        <f>'RESUMEN TOTAL'!R28</f>
        <v>APAGADO</v>
      </c>
      <c r="J25" t="str">
        <f>'RESUMEN TOTAL'!S28</f>
        <v>APAGADO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 t="str">
        <f>'RESUMEN TOTAL'!R29</f>
        <v>APAGADO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s="59">
        <f>'RESUMEN TOTAL'!AS30</f>
        <v>0</v>
      </c>
    </row>
    <row r="28" spans="1:36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 t="str">
        <f>'RESUMEN TOTAL'!R32</f>
        <v>APAGADO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 t="str">
        <f>'RESUMEN TOTAL'!R33</f>
        <v>APAGADO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 t="str">
        <f>'RESUMEN TOTAL'!R40</f>
        <v>APAGADO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s="59">
        <f>'RESUMEN TOTAL'!AS43</f>
        <v>0</v>
      </c>
    </row>
    <row r="41" spans="1:36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 t="str">
        <f>'RESUMEN TOTAL'!R45</f>
        <v>APAGADO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 t="str">
        <f>'RESUMEN TOTAL'!R48</f>
        <v>APAGADO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s="59">
        <f>'RESUMEN TOTAL'!AS51</f>
        <v>0</v>
      </c>
    </row>
    <row r="49" spans="1:36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 t="str">
        <f>'RESUMEN TOTAL'!R54</f>
        <v>APAGADO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s="59">
        <f>'RESUMEN TOTAL'!AS54</f>
        <v>0</v>
      </c>
    </row>
    <row r="52" spans="1:36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 t="str">
        <f>'RESUMEN TOTAL'!R55</f>
        <v>APAGADO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 t="str">
        <f>'RESUMEN TOTAL'!R56</f>
        <v>APAGADO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 t="str">
        <f>'RESUMEN TOTAL'!R58</f>
        <v>APAGADO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 t="str">
        <f>'RESUMEN TOTAL'!R60</f>
        <v>APAGADO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s="59">
        <f>'RESUMEN TOTAL'!AS65</f>
        <v>0</v>
      </c>
    </row>
    <row r="63" spans="1:36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 t="str">
        <f>'RESUMEN TOTAL'!Q66</f>
        <v>APAGADO</v>
      </c>
      <c r="I63" t="str">
        <f>'RESUMEN TOTAL'!R66</f>
        <v>APAGADO</v>
      </c>
      <c r="J63" t="str">
        <f>'RESUMEN TOTAL'!S66</f>
        <v>APAGADO</v>
      </c>
      <c r="K63" t="str">
        <f>'RESUMEN TOTAL'!T66</f>
        <v>APAGADO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 t="str">
        <f>'RESUMEN TOTAL'!R72</f>
        <v>APAGADO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 t="str">
        <f>'RESUMEN TOTAL'!R75</f>
        <v>APAGADO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 t="str">
        <f>'RESUMEN TOTAL'!R76</f>
        <v>APAGADO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 t="str">
        <f>'RESUMEN TOTAL'!R77</f>
        <v>APAGADO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s="59">
        <f>'RESUMEN TOTAL'!AS80</f>
        <v>0</v>
      </c>
    </row>
    <row r="78" spans="1:36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 t="str">
        <f>'RESUMEN TOTAL'!Q81</f>
        <v>APAGADO</v>
      </c>
      <c r="I78" t="str">
        <f>'RESUMEN TOTAL'!R81</f>
        <v>APAGADO</v>
      </c>
      <c r="J78" t="str">
        <f>'RESUMEN TOTAL'!S81</f>
        <v>APAGADO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 t="str">
        <f>'RESUMEN TOTAL'!Q82</f>
        <v>APAGADO</v>
      </c>
      <c r="I79" t="str">
        <f>'RESUMEN TOTAL'!R82</f>
        <v>APAGADO</v>
      </c>
      <c r="J79" t="str">
        <f>'RESUMEN TOTAL'!S82</f>
        <v>APAGADO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 t="str">
        <f>'RESUMEN TOTAL'!R83</f>
        <v>APAGADO</v>
      </c>
      <c r="J80">
        <f>'RESUMEN TOTAL'!S83</f>
        <v>0</v>
      </c>
      <c r="K80" t="str">
        <f>'RESUMEN TOTAL'!T83</f>
        <v>APAGADO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s="59">
        <f>'RESUMEN TOTAL'!AS94</f>
        <v>0</v>
      </c>
    </row>
    <row r="92" spans="1:36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s="59">
        <f>'RESUMEN TOTAL'!AS99</f>
        <v>0</v>
      </c>
    </row>
    <row r="97" spans="1:36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 t="str">
        <f>'RESUMEN TOTAL'!R100</f>
        <v>APAGADO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 t="str">
        <f>'RESUMEN TOTAL'!R103</f>
        <v>APAGADO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 t="str">
        <f>'RESUMEN TOTAL'!R104</f>
        <v>APAGADO</v>
      </c>
      <c r="J101" t="str">
        <f>'RESUMEN TOTAL'!S104</f>
        <v>APAGADO</v>
      </c>
      <c r="K101" t="str">
        <f>'RESUMEN TOTAL'!T104</f>
        <v>APAGADO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 t="str">
        <f>'RESUMEN TOTAL'!R105</f>
        <v>APAGADO</v>
      </c>
      <c r="J102" t="str">
        <f>'RESUMEN TOTAL'!S105</f>
        <v>APAGADO</v>
      </c>
      <c r="K102" t="str">
        <f>'RESUMEN TOTAL'!T105</f>
        <v>APAGADO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 t="str">
        <f>'RESUMEN TOTAL'!R106</f>
        <v>APAGADO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 t="str">
        <f>'RESUMEN TOTAL'!R107</f>
        <v>APAGADO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 t="str">
        <f>'RESUMEN TOTAL'!R108</f>
        <v>APAGADO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 t="str">
        <f>'RESUMEN TOTAL'!R109</f>
        <v>APAGADO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 t="str">
        <f>'RESUMEN TOTAL'!R110</f>
        <v>APAGADO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 t="str">
        <f>'RESUMEN TOTAL'!R112</f>
        <v>APAGADO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 t="str">
        <f>'RESUMEN TOTAL'!R113</f>
        <v>APAGADO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 t="str">
        <f>'RESUMEN TOTAL'!R114</f>
        <v>APAGADO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s="59">
        <f>'RESUMEN TOTAL'!AS115</f>
        <v>0</v>
      </c>
    </row>
    <row r="113" spans="1:36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s="59">
        <f>'RESUMEN TOTAL'!AS116</f>
        <v>0</v>
      </c>
    </row>
    <row r="114" spans="1:36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 t="str">
        <f>'RESUMEN TOTAL'!Q118</f>
        <v>APAGADO</v>
      </c>
      <c r="I115" t="str">
        <f>'RESUMEN TOTAL'!R118</f>
        <v>APAGADO</v>
      </c>
      <c r="J115" t="str">
        <f>'RESUMEN TOTAL'!S118</f>
        <v>APAGADO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 t="str">
        <f>'RESUMEN TOTAL'!Q119</f>
        <v>APAGADO</v>
      </c>
      <c r="I116" t="str">
        <f>'RESUMEN TOTAL'!R119</f>
        <v>APAGADO</v>
      </c>
      <c r="J116" t="str">
        <f>'RESUMEN TOTAL'!S119</f>
        <v>APAGADO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s="59">
        <f>'RESUMEN TOTAL'!AS120</f>
        <v>0</v>
      </c>
    </row>
    <row r="118" spans="1:36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s="59">
        <f>'RESUMEN TOTAL'!AS121</f>
        <v>0</v>
      </c>
    </row>
    <row r="119" spans="1:36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 t="str">
        <f>'RESUMEN TOTAL'!R122</f>
        <v>APAGADO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 t="str">
        <f>'RESUMEN TOTAL'!R123</f>
        <v>APAGADO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s="59">
        <f>'RESUMEN TOTAL'!AS125</f>
        <v>0</v>
      </c>
    </row>
    <row r="123" spans="1:36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 t="str">
        <f>'RESUMEN TOTAL'!R126</f>
        <v>APAGADO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 t="str">
        <f>'RESUMEN TOTAL'!R127</f>
        <v>APAGADO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s="59">
        <f>'RESUMEN TOTAL'!AS127</f>
        <v>0</v>
      </c>
    </row>
    <row r="125" spans="1:36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 t="str">
        <f>'RESUMEN TOTAL'!R128</f>
        <v>APAGADO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s="59">
        <f>'RESUMEN TOTAL'!AS128</f>
        <v>0</v>
      </c>
    </row>
    <row r="126" spans="1:36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 t="str">
        <f>'RESUMEN TOTAL'!R129</f>
        <v>APAGADO</v>
      </c>
      <c r="J126" t="str">
        <f>'RESUMEN TOTAL'!S129</f>
        <v>APAGADO</v>
      </c>
      <c r="K126" t="str">
        <f>'RESUMEN TOTAL'!T129</f>
        <v>APAGADO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 t="str">
        <f>'RESUMEN TOTAL'!R130</f>
        <v>APAGADO</v>
      </c>
      <c r="J127" t="str">
        <f>'RESUMEN TOTAL'!S130</f>
        <v>APAGADO</v>
      </c>
      <c r="K127" t="str">
        <f>'RESUMEN TOTAL'!T130</f>
        <v>APAGADO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s="59">
        <f>'RESUMEN TOTAL'!AS133</f>
        <v>0</v>
      </c>
    </row>
    <row r="131" spans="1:36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 t="str">
        <f>'RESUMEN TOTAL'!R134</f>
        <v>APAGADO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s="59">
        <f>'RESUMEN TOTAL'!AS135</f>
        <v>0</v>
      </c>
    </row>
    <row r="133" spans="1:36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s="59">
        <f>'RESUMEN TOTAL'!AS136</f>
        <v>0</v>
      </c>
    </row>
    <row r="134" spans="1:36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 t="str">
        <f>'RESUMEN TOTAL'!R138</f>
        <v>APAGADO</v>
      </c>
      <c r="J135" t="str">
        <f>'RESUMEN TOTAL'!S138</f>
        <v>APAGADO</v>
      </c>
      <c r="K135" t="str">
        <f>'RESUMEN TOTAL'!T138</f>
        <v>APAGADO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 t="str">
        <f>'RESUMEN TOTAL'!R139</f>
        <v>APAGADO</v>
      </c>
      <c r="J136" t="str">
        <f>'RESUMEN TOTAL'!S139</f>
        <v>APAGADO</v>
      </c>
      <c r="K136" t="str">
        <f>'RESUMEN TOTAL'!T139</f>
        <v>APAGADO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 t="str">
        <f>'RESUMEN TOTAL'!R140</f>
        <v>APAGADO</v>
      </c>
      <c r="J137" t="str">
        <f>'RESUMEN TOTAL'!S140</f>
        <v>APAGADO</v>
      </c>
      <c r="K137" t="str">
        <f>'RESUMEN TOTAL'!T140</f>
        <v>APAGADO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 t="str">
        <f>'RESUMEN TOTAL'!R141</f>
        <v>APAGADO</v>
      </c>
      <c r="J138" t="str">
        <f>'RESUMEN TOTAL'!S141</f>
        <v>APAGADO</v>
      </c>
      <c r="K138" t="str">
        <f>'RESUMEN TOTAL'!T141</f>
        <v>APAGADO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s="59">
        <f>'RESUMEN TOTAL'!AS142</f>
        <v>0</v>
      </c>
    </row>
    <row r="140" spans="1:36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s="59">
        <f>'RESUMEN TOTAL'!AS143</f>
        <v>0</v>
      </c>
    </row>
    <row r="141" spans="1:36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 t="str">
        <f>'RESUMEN TOTAL'!S144</f>
        <v>APAGADO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s="59">
        <f>'RESUMEN TOTAL'!AS144</f>
        <v>0</v>
      </c>
    </row>
    <row r="142" spans="1:36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 t="str">
        <f>'RESUMEN TOTAL'!R152</f>
        <v>APAGADO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s="59">
        <f>'RESUMEN TOTAL'!AS155</f>
        <v>0</v>
      </c>
    </row>
    <row r="153" spans="1:36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 t="str">
        <f>'RESUMEN TOTAL'!R157</f>
        <v>APAGADO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s="59">
        <f>'RESUMEN TOTAL'!AS163</f>
        <v>0</v>
      </c>
    </row>
    <row r="161" spans="1:36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s="59">
        <f>'RESUMEN TOTAL'!AS164</f>
        <v>0</v>
      </c>
    </row>
    <row r="162" spans="1:36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s="59">
        <f>'RESUMEN TOTAL'!AS166</f>
        <v>0</v>
      </c>
    </row>
    <row r="164" spans="1:36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 t="str">
        <f>'RESUMEN TOTAL'!R168</f>
        <v>APAGADO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 t="str">
        <f>'RESUMEN TOTAL'!R170</f>
        <v>APAGADO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s="59">
        <f>'RESUMEN TOTAL'!AS177</f>
        <v>0</v>
      </c>
    </row>
    <row r="175" spans="1:36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 t="str">
        <f>'RESUMEN TOTAL'!R186</f>
        <v>APAGADO</v>
      </c>
      <c r="J183" t="str">
        <f>'RESUMEN TOTAL'!S186</f>
        <v>APAGADO</v>
      </c>
      <c r="K183" t="str">
        <f>'RESUMEN TOTAL'!T186</f>
        <v>APAGADO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 t="str">
        <f>'RESUMEN TOTAL'!R195</f>
        <v>APAGADO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 t="str">
        <f>'RESUMEN TOTAL'!R196</f>
        <v>APAGADO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 t="str">
        <f>'RESUMEN TOTAL'!R198</f>
        <v>APAGADO</v>
      </c>
      <c r="J195">
        <f>'RESUMEN TOTAL'!S198</f>
        <v>0</v>
      </c>
      <c r="K195" t="str">
        <f>'RESUMEN TOTAL'!T198</f>
        <v>APAGADO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 t="str">
        <f>'RESUMEN TOTAL'!R199</f>
        <v>APAGADO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 t="str">
        <f>'RESUMEN TOTAL'!R200</f>
        <v>APAGADO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 t="str">
        <f>'RESUMEN TOTAL'!R203</f>
        <v>APAGADO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 t="str">
        <f>'RESUMEN TOTAL'!Q204</f>
        <v>APAGADO</v>
      </c>
      <c r="I201" t="str">
        <f>'RESUMEN TOTAL'!R204</f>
        <v>APAGADO</v>
      </c>
      <c r="J201" t="str">
        <f>'RESUMEN TOTAL'!S204</f>
        <v>APAGADO</v>
      </c>
      <c r="K201" t="str">
        <f>'RESUMEN TOTAL'!T204</f>
        <v>APAGADO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s="59">
        <f>'RESUMEN TOTAL'!AS206</f>
        <v>0</v>
      </c>
    </row>
    <row r="204" spans="1:36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s="59">
        <f>'RESUMEN TOTAL'!AS207</f>
        <v>0</v>
      </c>
    </row>
    <row r="205" spans="1:36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s="59">
        <f>'RESUMEN TOTAL'!AS211</f>
        <v>0</v>
      </c>
    </row>
    <row r="209" spans="1:36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s="59">
        <f>'RESUMEN TOTAL'!AS212</f>
        <v>0</v>
      </c>
    </row>
    <row r="210" spans="1:36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>
        <f>'RESUMEN TOTAL'!S214</f>
        <v>0</v>
      </c>
      <c r="K211" t="str">
        <f>'RESUMEN TOTAL'!T214</f>
        <v>APAGADO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 t="str">
        <f>'RESUMEN TOTAL'!R215</f>
        <v>APAGADO</v>
      </c>
      <c r="J212">
        <f>'RESUMEN TOTAL'!S215</f>
        <v>0</v>
      </c>
      <c r="K212" t="str">
        <f>'RESUMEN TOTAL'!T215</f>
        <v>APAGADO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s="59">
        <f>'RESUMEN TOTAL'!AS216</f>
        <v>0</v>
      </c>
    </row>
    <row r="214" spans="1:36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s="59">
        <f>'RESUMEN TOTAL'!AS217</f>
        <v>0</v>
      </c>
    </row>
    <row r="215" spans="1:36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s="59">
        <f>'RESUMEN TOTAL'!AS218</f>
        <v>0</v>
      </c>
    </row>
    <row r="216" spans="1:36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s="59">
        <f>'RESUMEN TOTAL'!AS219</f>
        <v>0</v>
      </c>
    </row>
    <row r="217" spans="1:36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 t="str">
        <f>'RESUMEN TOTAL'!R220</f>
        <v>APAGADO</v>
      </c>
      <c r="J217">
        <f>'RESUMEN TOTAL'!S220</f>
        <v>0</v>
      </c>
      <c r="K217" t="str">
        <f>'RESUMEN TOTAL'!T220</f>
        <v>APAGADO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 t="str">
        <f>'RESUMEN TOTAL'!R221</f>
        <v>APAGADO</v>
      </c>
      <c r="J218">
        <f>'RESUMEN TOTAL'!S221</f>
        <v>0</v>
      </c>
      <c r="K218" t="str">
        <f>'RESUMEN TOTAL'!T221</f>
        <v>APAGADO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 t="str">
        <f>'RESUMEN TOTAL'!T222</f>
        <v>APAGADO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 t="str">
        <f>'RESUMEN TOTAL'!T223</f>
        <v>APAGADO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 t="str">
        <f>'RESUMEN TOTAL'!T224</f>
        <v>APAGADO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 t="str">
        <f>'RESUMEN TOTAL'!R225</f>
        <v>APAGADO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 t="str">
        <f>'RESUMEN TOTAL'!R227</f>
        <v>APAGADO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 t="str">
        <f>'RESUMEN TOTAL'!R228</f>
        <v>APAGADO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s="59">
        <f>'RESUMEN TOTAL'!AS231</f>
        <v>0</v>
      </c>
    </row>
    <row r="229" spans="1:36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s="59">
        <f>'RESUMEN TOTAL'!AS232</f>
        <v>0</v>
      </c>
    </row>
    <row r="230" spans="1:36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 t="str">
        <f>'RESUMEN TOTAL'!R262</f>
        <v>APAGADO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s="59">
        <f>'RESUMEN TOTAL'!AS263</f>
        <v>0</v>
      </c>
    </row>
    <row r="261" spans="1:36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s="59">
        <f>'RESUMEN TOTAL'!AS264</f>
        <v>0</v>
      </c>
    </row>
    <row r="262" spans="1:36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s="59">
        <f>'RESUMEN TOTAL'!AS265</f>
        <v>0</v>
      </c>
    </row>
    <row r="263" spans="1:36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s="59">
        <f>'RESUMEN TOTAL'!AS266</f>
        <v>0</v>
      </c>
    </row>
    <row r="264" spans="1:36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 t="str">
        <f>'RESUMEN TOTAL'!R268</f>
        <v>APAGADO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 t="str">
        <f>'RESUMEN TOTAL'!R269</f>
        <v>APAGADO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 t="str">
        <f>'RESUMEN TOTAL'!R270</f>
        <v>APAGADO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 t="str">
        <f>'RESUMEN TOTAL'!R272</f>
        <v>APAGADO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 t="str">
        <f>'RESUMEN TOTAL'!R273</f>
        <v>APAGADO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 t="str">
        <f>'RESUMEN TOTAL'!R274</f>
        <v>APAGADO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 t="str">
        <f>'RESUMEN TOTAL'!S281</f>
        <v>APAGADO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s="59">
        <f>'RESUMEN TOTAL'!AS281</f>
        <v>0</v>
      </c>
    </row>
    <row r="279" spans="1:36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 t="str">
        <f>'RESUMEN TOTAL'!S282</f>
        <v>APAGADO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s="59">
        <f>'RESUMEN TOTAL'!AS282</f>
        <v>0</v>
      </c>
    </row>
    <row r="280" spans="1:36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 t="str">
        <f>'RESUMEN TOTAL'!R283</f>
        <v>APAGADO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 t="str">
        <f>'RESUMEN TOTAL'!R284</f>
        <v>APAGADO</v>
      </c>
      <c r="J281" t="str">
        <f>'RESUMEN TOTAL'!S284</f>
        <v>APAGADO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 t="str">
        <f>'RESUMEN TOTAL'!R285</f>
        <v>APAGADO</v>
      </c>
      <c r="J282" t="str">
        <f>'RESUMEN TOTAL'!S285</f>
        <v>APAGADO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 t="str">
        <f>'RESUMEN TOTAL'!T286</f>
        <v>APAGADO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 t="str">
        <f>'RESUMEN TOTAL'!T287</f>
        <v>APAGADO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 t="str">
        <f>'RESUMEN TOTAL'!R288</f>
        <v>APAGADO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 t="str">
        <f>'RESUMEN TOTAL'!Q289</f>
        <v>APAGADO</v>
      </c>
      <c r="I286" t="str">
        <f>'RESUMEN TOTAL'!R289</f>
        <v>APAGADO</v>
      </c>
      <c r="J286" t="str">
        <f>'RESUMEN TOTAL'!S289</f>
        <v>APAGADO</v>
      </c>
      <c r="K286" t="str">
        <f>'RESUMEN TOTAL'!T289</f>
        <v>APAGADO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 t="str">
        <f>'RESUMEN TOTAL'!R290</f>
        <v>APAGADO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s="59">
        <f>'RESUMEN TOTAL'!AS303</f>
        <v>0</v>
      </c>
    </row>
    <row r="301" spans="1:36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 t="str">
        <f>'RESUMEN TOTAL'!R304</f>
        <v>APAGADO</v>
      </c>
      <c r="J301" t="str">
        <f>'RESUMEN TOTAL'!S304</f>
        <v>APAGADO</v>
      </c>
      <c r="K301" t="str">
        <f>'RESUMEN TOTAL'!T304</f>
        <v>APAGADO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 t="str">
        <f>'RESUMEN TOTAL'!R305</f>
        <v>APAGADO</v>
      </c>
      <c r="J302" t="str">
        <f>'RESUMEN TOTAL'!S305</f>
        <v>APAGADO</v>
      </c>
      <c r="K302" t="str">
        <f>'RESUMEN TOTAL'!T305</f>
        <v>APAGADO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 t="str">
        <f>'RESUMEN TOTAL'!R306</f>
        <v>APAGADO</v>
      </c>
      <c r="J303" t="str">
        <f>'RESUMEN TOTAL'!S306</f>
        <v>APAGADO</v>
      </c>
      <c r="K303" t="str">
        <f>'RESUMEN TOTAL'!T306</f>
        <v>APAGADO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 t="str">
        <f>'RESUMEN TOTAL'!R307</f>
        <v>APAGADO</v>
      </c>
      <c r="J304" t="str">
        <f>'RESUMEN TOTAL'!S307</f>
        <v>APAGADO</v>
      </c>
      <c r="K304" t="str">
        <f>'RESUMEN TOTAL'!T307</f>
        <v>APAGADO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 t="str">
        <f>'RESUMEN TOTAL'!R308</f>
        <v>APAGADO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 t="str">
        <f>'RESUMEN TOTAL'!R309</f>
        <v>APAGADO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 t="str">
        <f>'RESUMEN TOTAL'!Q310</f>
        <v>APAGADO</v>
      </c>
      <c r="I307" t="str">
        <f>'RESUMEN TOTAL'!R310</f>
        <v>APAGADO</v>
      </c>
      <c r="J307" t="str">
        <f>'RESUMEN TOTAL'!S310</f>
        <v>APAGADO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 t="str">
        <f>'RESUMEN TOTAL'!Q313</f>
        <v>APAGADO</v>
      </c>
      <c r="I310" t="str">
        <f>'RESUMEN TOTAL'!R313</f>
        <v>APAGADO</v>
      </c>
      <c r="J310" t="str">
        <f>'RESUMEN TOTAL'!S313</f>
        <v>APAGADO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 t="str">
        <f>'RESUMEN TOTAL'!R314</f>
        <v>APAGADO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 t="str">
        <f>'RESUMEN TOTAL'!R316</f>
        <v>APAGADO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 t="str">
        <f>'RESUMEN TOTAL'!R317</f>
        <v>APAGADO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 t="str">
        <f>'RESUMEN TOTAL'!Q318</f>
        <v>APAGADO</v>
      </c>
      <c r="I315" t="str">
        <f>'RESUMEN TOTAL'!R318</f>
        <v>APAGADO</v>
      </c>
      <c r="J315" t="str">
        <f>'RESUMEN TOTAL'!S318</f>
        <v>APAGADO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 t="str">
        <f>'RESUMEN TOTAL'!R320</f>
        <v>APAGADO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 t="str">
        <f>'RESUMEN TOTAL'!R323</f>
        <v>APAGADO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 t="str">
        <f>'RESUMEN TOTAL'!R324</f>
        <v>APAGADO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 t="str">
        <f>'RESUMEN TOTAL'!Q325</f>
        <v>APAGADO</v>
      </c>
      <c r="I322" t="str">
        <f>'RESUMEN TOTAL'!R325</f>
        <v>APAGADO</v>
      </c>
      <c r="J322" t="str">
        <f>'RESUMEN TOTAL'!S325</f>
        <v>APAGADO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 t="str">
        <f>'RESUMEN TOTAL'!R326</f>
        <v>APAGADO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 t="str">
        <f>'RESUMEN TOTAL'!R340</f>
        <v>APAGADO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 t="str">
        <f>'RESUMEN TOTAL'!R342</f>
        <v>APAGADO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 t="str">
        <f>'RESUMEN TOTAL'!Q343</f>
        <v>APAGADO</v>
      </c>
      <c r="I340" t="str">
        <f>'RESUMEN TOTAL'!R343</f>
        <v>APAGADO</v>
      </c>
      <c r="J340" t="str">
        <f>'RESUMEN TOTAL'!S343</f>
        <v>APAGADO</v>
      </c>
      <c r="K340" t="str">
        <f>'RESUMEN TOTAL'!T343</f>
        <v>APAGADO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 t="str">
        <f>'RESUMEN TOTAL'!R344</f>
        <v>APAGADO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 t="str">
        <f>'RESUMEN TOTAL'!T345</f>
        <v>APAGADO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 t="str">
        <f>'RESUMEN TOTAL'!T346</f>
        <v>APAGADO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 t="str">
        <f>'RESUMEN TOTAL'!T347</f>
        <v>APAGADO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 t="str">
        <f>'RESUMEN TOTAL'!T348</f>
        <v>APAGADO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s="59">
        <f>'RESUMEN TOTAL'!AS352</f>
        <v>0</v>
      </c>
    </row>
    <row r="350" spans="1:36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s="59">
        <f>'RESUMEN TOTAL'!AS355</f>
        <v>0</v>
      </c>
    </row>
    <row r="353" spans="1:36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s="59">
        <f>'RESUMEN TOTAL'!AS359</f>
        <v>0</v>
      </c>
    </row>
    <row r="357" spans="1:36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s="59">
        <f>'RESUMEN TOTAL'!AS360</f>
        <v>0</v>
      </c>
    </row>
    <row r="358" spans="1:36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s="59">
        <f>'RESUMEN TOTAL'!AS361</f>
        <v>0</v>
      </c>
    </row>
    <row r="359" spans="1:36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s="59">
        <f>'RESUMEN TOTAL'!AS362</f>
        <v>0</v>
      </c>
    </row>
    <row r="360" spans="1:36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 t="str">
        <f>'RESUMEN TOTAL'!R364</f>
        <v>APAGADO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 t="str">
        <f>'RESUMEN TOTAL'!T373</f>
        <v>APAGADO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 t="str">
        <f>'RESUMEN TOTAL'!T374</f>
        <v>APAGADO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 t="str">
        <f>'RESUMEN TOTAL'!T375</f>
        <v>APAGADO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 t="str">
        <f>'RESUMEN TOTAL'!T376</f>
        <v>APAGADO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4.4" x14ac:dyDescent="0.3"/>
  <cols>
    <col min="5" max="5" width="16.5546875" bestFit="1" customWidth="1"/>
  </cols>
  <sheetData>
    <row r="1" spans="1:36" ht="21" x14ac:dyDescent="0.4">
      <c r="E1" s="26" t="s">
        <v>933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32</v>
      </c>
      <c r="I1" s="26">
        <f t="shared" si="0"/>
        <v>159</v>
      </c>
      <c r="J1" s="26">
        <f t="shared" si="0"/>
        <v>58</v>
      </c>
      <c r="K1" s="26">
        <f t="shared" si="0"/>
        <v>56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 t="str">
        <f>ESTADISTICA!J9</f>
        <v>APAGADO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 t="str">
        <f>ESTADISTICA!H25</f>
        <v>APAGADO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 t="str">
        <f>ESTADISTICA!I29</f>
        <v>APAGADO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 t="str">
        <f>ESTADISTICA!I53</f>
        <v>APAGADO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 t="str">
        <f>ESTADISTICA!I72</f>
        <v>APAGADO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 t="str">
        <f>ESTADISTICA!I74</f>
        <v>APAGADO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 t="str">
        <f>ESTADISTICA!H78</f>
        <v>APAGADO</v>
      </c>
      <c r="I79" t="str">
        <f>ESTADISTICA!I78</f>
        <v>APAGADO</v>
      </c>
      <c r="J79" t="str">
        <f>ESTADISTICA!J78</f>
        <v>APAGADO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 t="str">
        <f>ESTADISTICA!H79</f>
        <v>APAGADO</v>
      </c>
      <c r="I80" t="str">
        <f>ESTADISTICA!I79</f>
        <v>APAGADO</v>
      </c>
      <c r="J80" t="str">
        <f>ESTADISTICA!J79</f>
        <v>APAGADO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 t="str">
        <f>ESTADISTICA!I110</f>
        <v>APAGADO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 t="str">
        <f>ESTADISTICA!J141</f>
        <v>APAGADO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 t="str">
        <f>ESTADISTICA!I197</f>
        <v>APAGADO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 t="str">
        <f>ESTADISTICA!I200</f>
        <v>APAGADO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>
        <f>ESTADISTICA!J211</f>
        <v>0</v>
      </c>
      <c r="K212" t="str">
        <f>ESTADISTICA!K211</f>
        <v>APAGADO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>
        <f>ESTADISTICA!J212</f>
        <v>0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 t="str">
        <f>ESTADISTICA!I217</f>
        <v>APAGADO</v>
      </c>
      <c r="J218">
        <f>ESTADISTICA!J217</f>
        <v>0</v>
      </c>
      <c r="K218" t="str">
        <f>ESTADISTICA!K217</f>
        <v>APAGADO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 t="str">
        <f>ESTADISTICA!I222</f>
        <v>APAGADO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 t="str">
        <f>ESTADISTICA!I225</f>
        <v>APAGADO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 t="str">
        <f>ESTADISTICA!I265</f>
        <v>APAGADO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 t="str">
        <f>ESTADISTICA!I266</f>
        <v>APAGADO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 t="str">
        <f>ESTADISTICA!I271</f>
        <v>APAGADO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 t="str">
        <f>ESTADISTICA!J278</f>
        <v>APAGADO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 t="str">
        <f>ESTADISTICA!J279</f>
        <v>APAGADO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 t="str">
        <f>ESTADISTICA!I280</f>
        <v>APAGADO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 t="str">
        <f>ESTADISTICA!I287</f>
        <v>APAGADO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 t="str">
        <f>ESTADISTICA!I320</f>
        <v>APAGADO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str">
        <f>ESTADISTICA!I321</f>
        <v>APAGADO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str">
        <f>ESTADISTICA!I322</f>
        <v>APAGADO</v>
      </c>
      <c r="J323" t="str">
        <f>ESTADISTICA!J322</f>
        <v>APAGADO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str">
        <f>ESTADISTICA!I323</f>
        <v>APAGADO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 t="str">
        <f>ESTADISTICA!K370</f>
        <v>APAGADO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218" activePane="bottomRight" state="frozen"/>
      <selection pane="topRight" activeCell="F1" sqref="F1"/>
      <selection pane="bottomLeft" activeCell="A8" sqref="A8"/>
      <selection pane="bottomRight" activeCell="B309" sqref="B309:D328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2" t="s">
        <v>1320</v>
      </c>
      <c r="D1" s="53">
        <f>COUNTIFS(E4:E369,"=Fibra Optica")</f>
        <v>237</v>
      </c>
    </row>
    <row r="2" spans="1:36" ht="21" x14ac:dyDescent="0.4">
      <c r="E2" s="26" t="s">
        <v>933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24</v>
      </c>
      <c r="I2" s="26">
        <f>COUNTIFS(I4:I367, "=APAGADO",E4:E367,"=Fibra Optica")</f>
        <v>107</v>
      </c>
      <c r="J2" s="26">
        <f>COUNTIFS(J4:J367, "=APAGADO",E4:E367,"=Fibra Optica")</f>
        <v>36</v>
      </c>
      <c r="K2" s="26">
        <f>COUNTIFS(K4:K367, "=APAGADO",E4:E367,"=Fibra Optica")</f>
        <v>40</v>
      </c>
      <c r="L2" s="26">
        <f>COUNTIFS(L4:L367, "=APAGADO",E4:E367,"=Fibra Optica")</f>
        <v>0</v>
      </c>
      <c r="M2" s="26">
        <f>COUNTIFS(M4:M367, "=APAGADO",E4:E367,"=Fibra Optica")</f>
        <v>0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9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H9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4" t="s">
        <v>1321</v>
      </c>
      <c r="D1" s="54">
        <f>COUNTIFS(E4:E367,"=PTP A FO")</f>
        <v>38</v>
      </c>
    </row>
    <row r="2" spans="1:36" ht="21" x14ac:dyDescent="0.4">
      <c r="E2" s="26" t="s">
        <v>933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3</v>
      </c>
      <c r="I2" s="26">
        <f>COUNTIFS(I4:I367, "=APAGADO",E4:E367,"=PTP A FO")</f>
        <v>26</v>
      </c>
      <c r="J2" s="26">
        <f>COUNTIFS(J4:J367, "=APAGADO",E4:E367,"=PTP A FO")</f>
        <v>15</v>
      </c>
      <c r="K2" s="26">
        <f>COUNTIFS(K4:K367, "=APAGADO",E4:E367,"=PTP A FO")</f>
        <v>11</v>
      </c>
      <c r="L2" s="26">
        <f>COUNTIFS(L4:L367, "=APAGADO",E4:E367,"=PTP A FO")</f>
        <v>0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  <filterColumn colId="9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H6" activePane="bottomRight" state="frozenSplit"/>
      <selection pane="topRight" activeCell="F1" sqref="F1"/>
      <selection pane="bottomLeft" activeCell="A3" sqref="A3"/>
      <selection pane="bottomRight" activeCell="AJ3" sqref="F3:AJ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4" t="s">
        <v>1322</v>
      </c>
      <c r="D1" s="54">
        <f>COUNTIFS(E4:E367,"=radio")</f>
        <v>88</v>
      </c>
    </row>
    <row r="2" spans="1:36" ht="21" x14ac:dyDescent="0.4">
      <c r="E2" s="26" t="s">
        <v>933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5</v>
      </c>
      <c r="I2" s="26">
        <f>COUNTIFS(I4:I367, "=APAGADO",E4:E367,"=radio")</f>
        <v>26</v>
      </c>
      <c r="J2" s="26">
        <f>COUNTIFS(J4:J367, "=APAGADO",E4:E367,"=radio")</f>
        <v>7</v>
      </c>
      <c r="K2" s="26">
        <f>COUNTIFS(K4:K367, "=APAGADO",E4:E367,"=radio")</f>
        <v>5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  <filterColumn colId="9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abSelected="1" workbookViewId="0">
      <selection activeCell="P19" sqref="P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G11" sqref="G11"/>
    </sheetView>
  </sheetViews>
  <sheetFormatPr baseColWidth="10" defaultRowHeight="14.4" x14ac:dyDescent="0.3"/>
  <cols>
    <col min="5" max="5" width="15.6640625" bestFit="1" customWidth="1"/>
    <col min="7" max="7" width="11.5546875" style="65"/>
  </cols>
  <sheetData>
    <row r="1" spans="1:7" x14ac:dyDescent="0.3">
      <c r="A1" t="s">
        <v>934</v>
      </c>
      <c r="B1" t="s">
        <v>20</v>
      </c>
      <c r="C1" t="s">
        <v>935</v>
      </c>
      <c r="D1" t="s">
        <v>1310</v>
      </c>
      <c r="E1" t="s">
        <v>937</v>
      </c>
      <c r="F1" t="s">
        <v>936</v>
      </c>
      <c r="G1" s="65" t="s">
        <v>1347</v>
      </c>
    </row>
    <row r="2" spans="1:7" x14ac:dyDescent="0.3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>B2+C2</f>
        <v>45</v>
      </c>
      <c r="F2">
        <f>'RESUMEN TOTAL'!C1</f>
        <v>373</v>
      </c>
      <c r="G2" s="65">
        <f>E2/F2</f>
        <v>0.12064343163538874</v>
      </c>
    </row>
    <row r="3" spans="1:7" x14ac:dyDescent="0.3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>B3+C3</f>
        <v>34</v>
      </c>
      <c r="F3">
        <f>'RESUMEN TOTAL'!C1</f>
        <v>373</v>
      </c>
      <c r="G3" s="65">
        <f>E3/F3</f>
        <v>9.1152815013404831E-2</v>
      </c>
    </row>
    <row r="4" spans="1:7" x14ac:dyDescent="0.3">
      <c r="A4" s="25">
        <f>'APAGADOS RADIO'!H3</f>
        <v>44684</v>
      </c>
      <c r="B4" s="59">
        <f>'APAGADOS RADIO'!H2+D4</f>
        <v>8</v>
      </c>
      <c r="C4" s="59">
        <f>'APAGADOS FIBRA'!H2</f>
        <v>24</v>
      </c>
      <c r="D4" s="59">
        <f>'APAGADOS ANTENA'!H2</f>
        <v>3</v>
      </c>
      <c r="E4" s="59">
        <f>B4+C4</f>
        <v>32</v>
      </c>
      <c r="F4">
        <f>'RESUMEN TOTAL'!C1</f>
        <v>373</v>
      </c>
      <c r="G4" s="65">
        <f>E4/F4</f>
        <v>8.5790884718498661E-2</v>
      </c>
    </row>
    <row r="5" spans="1:7" x14ac:dyDescent="0.3">
      <c r="A5" s="25">
        <f>'APAGADOS RADIO'!I3</f>
        <v>44685</v>
      </c>
      <c r="B5" s="59">
        <f>'APAGADOS RADIO'!I2+D5</f>
        <v>52</v>
      </c>
      <c r="C5" s="59">
        <f>'APAGADOS FIBRA'!I2</f>
        <v>107</v>
      </c>
      <c r="D5" s="59">
        <f>'APAGADOS ANTENA'!I2</f>
        <v>26</v>
      </c>
      <c r="E5" s="59">
        <f>B5+C5</f>
        <v>159</v>
      </c>
      <c r="F5">
        <f>'RESUMEN TOTAL'!C1</f>
        <v>373</v>
      </c>
      <c r="G5" s="65">
        <f>E5/F5</f>
        <v>0.42627345844504022</v>
      </c>
    </row>
    <row r="6" spans="1:7" x14ac:dyDescent="0.3">
      <c r="A6" s="25">
        <f>'APAGADOS RADIO'!J3</f>
        <v>44686</v>
      </c>
      <c r="B6" s="59">
        <f>'APAGADOS RADIO'!J2+D6</f>
        <v>22</v>
      </c>
      <c r="C6" s="59">
        <f>'APAGADOS FIBRA'!J2</f>
        <v>36</v>
      </c>
      <c r="D6" s="59">
        <f>'APAGADOS ANTENA'!J2</f>
        <v>15</v>
      </c>
      <c r="E6" s="59">
        <f>B6+C6</f>
        <v>58</v>
      </c>
      <c r="F6">
        <f>'RESUMEN TOTAL'!C1</f>
        <v>373</v>
      </c>
      <c r="G6" s="65">
        <f>E6/F6</f>
        <v>0.15549597855227881</v>
      </c>
    </row>
    <row r="7" spans="1:7" x14ac:dyDescent="0.3">
      <c r="A7" s="25">
        <f>'APAGADOS RADIO'!K3</f>
        <v>44687</v>
      </c>
      <c r="B7" s="59">
        <f>'APAGADOS RADIO'!K2+D7</f>
        <v>16</v>
      </c>
      <c r="C7" s="59">
        <f>'APAGADOS FIBRA'!K2</f>
        <v>40</v>
      </c>
      <c r="D7" s="59">
        <f>'APAGADOS ANTENA'!K2</f>
        <v>11</v>
      </c>
      <c r="E7" s="59">
        <f>B7+C7</f>
        <v>56</v>
      </c>
      <c r="F7">
        <f>'RESUMEN TOTAL'!C1</f>
        <v>373</v>
      </c>
      <c r="G7" s="65">
        <f>E7/F7</f>
        <v>0.15013404825737264</v>
      </c>
    </row>
    <row r="8" spans="1:7" x14ac:dyDescent="0.3">
      <c r="A8" s="25">
        <f>'APAGADOS RADIO'!L3</f>
        <v>44688</v>
      </c>
      <c r="B8" s="59"/>
      <c r="C8" s="59"/>
      <c r="D8" s="59"/>
      <c r="E8" s="59"/>
      <c r="F8">
        <f>'RESUMEN TOTAL'!C1</f>
        <v>373</v>
      </c>
    </row>
    <row r="9" spans="1:7" x14ac:dyDescent="0.3">
      <c r="A9" s="25">
        <f>'APAGADOS RADIO'!M3</f>
        <v>44689</v>
      </c>
      <c r="B9" s="59"/>
      <c r="C9" s="59"/>
      <c r="D9" s="59"/>
      <c r="E9" s="59"/>
      <c r="F9">
        <f>'RESUMEN TOTAL'!C1</f>
        <v>373</v>
      </c>
    </row>
    <row r="10" spans="1:7" x14ac:dyDescent="0.3">
      <c r="A10" s="25">
        <f>'APAGADOS RADIO'!N3</f>
        <v>44690</v>
      </c>
      <c r="B10" s="59"/>
      <c r="C10" s="59"/>
      <c r="D10" s="59"/>
      <c r="E10" s="59"/>
      <c r="F10">
        <f>'RESUMEN TOTAL'!C1</f>
        <v>373</v>
      </c>
    </row>
    <row r="11" spans="1:7" x14ac:dyDescent="0.3">
      <c r="A11" s="25">
        <f>'APAGADOS RADIO'!O3</f>
        <v>44691</v>
      </c>
      <c r="B11" s="59"/>
      <c r="C11" s="59"/>
      <c r="D11" s="59"/>
      <c r="E11" s="59"/>
      <c r="F11">
        <f>'RESUMEN TOTAL'!C1</f>
        <v>373</v>
      </c>
    </row>
    <row r="12" spans="1:7" x14ac:dyDescent="0.3">
      <c r="A12" s="25">
        <f>'APAGADOS RADIO'!P3</f>
        <v>44692</v>
      </c>
      <c r="B12" s="59"/>
      <c r="C12" s="59"/>
      <c r="D12" s="59"/>
      <c r="E12" s="59"/>
      <c r="F12">
        <f>'RESUMEN TOTAL'!C1</f>
        <v>373</v>
      </c>
    </row>
    <row r="13" spans="1:7" x14ac:dyDescent="0.3">
      <c r="A13" s="25">
        <f>'APAGADOS RADIO'!Q3</f>
        <v>44693</v>
      </c>
      <c r="B13" s="59"/>
      <c r="C13" s="59"/>
      <c r="D13" s="59"/>
      <c r="E13" s="59"/>
      <c r="F13">
        <f>'RESUMEN TOTAL'!C1</f>
        <v>373</v>
      </c>
    </row>
    <row r="14" spans="1:7" x14ac:dyDescent="0.3">
      <c r="A14" s="25">
        <f>'APAGADOS RADIO'!R3</f>
        <v>44694</v>
      </c>
      <c r="B14" s="59"/>
      <c r="C14" s="59"/>
      <c r="D14" s="59"/>
      <c r="E14" s="59"/>
      <c r="F14">
        <f>'RESUMEN TOTAL'!C1</f>
        <v>373</v>
      </c>
    </row>
    <row r="15" spans="1:7" x14ac:dyDescent="0.3">
      <c r="A15" s="25">
        <f>'APAGADOS RADIO'!S3</f>
        <v>44695</v>
      </c>
      <c r="B15" s="59"/>
      <c r="C15" s="59"/>
      <c r="D15" s="59"/>
      <c r="E15" s="59"/>
      <c r="F15">
        <f>'RESUMEN TOTAL'!C1</f>
        <v>373</v>
      </c>
    </row>
    <row r="16" spans="1:7" x14ac:dyDescent="0.3">
      <c r="A16" s="25">
        <f>'APAGADOS RADIO'!T3</f>
        <v>44696</v>
      </c>
      <c r="B16" s="59"/>
      <c r="C16" s="59"/>
      <c r="D16" s="59"/>
      <c r="E16" s="59"/>
      <c r="F16">
        <f>'RESUMEN TOTAL'!C1</f>
        <v>373</v>
      </c>
    </row>
    <row r="17" spans="1:6" x14ac:dyDescent="0.3">
      <c r="A17" s="25">
        <f>'APAGADOS RADIO'!U3</f>
        <v>44697</v>
      </c>
      <c r="B17" s="59"/>
      <c r="C17" s="59"/>
      <c r="D17" s="59"/>
      <c r="E17" s="59"/>
      <c r="F17">
        <f>'RESUMEN TOTAL'!C1</f>
        <v>373</v>
      </c>
    </row>
    <row r="18" spans="1:6" x14ac:dyDescent="0.3">
      <c r="A18" s="25">
        <f>'APAGADOS RADIO'!V3</f>
        <v>44698</v>
      </c>
      <c r="B18" s="59"/>
      <c r="C18" s="59"/>
      <c r="D18" s="59"/>
      <c r="E18" s="59"/>
      <c r="F18">
        <f>'RESUMEN TOTAL'!C1</f>
        <v>373</v>
      </c>
    </row>
    <row r="19" spans="1:6" x14ac:dyDescent="0.3">
      <c r="A19" s="25">
        <f>'APAGADOS RADIO'!W3</f>
        <v>44699</v>
      </c>
      <c r="B19" s="59"/>
      <c r="C19" s="59"/>
      <c r="D19" s="59"/>
      <c r="E19" s="59"/>
      <c r="F19">
        <f>'RESUMEN TOTAL'!C1</f>
        <v>373</v>
      </c>
    </row>
    <row r="20" spans="1:6" x14ac:dyDescent="0.3">
      <c r="A20" s="25">
        <f>'APAGADOS RADIO'!X3</f>
        <v>44700</v>
      </c>
      <c r="B20" s="59"/>
      <c r="C20" s="59"/>
      <c r="D20" s="59"/>
      <c r="E20" s="59"/>
      <c r="F20">
        <f>'RESUMEN TOTAL'!C1</f>
        <v>373</v>
      </c>
    </row>
    <row r="21" spans="1:6" x14ac:dyDescent="0.3">
      <c r="A21" s="25">
        <f>'APAGADOS RADIO'!Y3</f>
        <v>44701</v>
      </c>
      <c r="B21" s="59"/>
      <c r="C21" s="59"/>
      <c r="D21" s="59"/>
      <c r="E21" s="59"/>
      <c r="F21">
        <f>'RESUMEN TOTAL'!C1</f>
        <v>373</v>
      </c>
    </row>
    <row r="22" spans="1:6" x14ac:dyDescent="0.3">
      <c r="A22" s="25">
        <f>'APAGADOS RADIO'!Z3</f>
        <v>44702</v>
      </c>
      <c r="B22" s="59"/>
      <c r="C22" s="59"/>
      <c r="D22" s="59"/>
      <c r="E22" s="59"/>
      <c r="F22">
        <f>'RESUMEN TOTAL'!C1</f>
        <v>373</v>
      </c>
    </row>
    <row r="23" spans="1:6" x14ac:dyDescent="0.3">
      <c r="A23" s="25">
        <f>'APAGADOS RADIO'!AA3</f>
        <v>44703</v>
      </c>
      <c r="B23" s="59"/>
      <c r="C23" s="59"/>
      <c r="D23" s="59"/>
      <c r="E23" s="59"/>
      <c r="F23">
        <f>'RESUMEN TOTAL'!C1</f>
        <v>373</v>
      </c>
    </row>
    <row r="24" spans="1:6" x14ac:dyDescent="0.3">
      <c r="A24" s="25">
        <f>'APAGADOS RADIO'!AB3</f>
        <v>44704</v>
      </c>
      <c r="B24" s="59"/>
      <c r="C24" s="59"/>
      <c r="D24" s="59"/>
      <c r="E24" s="59"/>
      <c r="F24">
        <f>'RESUMEN TOTAL'!C1</f>
        <v>373</v>
      </c>
    </row>
    <row r="25" spans="1:6" x14ac:dyDescent="0.3">
      <c r="A25" s="25">
        <f>'APAGADOS RADIO'!AC3</f>
        <v>44705</v>
      </c>
      <c r="B25" s="59"/>
      <c r="C25" s="59"/>
      <c r="D25" s="59"/>
      <c r="E25" s="59"/>
      <c r="F25">
        <f>'RESUMEN TOTAL'!C1</f>
        <v>373</v>
      </c>
    </row>
    <row r="26" spans="1:6" x14ac:dyDescent="0.3">
      <c r="A26" s="25">
        <f>'APAGADOS RADIO'!AD3</f>
        <v>44706</v>
      </c>
      <c r="B26" s="59"/>
      <c r="C26" s="59"/>
      <c r="D26" s="59"/>
      <c r="E26" s="59"/>
      <c r="F26">
        <f>'RESUMEN TOTAL'!C1</f>
        <v>373</v>
      </c>
    </row>
    <row r="27" spans="1:6" x14ac:dyDescent="0.3">
      <c r="A27" s="25">
        <f>'APAGADOS RADIO'!AE3</f>
        <v>44707</v>
      </c>
      <c r="B27" s="59"/>
      <c r="C27" s="59"/>
      <c r="D27" s="59"/>
      <c r="E27" s="59"/>
      <c r="F27">
        <f>'RESUMEN TOTAL'!C1</f>
        <v>373</v>
      </c>
    </row>
    <row r="28" spans="1:6" x14ac:dyDescent="0.3">
      <c r="A28" s="25">
        <f>'APAGADOS RADIO'!AF3</f>
        <v>44708</v>
      </c>
      <c r="B28" s="59"/>
      <c r="C28" s="59"/>
      <c r="D28" s="59"/>
      <c r="E28" s="59"/>
      <c r="F28">
        <f>'RESUMEN TOTAL'!C1</f>
        <v>373</v>
      </c>
    </row>
    <row r="29" spans="1:6" x14ac:dyDescent="0.3">
      <c r="A29" s="25">
        <f>'APAGADOS RADIO'!AG3</f>
        <v>44709</v>
      </c>
      <c r="B29" s="59"/>
      <c r="C29" s="59"/>
      <c r="D29" s="59"/>
      <c r="E29" s="59"/>
      <c r="F29">
        <f>'RESUMEN TOTAL'!C1</f>
        <v>373</v>
      </c>
    </row>
    <row r="30" spans="1:6" x14ac:dyDescent="0.3">
      <c r="A30" s="25">
        <f>'APAGADOS RADIO'!AH3</f>
        <v>44710</v>
      </c>
      <c r="B30" s="59"/>
      <c r="C30" s="59"/>
      <c r="D30" s="59"/>
      <c r="E30" s="59"/>
      <c r="F30">
        <f>'RESUMEN TOTAL'!C1</f>
        <v>373</v>
      </c>
    </row>
    <row r="31" spans="1:6" x14ac:dyDescent="0.3">
      <c r="A31" s="25">
        <f>'APAGADOS RADIO'!AI3</f>
        <v>44711</v>
      </c>
      <c r="F31">
        <f>'RESUMEN TOTAL'!C1</f>
        <v>373</v>
      </c>
    </row>
    <row r="32" spans="1:6" x14ac:dyDescent="0.3">
      <c r="A32" s="25"/>
    </row>
    <row r="34" spans="1:30" x14ac:dyDescent="0.3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65"/>
    </row>
    <row r="36" spans="1:30" s="30" customFormat="1" x14ac:dyDescent="0.3">
      <c r="G36" s="65"/>
    </row>
    <row r="37" spans="1:30" s="20" customFormat="1" x14ac:dyDescent="0.3">
      <c r="G37" s="65"/>
    </row>
    <row r="40" spans="1:30" x14ac:dyDescent="0.3">
      <c r="A40" s="59"/>
      <c r="B40" s="59"/>
    </row>
    <row r="41" spans="1:30" x14ac:dyDescent="0.3">
      <c r="A41" s="59"/>
      <c r="B41" s="59"/>
      <c r="D41" s="25"/>
      <c r="E41" s="65"/>
    </row>
    <row r="42" spans="1:30" x14ac:dyDescent="0.3">
      <c r="A42" s="59"/>
      <c r="B42" s="59"/>
      <c r="D42" s="25"/>
      <c r="E42" s="65"/>
    </row>
    <row r="43" spans="1:30" x14ac:dyDescent="0.3">
      <c r="A43" s="59"/>
      <c r="B43" s="59"/>
      <c r="D43" s="25"/>
      <c r="E43" s="65"/>
    </row>
    <row r="44" spans="1:30" x14ac:dyDescent="0.3">
      <c r="A44" s="59"/>
      <c r="B44" s="59"/>
      <c r="D44" s="25"/>
      <c r="E44" s="65"/>
    </row>
    <row r="45" spans="1:30" x14ac:dyDescent="0.3">
      <c r="A45" s="59"/>
      <c r="B45" s="59"/>
      <c r="D45" s="25"/>
      <c r="E45" s="65"/>
    </row>
    <row r="46" spans="1:30" x14ac:dyDescent="0.3">
      <c r="A46" s="59"/>
      <c r="B46" s="59"/>
      <c r="D46" s="25"/>
      <c r="E46" s="65"/>
    </row>
    <row r="47" spans="1:30" x14ac:dyDescent="0.3">
      <c r="A47" s="59"/>
      <c r="B47" s="59"/>
      <c r="D47" s="25"/>
      <c r="E47" s="65"/>
    </row>
    <row r="48" spans="1:30" x14ac:dyDescent="0.3">
      <c r="A48" s="59"/>
      <c r="B48" s="59"/>
      <c r="D48" s="25"/>
      <c r="E48" s="65"/>
    </row>
    <row r="49" spans="1:5" x14ac:dyDescent="0.3">
      <c r="A49" s="59"/>
      <c r="B49" s="59"/>
      <c r="D49" s="25"/>
      <c r="E49" s="65"/>
    </row>
    <row r="50" spans="1:5" x14ac:dyDescent="0.3">
      <c r="A50" s="59"/>
      <c r="B50" s="59"/>
      <c r="D50" s="25"/>
      <c r="E50" s="65"/>
    </row>
    <row r="51" spans="1:5" x14ac:dyDescent="0.3">
      <c r="A51" s="59"/>
      <c r="B51" s="59"/>
      <c r="D51" s="25"/>
      <c r="E51" s="65"/>
    </row>
    <row r="52" spans="1:5" x14ac:dyDescent="0.3">
      <c r="A52" s="59"/>
      <c r="B52" s="59"/>
      <c r="D52" s="25"/>
      <c r="E52" s="65"/>
    </row>
    <row r="53" spans="1:5" x14ac:dyDescent="0.3">
      <c r="A53" s="59"/>
      <c r="B53" s="59"/>
      <c r="D53" s="25"/>
      <c r="E53" s="65"/>
    </row>
    <row r="54" spans="1:5" x14ac:dyDescent="0.3">
      <c r="A54" s="59"/>
      <c r="B54" s="59"/>
      <c r="D54" s="25"/>
      <c r="E54" s="65"/>
    </row>
    <row r="55" spans="1:5" x14ac:dyDescent="0.3">
      <c r="A55" s="59"/>
      <c r="B55" s="59"/>
      <c r="D55" s="25"/>
      <c r="E55" s="65"/>
    </row>
    <row r="56" spans="1:5" x14ac:dyDescent="0.3">
      <c r="A56" s="59"/>
      <c r="B56" s="59"/>
      <c r="D56" s="25"/>
      <c r="E56" s="65"/>
    </row>
    <row r="57" spans="1:5" x14ac:dyDescent="0.3">
      <c r="A57" s="59"/>
      <c r="B57" s="59"/>
      <c r="D57" s="25"/>
      <c r="E57" s="65"/>
    </row>
    <row r="58" spans="1:5" x14ac:dyDescent="0.3">
      <c r="A58" s="59"/>
      <c r="B58" s="59"/>
      <c r="D58" s="25"/>
      <c r="E58" s="65"/>
    </row>
    <row r="59" spans="1:5" x14ac:dyDescent="0.3">
      <c r="A59" s="59"/>
      <c r="B59" s="59"/>
      <c r="D59" s="25"/>
      <c r="E59" s="65"/>
    </row>
    <row r="60" spans="1:5" x14ac:dyDescent="0.3">
      <c r="A60" s="59"/>
      <c r="B60" s="59"/>
      <c r="D60" s="25"/>
      <c r="E60" s="65"/>
    </row>
    <row r="61" spans="1:5" x14ac:dyDescent="0.3">
      <c r="A61" s="59"/>
      <c r="B61" s="59"/>
      <c r="D61" s="25"/>
    </row>
    <row r="62" spans="1:5" x14ac:dyDescent="0.3">
      <c r="A62" s="59"/>
      <c r="B62" s="59"/>
      <c r="D62" s="25"/>
    </row>
    <row r="63" spans="1:5" x14ac:dyDescent="0.3">
      <c r="A63" s="59"/>
      <c r="B63" s="59"/>
      <c r="D63" s="25"/>
    </row>
    <row r="64" spans="1:5" x14ac:dyDescent="0.3">
      <c r="A64" s="59"/>
      <c r="B64" s="59"/>
      <c r="D64" s="25"/>
    </row>
    <row r="65" spans="1:4" x14ac:dyDescent="0.3">
      <c r="A65" s="59"/>
      <c r="B65" s="59"/>
      <c r="D65" s="25"/>
    </row>
    <row r="66" spans="1:4" x14ac:dyDescent="0.3">
      <c r="A66" s="59"/>
      <c r="B66" s="59"/>
      <c r="D66" s="25"/>
    </row>
    <row r="67" spans="1:4" x14ac:dyDescent="0.3">
      <c r="A67" s="59"/>
      <c r="B67" s="59"/>
      <c r="D67" s="25"/>
    </row>
    <row r="68" spans="1:4" x14ac:dyDescent="0.3">
      <c r="A68" s="59"/>
      <c r="B68" s="59"/>
      <c r="D68" s="25"/>
    </row>
    <row r="69" spans="1:4" x14ac:dyDescent="0.3">
      <c r="A69" s="59"/>
      <c r="B69" s="59"/>
      <c r="D69" s="25"/>
    </row>
    <row r="70" spans="1:4" x14ac:dyDescent="0.3">
      <c r="A70" s="59"/>
      <c r="B70" s="59"/>
      <c r="D70" s="2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PORCENTAJE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2022-05-06T13:17:07Z</dcterms:modified>
</cp:coreProperties>
</file>