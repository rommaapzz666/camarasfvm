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JULIO\"/>
    </mc:Choice>
  </mc:AlternateContent>
  <xr:revisionPtr revIDLastSave="0" documentId="13_ncr:1_{2BB31EFE-9B3E-4D8C-A87C-0B5ED0C3CCEA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3" i="2" l="1"/>
  <c r="AS1" i="2" s="1"/>
  <c r="AS2" i="2"/>
  <c r="D38" i="24"/>
  <c r="C39" i="24"/>
  <c r="C40" i="24" s="1"/>
  <c r="D33" i="24"/>
  <c r="C34" i="24"/>
  <c r="D34" i="24" s="1"/>
  <c r="D28" i="24"/>
  <c r="C29" i="24"/>
  <c r="D29" i="24" s="1"/>
  <c r="D23" i="24"/>
  <c r="C24" i="24"/>
  <c r="C25" i="24" s="1"/>
  <c r="D18" i="24"/>
  <c r="C19" i="24"/>
  <c r="C20" i="24" s="1"/>
  <c r="D13" i="24"/>
  <c r="C14" i="24"/>
  <c r="C15" i="24" s="1"/>
  <c r="D8" i="24"/>
  <c r="C9" i="24"/>
  <c r="D9" i="24" s="1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D39" i="24" l="1"/>
  <c r="D40" i="24"/>
  <c r="C41" i="24"/>
  <c r="D41" i="24" s="1"/>
  <c r="C35" i="24"/>
  <c r="C30" i="24"/>
  <c r="D24" i="24"/>
  <c r="D25" i="24"/>
  <c r="C26" i="24"/>
  <c r="D26" i="24" s="1"/>
  <c r="D19" i="24"/>
  <c r="D20" i="24"/>
  <c r="C21" i="24"/>
  <c r="D21" i="24" s="1"/>
  <c r="D14" i="24"/>
  <c r="D15" i="24"/>
  <c r="C16" i="24"/>
  <c r="D16" i="24" s="1"/>
  <c r="C10" i="24"/>
  <c r="C5" i="24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67" i="2"/>
  <c r="N315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G372" i="9" s="1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W374" i="9" s="1"/>
  <c r="X373" i="8"/>
  <c r="X374" i="9" s="1"/>
  <c r="Y373" i="8"/>
  <c r="Y374" i="9" s="1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I372" i="9"/>
  <c r="J372" i="9"/>
  <c r="AG372" i="9"/>
  <c r="AD373" i="9"/>
  <c r="AG373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D35" i="24" l="1"/>
  <c r="C36" i="24"/>
  <c r="D36" i="24" s="1"/>
  <c r="D30" i="24"/>
  <c r="C31" i="24"/>
  <c r="D31" i="24" s="1"/>
  <c r="D10" i="24"/>
  <c r="C11" i="24"/>
  <c r="D11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F24" i="14" l="1"/>
  <c r="F19" i="14"/>
  <c r="F15" i="14"/>
  <c r="F7" i="14"/>
  <c r="F3" i="14"/>
  <c r="F18" i="14"/>
  <c r="F14" i="14"/>
  <c r="F8" i="14"/>
  <c r="F6" i="14"/>
  <c r="F22" i="14"/>
  <c r="F23" i="14"/>
  <c r="F21" i="14"/>
  <c r="F17" i="14"/>
  <c r="F13" i="14"/>
  <c r="F11" i="14"/>
  <c r="F9" i="14"/>
  <c r="F5" i="14"/>
  <c r="F20" i="14"/>
  <c r="F16" i="14"/>
  <c r="F12" i="14"/>
  <c r="F10" i="14"/>
  <c r="F4" i="14"/>
  <c r="AI2" i="21"/>
  <c r="AB2" i="21"/>
  <c r="D24" i="14" s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D23" i="14" s="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D21" i="14" s="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D20" i="14" s="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D19" i="14" s="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D22" i="14" s="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C24" i="14" s="1"/>
  <c r="AC2" i="10"/>
  <c r="AA2" i="10"/>
  <c r="C23" i="14" s="1"/>
  <c r="K2" i="10"/>
  <c r="C7" i="14" s="1"/>
  <c r="AG2" i="11"/>
  <c r="Z2" i="10"/>
  <c r="C22" i="14" s="1"/>
  <c r="X2" i="10"/>
  <c r="C20" i="14" s="1"/>
  <c r="Y2" i="10"/>
  <c r="C21" i="14" s="1"/>
  <c r="W2" i="10"/>
  <c r="C19" i="14" s="1"/>
  <c r="V2" i="10"/>
  <c r="E18" i="14" s="1"/>
  <c r="G18" i="14" s="1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B24" i="14" s="1"/>
  <c r="V2" i="11"/>
  <c r="G2" i="11"/>
  <c r="B3" i="14" s="1"/>
  <c r="Q2" i="11"/>
  <c r="B13" i="14" s="1"/>
  <c r="K2" i="11"/>
  <c r="B7" i="14" s="1"/>
  <c r="AA2" i="11"/>
  <c r="B23" i="14" s="1"/>
  <c r="L2" i="11"/>
  <c r="B8" i="14" s="1"/>
  <c r="AC2" i="11"/>
  <c r="F2" i="11"/>
  <c r="B2" i="14" s="1"/>
  <c r="U2" i="11"/>
  <c r="B17" i="14" s="1"/>
  <c r="AE2" i="11"/>
  <c r="AF2" i="11"/>
  <c r="X2" i="11"/>
  <c r="B20" i="14" s="1"/>
  <c r="AD2" i="11"/>
  <c r="Y2" i="11"/>
  <c r="B21" i="14" s="1"/>
  <c r="Z2" i="11"/>
  <c r="B22" i="14" s="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2" i="14" l="1"/>
  <c r="G22" i="14" s="1"/>
  <c r="E23" i="14"/>
  <c r="G23" i="14" s="1"/>
  <c r="E24" i="14"/>
  <c r="G24" i="14" s="1"/>
  <c r="E19" i="14"/>
  <c r="G19" i="14" s="1"/>
  <c r="E20" i="14"/>
  <c r="G20" i="14" s="1"/>
  <c r="E21" i="14"/>
  <c r="G21" i="14" s="1"/>
  <c r="E17" i="14"/>
  <c r="G17" i="14" s="1"/>
  <c r="E16" i="14"/>
  <c r="G16" i="14" s="1"/>
  <c r="E15" i="14"/>
  <c r="G15" i="14" s="1"/>
  <c r="E13" i="14"/>
  <c r="G13" i="14" s="1"/>
  <c r="E14" i="14"/>
  <c r="G14" i="14" s="1"/>
  <c r="E10" i="14"/>
  <c r="G10" i="14" s="1"/>
  <c r="E12" i="14"/>
  <c r="G12" i="14" s="1"/>
  <c r="E9" i="14"/>
  <c r="G9" i="14" s="1"/>
  <c r="E8" i="14"/>
  <c r="G8" i="14" s="1"/>
  <c r="E7" i="14"/>
  <c r="G7" i="14" s="1"/>
  <c r="E6" i="14"/>
  <c r="G6" i="14" s="1"/>
  <c r="E5" i="14"/>
  <c r="G5" i="14" s="1"/>
  <c r="E4" i="14"/>
  <c r="G4" i="14" s="1"/>
  <c r="E11" i="14"/>
  <c r="G11" i="14" s="1"/>
  <c r="E3" i="14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<sst xmlns="http://schemas.openxmlformats.org/spreadsheetml/2006/main" count="3108" uniqueCount="1371">
  <si>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</si>
  <si>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</si>
  <si>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</si>
  <si>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</si>
  <si>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</si>
  <si>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</si>
  <si>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</si>
  <si>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</si>
  <si>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</si>
  <si>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</si>
  <si>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</si>
  <si>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</si>
  <si>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</si>
  <si>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</si>
  <si>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</si>
  <si>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</si>
  <si>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</si>
  <si>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</si>
  <si>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</si>
  <si>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</si>
  <si>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</si>
  <si>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</si>
  <si>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</si>
  <si>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</si>
  <si>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</si>
  <si>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</si>
  <si>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</si>
  <si>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</si>
  <si>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</si>
  <si>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</si>
  <si>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</si>
  <si>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</si>
  <si>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</si>
  <si>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</si>
  <si>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</si>
  <si>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</si>
  <si>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</si>
  <si>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</si>
  <si>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</si>
  <si>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</si>
  <si>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</si>
  <si>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</si>
  <si>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</si>
  <si>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</si>
  <si>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</si>
  <si>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</si>
  <si>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</si>
  <si>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</si>
  <si>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</si>
  <si>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</si>
  <si>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</si>
  <si>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</si>
  <si>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</si>
  <si>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</si>
  <si>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</si>
  <si>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</si>
  <si>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</si>
  <si>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</si>
  <si>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</si>
  <si>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</si>
  <si>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</si>
  <si>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</si>
  <si>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</si>
  <si>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</si>
  <si>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</si>
  <si>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</si>
  <si>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</si>
  <si>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</si>
  <si>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</si>
  <si>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</si>
  <si>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</si>
  <si>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</si>
  <si>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</si>
  <si>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</si>
  <si>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</si>
  <si>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</si>
  <si>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</si>
  <si>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</si>
  <si>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</si>
  <si>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</si>
  <si>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</si>
  <si>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</si>
  <si>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</si>
  <si>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</si>
  <si>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</si>
  <si>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</si>
  <si>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</si>
  <si>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</si>
  <si>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</si>
  <si>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</si>
  <si>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</si>
  <si>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</si>
  <si>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</si>
  <si>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</si>
  <si>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</si>
  <si>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</si>
  <si>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</si>
  <si>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</si>
  <si>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</si>
  <si>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</si>
  <si>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</si>
  <si>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</si>
  <si>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</si>
  <si>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</si>
  <si>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</si>
  <si>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</si>
  <si>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</si>
  <si>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</si>
  <si>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</si>
  <si>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</si>
  <si>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</si>
  <si>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</si>
  <si>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</si>
  <si>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</si>
  <si>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</si>
  <si>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</si>
  <si>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</si>
  <si>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</si>
  <si>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</si>
  <si>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</si>
  <si>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</si>
  <si>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</si>
  <si>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</si>
  <si>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</si>
  <si>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</si>
  <si>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</si>
  <si>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</si>
  <si>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</si>
  <si>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</si>
  <si>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</si>
  <si>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</si>
  <si>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</si>
  <si>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</si>
  <si>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</si>
  <si>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</si>
  <si>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</si>
  <si>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</si>
  <si>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</si>
  <si>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</si>
  <si>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</si>
  <si>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</si>
  <si>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</si>
  <si>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</si>
  <si>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</si>
  <si>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</si>
  <si>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</si>
  <si>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</si>
  <si>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</si>
  <si>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</si>
  <si>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</si>
  <si>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</si>
  <si>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</si>
  <si>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</si>
  <si>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</si>
  <si>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</si>
  <si>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</si>
  <si>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</si>
  <si>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</si>
  <si>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</si>
  <si>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</si>
  <si>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</si>
  <si>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</si>
  <si>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</si>
  <si>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</si>
  <si>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</si>
  <si>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</si>
  <si>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</si>
  <si>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</si>
  <si>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</si>
  <si>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</si>
  <si>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</si>
  <si>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</si>
  <si>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</si>
  <si>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</si>
  <si>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</si>
  <si>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</si>
  <si>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</si>
  <si>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</si>
  <si>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</si>
  <si>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</si>
  <si>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</si>
  <si>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</si>
  <si>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</si>
  <si>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</si>
  <si>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</si>
  <si>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</si>
  <si>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</si>
  <si>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</si>
  <si>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</si>
  <si>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</si>
  <si>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</si>
  <si>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</si>
  <si>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</si>
  <si>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</si>
  <si>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</si>
  <si>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</si>
  <si>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</si>
  <si>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</si>
  <si>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</si>
  <si>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</si>
  <si>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</si>
  <si>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</si>
  <si>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</si>
  <si>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</si>
  <si>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</si>
  <si>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</si>
  <si>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</si>
  <si>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</si>
  <si>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</si>
  <si>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</si>
  <si>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</si>
  <si>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</si>
  <si>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</si>
  <si>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</si>
  <si>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</si>
  <si>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</si>
  <si>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</si>
  <si>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</si>
  <si>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</si>
  <si>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</si>
  <si>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</si>
  <si>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</si>
  <si>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</si>
  <si>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</si>
  <si>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</si>
  <si>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</si>
  <si>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</si>
  <si>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</si>
  <si>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</si>
  <si>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</si>
  <si>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</si>
  <si>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</si>
  <si>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</si>
  <si>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</si>
  <si>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</si>
  <si>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</si>
  <si>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</si>
  <si>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</si>
  <si>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</si>
  <si>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</si>
  <si>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</si>
  <si>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</si>
  <si>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</si>
  <si>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</si>
  <si>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</si>
  <si>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</si>
  <si>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</si>
  <si>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</si>
  <si>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</si>
  <si>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</si>
  <si>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</si>
  <si>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</si>
  <si>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</si>
  <si>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</si>
  <si>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</si>
  <si>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</si>
  <si>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</si>
  <si>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</si>
  <si>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</si>
  <si>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</si>
  <si>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</si>
  <si>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</si>
  <si>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</si>
  <si>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</si>
  <si>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</si>
  <si>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</si>
  <si>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</si>
  <si>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</si>
  <si>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</si>
  <si>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</si>
  <si>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</si>
  <si>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</si>
  <si>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</si>
  <si>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</si>
  <si>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</si>
  <si>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</si>
  <si>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</si>
  <si>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</si>
  <si>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</si>
  <si>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</si>
  <si>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</si>
  <si>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</si>
  <si>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</si>
  <si>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</si>
  <si>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</si>
  <si>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</si>
  <si>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</si>
  <si>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</si>
  <si>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</si>
  <si>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</si>
  <si>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</si>
  <si>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</si>
  <si>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</si>
  <si>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</si>
  <si>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</si>
  <si>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</si>
  <si>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</si>
  <si>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</si>
  <si>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</si>
  <si>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</si>
  <si>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</si>
  <si>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</si>
  <si>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</si>
  <si>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</si>
  <si>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</si>
  <si>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</si>
  <si>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</si>
  <si>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</si>
  <si>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</si>
  <si>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</si>
  <si>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</si>
  <si>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</si>
  <si>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</si>
  <si>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</si>
  <si>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</si>
  <si>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</si>
  <si>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</si>
  <si>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</si>
  <si>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</si>
  <si>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</si>
  <si>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</si>
  <si>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</si>
  <si>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</si>
  <si>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</si>
  <si>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</si>
  <si>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</si>
  <si>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</si>
  <si>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</si>
  <si>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</si>
  <si>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</si>
  <si>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</si>
  <si>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</si>
  <si>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</si>
  <si>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</si>
  <si>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</si>
  <si>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</si>
  <si>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</si>
  <si>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</si>
  <si>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</si>
  <si>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</si>
  <si>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</si>
  <si>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</si>
  <si>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</si>
  <si>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</si>
  <si>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</si>
  <si>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</si>
  <si>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</si>
  <si>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</si>
  <si>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</si>
  <si>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</si>
  <si>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</si>
  <si>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</si>
  <si>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</si>
  <si>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</si>
  <si>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</si>
  <si>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</si>
  <si>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</si>
  <si>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</si>
  <si>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</si>
  <si>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</si>
  <si>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</si>
  <si>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</si>
  <si>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</si>
  <si>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</si>
  <si>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</si>
  <si>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</si>
  <si>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</si>
  <si>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</si>
  <si>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</si>
  <si>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</si>
  <si>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</si>
  <si>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</si>
  <si>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</si>
  <si>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</si>
  <si>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</si>
  <si>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</si>
  <si>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</si>
  <si>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</si>
  <si>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</si>
  <si>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</si>
  <si>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</si>
  <si>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</si>
  <si>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</si>
  <si>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</si>
  <si>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</si>
  <si>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</si>
  <si>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</si>
  <si>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</si>
  <si>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</si>
  <si>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</si>
  <si>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</si>
  <si>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</si>
  <si>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</si>
  <si>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</si>
  <si>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</si>
  <si>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</si>
  <si>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</si>
  <si>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</si>
  <si>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</si>
  <si>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</si>
  <si>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</si>
  <si>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</si>
  <si>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</si>
  <si>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</si>
  <si>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</si>
  <si>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</si>
  <si>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</si>
  <si>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</si>
  <si>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</si>
  <si>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</si>
  <si>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</si>
  <si>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</si>
  <si>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</si>
  <si>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</si>
  <si>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</si>
  <si>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</si>
  <si>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</si>
  <si>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</si>
  <si>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</si>
  <si>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</si>
  <si>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</si>
  <si>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</si>
  <si>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</si>
  <si>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</si>
  <si>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</si>
  <si>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</si>
  <si>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</si>
  <si>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</si>
  <si>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</si>
  <si>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</si>
  <si>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</si>
  <si>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</si>
  <si>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</si>
  <si>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</si>
  <si>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</si>
  <si>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</si>
  <si>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</si>
  <si>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</si>
  <si>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</si>
  <si>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</si>
  <si>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</si>
  <si>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</si>
  <si>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</si>
  <si>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</si>
  <si>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</si>
  <si>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</si>
  <si>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</si>
  <si>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</si>
  <si>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</si>
  <si>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</si>
  <si>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</si>
  <si>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</si>
  <si>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</si>
  <si>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</si>
  <si>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</si>
  <si>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</si>
  <si>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</si>
  <si>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</si>
  <si>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</si>
  <si>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</si>
  <si>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</si>
  <si>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</si>
  <si>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</si>
  <si>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</si>
  <si>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</si>
  <si>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</si>
  <si>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</si>
  <si>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</si>
  <si>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</si>
  <si>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</si>
  <si>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</si>
  <si>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</si>
  <si>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</si>
  <si>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</si>
  <si>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</si>
  <si>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</si>
  <si>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</si>
  <si>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</si>
  <si>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</si>
  <si>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</si>
  <si>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</si>
  <si>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</si>
  <si>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</si>
  <si>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</si>
  <si>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</si>
  <si>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</si>
  <si>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</si>
  <si>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</si>
  <si>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</si>
  <si>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</si>
  <si>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</si>
  <si>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</si>
  <si>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</si>
  <si>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</si>
  <si>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</si>
  <si>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</si>
  <si>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</si>
  <si>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</si>
  <si>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</si>
  <si>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</si>
  <si>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</si>
  <si>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</si>
  <si>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</si>
  <si>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</si>
  <si>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</si>
  <si>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</si>
  <si>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</si>
  <si>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</si>
  <si>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</si>
  <si>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</si>
  <si>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</si>
  <si>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</si>
  <si>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</si>
  <si>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</si>
  <si>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</si>
  <si>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</si>
  <si>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</si>
  <si>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</si>
  <si>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</si>
  <si>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</si>
  <si>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</si>
  <si>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</si>
  <si>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</si>
  <si>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</si>
  <si>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</si>
  <si>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</si>
  <si>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</si>
  <si>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</si>
  <si>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</si>
  <si>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</si>
  <si>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</si>
  <si>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</si>
  <si>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</si>
  <si>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</si>
  <si>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</si>
  <si>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</si>
  <si>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</si>
  <si>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</si>
  <si>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</si>
  <si>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</si>
  <si>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</si>
  <si>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</si>
  <si>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</si>
  <si>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</si>
  <si>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</si>
  <si>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</si>
  <si>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</si>
  <si>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</si>
  <si>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</si>
  <si>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</si>
  <si>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</si>
  <si>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</si>
  <si>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</si>
  <si>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</si>
  <si>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</si>
  <si>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</si>
  <si>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</si>
  <si>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</si>
  <si>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</si>
  <si>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</si>
  <si>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</si>
  <si>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</si>
  <si>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</si>
  <si>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</si>
  <si>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</si>
  <si>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</si>
  <si>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</si>
  <si>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</si>
  <si>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</si>
  <si>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</si>
  <si>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</si>
  <si>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</si>
  <si>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</si>
  <si>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</si>
  <si>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</si>
  <si>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</si>
  <si>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</si>
  <si>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</si>
  <si>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</si>
  <si>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</si>
  <si>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</si>
  <si>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</si>
  <si>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</si>
  <si>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</si>
  <si>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</si>
  <si>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</si>
  <si>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</si>
  <si>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</si>
  <si>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</si>
  <si>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</si>
  <si>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</si>
  <si>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</si>
  <si>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</si>
  <si>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</si>
  <si>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</si>
  <si>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</si>
  <si>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</si>
  <si>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</si>
  <si>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</si>
  <si>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</si>
  <si>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</si>
  <si>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</si>
  <si>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</si>
  <si>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</si>
  <si>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</si>
  <si>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</si>
  <si>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</si>
  <si>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</si>
  <si>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</si>
  <si>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</si>
  <si>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</si>
  <si>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</si>
  <si>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</si>
  <si>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</si>
  <si>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</si>
  <si>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</si>
  <si>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</si>
  <si>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</si>
  <si>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</si>
  <si>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</si>
  <si>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</si>
  <si>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</si>
  <si>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</si>
  <si>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</si>
  <si>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</si>
  <si>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</si>
  <si>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</si>
  <si>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</si>
  <si>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</si>
  <si>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</si>
  <si>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</si>
  <si>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</si>
  <si>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</si>
  <si>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</si>
  <si>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</si>
  <si>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</si>
  <si>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</si>
  <si>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</si>
  <si>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</si>
  <si>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</si>
  <si>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</si>
  <si>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</si>
  <si>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</si>
  <si>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</si>
  <si>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</si>
  <si>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</si>
  <si>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</si>
  <si>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</si>
  <si>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</si>
  <si>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</si>
  <si>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</si>
  <si>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</si>
  <si>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</si>
  <si>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</si>
  <si>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</si>
  <si>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</si>
  <si>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</si>
  <si>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</si>
  <si>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</si>
  <si>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</si>
  <si>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</si>
  <si>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</si>
  <si>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</si>
  <si>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</si>
  <si>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</si>
  <si>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</si>
  <si>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</si>
  <si>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</si>
  <si>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</si>
  <si>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</si>
  <si>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</si>
  <si>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</si>
  <si>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</si>
  <si>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</si>
  <si>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</si>
  <si>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</si>
  <si>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</si>
  <si>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</si>
  <si>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</si>
  <si>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</si>
  <si>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</si>
  <si>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</si>
  <si>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</si>
  <si>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</si>
  <si>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</si>
  <si>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</si>
  <si>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</si>
  <si>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</si>
  <si>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</si>
  <si>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</si>
  <si>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</si>
  <si>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</si>
  <si>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</si>
  <si>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</si>
  <si>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</si>
  <si>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</si>
  <si>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</si>
  <si>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</si>
  <si>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</si>
  <si>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</si>
  <si>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</si>
  <si>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</si>
  <si>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</si>
  <si>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</si>
  <si>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</si>
  <si>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</si>
  <si>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</si>
  <si>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</si>
  <si>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</si>
  <si>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</si>
  <si>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</si>
  <si>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</si>
  <si>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</si>
  <si>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</si>
  <si>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</si>
  <si>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</si>
  <si>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</si>
  <si>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</si>
  <si>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</si>
  <si>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</si>
  <si>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</si>
  <si>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</si>
  <si>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</si>
  <si>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</si>
  <si>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</si>
  <si>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</si>
  <si>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</si>
  <si>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</si>
  <si>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</si>
  <si>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</si>
  <si>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</si>
  <si>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</si>
  <si>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</si>
  <si>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</si>
  <si>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</si>
  <si>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</si>
  <si>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</si>
  <si>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</si>
  <si>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</si>
  <si>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</si>
  <si>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</si>
  <si>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</si>
  <si>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</si>
  <si>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</si>
  <si>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</si>
  <si>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</si>
  <si>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</si>
  <si>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</si>
  <si>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</si>
  <si>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</si>
  <si>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</si>
  <si>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</si>
  <si>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</si>
  <si>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</si>
  <si>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</si>
  <si>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</si>
  <si>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</si>
  <si>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</si>
  <si>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</si>
  <si>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</si>
  <si>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</si>
  <si>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</si>
  <si>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</si>
  <si>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</si>
  <si>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</si>
  <si>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</si>
  <si>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</si>
  <si>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</si>
  <si>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</si>
  <si>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</si>
  <si>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</si>
  <si>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</si>
  <si>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</si>
  <si>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</si>
  <si>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</si>
  <si>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</si>
  <si>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</si>
  <si>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</si>
  <si>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</si>
  <si>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</si>
  <si>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</si>
  <si>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</si>
  <si>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</si>
  <si>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</si>
  <si>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</si>
  <si>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</si>
  <si>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</si>
  <si>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</si>
  <si>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</si>
  <si>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</si>
  <si>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</si>
  <si>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</si>
  <si>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</si>
  <si>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</si>
  <si>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</si>
  <si>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</si>
  <si>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</si>
  <si>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</si>
  <si>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</si>
  <si>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</si>
  <si>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</si>
  <si>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</si>
  <si>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</si>
  <si>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</si>
  <si>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</si>
  <si>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</si>
  <si>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</si>
  <si>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</si>
  <si>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</si>
  <si>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</si>
  <si>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</si>
  <si>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</si>
  <si>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</si>
  <si>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</si>
  <si>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</si>
  <si>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</si>
  <si>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</si>
  <si>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</si>
  <si>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</si>
  <si>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</si>
  <si>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</si>
  <si>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</si>
  <si>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</si>
  <si>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</si>
  <si>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</si>
  <si>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</si>
  <si>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</si>
  <si>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</si>
  <si>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</si>
  <si>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</si>
  <si>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</si>
  <si>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</si>
  <si>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</si>
  <si>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</si>
  <si>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</si>
  <si>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</si>
  <si>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</si>
  <si>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</si>
  <si>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</si>
  <si>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</si>
  <si>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</si>
  <si>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</si>
  <si>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</si>
  <si>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</si>
  <si>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</si>
  <si>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</si>
  <si>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</si>
  <si>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</si>
  <si>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</si>
  <si>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</si>
  <si>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</si>
  <si>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</si>
  <si>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</si>
  <si>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</si>
  <si>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</si>
  <si>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</si>
  <si>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</si>
  <si>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</si>
  <si>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</si>
  <si>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</si>
  <si>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</si>
  <si>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</si>
  <si>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</si>
  <si>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</si>
  <si>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</si>
  <si>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</si>
  <si>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</si>
  <si>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</si>
  <si>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</si>
  <si>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</si>
  <si>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</si>
  <si>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</si>
  <si>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</si>
  <si>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</si>
  <si>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</si>
  <si>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</si>
  <si>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</si>
  <si>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</si>
  <si>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</si>
  <si>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</si>
  <si>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</si>
  <si>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</si>
  <si>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</si>
  <si>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</si>
  <si>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</si>
  <si>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</si>
  <si>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</si>
  <si>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</si>
  <si>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</si>
  <si>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</si>
  <si>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</si>
  <si>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</si>
  <si>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</si>
  <si>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</si>
  <si>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</si>
  <si>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</si>
  <si>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</si>
  <si>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</si>
  <si>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</si>
  <si>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</si>
  <si>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</si>
  <si>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</si>
  <si>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</si>
  <si>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</si>
  <si>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</si>
  <si>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</si>
  <si>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</si>
  <si>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</si>
  <si>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</si>
  <si>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</si>
  <si>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</si>
  <si>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</si>
  <si>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</si>
  <si>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</si>
  <si>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</si>
  <si>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</si>
  <si>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</si>
  <si>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</si>
  <si>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</si>
  <si>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</si>
  <si>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</si>
  <si>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</si>
  <si>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</si>
  <si>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</si>
  <si>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</si>
  <si>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</si>
  <si>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</si>
  <si>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</si>
  <si>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</si>
  <si>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</si>
  <si>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</si>
  <si>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</si>
  <si>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</si>
  <si>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</si>
  <si>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</si>
  <si>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</si>
  <si>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</si>
  <si>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</si>
  <si>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</si>
  <si>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</si>
  <si>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</si>
  <si>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</si>
  <si>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</si>
  <si>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</si>
  <si>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</si>
  <si>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</si>
  <si>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</si>
  <si>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</si>
  <si>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</si>
  <si>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</si>
  <si>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</si>
  <si>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</si>
  <si>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</si>
  <si>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</si>
  <si>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</si>
  <si>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</si>
  <si>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</si>
  <si>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</si>
  <si>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</si>
  <si>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</si>
  <si>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</si>
  <si>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</si>
  <si>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</si>
  <si>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</si>
  <si>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</si>
  <si>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</si>
  <si>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</si>
  <si>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</si>
  <si>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</si>
  <si>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</si>
  <si>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</si>
  <si>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</si>
  <si>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</si>
  <si>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</si>
  <si>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</si>
  <si>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</si>
  <si>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</si>
  <si>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</si>
  <si>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</si>
  <si>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</si>
  <si>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</si>
  <si>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</si>
  <si>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</si>
  <si>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</si>
  <si>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</si>
  <si>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</si>
  <si>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</si>
  <si>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</si>
  <si>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</si>
  <si>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</si>
  <si>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</si>
  <si>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</si>
  <si>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</si>
  <si>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</si>
  <si>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</si>
  <si>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</si>
  <si>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</si>
  <si>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</si>
  <si>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</si>
  <si>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</si>
  <si>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</si>
  <si>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</si>
  <si>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</si>
  <si>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</si>
  <si>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</si>
  <si>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</si>
  <si>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</si>
  <si>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</si>
  <si>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</si>
  <si>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</si>
  <si>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</si>
  <si>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</si>
  <si>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</si>
  <si>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</si>
  <si>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</si>
  <si>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</si>
  <si>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</si>
  <si>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</si>
  <si>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</si>
  <si>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</si>
  <si>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</si>
  <si>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</si>
  <si>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</si>
  <si>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</si>
  <si>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</si>
  <si>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</si>
  <si>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</si>
  <si>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</si>
  <si>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</si>
  <si>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</si>
  <si>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</si>
  <si>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</si>
  <si>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</si>
  <si>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</si>
  <si>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</si>
  <si>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</si>
  <si>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</si>
  <si>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</si>
  <si>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</si>
  <si>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</si>
  <si>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</si>
  <si>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</si>
  <si>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</si>
  <si>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</si>
  <si>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</si>
  <si>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</si>
  <si>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</si>
  <si>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</si>
  <si>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</si>
  <si>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</si>
  <si>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</si>
  <si>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</si>
  <si>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</si>
  <si>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</si>
  <si>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</si>
  <si>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</si>
  <si>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</si>
  <si>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</si>
  <si>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</si>
  <si>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</si>
  <si>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</si>
  <si>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</si>
  <si>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</si>
  <si>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</si>
  <si>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</si>
  <si>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</si>
  <si>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</si>
  <si>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</si>
  <si>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</si>
  <si>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</si>
  <si>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</si>
  <si>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</si>
  <si>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</si>
  <si>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</si>
  <si>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</si>
  <si>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</si>
  <si>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</si>
  <si>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</si>
  <si>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</si>
  <si>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</si>
  <si>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</si>
  <si>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</si>
  <si>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</si>
  <si>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</si>
  <si>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</si>
  <si>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</si>
  <si>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</si>
  <si>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</si>
  <si>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</si>
  <si>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</si>
  <si>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</si>
  <si>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</si>
  <si>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</si>
  <si>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</si>
  <si>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</si>
  <si>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</si>
  <si>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</si>
  <si>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</si>
  <si>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</si>
  <si>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</si>
  <si>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</si>
  <si>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</si>
  <si>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</si>
  <si>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</si>
  <si>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</si>
  <si>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</si>
  <si>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</si>
  <si>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</si>
  <si>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</si>
  <si>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</si>
  <si>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</si>
  <si>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</si>
  <si>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</si>
  <si>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</si>
  <si>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</si>
  <si>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</si>
  <si>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</si>
  <si>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</si>
  <si>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</si>
  <si>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</si>
  <si>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</si>
  <si>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</si>
  <si>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</si>
  <si>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</si>
  <si>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</si>
  <si>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</si>
  <si>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</si>
  <si>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</si>
  <si>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</si>
  <si>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</si>
  <si>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</si>
  <si>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</si>
  <si>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</si>
  <si>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</si>
  <si>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</si>
  <si>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</si>
  <si>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</si>
  <si>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</si>
  <si>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</si>
  <si>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</si>
  <si>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</si>
  <si>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</si>
  <si>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</si>
  <si>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</si>
  <si>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</si>
  <si>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</si>
  <si>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</si>
  <si>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</si>
  <si>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</si>
  <si>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</si>
  <si>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</si>
  <si>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</si>
  <si>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</si>
  <si>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</si>
  <si>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</si>
  <si>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</si>
  <si>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</si>
  <si>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</si>
  <si>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</si>
  <si>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</si>
  <si>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</si>
  <si>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</si>
  <si>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</si>
  <si>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</si>
  <si>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</si>
  <si>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</si>
  <si>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</si>
  <si>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</si>
  <si>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</si>
  <si>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</si>
  <si>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</si>
  <si>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</si>
  <si>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</si>
  <si>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</si>
  <si>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</si>
  <si>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</si>
  <si>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</si>
  <si>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</si>
  <si>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</si>
  <si>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</si>
  <si>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</si>
  <si>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</si>
  <si>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</si>
  <si>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</si>
  <si>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</si>
  <si>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</si>
  <si>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</si>
  <si>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</si>
  <si>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</si>
  <si>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</si>
  <si>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</si>
  <si>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</si>
  <si>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</si>
  <si>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</si>
  <si>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</si>
  <si>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</si>
  <si>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</si>
  <si>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</si>
  <si>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</si>
  <si>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</si>
  <si>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</si>
  <si>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</si>
  <si>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</si>
  <si>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</si>
  <si>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</si>
  <si>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</si>
  <si>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</si>
  <si>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</si>
  <si>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</si>
  <si>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</si>
  <si>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</si>
  <si>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</si>
  <si>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</si>
  <si>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</si>
  <si>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</si>
  <si>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</si>
  <si>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</si>
  <si>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</si>
  <si>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</si>
  <si>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</si>
  <si>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</si>
  <si>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</si>
  <si>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</si>
  <si>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</si>
  <si>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</si>
  <si>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</si>
  <si>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</si>
  <si>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</si>
  <si>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</si>
  <si>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</si>
  <si>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</si>
  <si>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</si>
  <si>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</si>
  <si>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</si>
  <si>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</si>
  <si>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</si>
  <si>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</si>
  <si>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</si>
  <si>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</si>
  <si>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</si>
  <si>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</si>
  <si>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</si>
  <si>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</si>
  <si>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</si>
  <si>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</si>
  <si>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</si>
  <si>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</si>
  <si>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</si>
  <si>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</si>
  <si>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</si>
  <si>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</si>
  <si>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</si>
  <si>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</si>
  <si>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</si>
  <si>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</si>
  <si>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</si>
  <si>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</si>
  <si>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</si>
  <si>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</si>
  <si>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</si>
  <si>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</si>
  <si>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</si>
  <si>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</si>
  <si>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</si>
  <si>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</si>
  <si>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</si>
  <si>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</si>
  <si>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</si>
  <si>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</si>
  <si>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</si>
  <si>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</si>
  <si>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</si>
  <si>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</si>
  <si>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</si>
  <si>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</si>
  <si>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</si>
  <si>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</si>
  <si>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</si>
  <si>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</si>
  <si>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</si>
  <si>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</si>
  <si>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</si>
  <si>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</si>
  <si>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</si>
  <si>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</si>
  <si>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</si>
  <si>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</si>
  <si>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</si>
  <si>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</si>
  <si>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</si>
  <si>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</si>
  <si>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</si>
  <si>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</si>
  <si>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</si>
  <si>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</si>
  <si>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</si>
  <si>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</si>
  <si>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</si>
  <si>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</si>
  <si>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</si>
  <si>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</si>
  <si>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</si>
  <si>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</si>
  <si>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</si>
  <si>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</si>
  <si>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</si>
  <si>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</si>
  <si>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</si>
  <si>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</si>
  <si>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</si>
  <si>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</si>
  <si>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</si>
  <si>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</si>
  <si>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</si>
  <si>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</si>
  <si>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</si>
  <si>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</si>
  <si>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</si>
  <si>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</si>
  <si>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</si>
  <si>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</si>
  <si>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</si>
  <si>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</si>
  <si>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</si>
  <si>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</si>
  <si>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</si>
  <si>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</si>
  <si>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</si>
  <si>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</si>
  <si>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</si>
  <si>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</si>
  <si>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</si>
  <si>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</si>
  <si>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</si>
  <si>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</si>
  <si>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</si>
  <si>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</si>
  <si>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</si>
  <si>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</si>
  <si>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</si>
  <si>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</si>
  <si>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</si>
  <si>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</si>
  <si>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</si>
  <si>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</si>
  <si>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</si>
  <si>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</si>
  <si>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</si>
  <si>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</si>
  <si>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</si>
  <si>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</si>
  <si>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</si>
  <si>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</si>
  <si>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</si>
  <si>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 xml:space="preserve">Se llega por ping y no por web </t>
  </si>
  <si>
    <t>Se llega por ping y por web (DAHUA)</t>
  </si>
  <si>
    <t>Se llega por ping y por we pide login</t>
  </si>
  <si>
    <t>172.20.11.107</t>
  </si>
  <si>
    <t>172.20.11.213</t>
  </si>
  <si>
    <t>172.20.11.214</t>
  </si>
  <si>
    <t>Se llega por ping y por web pide login</t>
  </si>
  <si>
    <t xml:space="preserve">Se llega por pin y por web </t>
  </si>
  <si>
    <t xml:space="preserve">Se llega por ping </t>
  </si>
  <si>
    <t>Monteagudo y Pte. Peron</t>
  </si>
  <si>
    <t>Se llega por ping y no por web</t>
  </si>
  <si>
    <t>se llega por ping y por web pide login</t>
  </si>
  <si>
    <t xml:space="preserve">Se llega por ping y por web pero no se visualiza </t>
  </si>
  <si>
    <t xml:space="preserve">se llega por ping y por web </t>
  </si>
  <si>
    <t xml:space="preserve">se llega por ping y por web no </t>
  </si>
  <si>
    <t>APAGADO</t>
  </si>
  <si>
    <t>Davinson y Moranchel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</si>
</sst>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222222"/>
      <name val="Roboto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5" xfId="0" applyNumberFormat="1" applyBorder="1" applyAlignment="1">
      <alignment vertical="center" textRotation="90"/>
    </xf>
    <xf numFmtId="16" fontId="0" fillId="0" borderId="24" xfId="0" applyNumberFormat="1" applyBorder="1" applyAlignment="1">
      <alignment vertical="center" textRotation="90"/>
    </xf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0" fontId="6" fillId="0" borderId="0" xfId="0" applyFont="1"/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5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08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9.3333333333333338E-2</c:v>
                </c:pt>
                <c:pt idx="1">
                  <c:v>8.7999999999999995E-2</c:v>
                </c:pt>
                <c:pt idx="2">
                  <c:v>9.6000000000000002E-2</c:v>
                </c:pt>
                <c:pt idx="3">
                  <c:v>0.10666666666666667</c:v>
                </c:pt>
                <c:pt idx="4">
                  <c:v>8.533333333333333E-2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0.15733333333333333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9.3333333333333338E-2</c:v>
                </c:pt>
                <c:pt idx="1">
                  <c:v>8.7999999999999995E-2</c:v>
                </c:pt>
                <c:pt idx="2">
                  <c:v>9.6000000000000002E-2</c:v>
                </c:pt>
                <c:pt idx="3">
                  <c:v>0.10666666666666667</c:v>
                </c:pt>
                <c:pt idx="4">
                  <c:v>8.533333333333333E-2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0.15733333333333333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S197" activePane="bottomRight" state="frozen"/>
      <selection pane="topRight" activeCell="M1" sqref="M1"/>
      <selection pane="bottomLeft" activeCell="A5" sqref="A5"/>
      <selection pane="bottomRight" activeCell="S207" sqref="S20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9.42578125" style="22" bestFit="1" customWidth="1"/>
  </cols>
  <sheetData>
    <row r="1" spans="1:45" s="5" customFormat="1" ht="27.75" customHeight="1" thickTop="1" x14ac:dyDescent="0.25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9.3333333333333338E-2</v>
      </c>
      <c r="P1" s="4">
        <f t="shared" si="0"/>
        <v>8.7999999999999995E-2</v>
      </c>
      <c r="Q1" s="4">
        <f t="shared" si="0"/>
        <v>9.6000000000000002E-2</v>
      </c>
      <c r="R1" s="4">
        <f t="shared" si="0"/>
        <v>0.10666666666666667</v>
      </c>
      <c r="S1" s="4">
        <f t="shared" si="0"/>
        <v>8.5561497326203204E-2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>
        <f t="shared" ref="AS1" si="2">(AS3)/(AS2+AS3)</f>
        <v>0</v>
      </c>
    </row>
    <row r="2" spans="1:45" s="11" customFormat="1" x14ac:dyDescent="0.25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340</v>
      </c>
      <c r="P2" s="10">
        <f t="shared" si="3"/>
        <v>342</v>
      </c>
      <c r="Q2" s="10">
        <f t="shared" si="3"/>
        <v>339</v>
      </c>
      <c r="R2" s="10">
        <f t="shared" si="3"/>
        <v>335</v>
      </c>
      <c r="S2" s="10">
        <f t="shared" si="3"/>
        <v>342</v>
      </c>
      <c r="T2" s="10">
        <f t="shared" si="3"/>
        <v>375</v>
      </c>
      <c r="U2" s="10">
        <f t="shared" si="3"/>
        <v>375</v>
      </c>
      <c r="V2" s="10">
        <f t="shared" si="3"/>
        <v>375</v>
      </c>
      <c r="W2" s="10">
        <f t="shared" si="3"/>
        <v>375</v>
      </c>
      <c r="X2" s="10">
        <f t="shared" si="3"/>
        <v>375</v>
      </c>
      <c r="Y2" s="10">
        <f t="shared" si="3"/>
        <v>375</v>
      </c>
      <c r="Z2" s="10">
        <f t="shared" si="3"/>
        <v>375</v>
      </c>
      <c r="AA2" s="10">
        <f t="shared" si="3"/>
        <v>375</v>
      </c>
      <c r="AB2" s="10">
        <f t="shared" si="3"/>
        <v>375</v>
      </c>
      <c r="AC2" s="10">
        <f t="shared" si="3"/>
        <v>375</v>
      </c>
      <c r="AD2" s="10">
        <f t="shared" si="3"/>
        <v>375</v>
      </c>
      <c r="AE2" s="10">
        <f t="shared" si="3"/>
        <v>375</v>
      </c>
      <c r="AF2" s="10">
        <f t="shared" si="3"/>
        <v>375</v>
      </c>
      <c r="AG2" s="10">
        <f t="shared" si="3"/>
        <v>375</v>
      </c>
      <c r="AH2" s="10">
        <f t="shared" si="3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4">COUNTIF(AM5:AM379, "")</f>
        <v>375</v>
      </c>
      <c r="AN2" s="10">
        <f t="shared" si="4"/>
        <v>375</v>
      </c>
      <c r="AO2" s="10">
        <f t="shared" si="4"/>
        <v>375</v>
      </c>
      <c r="AP2" s="10">
        <f t="shared" si="4"/>
        <v>375</v>
      </c>
      <c r="AQ2" s="10">
        <f t="shared" si="4"/>
        <v>375</v>
      </c>
      <c r="AR2" s="10">
        <f>COUNTIF(AR5:AR379, "")</f>
        <v>375</v>
      </c>
      <c r="AS2" s="10">
        <f>COUNTIF(AS5:AS379, "")</f>
        <v>375</v>
      </c>
    </row>
    <row r="3" spans="1:45" s="11" customFormat="1" ht="15.75" thickBot="1" x14ac:dyDescent="0.3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35</v>
      </c>
      <c r="P3" s="14">
        <f t="shared" ref="P3:AP3" si="5">COUNTIF(P4:P447, "apagado")</f>
        <v>33</v>
      </c>
      <c r="Q3" s="14">
        <f t="shared" si="5"/>
        <v>36</v>
      </c>
      <c r="R3" s="14">
        <f t="shared" si="5"/>
        <v>40</v>
      </c>
      <c r="S3" s="14">
        <f t="shared" si="5"/>
        <v>32</v>
      </c>
      <c r="T3" s="14">
        <f t="shared" si="5"/>
        <v>0</v>
      </c>
      <c r="U3" s="14">
        <f t="shared" si="5"/>
        <v>0</v>
      </c>
      <c r="V3" s="14">
        <f t="shared" si="5"/>
        <v>0</v>
      </c>
      <c r="W3" s="14">
        <f t="shared" si="5"/>
        <v>0</v>
      </c>
      <c r="X3" s="14">
        <f t="shared" si="5"/>
        <v>0</v>
      </c>
      <c r="Y3" s="14">
        <f t="shared" si="5"/>
        <v>0</v>
      </c>
      <c r="Z3" s="14">
        <f t="shared" si="5"/>
        <v>0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  <c r="AP3" s="14">
        <f t="shared" si="5"/>
        <v>0</v>
      </c>
      <c r="AQ3" s="14">
        <f t="shared" ref="AQ3:AR3" si="6">COUNTIF(AQ4:AQ447, "apagado")</f>
        <v>0</v>
      </c>
      <c r="AR3" s="14">
        <f t="shared" si="6"/>
        <v>0</v>
      </c>
      <c r="AS3" s="14">
        <f t="shared" ref="AS3" si="7">COUNTIF(AS4:AS447, "apagado")</f>
        <v>0</v>
      </c>
    </row>
    <row r="4" spans="1:45" s="11" customFormat="1" ht="31.5" thickTop="1" thickBot="1" x14ac:dyDescent="0.35">
      <c r="A4" t="s">
        <v>7</v>
      </c>
      <c r="B4" t="s">
        <v>1320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44743</v>
      </c>
      <c r="P4" s="15">
        <v>44744</v>
      </c>
      <c r="Q4" s="15">
        <v>44745</v>
      </c>
      <c r="R4" s="15">
        <v>44746</v>
      </c>
      <c r="S4" s="15">
        <v>44747</v>
      </c>
      <c r="T4" s="15">
        <v>44748</v>
      </c>
      <c r="U4" s="15">
        <v>44749</v>
      </c>
      <c r="V4" s="15">
        <v>44750</v>
      </c>
      <c r="W4" s="15">
        <v>44751</v>
      </c>
      <c r="X4" s="15">
        <v>44752</v>
      </c>
      <c r="Y4" s="15">
        <v>44753</v>
      </c>
      <c r="Z4" s="15">
        <v>44754</v>
      </c>
      <c r="AA4" s="15">
        <v>44755</v>
      </c>
      <c r="AB4" s="15">
        <v>44756</v>
      </c>
      <c r="AC4" s="15">
        <v>44757</v>
      </c>
      <c r="AD4" s="15">
        <v>44758</v>
      </c>
      <c r="AE4" s="15">
        <v>44759</v>
      </c>
      <c r="AF4" s="15">
        <v>44760</v>
      </c>
      <c r="AG4" s="15">
        <v>44761</v>
      </c>
      <c r="AH4" s="15">
        <v>44762</v>
      </c>
      <c r="AI4" s="15">
        <v>44763</v>
      </c>
      <c r="AJ4" s="15">
        <v>44764</v>
      </c>
      <c r="AK4" s="15">
        <v>44765</v>
      </c>
      <c r="AL4" s="15">
        <v>44766</v>
      </c>
      <c r="AM4" s="15">
        <v>44767</v>
      </c>
      <c r="AN4" s="15">
        <v>44768</v>
      </c>
      <c r="AO4" s="15">
        <v>44769</v>
      </c>
      <c r="AP4" s="15">
        <v>44770</v>
      </c>
      <c r="AQ4" s="15">
        <v>44771</v>
      </c>
      <c r="AR4" s="15">
        <v>44772</v>
      </c>
      <c r="AS4" s="15">
        <v>44773</v>
      </c>
    </row>
    <row r="5" spans="1:45" ht="16.5" thickTop="1" thickBot="1" x14ac:dyDescent="0.3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1104</v>
      </c>
      <c r="L5" s="17">
        <f>COUNTIF(O5:AR5,"")</f>
        <v>30</v>
      </c>
      <c r="M5" s="17">
        <f t="shared" ref="M5:M68" si="8">COUNTIF(O5:AP5,"APAGADO")</f>
        <v>0</v>
      </c>
      <c r="N5" s="18">
        <f t="shared" ref="N5:N68" si="9">(L5)/(M5+L5)</f>
        <v>1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t="s">
        <v>22</v>
      </c>
      <c r="B6" s="62"/>
      <c r="C6" s="61" t="s">
        <v>23</v>
      </c>
      <c r="D6" s="62" t="s">
        <v>919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1105</v>
      </c>
      <c r="L6" s="57">
        <f t="shared" ref="L6:L69" si="10">COUNTIF(O6:AR6,"")</f>
        <v>30</v>
      </c>
      <c r="M6" s="17">
        <f t="shared" si="8"/>
        <v>0</v>
      </c>
      <c r="N6" s="18">
        <f t="shared" si="9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1052</v>
      </c>
      <c r="L7" s="57">
        <f t="shared" si="10"/>
        <v>25</v>
      </c>
      <c r="M7" s="17">
        <f t="shared" si="8"/>
        <v>5</v>
      </c>
      <c r="N7" s="18">
        <f t="shared" si="9"/>
        <v>0.83333333333333337</v>
      </c>
      <c r="O7" s="27" t="s">
        <v>1369</v>
      </c>
      <c r="P7" s="8" t="s">
        <v>1369</v>
      </c>
      <c r="Q7" s="8" t="s">
        <v>1369</v>
      </c>
      <c r="R7" s="8" t="s">
        <v>1369</v>
      </c>
      <c r="S7" s="27" t="s">
        <v>1369</v>
      </c>
      <c r="T7" s="27"/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t="s">
        <v>22</v>
      </c>
      <c r="B8" s="62"/>
      <c r="C8" s="61" t="s">
        <v>29</v>
      </c>
      <c r="D8" s="62" t="s">
        <v>910</v>
      </c>
      <c r="E8" t="s">
        <v>19</v>
      </c>
      <c r="F8" t="s">
        <v>941</v>
      </c>
      <c r="G8"/>
      <c r="H8" t="s">
        <v>30</v>
      </c>
      <c r="I8" s="16">
        <v>-348230700000</v>
      </c>
      <c r="J8" s="16">
        <v>-582702540000</v>
      </c>
      <c r="K8" s="16" t="s">
        <v>1106</v>
      </c>
      <c r="L8" s="57">
        <f t="shared" si="10"/>
        <v>30</v>
      </c>
      <c r="M8" s="17">
        <f t="shared" si="8"/>
        <v>0</v>
      </c>
      <c r="N8" s="18">
        <f t="shared" si="9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1107</v>
      </c>
      <c r="L9" s="57">
        <f t="shared" si="10"/>
        <v>30</v>
      </c>
      <c r="M9" s="17">
        <f t="shared" si="8"/>
        <v>0</v>
      </c>
      <c r="N9" s="18">
        <f t="shared" si="9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t="s">
        <v>34</v>
      </c>
      <c r="B10" s="62"/>
      <c r="C10" s="63" t="s">
        <v>946</v>
      </c>
      <c r="D10" s="62" t="s">
        <v>35</v>
      </c>
      <c r="E10" t="s">
        <v>24</v>
      </c>
      <c r="F10" t="s">
        <v>941</v>
      </c>
      <c r="G10"/>
      <c r="H10" t="s">
        <v>37</v>
      </c>
      <c r="I10" s="16">
        <v>-347738090000</v>
      </c>
      <c r="J10" s="16">
        <v>-582721410000</v>
      </c>
      <c r="K10" s="16" t="s">
        <v>947</v>
      </c>
      <c r="L10" s="57">
        <f t="shared" si="10"/>
        <v>30</v>
      </c>
      <c r="M10" s="17">
        <f t="shared" si="8"/>
        <v>0</v>
      </c>
      <c r="N10" s="18">
        <f t="shared" si="9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940</v>
      </c>
      <c r="L11" s="57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941</v>
      </c>
      <c r="G12" t="s">
        <v>43</v>
      </c>
      <c r="H12"/>
      <c r="I12" s="16">
        <v>-347718470000</v>
      </c>
      <c r="J12" s="16">
        <v>-582688560000</v>
      </c>
      <c r="K12" s="16" t="s">
        <v>942</v>
      </c>
      <c r="L12" s="57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943</v>
      </c>
      <c r="L13" s="57">
        <f t="shared" si="10"/>
        <v>30</v>
      </c>
      <c r="M13" s="17">
        <f t="shared" si="8"/>
        <v>0</v>
      </c>
      <c r="N13" s="18">
        <f t="shared" si="9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944</v>
      </c>
      <c r="L14" s="57">
        <f t="shared" si="10"/>
        <v>30</v>
      </c>
      <c r="M14" s="17">
        <f t="shared" si="8"/>
        <v>0</v>
      </c>
      <c r="N14" s="18">
        <f t="shared" si="9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941</v>
      </c>
      <c r="G15" t="s">
        <v>52</v>
      </c>
      <c r="H15"/>
      <c r="I15" s="16">
        <v>-347708370000</v>
      </c>
      <c r="J15" s="16">
        <v>-582698000000</v>
      </c>
      <c r="K15" s="16" t="s">
        <v>945</v>
      </c>
      <c r="L15" s="57">
        <f t="shared" si="10"/>
        <v>30</v>
      </c>
      <c r="M15" s="17">
        <f t="shared" si="8"/>
        <v>0</v>
      </c>
      <c r="N15" s="18">
        <f t="shared" si="9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941</v>
      </c>
      <c r="G16"/>
      <c r="H16" t="s">
        <v>55</v>
      </c>
      <c r="I16" s="16">
        <v>-347737570000</v>
      </c>
      <c r="J16" s="16">
        <v>-582676650000</v>
      </c>
      <c r="K16" s="16" t="s">
        <v>949</v>
      </c>
      <c r="L16" s="57">
        <f t="shared" si="10"/>
        <v>30</v>
      </c>
      <c r="M16" s="17">
        <f t="shared" si="8"/>
        <v>0</v>
      </c>
      <c r="N16" s="18">
        <f t="shared" si="9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950</v>
      </c>
      <c r="L17" s="57">
        <f t="shared" si="10"/>
        <v>30</v>
      </c>
      <c r="M17" s="17">
        <f t="shared" si="8"/>
        <v>0</v>
      </c>
      <c r="N17" s="18">
        <f t="shared" si="9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951</v>
      </c>
      <c r="L18" s="57">
        <f t="shared" si="10"/>
        <v>30</v>
      </c>
      <c r="M18" s="17">
        <f t="shared" si="8"/>
        <v>0</v>
      </c>
      <c r="N18" s="18">
        <f t="shared" si="9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954</v>
      </c>
      <c r="L19" s="57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t="s">
        <v>34</v>
      </c>
      <c r="B20" s="62"/>
      <c r="C20" s="63" t="s">
        <v>952</v>
      </c>
      <c r="D20" s="62" t="s">
        <v>66</v>
      </c>
      <c r="E20" t="s">
        <v>19</v>
      </c>
      <c r="F20" t="s">
        <v>941</v>
      </c>
      <c r="G20"/>
      <c r="H20" t="s">
        <v>67</v>
      </c>
      <c r="I20" s="16">
        <v>-347689160000</v>
      </c>
      <c r="J20" s="16">
        <v>-582717100000</v>
      </c>
      <c r="K20" s="16" t="s">
        <v>953</v>
      </c>
      <c r="L20" s="57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955</v>
      </c>
      <c r="L21" s="57">
        <f t="shared" si="10"/>
        <v>30</v>
      </c>
      <c r="M21" s="17">
        <f t="shared" si="8"/>
        <v>0</v>
      </c>
      <c r="N21" s="18">
        <f t="shared" si="9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B22" s="62"/>
      <c r="C22" s="63" t="s">
        <v>1005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1006</v>
      </c>
      <c r="L22" s="57">
        <f t="shared" si="10"/>
        <v>30</v>
      </c>
      <c r="M22" s="17">
        <f t="shared" si="8"/>
        <v>0</v>
      </c>
      <c r="N22" s="18">
        <f t="shared" si="9"/>
        <v>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B23" s="62"/>
      <c r="C23" s="63" t="s">
        <v>1008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1009</v>
      </c>
      <c r="L23" s="57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1010</v>
      </c>
      <c r="L24" s="57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1011</v>
      </c>
      <c r="L25" s="57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1012</v>
      </c>
      <c r="L26" s="57">
        <f t="shared" si="10"/>
        <v>30</v>
      </c>
      <c r="M26" s="17">
        <f t="shared" si="8"/>
        <v>0</v>
      </c>
      <c r="N26" s="18">
        <f t="shared" si="9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1013</v>
      </c>
      <c r="L27" s="57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1014</v>
      </c>
      <c r="L28" s="57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1015</v>
      </c>
      <c r="L29" s="57">
        <f t="shared" si="10"/>
        <v>30</v>
      </c>
      <c r="M29" s="17">
        <f t="shared" si="8"/>
        <v>0</v>
      </c>
      <c r="N29" s="18">
        <f t="shared" si="9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941</v>
      </c>
      <c r="G30"/>
      <c r="H30" t="s">
        <v>94</v>
      </c>
      <c r="I30" s="16">
        <v>-347999170000</v>
      </c>
      <c r="J30" s="16">
        <v>-582863530000</v>
      </c>
      <c r="K30" s="16" t="s">
        <v>1016</v>
      </c>
      <c r="L30" s="57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1017</v>
      </c>
      <c r="L31" s="57">
        <f t="shared" si="10"/>
        <v>30</v>
      </c>
      <c r="M31" s="17">
        <f t="shared" si="8"/>
        <v>0</v>
      </c>
      <c r="N31" s="18">
        <f t="shared" si="9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t="s">
        <v>80</v>
      </c>
      <c r="B32" s="62"/>
      <c r="C32" s="63" t="s">
        <v>98</v>
      </c>
      <c r="D32" s="62" t="s">
        <v>918</v>
      </c>
      <c r="E32" t="s">
        <v>19</v>
      </c>
      <c r="F32" t="s">
        <v>941</v>
      </c>
      <c r="G32"/>
      <c r="H32" t="s">
        <v>99</v>
      </c>
      <c r="I32" s="16">
        <v>-348038200000</v>
      </c>
      <c r="J32" s="16">
        <v>-582766160000</v>
      </c>
      <c r="K32" s="16" t="s">
        <v>1018</v>
      </c>
      <c r="L32" s="57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1019</v>
      </c>
      <c r="L33" s="57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1028</v>
      </c>
      <c r="L34" s="57">
        <f t="shared" si="10"/>
        <v>30</v>
      </c>
      <c r="M34" s="17">
        <f t="shared" si="8"/>
        <v>0</v>
      </c>
      <c r="N34" s="18">
        <f t="shared" si="9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1029</v>
      </c>
      <c r="L35" s="57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1030</v>
      </c>
      <c r="L36" s="57">
        <f t="shared" si="10"/>
        <v>26</v>
      </c>
      <c r="M36" s="17">
        <f t="shared" si="8"/>
        <v>4</v>
      </c>
      <c r="N36" s="18">
        <f t="shared" si="9"/>
        <v>0.8666666666666667</v>
      </c>
      <c r="O36" s="27"/>
      <c r="P36" s="8" t="s">
        <v>1369</v>
      </c>
      <c r="Q36" s="8" t="s">
        <v>1369</v>
      </c>
      <c r="R36" s="8" t="s">
        <v>1369</v>
      </c>
      <c r="S36" s="27" t="s">
        <v>1369</v>
      </c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956</v>
      </c>
      <c r="L37" s="57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948</v>
      </c>
      <c r="L38" s="57">
        <f t="shared" si="10"/>
        <v>30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957</v>
      </c>
      <c r="L39" s="57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958</v>
      </c>
      <c r="L40" s="57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t="s">
        <v>80</v>
      </c>
      <c r="B41" s="62"/>
      <c r="C41" s="63" t="s">
        <v>124</v>
      </c>
      <c r="D41" s="62" t="s">
        <v>939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959</v>
      </c>
      <c r="L41" s="57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960</v>
      </c>
      <c r="L42" s="57">
        <f t="shared" si="10"/>
        <v>30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t="s">
        <v>80</v>
      </c>
      <c r="B43" s="62"/>
      <c r="C43" s="63" t="s">
        <v>130</v>
      </c>
      <c r="D43" s="62" t="s">
        <v>938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961</v>
      </c>
      <c r="L43" s="57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t="s">
        <v>80</v>
      </c>
      <c r="B44" s="62"/>
      <c r="C44" s="63" t="s">
        <v>133</v>
      </c>
      <c r="D44" s="62" t="s">
        <v>937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962</v>
      </c>
      <c r="L44" s="57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963</v>
      </c>
      <c r="L45" s="57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t="s">
        <v>80</v>
      </c>
      <c r="B46" s="62"/>
      <c r="C46" s="63" t="s">
        <v>138</v>
      </c>
      <c r="D46" s="62" t="s">
        <v>1363</v>
      </c>
      <c r="E46" t="s">
        <v>24</v>
      </c>
      <c r="F46" t="s">
        <v>36</v>
      </c>
      <c r="G46" t="s">
        <v>139</v>
      </c>
      <c r="H46"/>
      <c r="I46" s="16">
        <v>-348107030000</v>
      </c>
      <c r="J46" s="16">
        <v>-582745850000</v>
      </c>
      <c r="K46" s="16" t="s">
        <v>964</v>
      </c>
      <c r="L46" s="57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t="s">
        <v>80</v>
      </c>
      <c r="B47" s="62"/>
      <c r="C47" s="63" t="s">
        <v>140</v>
      </c>
      <c r="D47" s="62" t="s">
        <v>141</v>
      </c>
      <c r="E47" t="s">
        <v>24</v>
      </c>
      <c r="F47" t="s">
        <v>36</v>
      </c>
      <c r="G47" t="s">
        <v>142</v>
      </c>
      <c r="H47" t="s">
        <v>143</v>
      </c>
      <c r="I47" s="16">
        <v>-348099320000</v>
      </c>
      <c r="J47" s="16">
        <v>-582745900000</v>
      </c>
      <c r="K47" s="16" t="s">
        <v>965</v>
      </c>
      <c r="L47" s="57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t="s">
        <v>80</v>
      </c>
      <c r="B48" s="62"/>
      <c r="C48" s="63" t="s">
        <v>144</v>
      </c>
      <c r="D48" s="62" t="s">
        <v>145</v>
      </c>
      <c r="E48" t="s">
        <v>24</v>
      </c>
      <c r="F48" t="s">
        <v>36</v>
      </c>
      <c r="G48" t="s">
        <v>146</v>
      </c>
      <c r="H48"/>
      <c r="I48" s="16">
        <v>-348088700000</v>
      </c>
      <c r="J48" s="16">
        <v>-582747030000</v>
      </c>
      <c r="K48" s="16" t="s">
        <v>966</v>
      </c>
      <c r="L48" s="57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t="s">
        <v>80</v>
      </c>
      <c r="B49" s="62"/>
      <c r="C49" s="63" t="s">
        <v>147</v>
      </c>
      <c r="D49" s="62" t="s">
        <v>148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967</v>
      </c>
      <c r="L49" s="57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t="s">
        <v>80</v>
      </c>
      <c r="B50" s="62"/>
      <c r="C50" s="63" t="s">
        <v>149</v>
      </c>
      <c r="D50" s="62" t="s">
        <v>1322</v>
      </c>
      <c r="E50" t="s">
        <v>24</v>
      </c>
      <c r="F50" t="s">
        <v>36</v>
      </c>
      <c r="G50" t="s">
        <v>150</v>
      </c>
      <c r="H50"/>
      <c r="I50" s="16">
        <v>-348105840000</v>
      </c>
      <c r="J50" s="16">
        <v>-582705460000</v>
      </c>
      <c r="K50" s="16" t="s">
        <v>968</v>
      </c>
      <c r="L50" s="57">
        <f t="shared" si="10"/>
        <v>30</v>
      </c>
      <c r="M50" s="17">
        <f t="shared" si="8"/>
        <v>0</v>
      </c>
      <c r="N50" s="18">
        <f t="shared" si="9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t="s">
        <v>80</v>
      </c>
      <c r="B51" s="62"/>
      <c r="C51" s="63" t="s">
        <v>151</v>
      </c>
      <c r="D51" s="62" t="s">
        <v>152</v>
      </c>
      <c r="E51" t="s">
        <v>24</v>
      </c>
      <c r="F51" t="s">
        <v>36</v>
      </c>
      <c r="G51" t="s">
        <v>153</v>
      </c>
      <c r="H51"/>
      <c r="I51" s="16">
        <v>-348056730000</v>
      </c>
      <c r="J51" s="16">
        <v>-582731900000</v>
      </c>
      <c r="K51" s="16" t="s">
        <v>969</v>
      </c>
      <c r="L51" s="57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t="s">
        <v>80</v>
      </c>
      <c r="B52" s="62"/>
      <c r="C52" s="63" t="s">
        <v>154</v>
      </c>
      <c r="D52" s="62" t="s">
        <v>155</v>
      </c>
      <c r="E52" t="s">
        <v>113</v>
      </c>
      <c r="F52" t="s">
        <v>36</v>
      </c>
      <c r="G52" t="s">
        <v>156</v>
      </c>
      <c r="H52" t="s">
        <v>157</v>
      </c>
      <c r="I52" s="16">
        <v>-348100860000</v>
      </c>
      <c r="J52" s="16">
        <v>-582782440000</v>
      </c>
      <c r="K52" s="16" t="s">
        <v>970</v>
      </c>
      <c r="L52" s="57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B53" s="62"/>
      <c r="C53" s="63" t="s">
        <v>158</v>
      </c>
      <c r="D53" s="62" t="s">
        <v>159</v>
      </c>
      <c r="E53" t="s">
        <v>24</v>
      </c>
      <c r="F53" t="s">
        <v>941</v>
      </c>
      <c r="G53" t="s">
        <v>160</v>
      </c>
      <c r="H53" t="s">
        <v>161</v>
      </c>
      <c r="I53" s="16">
        <v>-348090820000</v>
      </c>
      <c r="J53" s="16">
        <v>-582779860000</v>
      </c>
      <c r="K53" s="16" t="s">
        <v>971</v>
      </c>
      <c r="L53" s="57">
        <f t="shared" si="10"/>
        <v>30</v>
      </c>
      <c r="M53" s="17">
        <f t="shared" si="8"/>
        <v>0</v>
      </c>
      <c r="N53" s="18">
        <f t="shared" si="9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t="s">
        <v>80</v>
      </c>
      <c r="B54" s="62"/>
      <c r="C54" s="63" t="s">
        <v>162</v>
      </c>
      <c r="D54" s="62" t="s">
        <v>163</v>
      </c>
      <c r="E54" t="s">
        <v>113</v>
      </c>
      <c r="F54" t="s">
        <v>36</v>
      </c>
      <c r="G54" t="s">
        <v>164</v>
      </c>
      <c r="H54" t="s">
        <v>161</v>
      </c>
      <c r="I54" s="16">
        <v>-348083950000</v>
      </c>
      <c r="J54" s="16">
        <v>-582747030000</v>
      </c>
      <c r="K54" s="16" t="s">
        <v>972</v>
      </c>
      <c r="L54" s="57">
        <f t="shared" si="10"/>
        <v>30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t="s">
        <v>80</v>
      </c>
      <c r="B55" s="62"/>
      <c r="C55" s="63" t="s">
        <v>165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973</v>
      </c>
      <c r="L55" s="57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t="s">
        <v>166</v>
      </c>
      <c r="B56" s="62"/>
      <c r="C56" s="63" t="s">
        <v>167</v>
      </c>
      <c r="D56" s="62" t="s">
        <v>168</v>
      </c>
      <c r="E56" t="s">
        <v>24</v>
      </c>
      <c r="F56" t="s">
        <v>36</v>
      </c>
      <c r="G56" t="s">
        <v>169</v>
      </c>
      <c r="H56"/>
      <c r="I56" s="16">
        <v>-347986060000</v>
      </c>
      <c r="J56" s="16">
        <v>-582839810000</v>
      </c>
      <c r="K56" s="16" t="s">
        <v>974</v>
      </c>
      <c r="L56" s="57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t="s">
        <v>80</v>
      </c>
      <c r="B57" s="62"/>
      <c r="C57" s="63" t="s">
        <v>170</v>
      </c>
      <c r="D57" s="62" t="s">
        <v>171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975</v>
      </c>
      <c r="L57" s="57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t="s">
        <v>80</v>
      </c>
      <c r="B58" s="62"/>
      <c r="C58" s="63" t="s">
        <v>172</v>
      </c>
      <c r="D58" s="62" t="s">
        <v>173</v>
      </c>
      <c r="E58" t="s">
        <v>24</v>
      </c>
      <c r="F58" t="s">
        <v>25</v>
      </c>
      <c r="G58" t="s">
        <v>174</v>
      </c>
      <c r="H58"/>
      <c r="I58" s="16">
        <v>-348040780000</v>
      </c>
      <c r="J58" s="16">
        <v>-582835220000</v>
      </c>
      <c r="K58" s="16" t="s">
        <v>976</v>
      </c>
      <c r="L58" s="57">
        <f t="shared" si="10"/>
        <v>30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t="s">
        <v>80</v>
      </c>
      <c r="B59" s="62"/>
      <c r="C59" s="63" t="s">
        <v>175</v>
      </c>
      <c r="D59" s="62" t="s">
        <v>176</v>
      </c>
      <c r="E59" t="s">
        <v>24</v>
      </c>
      <c r="F59" t="s">
        <v>36</v>
      </c>
      <c r="G59" t="s">
        <v>177</v>
      </c>
      <c r="H59"/>
      <c r="I59" s="16">
        <v>-348078180000</v>
      </c>
      <c r="J59" s="16">
        <v>-582747270000</v>
      </c>
      <c r="K59" s="16" t="s">
        <v>977</v>
      </c>
      <c r="L59" s="57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t="s">
        <v>80</v>
      </c>
      <c r="B60" s="62"/>
      <c r="C60" s="63" t="s">
        <v>178</v>
      </c>
      <c r="D60" s="62" t="s">
        <v>914</v>
      </c>
      <c r="E60" t="s">
        <v>24</v>
      </c>
      <c r="F60" t="s">
        <v>36</v>
      </c>
      <c r="G60" t="s">
        <v>179</v>
      </c>
      <c r="H60"/>
      <c r="I60" s="16">
        <v>-348079190000</v>
      </c>
      <c r="J60" s="16">
        <v>-582764410000</v>
      </c>
      <c r="K60" s="16" t="s">
        <v>978</v>
      </c>
      <c r="L60" s="57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t="s">
        <v>80</v>
      </c>
      <c r="B61" s="62"/>
      <c r="C61" s="63" t="s">
        <v>180</v>
      </c>
      <c r="D61" s="62" t="s">
        <v>181</v>
      </c>
      <c r="E61" t="s">
        <v>24</v>
      </c>
      <c r="F61" t="s">
        <v>36</v>
      </c>
      <c r="G61" t="s">
        <v>65</v>
      </c>
      <c r="H61" t="s">
        <v>182</v>
      </c>
      <c r="I61" s="16">
        <v>-348027470000</v>
      </c>
      <c r="J61" s="16">
        <v>-582782920000</v>
      </c>
      <c r="K61" s="16" t="s">
        <v>979</v>
      </c>
      <c r="L61" s="57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t="s">
        <v>80</v>
      </c>
      <c r="B62" s="62"/>
      <c r="C62" s="63" t="s">
        <v>183</v>
      </c>
      <c r="D62" s="62" t="s">
        <v>912</v>
      </c>
      <c r="E62" t="s">
        <v>24</v>
      </c>
      <c r="F62" t="s">
        <v>36</v>
      </c>
      <c r="G62" t="s">
        <v>184</v>
      </c>
      <c r="H62"/>
      <c r="I62" s="16">
        <v>-348089580000</v>
      </c>
      <c r="J62" s="16">
        <v>-582763340000</v>
      </c>
      <c r="K62" s="16" t="s">
        <v>980</v>
      </c>
      <c r="L62" s="57">
        <f t="shared" si="10"/>
        <v>30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t="s">
        <v>80</v>
      </c>
      <c r="B63" s="62"/>
      <c r="C63" s="63" t="s">
        <v>185</v>
      </c>
      <c r="D63" s="62" t="s">
        <v>911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981</v>
      </c>
      <c r="L63" s="57">
        <f t="shared" si="10"/>
        <v>30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t="s">
        <v>80</v>
      </c>
      <c r="B64" s="62"/>
      <c r="C64" s="63" t="s">
        <v>186</v>
      </c>
      <c r="D64" s="62" t="s">
        <v>187</v>
      </c>
      <c r="E64" t="s">
        <v>24</v>
      </c>
      <c r="F64" t="s">
        <v>36</v>
      </c>
      <c r="G64" t="s">
        <v>184</v>
      </c>
      <c r="H64"/>
      <c r="I64" s="16">
        <v>-348087820000</v>
      </c>
      <c r="J64" s="16">
        <v>-582729860000</v>
      </c>
      <c r="K64" s="16" t="s">
        <v>982</v>
      </c>
      <c r="L64" s="57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t="s">
        <v>80</v>
      </c>
      <c r="B65" s="62"/>
      <c r="C65" s="63" t="s">
        <v>188</v>
      </c>
      <c r="D65" s="62" t="s">
        <v>189</v>
      </c>
      <c r="E65" t="s">
        <v>24</v>
      </c>
      <c r="F65" t="s">
        <v>36</v>
      </c>
      <c r="G65" t="s">
        <v>184</v>
      </c>
      <c r="H65"/>
      <c r="I65" s="16">
        <v>-348066860000</v>
      </c>
      <c r="J65" s="16">
        <v>-582731470000</v>
      </c>
      <c r="K65" s="16" t="s">
        <v>983</v>
      </c>
      <c r="L65" s="57">
        <f t="shared" si="10"/>
        <v>30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t="s">
        <v>80</v>
      </c>
      <c r="B66" s="62"/>
      <c r="C66" s="63" t="s">
        <v>190</v>
      </c>
      <c r="D66" s="62" t="s">
        <v>191</v>
      </c>
      <c r="E66" t="s">
        <v>24</v>
      </c>
      <c r="F66" t="s">
        <v>36</v>
      </c>
      <c r="G66" t="s">
        <v>192</v>
      </c>
      <c r="H66"/>
      <c r="I66" s="16">
        <v>-348086060000</v>
      </c>
      <c r="J66" s="16">
        <v>-582700470000</v>
      </c>
      <c r="K66" s="16" t="s">
        <v>984</v>
      </c>
      <c r="L66" s="57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t="s">
        <v>80</v>
      </c>
      <c r="B67" s="62"/>
      <c r="C67" s="63" t="s">
        <v>193</v>
      </c>
      <c r="D67" s="62" t="s">
        <v>194</v>
      </c>
      <c r="E67" t="s">
        <v>24</v>
      </c>
      <c r="F67" t="s">
        <v>36</v>
      </c>
      <c r="G67" t="s">
        <v>195</v>
      </c>
      <c r="H67"/>
      <c r="I67" s="16">
        <v>-348088130000</v>
      </c>
      <c r="J67" s="16">
        <v>-582738390000</v>
      </c>
      <c r="K67" s="16" t="s">
        <v>985</v>
      </c>
      <c r="L67" s="57">
        <f t="shared" si="10"/>
        <v>30</v>
      </c>
      <c r="M67" s="17">
        <f t="shared" si="8"/>
        <v>0</v>
      </c>
      <c r="N67" s="18">
        <f t="shared" si="9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t="s">
        <v>80</v>
      </c>
      <c r="B68" s="62"/>
      <c r="C68" s="63" t="s">
        <v>196</v>
      </c>
      <c r="D68" s="62" t="s">
        <v>913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986</v>
      </c>
      <c r="L68" s="57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t="s">
        <v>80</v>
      </c>
      <c r="B69" s="62"/>
      <c r="C69" s="63" t="s">
        <v>197</v>
      </c>
      <c r="D69" s="62" t="s">
        <v>198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987</v>
      </c>
      <c r="L69" s="57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t="s">
        <v>80</v>
      </c>
      <c r="B70" s="62"/>
      <c r="C70" s="63" t="s">
        <v>199</v>
      </c>
      <c r="D70" s="62" t="s">
        <v>915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988</v>
      </c>
      <c r="L70" s="57">
        <f t="shared" ref="L70:L133" si="13">COUNTIF(O70:AR70,"")</f>
        <v>30</v>
      </c>
      <c r="M70" s="17">
        <f t="shared" si="11"/>
        <v>0</v>
      </c>
      <c r="N70" s="18">
        <f t="shared" si="12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t="s">
        <v>80</v>
      </c>
      <c r="B71" s="62"/>
      <c r="C71" s="63" t="s">
        <v>200</v>
      </c>
      <c r="D71" s="62" t="s">
        <v>916</v>
      </c>
      <c r="E71" t="s">
        <v>24</v>
      </c>
      <c r="F71" t="s">
        <v>36</v>
      </c>
      <c r="G71" t="s">
        <v>160</v>
      </c>
      <c r="H71"/>
      <c r="I71" s="16">
        <v>-347995320000</v>
      </c>
      <c r="J71" s="16">
        <v>-582767420000</v>
      </c>
      <c r="K71" s="16" t="s">
        <v>989</v>
      </c>
      <c r="L71" s="57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t="s">
        <v>80</v>
      </c>
      <c r="B72" s="62"/>
      <c r="C72" s="63" t="s">
        <v>201</v>
      </c>
      <c r="D72" s="62" t="s">
        <v>917</v>
      </c>
      <c r="E72" t="s">
        <v>24</v>
      </c>
      <c r="F72" t="s">
        <v>36</v>
      </c>
      <c r="G72" t="s">
        <v>160</v>
      </c>
      <c r="H72"/>
      <c r="I72" s="16">
        <v>-348027390000</v>
      </c>
      <c r="J72" s="16">
        <v>-582766340000</v>
      </c>
      <c r="K72" s="16" t="s">
        <v>990</v>
      </c>
      <c r="L72" s="57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t="s">
        <v>80</v>
      </c>
      <c r="B73" s="62"/>
      <c r="C73" s="63" t="s">
        <v>202</v>
      </c>
      <c r="D73" s="62" t="s">
        <v>203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991</v>
      </c>
      <c r="L73" s="57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t="s">
        <v>80</v>
      </c>
      <c r="B74" s="62"/>
      <c r="C74" s="63" t="s">
        <v>204</v>
      </c>
      <c r="D74" s="62" t="s">
        <v>205</v>
      </c>
      <c r="E74" t="s">
        <v>24</v>
      </c>
      <c r="F74" t="s">
        <v>36</v>
      </c>
      <c r="G74" t="s">
        <v>160</v>
      </c>
      <c r="H74"/>
      <c r="I74" s="16">
        <v>-348004490000</v>
      </c>
      <c r="J74" s="16">
        <v>-582742520000</v>
      </c>
      <c r="K74" s="16" t="s">
        <v>992</v>
      </c>
      <c r="L74" s="57">
        <f t="shared" si="13"/>
        <v>25</v>
      </c>
      <c r="M74" s="17">
        <f t="shared" si="11"/>
        <v>5</v>
      </c>
      <c r="N74" s="18">
        <f t="shared" si="12"/>
        <v>0.83333333333333337</v>
      </c>
      <c r="O74" s="27" t="s">
        <v>1369</v>
      </c>
      <c r="P74" s="8" t="s">
        <v>1369</v>
      </c>
      <c r="Q74" s="8" t="s">
        <v>1369</v>
      </c>
      <c r="R74" s="8" t="s">
        <v>1369</v>
      </c>
      <c r="S74" s="27" t="s">
        <v>1369</v>
      </c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t="s">
        <v>80</v>
      </c>
      <c r="B75" s="62"/>
      <c r="C75" s="63" t="s">
        <v>206</v>
      </c>
      <c r="D75" s="62" t="s">
        <v>207</v>
      </c>
      <c r="E75" t="s">
        <v>24</v>
      </c>
      <c r="F75" t="s">
        <v>36</v>
      </c>
      <c r="G75" t="s">
        <v>208</v>
      </c>
      <c r="H75"/>
      <c r="I75" s="16">
        <v>-348038310000</v>
      </c>
      <c r="J75" s="16">
        <v>-582781900000</v>
      </c>
      <c r="K75" s="16" t="s">
        <v>993</v>
      </c>
      <c r="L75" s="57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t="s">
        <v>80</v>
      </c>
      <c r="B76" s="62"/>
      <c r="C76" s="63" t="s">
        <v>209</v>
      </c>
      <c r="D76" s="62" t="s">
        <v>210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994</v>
      </c>
      <c r="L76" s="57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t="s">
        <v>80</v>
      </c>
      <c r="B77" s="62"/>
      <c r="C77" s="63" t="s">
        <v>211</v>
      </c>
      <c r="D77" s="62" t="s">
        <v>212</v>
      </c>
      <c r="E77" t="s">
        <v>24</v>
      </c>
      <c r="F77" t="s">
        <v>36</v>
      </c>
      <c r="G77" t="s">
        <v>213</v>
      </c>
      <c r="H77"/>
      <c r="I77" s="16">
        <v>-348045710000</v>
      </c>
      <c r="J77" s="16">
        <v>-582732760000</v>
      </c>
      <c r="K77" s="16" t="s">
        <v>995</v>
      </c>
      <c r="L77" s="57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t="s">
        <v>80</v>
      </c>
      <c r="B78" s="62"/>
      <c r="C78" s="63" t="s">
        <v>214</v>
      </c>
      <c r="D78" s="62" t="s">
        <v>215</v>
      </c>
      <c r="E78" t="s">
        <v>24</v>
      </c>
      <c r="F78" t="s">
        <v>36</v>
      </c>
      <c r="G78" t="s">
        <v>160</v>
      </c>
      <c r="H78"/>
      <c r="I78" s="16">
        <v>-348034610000</v>
      </c>
      <c r="J78" s="16">
        <v>-582706900000</v>
      </c>
      <c r="K78" s="16" t="s">
        <v>996</v>
      </c>
      <c r="L78" s="57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t="s">
        <v>80</v>
      </c>
      <c r="B79" s="62"/>
      <c r="C79" s="63" t="s">
        <v>216</v>
      </c>
      <c r="D79" s="62" t="s">
        <v>217</v>
      </c>
      <c r="E79" t="s">
        <v>24</v>
      </c>
      <c r="F79" t="s">
        <v>36</v>
      </c>
      <c r="G79" t="s">
        <v>184</v>
      </c>
      <c r="H79" t="s">
        <v>218</v>
      </c>
      <c r="I79" s="16">
        <v>-348076770000</v>
      </c>
      <c r="J79" s="16">
        <v>-582730080000</v>
      </c>
      <c r="K79" s="16" t="s">
        <v>997</v>
      </c>
      <c r="L79" s="57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t="s">
        <v>80</v>
      </c>
      <c r="B80" s="62"/>
      <c r="C80" s="63" t="s">
        <v>219</v>
      </c>
      <c r="D80" s="62" t="s">
        <v>220</v>
      </c>
      <c r="E80" t="s">
        <v>24</v>
      </c>
      <c r="F80" t="s">
        <v>36</v>
      </c>
      <c r="G80" t="s">
        <v>184</v>
      </c>
      <c r="H80"/>
      <c r="I80" s="16">
        <v>-348087290000</v>
      </c>
      <c r="J80" s="16">
        <v>-582714950000</v>
      </c>
      <c r="K80" s="16" t="s">
        <v>998</v>
      </c>
      <c r="L80" s="57">
        <f t="shared" si="13"/>
        <v>27</v>
      </c>
      <c r="M80" s="17">
        <f t="shared" si="11"/>
        <v>3</v>
      </c>
      <c r="N80" s="18">
        <f t="shared" si="12"/>
        <v>0.9</v>
      </c>
      <c r="O80" s="27"/>
      <c r="P80" s="8"/>
      <c r="Q80" s="8" t="s">
        <v>1369</v>
      </c>
      <c r="R80" s="8" t="s">
        <v>1369</v>
      </c>
      <c r="S80" s="27" t="s">
        <v>1369</v>
      </c>
      <c r="T80" s="27"/>
      <c r="U80" s="8"/>
      <c r="V80" s="8"/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t="s">
        <v>80</v>
      </c>
      <c r="B81" s="62"/>
      <c r="C81" s="63" t="s">
        <v>221</v>
      </c>
      <c r="D81" s="62" t="s">
        <v>87</v>
      </c>
      <c r="E81" t="s">
        <v>113</v>
      </c>
      <c r="F81" t="s">
        <v>36</v>
      </c>
      <c r="G81"/>
      <c r="H81" t="s">
        <v>222</v>
      </c>
      <c r="I81" s="16">
        <v>-348102990000</v>
      </c>
      <c r="J81" s="16">
        <v>-582835440000</v>
      </c>
      <c r="K81" s="16" t="s">
        <v>999</v>
      </c>
      <c r="L81" s="57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t="s">
        <v>80</v>
      </c>
      <c r="B82" s="62"/>
      <c r="C82" s="63" t="s">
        <v>223</v>
      </c>
      <c r="D82" s="62" t="s">
        <v>87</v>
      </c>
      <c r="E82" t="s">
        <v>113</v>
      </c>
      <c r="F82" t="s">
        <v>36</v>
      </c>
      <c r="G82"/>
      <c r="H82" t="s">
        <v>222</v>
      </c>
      <c r="I82" s="16">
        <v>-348102840000</v>
      </c>
      <c r="J82" s="16">
        <v>-582835020000</v>
      </c>
      <c r="K82" s="16" t="s">
        <v>1000</v>
      </c>
      <c r="L82" s="57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t="s">
        <v>80</v>
      </c>
      <c r="B83" s="62"/>
      <c r="C83" s="63" t="s">
        <v>224</v>
      </c>
      <c r="D83" s="62" t="s">
        <v>225</v>
      </c>
      <c r="E83" t="s">
        <v>24</v>
      </c>
      <c r="F83" t="s">
        <v>36</v>
      </c>
      <c r="G83" t="s">
        <v>160</v>
      </c>
      <c r="H83"/>
      <c r="I83" s="16">
        <v>-348076280000</v>
      </c>
      <c r="J83" s="16">
        <v>-582715700000</v>
      </c>
      <c r="K83" s="16" t="s">
        <v>1001</v>
      </c>
      <c r="L83" s="57">
        <f t="shared" si="13"/>
        <v>27</v>
      </c>
      <c r="M83" s="17">
        <f t="shared" si="11"/>
        <v>3</v>
      </c>
      <c r="N83" s="18">
        <f t="shared" si="12"/>
        <v>0.9</v>
      </c>
      <c r="O83" s="27"/>
      <c r="P83" s="8"/>
      <c r="Q83" s="8" t="s">
        <v>1369</v>
      </c>
      <c r="R83" s="8" t="s">
        <v>1369</v>
      </c>
      <c r="S83" s="27" t="s">
        <v>1369</v>
      </c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t="s">
        <v>80</v>
      </c>
      <c r="B84" s="62"/>
      <c r="C84" s="63" t="s">
        <v>226</v>
      </c>
      <c r="D84" s="62" t="s">
        <v>227</v>
      </c>
      <c r="E84" t="s">
        <v>24</v>
      </c>
      <c r="F84" t="s">
        <v>25</v>
      </c>
      <c r="G84" t="s">
        <v>228</v>
      </c>
      <c r="H84" t="s">
        <v>229</v>
      </c>
      <c r="I84" s="16">
        <v>-348082910000</v>
      </c>
      <c r="J84" s="16">
        <v>-582832080000</v>
      </c>
      <c r="K84" s="16" t="s">
        <v>1002</v>
      </c>
      <c r="L84" s="57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t="s">
        <v>80</v>
      </c>
      <c r="B85" s="62"/>
      <c r="C85" s="63" t="s">
        <v>230</v>
      </c>
      <c r="D85" s="62" t="s">
        <v>231</v>
      </c>
      <c r="E85" t="s">
        <v>24</v>
      </c>
      <c r="F85" t="s">
        <v>25</v>
      </c>
      <c r="G85" t="s">
        <v>232</v>
      </c>
      <c r="H85"/>
      <c r="I85" s="16">
        <v>-347975480000</v>
      </c>
      <c r="J85" s="16">
        <v>-582789940000</v>
      </c>
      <c r="K85" s="16" t="s">
        <v>1003</v>
      </c>
      <c r="L85" s="57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t="s">
        <v>80</v>
      </c>
      <c r="B86" s="62"/>
      <c r="C86" s="63" t="s">
        <v>233</v>
      </c>
      <c r="D86" s="62" t="s">
        <v>234</v>
      </c>
      <c r="E86" t="s">
        <v>24</v>
      </c>
      <c r="F86" t="s">
        <v>25</v>
      </c>
      <c r="G86" t="s">
        <v>235</v>
      </c>
      <c r="H86" t="s">
        <v>236</v>
      </c>
      <c r="I86" s="16">
        <v>-348070120000</v>
      </c>
      <c r="J86" s="16">
        <v>-582783830000</v>
      </c>
      <c r="K86" s="16" t="s">
        <v>1004</v>
      </c>
      <c r="L86" s="57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B87" s="62"/>
      <c r="C87" s="63" t="s">
        <v>237</v>
      </c>
      <c r="D87" s="62" t="s">
        <v>238</v>
      </c>
      <c r="E87" t="s">
        <v>19</v>
      </c>
      <c r="F87" t="s">
        <v>25</v>
      </c>
      <c r="G87"/>
      <c r="H87" t="s">
        <v>239</v>
      </c>
      <c r="I87" s="16">
        <v>-348006380000</v>
      </c>
      <c r="J87" s="16">
        <v>-582785240000</v>
      </c>
      <c r="K87" s="16" t="s">
        <v>1007</v>
      </c>
      <c r="L87" s="57">
        <f t="shared" si="13"/>
        <v>30</v>
      </c>
      <c r="M87" s="17">
        <f t="shared" si="11"/>
        <v>0</v>
      </c>
      <c r="N87" s="18">
        <f t="shared" si="12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t="s">
        <v>80</v>
      </c>
      <c r="B88" s="62"/>
      <c r="C88" s="63" t="s">
        <v>240</v>
      </c>
      <c r="D88" s="62" t="s">
        <v>241</v>
      </c>
      <c r="E88" t="s">
        <v>73</v>
      </c>
      <c r="F88" t="s">
        <v>36</v>
      </c>
      <c r="G88"/>
      <c r="H88" t="s">
        <v>222</v>
      </c>
      <c r="I88" s="16">
        <v>-348100370000</v>
      </c>
      <c r="J88" s="16">
        <v>-582778830000</v>
      </c>
      <c r="K88" s="16" t="s">
        <v>1020</v>
      </c>
      <c r="L88" s="57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t="s">
        <v>80</v>
      </c>
      <c r="B89" s="62"/>
      <c r="C89" s="63" t="s">
        <v>242</v>
      </c>
      <c r="D89" s="62" t="s">
        <v>243</v>
      </c>
      <c r="E89" t="s">
        <v>73</v>
      </c>
      <c r="F89" t="s">
        <v>36</v>
      </c>
      <c r="G89"/>
      <c r="H89" t="s">
        <v>222</v>
      </c>
      <c r="I89" s="16">
        <v>-348107920000</v>
      </c>
      <c r="J89" s="16">
        <v>-582777490000</v>
      </c>
      <c r="K89" s="16" t="s">
        <v>1339</v>
      </c>
      <c r="L89" s="57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t="s">
        <v>80</v>
      </c>
      <c r="B90" s="62"/>
      <c r="C90" s="63" t="s">
        <v>244</v>
      </c>
      <c r="D90" s="62" t="s">
        <v>243</v>
      </c>
      <c r="E90" t="s">
        <v>73</v>
      </c>
      <c r="F90" t="s">
        <v>36</v>
      </c>
      <c r="G90"/>
      <c r="H90" t="s">
        <v>222</v>
      </c>
      <c r="I90" s="16">
        <v>-348109620000</v>
      </c>
      <c r="J90" s="16">
        <v>-582777260000</v>
      </c>
      <c r="K90" s="16" t="s">
        <v>1021</v>
      </c>
      <c r="L90" s="57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t="s">
        <v>80</v>
      </c>
      <c r="B91" s="62"/>
      <c r="C91" s="63" t="s">
        <v>245</v>
      </c>
      <c r="D91" s="62" t="s">
        <v>246</v>
      </c>
      <c r="E91" t="s">
        <v>113</v>
      </c>
      <c r="F91" t="s">
        <v>36</v>
      </c>
      <c r="G91"/>
      <c r="H91" t="s">
        <v>247</v>
      </c>
      <c r="I91" s="16">
        <v>-348024610000</v>
      </c>
      <c r="J91" s="16">
        <v>-582715570000</v>
      </c>
      <c r="K91" s="16" t="s">
        <v>1025</v>
      </c>
      <c r="L91" s="57">
        <f t="shared" si="13"/>
        <v>30</v>
      </c>
      <c r="M91" s="17">
        <f t="shared" si="11"/>
        <v>0</v>
      </c>
      <c r="N91" s="18">
        <f t="shared" si="12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t="s">
        <v>80</v>
      </c>
      <c r="B92" s="62"/>
      <c r="C92" s="63" t="s">
        <v>248</v>
      </c>
      <c r="D92" s="62" t="s">
        <v>246</v>
      </c>
      <c r="E92" t="s">
        <v>113</v>
      </c>
      <c r="F92" t="s">
        <v>36</v>
      </c>
      <c r="G92"/>
      <c r="H92" t="s">
        <v>247</v>
      </c>
      <c r="I92" s="16">
        <v>-348024610000</v>
      </c>
      <c r="J92" s="16">
        <v>-582715570000</v>
      </c>
      <c r="K92" s="16" t="s">
        <v>1026</v>
      </c>
      <c r="L92" s="57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t="s">
        <v>80</v>
      </c>
      <c r="B93" s="62"/>
      <c r="C93" s="63" t="s">
        <v>249</v>
      </c>
      <c r="D93" s="62" t="s">
        <v>250</v>
      </c>
      <c r="E93" t="s">
        <v>19</v>
      </c>
      <c r="F93" t="s">
        <v>36</v>
      </c>
      <c r="G93"/>
      <c r="H93" t="s">
        <v>251</v>
      </c>
      <c r="I93" s="16">
        <v>-348093230000</v>
      </c>
      <c r="J93" s="16">
        <v>-582817790000</v>
      </c>
      <c r="K93" s="16" t="s">
        <v>1027</v>
      </c>
      <c r="L93" s="57">
        <f t="shared" si="13"/>
        <v>30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t="s">
        <v>80</v>
      </c>
      <c r="B94" s="62"/>
      <c r="C94" s="63" t="s">
        <v>252</v>
      </c>
      <c r="D94" s="62" t="s">
        <v>253</v>
      </c>
      <c r="E94" t="s">
        <v>19</v>
      </c>
      <c r="F94" t="s">
        <v>36</v>
      </c>
      <c r="G94"/>
      <c r="H94" t="s">
        <v>254</v>
      </c>
      <c r="I94" s="16">
        <v>-347987330000</v>
      </c>
      <c r="J94" s="16">
        <v>-582822490000</v>
      </c>
      <c r="K94" s="16" t="s">
        <v>1031</v>
      </c>
      <c r="L94" s="57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t="s">
        <v>80</v>
      </c>
      <c r="B95" s="62"/>
      <c r="C95" s="63" t="s">
        <v>255</v>
      </c>
      <c r="D95" s="62" t="s">
        <v>256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1032</v>
      </c>
      <c r="L95" s="57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t="s">
        <v>257</v>
      </c>
      <c r="B96" s="62"/>
      <c r="C96" s="63" t="s">
        <v>258</v>
      </c>
      <c r="D96" s="62" t="s">
        <v>259</v>
      </c>
      <c r="E96" t="s">
        <v>24</v>
      </c>
      <c r="F96" t="s">
        <v>25</v>
      </c>
      <c r="G96" t="s">
        <v>160</v>
      </c>
      <c r="H96"/>
      <c r="I96" s="16">
        <v>-348055400000</v>
      </c>
      <c r="J96" s="16">
        <v>-582972760000</v>
      </c>
      <c r="K96" s="16" t="s">
        <v>1033</v>
      </c>
      <c r="L96" s="57">
        <f t="shared" si="13"/>
        <v>30</v>
      </c>
      <c r="M96" s="17">
        <f t="shared" si="11"/>
        <v>0</v>
      </c>
      <c r="N96" s="18">
        <f t="shared" si="12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t="s">
        <v>260</v>
      </c>
      <c r="B97" s="62"/>
      <c r="C97" s="63" t="s">
        <v>261</v>
      </c>
      <c r="D97" s="62" t="s">
        <v>262</v>
      </c>
      <c r="E97" t="s">
        <v>24</v>
      </c>
      <c r="F97" t="s">
        <v>25</v>
      </c>
      <c r="G97" t="s">
        <v>184</v>
      </c>
      <c r="H97" t="s">
        <v>263</v>
      </c>
      <c r="I97" s="16">
        <v>-348032560000</v>
      </c>
      <c r="J97" s="16">
        <v>-582926760000</v>
      </c>
      <c r="K97" s="16" t="s">
        <v>1034</v>
      </c>
      <c r="L97" s="57">
        <f t="shared" si="13"/>
        <v>30</v>
      </c>
      <c r="M97" s="17">
        <f t="shared" si="11"/>
        <v>0</v>
      </c>
      <c r="N97" s="18">
        <f t="shared" si="12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t="s">
        <v>260</v>
      </c>
      <c r="B98" s="62"/>
      <c r="C98" s="63" t="s">
        <v>264</v>
      </c>
      <c r="D98" s="62" t="s">
        <v>265</v>
      </c>
      <c r="E98" t="s">
        <v>19</v>
      </c>
      <c r="F98" t="s">
        <v>36</v>
      </c>
      <c r="G98"/>
      <c r="H98" t="s">
        <v>266</v>
      </c>
      <c r="I98" s="16">
        <v>-348083930000</v>
      </c>
      <c r="J98" s="16">
        <v>-582918310000</v>
      </c>
      <c r="K98" s="16" t="s">
        <v>1035</v>
      </c>
      <c r="L98" s="57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t="s">
        <v>260</v>
      </c>
      <c r="B99" s="62"/>
      <c r="C99" s="63" t="s">
        <v>267</v>
      </c>
      <c r="D99" s="62" t="s">
        <v>268</v>
      </c>
      <c r="E99" t="s">
        <v>19</v>
      </c>
      <c r="F99" t="s">
        <v>36</v>
      </c>
      <c r="G99"/>
      <c r="H99" t="s">
        <v>269</v>
      </c>
      <c r="I99" s="16">
        <v>-348019100000</v>
      </c>
      <c r="J99" s="16">
        <v>-582901420000</v>
      </c>
      <c r="K99" s="16" t="s">
        <v>1036</v>
      </c>
      <c r="L99" s="57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t="s">
        <v>270</v>
      </c>
      <c r="B100" s="62"/>
      <c r="C100" s="63" t="s">
        <v>271</v>
      </c>
      <c r="D100" s="62" t="s">
        <v>272</v>
      </c>
      <c r="E100" t="s">
        <v>24</v>
      </c>
      <c r="F100" t="s">
        <v>25</v>
      </c>
      <c r="G100" t="s">
        <v>160</v>
      </c>
      <c r="H100"/>
      <c r="I100" s="16">
        <v>-348419680000</v>
      </c>
      <c r="J100" s="16">
        <v>-582787590000</v>
      </c>
      <c r="K100" s="16" t="s">
        <v>1037</v>
      </c>
      <c r="L100" s="57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936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t="s">
        <v>273</v>
      </c>
      <c r="B101" s="62"/>
      <c r="C101" s="63" t="s">
        <v>274</v>
      </c>
      <c r="D101" s="62" t="s">
        <v>275</v>
      </c>
      <c r="E101" t="s">
        <v>24</v>
      </c>
      <c r="F101" t="s">
        <v>25</v>
      </c>
      <c r="G101" t="s">
        <v>276</v>
      </c>
      <c r="H101"/>
      <c r="I101" s="16">
        <v>-348439980000</v>
      </c>
      <c r="J101" s="16">
        <v>-582786670000</v>
      </c>
      <c r="K101" s="16" t="s">
        <v>1038</v>
      </c>
      <c r="L101" s="57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t="s">
        <v>273</v>
      </c>
      <c r="B102" s="62"/>
      <c r="C102" s="63" t="s">
        <v>277</v>
      </c>
      <c r="D102" s="62" t="s">
        <v>278</v>
      </c>
      <c r="E102" t="s">
        <v>19</v>
      </c>
      <c r="F102" t="s">
        <v>25</v>
      </c>
      <c r="G102"/>
      <c r="H102" t="s">
        <v>279</v>
      </c>
      <c r="I102" s="16">
        <v>-348376190000</v>
      </c>
      <c r="J102" s="16">
        <v>-582703080000</v>
      </c>
      <c r="K102" s="16" t="s">
        <v>1039</v>
      </c>
      <c r="L102" s="57">
        <f t="shared" si="13"/>
        <v>29</v>
      </c>
      <c r="M102" s="17">
        <f t="shared" si="11"/>
        <v>1</v>
      </c>
      <c r="N102" s="18">
        <f t="shared" si="12"/>
        <v>0.96666666666666667</v>
      </c>
      <c r="O102" s="27"/>
      <c r="P102" s="8"/>
      <c r="Q102" s="8"/>
      <c r="R102" s="8" t="s">
        <v>1369</v>
      </c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B103" s="62"/>
      <c r="C103" s="63" t="s">
        <v>280</v>
      </c>
      <c r="D103" s="62" t="s">
        <v>281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1040</v>
      </c>
      <c r="L103" s="57">
        <f t="shared" si="13"/>
        <v>30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t="s">
        <v>282</v>
      </c>
      <c r="B104" s="62"/>
      <c r="C104" s="63" t="s">
        <v>283</v>
      </c>
      <c r="D104" s="62" t="s">
        <v>284</v>
      </c>
      <c r="E104" t="s">
        <v>113</v>
      </c>
      <c r="F104" t="s">
        <v>941</v>
      </c>
      <c r="G104"/>
      <c r="H104" t="s">
        <v>285</v>
      </c>
      <c r="I104" s="16">
        <v>-347971580000</v>
      </c>
      <c r="J104" s="16">
        <v>-583070820000</v>
      </c>
      <c r="K104" s="16" t="s">
        <v>1041</v>
      </c>
      <c r="L104" s="57">
        <f t="shared" si="13"/>
        <v>30</v>
      </c>
      <c r="M104" s="17">
        <f t="shared" si="11"/>
        <v>0</v>
      </c>
      <c r="N104" s="18">
        <f t="shared" si="12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t="s">
        <v>282</v>
      </c>
      <c r="B105" s="62"/>
      <c r="C105" s="63" t="s">
        <v>286</v>
      </c>
      <c r="D105" s="62" t="s">
        <v>284</v>
      </c>
      <c r="E105" t="s">
        <v>113</v>
      </c>
      <c r="F105" t="s">
        <v>941</v>
      </c>
      <c r="G105"/>
      <c r="H105" t="s">
        <v>287</v>
      </c>
      <c r="I105" s="16">
        <v>-347971580000</v>
      </c>
      <c r="J105" s="16">
        <v>-583070820000</v>
      </c>
      <c r="K105" s="16" t="s">
        <v>1042</v>
      </c>
      <c r="L105" s="57">
        <f t="shared" si="13"/>
        <v>30</v>
      </c>
      <c r="M105" s="17">
        <f t="shared" si="11"/>
        <v>0</v>
      </c>
      <c r="N105" s="18">
        <f t="shared" si="12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t="s">
        <v>288</v>
      </c>
      <c r="B106" s="62"/>
      <c r="C106" s="63" t="s">
        <v>289</v>
      </c>
      <c r="D106" s="62" t="s">
        <v>290</v>
      </c>
      <c r="E106" t="s">
        <v>19</v>
      </c>
      <c r="F106" t="s">
        <v>36</v>
      </c>
      <c r="G106"/>
      <c r="H106" t="s">
        <v>291</v>
      </c>
      <c r="I106" s="16">
        <v>-348640160000</v>
      </c>
      <c r="J106" s="16">
        <v>-581864200000</v>
      </c>
      <c r="K106" s="16" t="s">
        <v>1043</v>
      </c>
      <c r="L106" s="57">
        <f t="shared" si="13"/>
        <v>30</v>
      </c>
      <c r="M106" s="17">
        <f t="shared" si="11"/>
        <v>0</v>
      </c>
      <c r="N106" s="18">
        <f t="shared" si="12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t="s">
        <v>288</v>
      </c>
      <c r="B107" s="62"/>
      <c r="C107" s="63" t="s">
        <v>292</v>
      </c>
      <c r="D107" s="62" t="s">
        <v>293</v>
      </c>
      <c r="E107" t="s">
        <v>19</v>
      </c>
      <c r="F107" t="s">
        <v>36</v>
      </c>
      <c r="G107"/>
      <c r="H107" t="s">
        <v>291</v>
      </c>
      <c r="I107" s="16">
        <v>-348649110000</v>
      </c>
      <c r="J107" s="16">
        <v>-581897790000</v>
      </c>
      <c r="K107" s="16" t="s">
        <v>1044</v>
      </c>
      <c r="L107" s="57">
        <f t="shared" si="13"/>
        <v>30</v>
      </c>
      <c r="M107" s="17">
        <f t="shared" si="11"/>
        <v>0</v>
      </c>
      <c r="N107" s="18">
        <f t="shared" si="12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t="s">
        <v>288</v>
      </c>
      <c r="B108" s="62"/>
      <c r="C108" s="63" t="s">
        <v>294</v>
      </c>
      <c r="D108" s="62" t="s">
        <v>295</v>
      </c>
      <c r="E108" t="s">
        <v>24</v>
      </c>
      <c r="F108" t="s">
        <v>36</v>
      </c>
      <c r="G108"/>
      <c r="H108" t="s">
        <v>296</v>
      </c>
      <c r="I108" s="16">
        <v>-348627750000</v>
      </c>
      <c r="J108" s="16">
        <v>-581816550000</v>
      </c>
      <c r="K108" s="16" t="s">
        <v>1045</v>
      </c>
      <c r="L108" s="57">
        <f t="shared" si="13"/>
        <v>30</v>
      </c>
      <c r="M108" s="17">
        <f t="shared" si="11"/>
        <v>0</v>
      </c>
      <c r="N108" s="18">
        <f t="shared" si="12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t="s">
        <v>288</v>
      </c>
      <c r="B109" s="62"/>
      <c r="C109" s="63" t="s">
        <v>297</v>
      </c>
      <c r="D109" s="62" t="s">
        <v>298</v>
      </c>
      <c r="E109" t="s">
        <v>19</v>
      </c>
      <c r="F109" t="s">
        <v>36</v>
      </c>
      <c r="G109"/>
      <c r="H109" t="s">
        <v>299</v>
      </c>
      <c r="I109" s="16">
        <v>-348644840000</v>
      </c>
      <c r="J109" s="16">
        <v>-581880940000</v>
      </c>
      <c r="K109" s="16" t="s">
        <v>1046</v>
      </c>
      <c r="L109" s="57">
        <f t="shared" si="13"/>
        <v>30</v>
      </c>
      <c r="M109" s="17">
        <f t="shared" si="11"/>
        <v>0</v>
      </c>
      <c r="N109" s="18">
        <f t="shared" si="12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t="s">
        <v>300</v>
      </c>
      <c r="B110" s="62"/>
      <c r="C110" s="63" t="s">
        <v>301</v>
      </c>
      <c r="D110" s="62" t="s">
        <v>302</v>
      </c>
      <c r="E110" t="s">
        <v>19</v>
      </c>
      <c r="F110" t="s">
        <v>941</v>
      </c>
      <c r="G110"/>
      <c r="H110" t="s">
        <v>303</v>
      </c>
      <c r="I110" s="16">
        <v>-348185740000</v>
      </c>
      <c r="J110" s="16">
        <v>-582866380000</v>
      </c>
      <c r="K110" s="16" t="s">
        <v>1053</v>
      </c>
      <c r="L110" s="57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t="s">
        <v>300</v>
      </c>
      <c r="B111" s="62"/>
      <c r="C111" s="63" t="s">
        <v>304</v>
      </c>
      <c r="D111" s="99" t="s">
        <v>1370</v>
      </c>
      <c r="E111" t="s">
        <v>73</v>
      </c>
      <c r="F111" t="s">
        <v>25</v>
      </c>
      <c r="G111"/>
      <c r="H111" t="s">
        <v>305</v>
      </c>
      <c r="I111" s="16">
        <v>-348166000000</v>
      </c>
      <c r="J111" s="16">
        <v>-582800440000</v>
      </c>
      <c r="K111" s="16" t="s">
        <v>1054</v>
      </c>
      <c r="L111" s="57">
        <f t="shared" si="13"/>
        <v>28</v>
      </c>
      <c r="M111" s="17">
        <f t="shared" si="11"/>
        <v>2</v>
      </c>
      <c r="N111" s="18">
        <f t="shared" si="12"/>
        <v>0.93333333333333335</v>
      </c>
      <c r="O111" s="27" t="s">
        <v>1369</v>
      </c>
      <c r="P111" s="8" t="s">
        <v>1369</v>
      </c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t="s">
        <v>300</v>
      </c>
      <c r="B112" s="62"/>
      <c r="C112" s="63" t="s">
        <v>306</v>
      </c>
      <c r="D112" s="62" t="s">
        <v>307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1047</v>
      </c>
      <c r="L112" s="57">
        <f t="shared" si="13"/>
        <v>30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t="s">
        <v>308</v>
      </c>
      <c r="B113" s="62"/>
      <c r="C113" s="63" t="s">
        <v>309</v>
      </c>
      <c r="D113" s="62" t="s">
        <v>310</v>
      </c>
      <c r="E113" t="s">
        <v>24</v>
      </c>
      <c r="F113" t="s">
        <v>941</v>
      </c>
      <c r="G113" t="s">
        <v>150</v>
      </c>
      <c r="H113"/>
      <c r="I113" s="16">
        <v>-348125000000</v>
      </c>
      <c r="J113" s="16">
        <v>-582916650000</v>
      </c>
      <c r="K113" s="16" t="s">
        <v>1048</v>
      </c>
      <c r="L113" s="57">
        <f t="shared" si="13"/>
        <v>28</v>
      </c>
      <c r="M113" s="17">
        <f t="shared" si="11"/>
        <v>2</v>
      </c>
      <c r="N113" s="18">
        <f t="shared" si="12"/>
        <v>0.93333333333333335</v>
      </c>
      <c r="O113" s="27" t="s">
        <v>1369</v>
      </c>
      <c r="P113" s="8" t="s">
        <v>1369</v>
      </c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t="s">
        <v>311</v>
      </c>
      <c r="B114" s="62"/>
      <c r="C114" s="63" t="s">
        <v>312</v>
      </c>
      <c r="D114" s="62" t="s">
        <v>313</v>
      </c>
      <c r="E114" t="s">
        <v>19</v>
      </c>
      <c r="F114" t="s">
        <v>941</v>
      </c>
      <c r="G114" t="s">
        <v>314</v>
      </c>
      <c r="H114"/>
      <c r="I114" s="16">
        <v>-348215020000</v>
      </c>
      <c r="J114" s="16">
        <v>-582844880000</v>
      </c>
      <c r="K114" s="16" t="s">
        <v>1049</v>
      </c>
      <c r="L114" s="57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t="s">
        <v>300</v>
      </c>
      <c r="B115" s="62"/>
      <c r="C115" s="63" t="s">
        <v>315</v>
      </c>
      <c r="D115" s="62" t="s">
        <v>316</v>
      </c>
      <c r="E115" t="s">
        <v>24</v>
      </c>
      <c r="F115" t="s">
        <v>36</v>
      </c>
      <c r="G115" t="s">
        <v>160</v>
      </c>
      <c r="H115"/>
      <c r="I115" s="16">
        <v>-348128700000</v>
      </c>
      <c r="J115" s="16">
        <v>-582840370000</v>
      </c>
      <c r="K115" s="16" t="s">
        <v>1050</v>
      </c>
      <c r="L115" s="57">
        <f t="shared" si="13"/>
        <v>30</v>
      </c>
      <c r="M115" s="17">
        <f t="shared" si="11"/>
        <v>0</v>
      </c>
      <c r="N115" s="18">
        <f t="shared" si="12"/>
        <v>1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t="s">
        <v>300</v>
      </c>
      <c r="B116" s="62"/>
      <c r="C116" s="63" t="s">
        <v>317</v>
      </c>
      <c r="D116" s="62" t="s">
        <v>318</v>
      </c>
      <c r="E116" t="s">
        <v>24</v>
      </c>
      <c r="F116" t="s">
        <v>36</v>
      </c>
      <c r="G116" t="s">
        <v>319</v>
      </c>
      <c r="H116"/>
      <c r="I116" s="16">
        <v>-348143510000</v>
      </c>
      <c r="J116" s="16">
        <v>-582840870000</v>
      </c>
      <c r="K116" s="16" t="s">
        <v>1051</v>
      </c>
      <c r="L116" s="57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t="s">
        <v>300</v>
      </c>
      <c r="B117" s="62"/>
      <c r="C117" s="63" t="s">
        <v>320</v>
      </c>
      <c r="D117" s="62" t="s">
        <v>321</v>
      </c>
      <c r="E117" t="s">
        <v>24</v>
      </c>
      <c r="F117" t="s">
        <v>25</v>
      </c>
      <c r="G117" t="s">
        <v>322</v>
      </c>
      <c r="H117"/>
      <c r="I117" s="16">
        <v>-348122180000</v>
      </c>
      <c r="J117" s="16">
        <v>-582880340000</v>
      </c>
      <c r="K117" s="16" t="s">
        <v>1052</v>
      </c>
      <c r="L117" s="57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t="s">
        <v>300</v>
      </c>
      <c r="B118" s="62"/>
      <c r="C118" s="63" t="s">
        <v>323</v>
      </c>
      <c r="D118" s="62" t="s">
        <v>324</v>
      </c>
      <c r="E118" t="s">
        <v>113</v>
      </c>
      <c r="F118" t="s">
        <v>36</v>
      </c>
      <c r="G118"/>
      <c r="H118" t="s">
        <v>325</v>
      </c>
      <c r="I118" s="16">
        <v>-348119540000</v>
      </c>
      <c r="J118" s="16">
        <v>-582824360000</v>
      </c>
      <c r="K118" s="16" t="s">
        <v>1055</v>
      </c>
      <c r="L118" s="57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t="s">
        <v>300</v>
      </c>
      <c r="B119" s="62"/>
      <c r="C119" s="63" t="s">
        <v>326</v>
      </c>
      <c r="D119" s="62" t="s">
        <v>324</v>
      </c>
      <c r="E119" t="s">
        <v>113</v>
      </c>
      <c r="F119" t="s">
        <v>36</v>
      </c>
      <c r="G119"/>
      <c r="H119" t="s">
        <v>327</v>
      </c>
      <c r="I119" s="16">
        <v>-348119550000</v>
      </c>
      <c r="J119" s="16">
        <v>-582824410000</v>
      </c>
      <c r="K119" s="16" t="s">
        <v>1056</v>
      </c>
      <c r="L119" s="57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t="s">
        <v>300</v>
      </c>
      <c r="B120" s="62"/>
      <c r="C120" s="63" t="s">
        <v>328</v>
      </c>
      <c r="D120" s="62" t="s">
        <v>329</v>
      </c>
      <c r="E120" t="s">
        <v>113</v>
      </c>
      <c r="F120" t="s">
        <v>36</v>
      </c>
      <c r="G120"/>
      <c r="H120" t="s">
        <v>247</v>
      </c>
      <c r="I120" s="16">
        <v>-348203540000</v>
      </c>
      <c r="J120" s="16">
        <v>-582852520000</v>
      </c>
      <c r="K120" s="16" t="s">
        <v>1023</v>
      </c>
      <c r="L120" s="57">
        <f t="shared" si="13"/>
        <v>25</v>
      </c>
      <c r="M120" s="17">
        <f t="shared" si="11"/>
        <v>5</v>
      </c>
      <c r="N120" s="18">
        <f t="shared" si="12"/>
        <v>0.83333333333333337</v>
      </c>
      <c r="O120" s="27" t="s">
        <v>1369</v>
      </c>
      <c r="P120" s="8" t="s">
        <v>1369</v>
      </c>
      <c r="Q120" s="8" t="s">
        <v>1369</v>
      </c>
      <c r="R120" s="8" t="s">
        <v>1369</v>
      </c>
      <c r="S120" s="27" t="s">
        <v>1369</v>
      </c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t="s">
        <v>300</v>
      </c>
      <c r="B121" s="62"/>
      <c r="C121" s="63" t="s">
        <v>330</v>
      </c>
      <c r="D121" s="62" t="s">
        <v>329</v>
      </c>
      <c r="E121" t="s">
        <v>113</v>
      </c>
      <c r="F121" t="s">
        <v>36</v>
      </c>
      <c r="G121"/>
      <c r="H121" t="s">
        <v>247</v>
      </c>
      <c r="I121" s="16">
        <v>-348203540000</v>
      </c>
      <c r="J121" s="16">
        <v>-582852520000</v>
      </c>
      <c r="K121" s="16" t="s">
        <v>1024</v>
      </c>
      <c r="L121" s="57">
        <f t="shared" si="13"/>
        <v>25</v>
      </c>
      <c r="M121" s="17">
        <f t="shared" si="11"/>
        <v>5</v>
      </c>
      <c r="N121" s="18">
        <f t="shared" si="12"/>
        <v>0.83333333333333337</v>
      </c>
      <c r="O121" s="27" t="s">
        <v>1369</v>
      </c>
      <c r="P121" s="8" t="s">
        <v>1369</v>
      </c>
      <c r="Q121" s="8" t="s">
        <v>1369</v>
      </c>
      <c r="R121" s="8" t="s">
        <v>1369</v>
      </c>
      <c r="S121" s="27" t="s">
        <v>1369</v>
      </c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t="s">
        <v>331</v>
      </c>
      <c r="B122" s="62"/>
      <c r="C122" s="63" t="s">
        <v>332</v>
      </c>
      <c r="D122" s="62" t="s">
        <v>333</v>
      </c>
      <c r="E122" t="s">
        <v>19</v>
      </c>
      <c r="F122" t="s">
        <v>36</v>
      </c>
      <c r="G122"/>
      <c r="H122" t="s">
        <v>291</v>
      </c>
      <c r="I122" s="16">
        <v>-348663680000</v>
      </c>
      <c r="J122" s="16">
        <v>-581917520000</v>
      </c>
      <c r="K122" s="16" t="s">
        <v>1058</v>
      </c>
      <c r="L122" s="57">
        <f t="shared" si="13"/>
        <v>30</v>
      </c>
      <c r="M122" s="17">
        <f t="shared" si="11"/>
        <v>0</v>
      </c>
      <c r="N122" s="18">
        <f t="shared" si="12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t="s">
        <v>331</v>
      </c>
      <c r="B123" s="62"/>
      <c r="C123" s="63" t="s">
        <v>334</v>
      </c>
      <c r="D123" s="62" t="s">
        <v>335</v>
      </c>
      <c r="E123" t="s">
        <v>19</v>
      </c>
      <c r="F123" t="s">
        <v>36</v>
      </c>
      <c r="G123"/>
      <c r="H123" t="s">
        <v>291</v>
      </c>
      <c r="I123" s="16">
        <v>-348677360000</v>
      </c>
      <c r="J123" s="16">
        <v>-581899690000</v>
      </c>
      <c r="K123" s="16" t="s">
        <v>1059</v>
      </c>
      <c r="L123" s="57">
        <f t="shared" si="13"/>
        <v>30</v>
      </c>
      <c r="M123" s="17">
        <f t="shared" si="11"/>
        <v>0</v>
      </c>
      <c r="N123" s="18">
        <f t="shared" si="12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t="s">
        <v>336</v>
      </c>
      <c r="B124" s="62"/>
      <c r="C124" s="63" t="s">
        <v>337</v>
      </c>
      <c r="D124" s="62" t="s">
        <v>338</v>
      </c>
      <c r="E124" t="s">
        <v>19</v>
      </c>
      <c r="F124" t="s">
        <v>36</v>
      </c>
      <c r="G124"/>
      <c r="H124" t="s">
        <v>339</v>
      </c>
      <c r="I124" s="16">
        <v>-348252070000</v>
      </c>
      <c r="J124" s="16">
        <v>-582467880000</v>
      </c>
      <c r="K124" s="16" t="s">
        <v>1060</v>
      </c>
      <c r="L124" s="57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t="s">
        <v>340</v>
      </c>
      <c r="B125" s="62"/>
      <c r="C125" s="63" t="s">
        <v>341</v>
      </c>
      <c r="D125" s="62" t="s">
        <v>342</v>
      </c>
      <c r="E125" t="s">
        <v>19</v>
      </c>
      <c r="F125" t="s">
        <v>25</v>
      </c>
      <c r="G125"/>
      <c r="H125" t="s">
        <v>343</v>
      </c>
      <c r="I125" s="16">
        <v>-348066790000</v>
      </c>
      <c r="J125" s="16">
        <v>-583015690000</v>
      </c>
      <c r="K125" s="16" t="s">
        <v>1067</v>
      </c>
      <c r="L125" s="57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t="s">
        <v>340</v>
      </c>
      <c r="B126" s="62"/>
      <c r="C126" s="63" t="s">
        <v>344</v>
      </c>
      <c r="D126" s="62" t="s">
        <v>345</v>
      </c>
      <c r="E126" t="s">
        <v>19</v>
      </c>
      <c r="F126" t="s">
        <v>25</v>
      </c>
      <c r="G126"/>
      <c r="H126" t="s">
        <v>346</v>
      </c>
      <c r="I126" s="16">
        <v>-348074220000</v>
      </c>
      <c r="J126" s="16">
        <v>-582975280000</v>
      </c>
      <c r="K126" s="16" t="s">
        <v>1068</v>
      </c>
      <c r="L126" s="57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t="s">
        <v>340</v>
      </c>
      <c r="B127" s="62"/>
      <c r="C127" s="63" t="s">
        <v>347</v>
      </c>
      <c r="D127" s="62" t="s">
        <v>348</v>
      </c>
      <c r="E127" t="s">
        <v>19</v>
      </c>
      <c r="F127" t="s">
        <v>25</v>
      </c>
      <c r="G127"/>
      <c r="H127" t="s">
        <v>349</v>
      </c>
      <c r="I127" s="16">
        <v>-348076100000</v>
      </c>
      <c r="J127" s="16">
        <v>-582957320000</v>
      </c>
      <c r="K127" s="16" t="s">
        <v>1069</v>
      </c>
      <c r="L127" s="57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t="s">
        <v>340</v>
      </c>
      <c r="B128" s="62"/>
      <c r="C128" s="63" t="s">
        <v>350</v>
      </c>
      <c r="D128" s="62" t="s">
        <v>351</v>
      </c>
      <c r="E128" t="s">
        <v>19</v>
      </c>
      <c r="F128" t="s">
        <v>25</v>
      </c>
      <c r="G128"/>
      <c r="H128" t="s">
        <v>352</v>
      </c>
      <c r="I128" s="16">
        <v>-348075900000</v>
      </c>
      <c r="J128" s="16">
        <v>-582968630000</v>
      </c>
      <c r="K128" s="16" t="s">
        <v>1070</v>
      </c>
      <c r="L128" s="57">
        <f t="shared" si="13"/>
        <v>30</v>
      </c>
      <c r="M128" s="17">
        <f t="shared" si="11"/>
        <v>0</v>
      </c>
      <c r="N128" s="18">
        <f t="shared" si="12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t="s">
        <v>340</v>
      </c>
      <c r="B129" s="62"/>
      <c r="C129" s="63" t="s">
        <v>353</v>
      </c>
      <c r="D129" s="62" t="s">
        <v>354</v>
      </c>
      <c r="E129" t="s">
        <v>113</v>
      </c>
      <c r="F129" t="s">
        <v>941</v>
      </c>
      <c r="G129"/>
      <c r="H129" t="s">
        <v>296</v>
      </c>
      <c r="I129" s="16">
        <v>-348034360000</v>
      </c>
      <c r="J129" s="16">
        <v>-583009630000</v>
      </c>
      <c r="K129" s="16" t="s">
        <v>1072</v>
      </c>
      <c r="L129" s="57">
        <f t="shared" si="13"/>
        <v>30</v>
      </c>
      <c r="M129" s="17">
        <f t="shared" si="11"/>
        <v>0</v>
      </c>
      <c r="N129" s="18">
        <f t="shared" si="12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t="s">
        <v>340</v>
      </c>
      <c r="B130" s="62"/>
      <c r="C130" s="63" t="s">
        <v>355</v>
      </c>
      <c r="D130" s="62" t="s">
        <v>354</v>
      </c>
      <c r="E130" t="s">
        <v>113</v>
      </c>
      <c r="F130" t="s">
        <v>941</v>
      </c>
      <c r="G130"/>
      <c r="H130" t="s">
        <v>296</v>
      </c>
      <c r="I130" s="16">
        <v>-348034540000</v>
      </c>
      <c r="J130" s="16">
        <v>-583010170000</v>
      </c>
      <c r="K130" s="16" t="s">
        <v>1073</v>
      </c>
      <c r="L130" s="57">
        <f t="shared" si="13"/>
        <v>30</v>
      </c>
      <c r="M130" s="17">
        <f t="shared" si="11"/>
        <v>0</v>
      </c>
      <c r="N130" s="18">
        <f t="shared" si="12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t="s">
        <v>356</v>
      </c>
      <c r="B131" s="62"/>
      <c r="C131" s="63" t="s">
        <v>357</v>
      </c>
      <c r="D131" s="62" t="s">
        <v>358</v>
      </c>
      <c r="E131" t="s">
        <v>19</v>
      </c>
      <c r="F131" t="s">
        <v>25</v>
      </c>
      <c r="G131" t="s">
        <v>359</v>
      </c>
      <c r="H131"/>
      <c r="I131" s="16">
        <v>-348074000000</v>
      </c>
      <c r="J131" s="16">
        <v>-583095340000</v>
      </c>
      <c r="K131" s="16" t="s">
        <v>1061</v>
      </c>
      <c r="L131" s="57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t="s">
        <v>260</v>
      </c>
      <c r="B132" s="62"/>
      <c r="C132" s="63" t="s">
        <v>360</v>
      </c>
      <c r="D132" s="62" t="s">
        <v>361</v>
      </c>
      <c r="E132" t="s">
        <v>24</v>
      </c>
      <c r="F132" t="s">
        <v>25</v>
      </c>
      <c r="G132" t="s">
        <v>362</v>
      </c>
      <c r="H132"/>
      <c r="I132" s="16">
        <v>-348084650000</v>
      </c>
      <c r="J132" s="16">
        <v>-582948520000</v>
      </c>
      <c r="K132" s="16" t="s">
        <v>1062</v>
      </c>
      <c r="L132" s="57">
        <f t="shared" si="13"/>
        <v>30</v>
      </c>
      <c r="M132" s="17">
        <f t="shared" si="11"/>
        <v>0</v>
      </c>
      <c r="N132" s="18">
        <f t="shared" si="12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t="s">
        <v>340</v>
      </c>
      <c r="B133" s="62"/>
      <c r="C133" s="63" t="s">
        <v>363</v>
      </c>
      <c r="D133" s="62" t="s">
        <v>364</v>
      </c>
      <c r="E133" t="s">
        <v>24</v>
      </c>
      <c r="F133" t="s">
        <v>25</v>
      </c>
      <c r="G133" t="s">
        <v>365</v>
      </c>
      <c r="H133"/>
      <c r="I133" s="16">
        <v>-348022280000</v>
      </c>
      <c r="J133" s="16">
        <v>-583005700000</v>
      </c>
      <c r="K133" s="16" t="s">
        <v>1063</v>
      </c>
      <c r="L133" s="57">
        <f t="shared" si="13"/>
        <v>25</v>
      </c>
      <c r="M133" s="17">
        <f t="shared" ref="M133:M196" si="14">COUNTIF(O133:AP133,"APAGADO")</f>
        <v>5</v>
      </c>
      <c r="N133" s="18">
        <f t="shared" ref="N133:N196" si="15">(L133)/(M133+L133)</f>
        <v>0.83333333333333337</v>
      </c>
      <c r="O133" s="27" t="s">
        <v>1369</v>
      </c>
      <c r="P133" s="8" t="s">
        <v>1369</v>
      </c>
      <c r="Q133" s="8" t="s">
        <v>1369</v>
      </c>
      <c r="R133" s="8" t="s">
        <v>1369</v>
      </c>
      <c r="S133" s="27" t="s">
        <v>1369</v>
      </c>
      <c r="T133" s="27"/>
      <c r="U133" s="8"/>
      <c r="V133" s="8"/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t="s">
        <v>340</v>
      </c>
      <c r="B134" s="62"/>
      <c r="C134" s="63" t="s">
        <v>366</v>
      </c>
      <c r="D134" s="62" t="s">
        <v>367</v>
      </c>
      <c r="E134" t="s">
        <v>24</v>
      </c>
      <c r="F134" t="s">
        <v>25</v>
      </c>
      <c r="G134" t="s">
        <v>368</v>
      </c>
      <c r="H134"/>
      <c r="I134" s="16">
        <v>-348079900000</v>
      </c>
      <c r="J134" s="16">
        <v>-583023830000</v>
      </c>
      <c r="K134" s="16" t="s">
        <v>1064</v>
      </c>
      <c r="L134" s="57">
        <f t="shared" ref="L134:L197" si="16">COUNTIF(O134:AR134,"")</f>
        <v>30</v>
      </c>
      <c r="M134" s="17">
        <f t="shared" si="14"/>
        <v>0</v>
      </c>
      <c r="N134" s="18">
        <f t="shared" si="15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t="s">
        <v>340</v>
      </c>
      <c r="B135" s="62"/>
      <c r="C135" s="63" t="s">
        <v>369</v>
      </c>
      <c r="D135" s="62" t="s">
        <v>370</v>
      </c>
      <c r="E135" t="s">
        <v>24</v>
      </c>
      <c r="F135" t="s">
        <v>25</v>
      </c>
      <c r="G135" t="s">
        <v>359</v>
      </c>
      <c r="H135"/>
      <c r="I135" s="16">
        <v>-348085620000</v>
      </c>
      <c r="J135" s="16">
        <v>-582997660000</v>
      </c>
      <c r="K135" s="16" t="s">
        <v>1065</v>
      </c>
      <c r="L135" s="57">
        <f t="shared" si="16"/>
        <v>30</v>
      </c>
      <c r="M135" s="17">
        <f t="shared" si="14"/>
        <v>0</v>
      </c>
      <c r="N135" s="18">
        <f t="shared" si="15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t="s">
        <v>340</v>
      </c>
      <c r="B136" s="62"/>
      <c r="C136" s="63" t="s">
        <v>371</v>
      </c>
      <c r="D136" s="62" t="s">
        <v>372</v>
      </c>
      <c r="E136" t="s">
        <v>19</v>
      </c>
      <c r="F136" t="s">
        <v>25</v>
      </c>
      <c r="G136" t="s">
        <v>373</v>
      </c>
      <c r="H136"/>
      <c r="I136" s="16">
        <v>-348070910000</v>
      </c>
      <c r="J136" s="16">
        <v>-583063750000</v>
      </c>
      <c r="K136" s="16" t="s">
        <v>1066</v>
      </c>
      <c r="L136" s="57">
        <f t="shared" si="16"/>
        <v>26</v>
      </c>
      <c r="M136" s="17">
        <f t="shared" si="14"/>
        <v>4</v>
      </c>
      <c r="N136" s="18">
        <f t="shared" si="15"/>
        <v>0.8666666666666667</v>
      </c>
      <c r="O136" s="27" t="s">
        <v>1369</v>
      </c>
      <c r="P136" s="8" t="s">
        <v>1369</v>
      </c>
      <c r="Q136" s="8" t="s">
        <v>1369</v>
      </c>
      <c r="R136" s="8" t="s">
        <v>1369</v>
      </c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t="s">
        <v>340</v>
      </c>
      <c r="B137" s="62"/>
      <c r="C137" s="63" t="s">
        <v>374</v>
      </c>
      <c r="D137" s="62" t="s">
        <v>375</v>
      </c>
      <c r="E137" t="s">
        <v>19</v>
      </c>
      <c r="F137" t="s">
        <v>36</v>
      </c>
      <c r="G137"/>
      <c r="H137" t="s">
        <v>266</v>
      </c>
      <c r="I137" s="16">
        <v>-348083080000</v>
      </c>
      <c r="J137" s="16">
        <v>-582951030000</v>
      </c>
      <c r="K137" s="16" t="s">
        <v>1071</v>
      </c>
      <c r="L137" s="57">
        <f t="shared" si="16"/>
        <v>30</v>
      </c>
      <c r="M137" s="17">
        <f t="shared" si="14"/>
        <v>0</v>
      </c>
      <c r="N137" s="18">
        <f t="shared" si="15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t="s">
        <v>340</v>
      </c>
      <c r="B138" s="62"/>
      <c r="C138" s="63" t="s">
        <v>376</v>
      </c>
      <c r="D138" s="62" t="s">
        <v>377</v>
      </c>
      <c r="E138" t="s">
        <v>113</v>
      </c>
      <c r="F138" t="s">
        <v>941</v>
      </c>
      <c r="G138"/>
      <c r="H138" t="s">
        <v>378</v>
      </c>
      <c r="I138" s="16">
        <v>-348053300000</v>
      </c>
      <c r="J138" s="16">
        <v>-583014930000</v>
      </c>
      <c r="K138" s="16" t="s">
        <v>1074</v>
      </c>
      <c r="L138" s="57">
        <f t="shared" si="16"/>
        <v>30</v>
      </c>
      <c r="M138" s="17">
        <f t="shared" si="14"/>
        <v>0</v>
      </c>
      <c r="N138" s="18">
        <f t="shared" si="15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t="s">
        <v>340</v>
      </c>
      <c r="B139" s="62"/>
      <c r="C139" s="63" t="s">
        <v>379</v>
      </c>
      <c r="D139" s="62" t="s">
        <v>377</v>
      </c>
      <c r="E139" t="s">
        <v>113</v>
      </c>
      <c r="F139" t="s">
        <v>941</v>
      </c>
      <c r="G139"/>
      <c r="H139" t="s">
        <v>380</v>
      </c>
      <c r="I139" s="16">
        <v>-348053300000</v>
      </c>
      <c r="J139" s="16">
        <v>-583014930000</v>
      </c>
      <c r="K139" s="16" t="s">
        <v>1075</v>
      </c>
      <c r="L139" s="57">
        <f t="shared" si="16"/>
        <v>30</v>
      </c>
      <c r="M139" s="17">
        <f t="shared" si="14"/>
        <v>0</v>
      </c>
      <c r="N139" s="18">
        <f t="shared" si="15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t="s">
        <v>340</v>
      </c>
      <c r="B140" s="62"/>
      <c r="C140" s="63" t="s">
        <v>381</v>
      </c>
      <c r="D140" s="62" t="s">
        <v>382</v>
      </c>
      <c r="E140" t="s">
        <v>113</v>
      </c>
      <c r="F140" t="s">
        <v>941</v>
      </c>
      <c r="G140"/>
      <c r="H140" t="s">
        <v>383</v>
      </c>
      <c r="I140" s="16">
        <v>-348051560000</v>
      </c>
      <c r="J140" s="16">
        <v>-583023560000</v>
      </c>
      <c r="K140" s="16" t="s">
        <v>1076</v>
      </c>
      <c r="L140" s="57">
        <f t="shared" si="16"/>
        <v>30</v>
      </c>
      <c r="M140" s="17">
        <f t="shared" si="14"/>
        <v>0</v>
      </c>
      <c r="N140" s="18">
        <f t="shared" si="15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t="s">
        <v>340</v>
      </c>
      <c r="B141" s="62"/>
      <c r="C141" s="63" t="s">
        <v>384</v>
      </c>
      <c r="D141" s="62" t="s">
        <v>382</v>
      </c>
      <c r="E141" t="s">
        <v>113</v>
      </c>
      <c r="F141" t="s">
        <v>941</v>
      </c>
      <c r="G141"/>
      <c r="H141" t="s">
        <v>383</v>
      </c>
      <c r="I141" s="16">
        <v>-348051560000</v>
      </c>
      <c r="J141" s="16">
        <v>-583023560000</v>
      </c>
      <c r="K141" s="16" t="s">
        <v>1077</v>
      </c>
      <c r="L141" s="57">
        <f t="shared" si="16"/>
        <v>30</v>
      </c>
      <c r="M141" s="17">
        <f t="shared" si="14"/>
        <v>0</v>
      </c>
      <c r="N141" s="18">
        <f t="shared" si="15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t="s">
        <v>166</v>
      </c>
      <c r="B142" s="62"/>
      <c r="C142" s="63" t="s">
        <v>385</v>
      </c>
      <c r="D142" s="62" t="s">
        <v>386</v>
      </c>
      <c r="E142" t="s">
        <v>19</v>
      </c>
      <c r="F142" t="s">
        <v>941</v>
      </c>
      <c r="G142"/>
      <c r="H142" t="s">
        <v>387</v>
      </c>
      <c r="I142" s="16">
        <v>-347976230000</v>
      </c>
      <c r="J142" s="16">
        <v>-582821290000</v>
      </c>
      <c r="K142" s="16" t="s">
        <v>1078</v>
      </c>
      <c r="L142" s="57">
        <f t="shared" si="16"/>
        <v>30</v>
      </c>
      <c r="M142" s="17">
        <f t="shared" si="14"/>
        <v>0</v>
      </c>
      <c r="N142" s="18">
        <f t="shared" si="15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t="s">
        <v>166</v>
      </c>
      <c r="B143" s="62"/>
      <c r="C143" s="63" t="s">
        <v>388</v>
      </c>
      <c r="D143" s="62" t="s">
        <v>389</v>
      </c>
      <c r="E143" t="s">
        <v>19</v>
      </c>
      <c r="F143" t="s">
        <v>941</v>
      </c>
      <c r="G143"/>
      <c r="H143" t="s">
        <v>387</v>
      </c>
      <c r="I143" s="16">
        <v>-347960180000</v>
      </c>
      <c r="J143" s="16">
        <v>-582861620000</v>
      </c>
      <c r="K143" s="16" t="s">
        <v>1079</v>
      </c>
      <c r="L143" s="57">
        <f t="shared" si="16"/>
        <v>30</v>
      </c>
      <c r="M143" s="17">
        <f t="shared" si="14"/>
        <v>0</v>
      </c>
      <c r="N143" s="18">
        <f t="shared" si="15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t="s">
        <v>166</v>
      </c>
      <c r="B144" s="60">
        <v>44629</v>
      </c>
      <c r="C144" s="63" t="s">
        <v>390</v>
      </c>
      <c r="D144" s="62" t="s">
        <v>391</v>
      </c>
      <c r="E144" t="s">
        <v>19</v>
      </c>
      <c r="F144" t="s">
        <v>941</v>
      </c>
      <c r="G144"/>
      <c r="H144" t="s">
        <v>387</v>
      </c>
      <c r="I144" s="16">
        <v>-347947670000</v>
      </c>
      <c r="J144" s="16">
        <v>-582871810000</v>
      </c>
      <c r="K144" s="16" t="s">
        <v>1080</v>
      </c>
      <c r="L144" s="57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t="s">
        <v>260</v>
      </c>
      <c r="B145" s="62"/>
      <c r="C145" s="63" t="s">
        <v>392</v>
      </c>
      <c r="D145" s="62" t="s">
        <v>1316</v>
      </c>
      <c r="E145" t="s">
        <v>24</v>
      </c>
      <c r="F145" t="s">
        <v>25</v>
      </c>
      <c r="G145" t="s">
        <v>362</v>
      </c>
      <c r="H145"/>
      <c r="I145" s="16">
        <v>-348070980000</v>
      </c>
      <c r="J145" s="16">
        <v>-582892260000</v>
      </c>
      <c r="K145" s="16" t="s">
        <v>1081</v>
      </c>
      <c r="L145" s="57">
        <f t="shared" si="16"/>
        <v>30</v>
      </c>
      <c r="M145" s="17">
        <f t="shared" si="14"/>
        <v>0</v>
      </c>
      <c r="N145" s="18">
        <f t="shared" si="15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B146" s="62"/>
      <c r="C146" s="63" t="s">
        <v>393</v>
      </c>
      <c r="D146" s="62" t="s">
        <v>394</v>
      </c>
      <c r="E146" t="s">
        <v>24</v>
      </c>
      <c r="F146" t="s">
        <v>25</v>
      </c>
      <c r="G146" t="s">
        <v>395</v>
      </c>
      <c r="H146" t="s">
        <v>396</v>
      </c>
      <c r="I146" s="16">
        <v>-348065100000</v>
      </c>
      <c r="J146" s="16">
        <v>-582865850000</v>
      </c>
      <c r="K146" s="16" t="s">
        <v>1082</v>
      </c>
      <c r="L146" s="57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t="s">
        <v>397</v>
      </c>
      <c r="B147" s="62"/>
      <c r="C147" s="63" t="s">
        <v>398</v>
      </c>
      <c r="D147" s="62" t="s">
        <v>399</v>
      </c>
      <c r="E147" t="s">
        <v>113</v>
      </c>
      <c r="F147" t="s">
        <v>36</v>
      </c>
      <c r="G147"/>
      <c r="H147" t="s">
        <v>247</v>
      </c>
      <c r="I147" s="16">
        <v>-348071440000</v>
      </c>
      <c r="J147" s="16">
        <v>-582892140000</v>
      </c>
      <c r="K147" s="16" t="s">
        <v>1083</v>
      </c>
      <c r="L147" s="57">
        <f t="shared" si="16"/>
        <v>30</v>
      </c>
      <c r="M147" s="17">
        <f t="shared" si="14"/>
        <v>0</v>
      </c>
      <c r="N147" s="18">
        <f t="shared" si="15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t="s">
        <v>397</v>
      </c>
      <c r="B148" s="62"/>
      <c r="C148" s="63" t="s">
        <v>400</v>
      </c>
      <c r="D148" s="62" t="s">
        <v>399</v>
      </c>
      <c r="E148" t="s">
        <v>73</v>
      </c>
      <c r="F148" t="s">
        <v>36</v>
      </c>
      <c r="G148"/>
      <c r="H148" t="s">
        <v>222</v>
      </c>
      <c r="I148" s="16">
        <v>-348070260000</v>
      </c>
      <c r="J148" s="16">
        <v>-582887990000</v>
      </c>
      <c r="K148" s="16" t="s">
        <v>1057</v>
      </c>
      <c r="L148" s="57">
        <f t="shared" si="16"/>
        <v>30</v>
      </c>
      <c r="M148" s="17">
        <f t="shared" si="14"/>
        <v>0</v>
      </c>
      <c r="N148" s="18">
        <f t="shared" si="15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t="s">
        <v>401</v>
      </c>
      <c r="B149" s="62"/>
      <c r="C149" s="63" t="s">
        <v>402</v>
      </c>
      <c r="D149" s="62" t="s">
        <v>403</v>
      </c>
      <c r="E149" t="s">
        <v>19</v>
      </c>
      <c r="F149" t="s">
        <v>36</v>
      </c>
      <c r="G149"/>
      <c r="H149" t="s">
        <v>247</v>
      </c>
      <c r="I149" s="16">
        <v>-348519500000</v>
      </c>
      <c r="J149" s="16">
        <v>-582783830000</v>
      </c>
      <c r="K149" s="16" t="s">
        <v>1084</v>
      </c>
      <c r="L149" s="57">
        <f t="shared" si="16"/>
        <v>30</v>
      </c>
      <c r="M149" s="17">
        <f t="shared" si="14"/>
        <v>0</v>
      </c>
      <c r="N149" s="18">
        <f t="shared" si="15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t="s">
        <v>401</v>
      </c>
      <c r="B150" s="62"/>
      <c r="C150" s="63" t="s">
        <v>404</v>
      </c>
      <c r="D150" s="62" t="s">
        <v>405</v>
      </c>
      <c r="E150" t="s">
        <v>113</v>
      </c>
      <c r="F150" t="s">
        <v>36</v>
      </c>
      <c r="G150"/>
      <c r="H150" t="s">
        <v>327</v>
      </c>
      <c r="I150" s="16">
        <v>-348525210000</v>
      </c>
      <c r="J150" s="16">
        <v>-582783180000</v>
      </c>
      <c r="K150" s="16" t="s">
        <v>1085</v>
      </c>
      <c r="L150" s="57">
        <f t="shared" si="16"/>
        <v>30</v>
      </c>
      <c r="M150" s="17">
        <f t="shared" si="14"/>
        <v>0</v>
      </c>
      <c r="N150" s="18">
        <f t="shared" si="15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t="s">
        <v>401</v>
      </c>
      <c r="B151" s="62"/>
      <c r="C151" s="63" t="s">
        <v>406</v>
      </c>
      <c r="D151" s="62" t="s">
        <v>405</v>
      </c>
      <c r="E151" t="s">
        <v>113</v>
      </c>
      <c r="F151" t="s">
        <v>36</v>
      </c>
      <c r="G151"/>
      <c r="H151" t="s">
        <v>327</v>
      </c>
      <c r="I151" s="16">
        <v>-348525370000</v>
      </c>
      <c r="J151" s="16">
        <v>-582783380000</v>
      </c>
      <c r="K151" s="16" t="s">
        <v>1086</v>
      </c>
      <c r="L151" s="57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B152" s="62"/>
      <c r="C152" s="63" t="s">
        <v>407</v>
      </c>
      <c r="D152" s="62" t="s">
        <v>408</v>
      </c>
      <c r="E152" t="s">
        <v>73</v>
      </c>
      <c r="F152" t="s">
        <v>36</v>
      </c>
      <c r="G152" t="s">
        <v>184</v>
      </c>
      <c r="H152" t="s">
        <v>409</v>
      </c>
      <c r="I152" s="16">
        <v>-347838400000</v>
      </c>
      <c r="J152" s="16">
        <v>-582682780000</v>
      </c>
      <c r="K152" s="16" t="s">
        <v>1087</v>
      </c>
      <c r="L152" s="57">
        <f t="shared" si="16"/>
        <v>30</v>
      </c>
      <c r="M152" s="17">
        <f t="shared" si="14"/>
        <v>0</v>
      </c>
      <c r="N152" s="18">
        <f t="shared" si="15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t="s">
        <v>410</v>
      </c>
      <c r="B153" s="60">
        <v>44642</v>
      </c>
      <c r="C153" s="63" t="s">
        <v>411</v>
      </c>
      <c r="D153" s="62" t="s">
        <v>412</v>
      </c>
      <c r="E153" t="s">
        <v>24</v>
      </c>
      <c r="F153" t="s">
        <v>36</v>
      </c>
      <c r="G153" t="s">
        <v>184</v>
      </c>
      <c r="H153"/>
      <c r="I153" s="16">
        <v>-347869330000</v>
      </c>
      <c r="J153" s="16">
        <v>-582738880000</v>
      </c>
      <c r="K153" s="16" t="s">
        <v>1088</v>
      </c>
      <c r="L153" s="57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t="s">
        <v>413</v>
      </c>
      <c r="B154" s="62"/>
      <c r="C154" s="63" t="s">
        <v>414</v>
      </c>
      <c r="D154" s="62" t="s">
        <v>415</v>
      </c>
      <c r="E154" t="s">
        <v>113</v>
      </c>
      <c r="F154" t="s">
        <v>36</v>
      </c>
      <c r="G154" t="s">
        <v>184</v>
      </c>
      <c r="H154"/>
      <c r="I154" s="16">
        <v>-347836020000</v>
      </c>
      <c r="J154" s="16">
        <v>-582678150000</v>
      </c>
      <c r="K154" s="16" t="s">
        <v>1089</v>
      </c>
      <c r="L154" s="57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t="s">
        <v>413</v>
      </c>
      <c r="B155" s="62"/>
      <c r="C155" s="63" t="s">
        <v>416</v>
      </c>
      <c r="D155" s="62" t="s">
        <v>417</v>
      </c>
      <c r="E155" t="s">
        <v>73</v>
      </c>
      <c r="F155" t="s">
        <v>36</v>
      </c>
      <c r="G155" t="s">
        <v>184</v>
      </c>
      <c r="H155" t="s">
        <v>418</v>
      </c>
      <c r="I155" s="16">
        <v>-347831840000</v>
      </c>
      <c r="J155" s="16">
        <v>-582670320000</v>
      </c>
      <c r="K155" s="16" t="s">
        <v>1090</v>
      </c>
      <c r="L155" s="57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t="s">
        <v>413</v>
      </c>
      <c r="B156" s="60">
        <v>44642</v>
      </c>
      <c r="C156" s="63" t="s">
        <v>419</v>
      </c>
      <c r="D156" s="62" t="s">
        <v>420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1091</v>
      </c>
      <c r="L156" s="57">
        <f t="shared" si="16"/>
        <v>30</v>
      </c>
      <c r="M156" s="17">
        <f t="shared" si="14"/>
        <v>0</v>
      </c>
      <c r="N156" s="18">
        <f t="shared" si="15"/>
        <v>1</v>
      </c>
      <c r="O156" s="27"/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t="s">
        <v>410</v>
      </c>
      <c r="B157" s="62"/>
      <c r="C157" s="63" t="s">
        <v>421</v>
      </c>
      <c r="D157" s="62" t="s">
        <v>422</v>
      </c>
      <c r="E157" t="s">
        <v>24</v>
      </c>
      <c r="F157" t="s">
        <v>36</v>
      </c>
      <c r="G157" t="s">
        <v>423</v>
      </c>
      <c r="H157"/>
      <c r="I157" s="16">
        <v>-347807820000</v>
      </c>
      <c r="J157" s="16">
        <v>-582625370000</v>
      </c>
      <c r="K157" s="16" t="s">
        <v>1092</v>
      </c>
      <c r="L157" s="57">
        <f t="shared" si="16"/>
        <v>30</v>
      </c>
      <c r="M157" s="17">
        <f t="shared" si="14"/>
        <v>0</v>
      </c>
      <c r="N157" s="18">
        <f t="shared" si="15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t="s">
        <v>413</v>
      </c>
      <c r="B158" s="62"/>
      <c r="C158" s="63" t="s">
        <v>424</v>
      </c>
      <c r="D158" s="62" t="s">
        <v>425</v>
      </c>
      <c r="E158" t="s">
        <v>24</v>
      </c>
      <c r="F158" t="s">
        <v>36</v>
      </c>
      <c r="G158" t="s">
        <v>184</v>
      </c>
      <c r="H158"/>
      <c r="I158" s="16">
        <v>-347816280000</v>
      </c>
      <c r="J158" s="16">
        <v>-582641460000</v>
      </c>
      <c r="K158" s="16" t="s">
        <v>1093</v>
      </c>
      <c r="L158" s="57">
        <f t="shared" si="16"/>
        <v>30</v>
      </c>
      <c r="M158" s="17">
        <f t="shared" si="14"/>
        <v>0</v>
      </c>
      <c r="N158" s="18">
        <f t="shared" si="15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t="s">
        <v>413</v>
      </c>
      <c r="B159" s="60">
        <v>44642</v>
      </c>
      <c r="C159" s="63" t="s">
        <v>426</v>
      </c>
      <c r="D159" s="62" t="s">
        <v>427</v>
      </c>
      <c r="E159" t="s">
        <v>24</v>
      </c>
      <c r="F159" t="s">
        <v>36</v>
      </c>
      <c r="G159" t="s">
        <v>184</v>
      </c>
      <c r="H159"/>
      <c r="I159" s="16">
        <v>-347799500000</v>
      </c>
      <c r="J159" s="16">
        <v>-582656480000</v>
      </c>
      <c r="K159" s="16" t="s">
        <v>1094</v>
      </c>
      <c r="L159" s="57">
        <f t="shared" si="16"/>
        <v>30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t="s">
        <v>413</v>
      </c>
      <c r="B160" s="62"/>
      <c r="C160" s="63" t="s">
        <v>428</v>
      </c>
      <c r="D160" s="62" t="s">
        <v>1321</v>
      </c>
      <c r="E160" t="s">
        <v>24</v>
      </c>
      <c r="F160" t="s">
        <v>36</v>
      </c>
      <c r="G160" t="s">
        <v>184</v>
      </c>
      <c r="H160"/>
      <c r="I160" s="16">
        <v>-347811260000</v>
      </c>
      <c r="J160" s="16">
        <v>-582702510000</v>
      </c>
      <c r="K160" s="16" t="s">
        <v>1095</v>
      </c>
      <c r="L160" s="57">
        <f t="shared" si="16"/>
        <v>30</v>
      </c>
      <c r="M160" s="17">
        <f t="shared" si="14"/>
        <v>0</v>
      </c>
      <c r="N160" s="18">
        <f t="shared" si="15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t="s">
        <v>413</v>
      </c>
      <c r="B161" s="62"/>
      <c r="C161" s="63" t="s">
        <v>429</v>
      </c>
      <c r="D161" s="62" t="s">
        <v>430</v>
      </c>
      <c r="E161" t="s">
        <v>24</v>
      </c>
      <c r="F161" t="s">
        <v>36</v>
      </c>
      <c r="G161" t="s">
        <v>184</v>
      </c>
      <c r="H161"/>
      <c r="I161" s="16">
        <v>-347801920000</v>
      </c>
      <c r="J161" s="16">
        <v>-582637810000</v>
      </c>
      <c r="K161" s="16" t="s">
        <v>1096</v>
      </c>
      <c r="L161" s="57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t="s">
        <v>413</v>
      </c>
      <c r="B162" s="62"/>
      <c r="C162" s="63" t="s">
        <v>431</v>
      </c>
      <c r="D162" s="62" t="s">
        <v>432</v>
      </c>
      <c r="E162" t="s">
        <v>24</v>
      </c>
      <c r="F162" t="s">
        <v>36</v>
      </c>
      <c r="G162" t="s">
        <v>433</v>
      </c>
      <c r="H162"/>
      <c r="I162" s="16">
        <v>-347837870000</v>
      </c>
      <c r="J162" s="16">
        <v>-582681690000</v>
      </c>
      <c r="K162" s="16" t="s">
        <v>1097</v>
      </c>
      <c r="L162" s="57">
        <f t="shared" si="16"/>
        <v>30</v>
      </c>
      <c r="M162" s="17">
        <f t="shared" si="14"/>
        <v>0</v>
      </c>
      <c r="N162" s="18">
        <f t="shared" si="15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t="s">
        <v>413</v>
      </c>
      <c r="B163" s="62"/>
      <c r="C163" s="63" t="s">
        <v>434</v>
      </c>
      <c r="D163" s="62" t="s">
        <v>435</v>
      </c>
      <c r="E163" t="s">
        <v>113</v>
      </c>
      <c r="F163" t="s">
        <v>36</v>
      </c>
      <c r="G163"/>
      <c r="H163" t="s">
        <v>436</v>
      </c>
      <c r="I163" s="16">
        <v>-347808370000</v>
      </c>
      <c r="J163" s="16">
        <v>-582696060000</v>
      </c>
      <c r="K163" s="16" t="s">
        <v>1098</v>
      </c>
      <c r="L163" s="57">
        <f t="shared" si="16"/>
        <v>30</v>
      </c>
      <c r="M163" s="17">
        <f t="shared" si="14"/>
        <v>0</v>
      </c>
      <c r="N163" s="18">
        <f t="shared" si="15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t="s">
        <v>413</v>
      </c>
      <c r="B164" s="62"/>
      <c r="C164" s="63" t="s">
        <v>437</v>
      </c>
      <c r="D164" s="62" t="s">
        <v>435</v>
      </c>
      <c r="E164" t="s">
        <v>113</v>
      </c>
      <c r="F164" t="s">
        <v>36</v>
      </c>
      <c r="G164"/>
      <c r="H164" t="s">
        <v>436</v>
      </c>
      <c r="I164" s="16">
        <v>-347808450000</v>
      </c>
      <c r="J164" s="16">
        <v>-582696230000</v>
      </c>
      <c r="K164" s="16" t="s">
        <v>1099</v>
      </c>
      <c r="L164" s="57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t="s">
        <v>413</v>
      </c>
      <c r="B165" s="62"/>
      <c r="C165" s="63" t="s">
        <v>438</v>
      </c>
      <c r="D165" s="62" t="s">
        <v>439</v>
      </c>
      <c r="E165" t="s">
        <v>19</v>
      </c>
      <c r="F165" t="s">
        <v>36</v>
      </c>
      <c r="G165"/>
      <c r="H165" t="s">
        <v>247</v>
      </c>
      <c r="I165" s="16">
        <v>-347812080000</v>
      </c>
      <c r="J165" s="16">
        <v>-582633880000</v>
      </c>
      <c r="K165" s="16" t="s">
        <v>1100</v>
      </c>
      <c r="L165" s="57">
        <f t="shared" si="16"/>
        <v>30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t="s">
        <v>356</v>
      </c>
      <c r="B166" s="62"/>
      <c r="C166" s="63" t="s">
        <v>440</v>
      </c>
      <c r="D166" s="62" t="s">
        <v>441</v>
      </c>
      <c r="E166" t="s">
        <v>19</v>
      </c>
      <c r="F166" t="s">
        <v>25</v>
      </c>
      <c r="G166"/>
      <c r="H166" t="s">
        <v>442</v>
      </c>
      <c r="I166" s="16">
        <v>-348079950000</v>
      </c>
      <c r="J166" s="16">
        <v>-583078510000</v>
      </c>
      <c r="K166" s="16" t="s">
        <v>1102</v>
      </c>
      <c r="L166" s="57">
        <f t="shared" si="16"/>
        <v>30</v>
      </c>
      <c r="M166" s="17">
        <f t="shared" si="14"/>
        <v>0</v>
      </c>
      <c r="N166" s="18">
        <f t="shared" si="15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t="s">
        <v>443</v>
      </c>
      <c r="B167" s="62"/>
      <c r="C167" s="63" t="s">
        <v>444</v>
      </c>
      <c r="D167" s="62" t="s">
        <v>930</v>
      </c>
      <c r="E167" t="s">
        <v>24</v>
      </c>
      <c r="F167" t="s">
        <v>25</v>
      </c>
      <c r="G167" t="s">
        <v>160</v>
      </c>
      <c r="H167"/>
      <c r="I167" s="16">
        <v>-348097650000</v>
      </c>
      <c r="J167" s="16">
        <v>-583197750000</v>
      </c>
      <c r="K167" s="16" t="s">
        <v>1101</v>
      </c>
      <c r="L167" s="57">
        <f t="shared" si="16"/>
        <v>30</v>
      </c>
      <c r="M167" s="17">
        <f t="shared" si="14"/>
        <v>0</v>
      </c>
      <c r="N167" s="18">
        <f t="shared" si="15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t="s">
        <v>443</v>
      </c>
      <c r="B168" s="62"/>
      <c r="C168" s="63" t="s">
        <v>445</v>
      </c>
      <c r="D168" s="62" t="s">
        <v>446</v>
      </c>
      <c r="E168" t="s">
        <v>19</v>
      </c>
      <c r="F168" t="s">
        <v>36</v>
      </c>
      <c r="G168"/>
      <c r="H168" t="s">
        <v>447</v>
      </c>
      <c r="I168" s="16">
        <v>-348065880000</v>
      </c>
      <c r="J168" s="16">
        <v>-583140610000</v>
      </c>
      <c r="K168" s="16" t="s">
        <v>1103</v>
      </c>
      <c r="L168" s="57">
        <f t="shared" si="16"/>
        <v>30</v>
      </c>
      <c r="M168" s="17">
        <f t="shared" si="14"/>
        <v>0</v>
      </c>
      <c r="N168" s="18">
        <f t="shared" si="15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t="s">
        <v>448</v>
      </c>
      <c r="B169" s="62"/>
      <c r="C169" s="63" t="s">
        <v>449</v>
      </c>
      <c r="D169" s="62" t="s">
        <v>450</v>
      </c>
      <c r="E169" t="s">
        <v>113</v>
      </c>
      <c r="F169" t="s">
        <v>36</v>
      </c>
      <c r="G169" t="s">
        <v>184</v>
      </c>
      <c r="H169" t="s">
        <v>451</v>
      </c>
      <c r="I169" s="16">
        <v>-347782860000</v>
      </c>
      <c r="J169" s="16">
        <v>-582672650000</v>
      </c>
      <c r="K169" s="16" t="s">
        <v>1108</v>
      </c>
      <c r="L169" s="57">
        <f t="shared" si="16"/>
        <v>30</v>
      </c>
      <c r="M169" s="17">
        <f t="shared" si="14"/>
        <v>0</v>
      </c>
      <c r="N169" s="18">
        <f t="shared" si="15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t="s">
        <v>413</v>
      </c>
      <c r="B170" s="62"/>
      <c r="C170" s="63" t="s">
        <v>452</v>
      </c>
      <c r="D170" s="62" t="s">
        <v>453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1109</v>
      </c>
      <c r="L170" s="57">
        <f t="shared" si="16"/>
        <v>30</v>
      </c>
      <c r="M170" s="17">
        <f t="shared" si="14"/>
        <v>0</v>
      </c>
      <c r="N170" s="18">
        <f t="shared" si="15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t="s">
        <v>454</v>
      </c>
      <c r="B171" s="62"/>
      <c r="C171" s="63" t="s">
        <v>455</v>
      </c>
      <c r="D171" s="62" t="s">
        <v>456</v>
      </c>
      <c r="E171" t="s">
        <v>24</v>
      </c>
      <c r="F171" t="s">
        <v>36</v>
      </c>
      <c r="G171" t="s">
        <v>457</v>
      </c>
      <c r="H171"/>
      <c r="I171" s="16">
        <v>-347760150000</v>
      </c>
      <c r="J171" s="16">
        <v>-582715170000</v>
      </c>
      <c r="K171" s="16" t="s">
        <v>1110</v>
      </c>
      <c r="L171" s="57">
        <f t="shared" si="16"/>
        <v>30</v>
      </c>
      <c r="M171" s="17">
        <f t="shared" si="14"/>
        <v>0</v>
      </c>
      <c r="N171" s="18">
        <f t="shared" si="15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t="s">
        <v>448</v>
      </c>
      <c r="B172" s="62"/>
      <c r="C172" s="63" t="s">
        <v>458</v>
      </c>
      <c r="D172" s="62" t="s">
        <v>459</v>
      </c>
      <c r="E172" t="s">
        <v>24</v>
      </c>
      <c r="F172" t="s">
        <v>36</v>
      </c>
      <c r="G172" t="s">
        <v>460</v>
      </c>
      <c r="H172"/>
      <c r="I172" s="16">
        <v>-347796570000</v>
      </c>
      <c r="J172" s="16">
        <v>-582627950000</v>
      </c>
      <c r="K172" s="16" t="s">
        <v>1111</v>
      </c>
      <c r="L172" s="57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B173" s="62"/>
      <c r="C173" s="63" t="s">
        <v>461</v>
      </c>
      <c r="D173" s="62" t="s">
        <v>462</v>
      </c>
      <c r="E173" t="s">
        <v>24</v>
      </c>
      <c r="F173" t="s">
        <v>36</v>
      </c>
      <c r="G173" t="s">
        <v>463</v>
      </c>
      <c r="H173"/>
      <c r="I173" s="16">
        <v>-347771820000</v>
      </c>
      <c r="J173" s="16">
        <v>-582693640000</v>
      </c>
      <c r="K173" s="16" t="s">
        <v>1112</v>
      </c>
      <c r="L173" s="57">
        <f t="shared" si="16"/>
        <v>30</v>
      </c>
      <c r="M173" s="17">
        <f t="shared" si="14"/>
        <v>0</v>
      </c>
      <c r="N173" s="18">
        <f t="shared" si="15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t="s">
        <v>454</v>
      </c>
      <c r="B174" s="62"/>
      <c r="C174" s="63" t="s">
        <v>464</v>
      </c>
      <c r="D174" s="62" t="s">
        <v>465</v>
      </c>
      <c r="E174" t="s">
        <v>19</v>
      </c>
      <c r="F174" t="s">
        <v>36</v>
      </c>
      <c r="G174" t="s">
        <v>466</v>
      </c>
      <c r="H174"/>
      <c r="I174" s="16">
        <v>-347739010000</v>
      </c>
      <c r="J174" s="16">
        <v>-582753360000</v>
      </c>
      <c r="K174" s="16" t="s">
        <v>1113</v>
      </c>
      <c r="L174" s="57">
        <f t="shared" si="16"/>
        <v>30</v>
      </c>
      <c r="M174" s="17">
        <f t="shared" si="14"/>
        <v>0</v>
      </c>
      <c r="N174" s="18">
        <f t="shared" si="15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t="s">
        <v>467</v>
      </c>
      <c r="B175" s="62"/>
      <c r="C175" s="63" t="s">
        <v>468</v>
      </c>
      <c r="D175" s="62" t="s">
        <v>469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1114</v>
      </c>
      <c r="L175" s="57">
        <f t="shared" si="16"/>
        <v>30</v>
      </c>
      <c r="M175" s="17">
        <f t="shared" si="14"/>
        <v>0</v>
      </c>
      <c r="N175" s="18">
        <f t="shared" si="15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t="s">
        <v>467</v>
      </c>
      <c r="B176" s="62"/>
      <c r="C176" s="63" t="s">
        <v>470</v>
      </c>
      <c r="D176" s="62" t="s">
        <v>471</v>
      </c>
      <c r="E176" t="s">
        <v>24</v>
      </c>
      <c r="F176" t="s">
        <v>25</v>
      </c>
      <c r="G176" t="s">
        <v>472</v>
      </c>
      <c r="H176"/>
      <c r="I176" s="16">
        <v>-347941910000</v>
      </c>
      <c r="J176" s="16">
        <v>-582702320000</v>
      </c>
      <c r="K176" s="16" t="s">
        <v>1115</v>
      </c>
      <c r="L176" s="57">
        <f t="shared" si="16"/>
        <v>30</v>
      </c>
      <c r="M176" s="17">
        <f t="shared" si="14"/>
        <v>0</v>
      </c>
      <c r="N176" s="18">
        <f t="shared" si="15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t="s">
        <v>467</v>
      </c>
      <c r="B177" s="62"/>
      <c r="C177" s="63" t="s">
        <v>473</v>
      </c>
      <c r="D177" s="62" t="s">
        <v>474</v>
      </c>
      <c r="E177" t="s">
        <v>24</v>
      </c>
      <c r="F177" t="s">
        <v>25</v>
      </c>
      <c r="G177" t="s">
        <v>365</v>
      </c>
      <c r="H177"/>
      <c r="I177" s="16">
        <v>-347965760000</v>
      </c>
      <c r="J177" s="16">
        <v>-582746550000</v>
      </c>
      <c r="K177" s="16" t="s">
        <v>1116</v>
      </c>
      <c r="L177" s="57">
        <f t="shared" si="16"/>
        <v>25</v>
      </c>
      <c r="M177" s="17">
        <f t="shared" si="14"/>
        <v>5</v>
      </c>
      <c r="N177" s="18">
        <f t="shared" si="15"/>
        <v>0.83333333333333337</v>
      </c>
      <c r="O177" s="27" t="s">
        <v>1369</v>
      </c>
      <c r="P177" s="8" t="s">
        <v>1369</v>
      </c>
      <c r="Q177" s="8" t="s">
        <v>1369</v>
      </c>
      <c r="R177" s="8" t="s">
        <v>1369</v>
      </c>
      <c r="S177" s="27" t="s">
        <v>1369</v>
      </c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t="s">
        <v>467</v>
      </c>
      <c r="B178" s="62"/>
      <c r="C178" s="63" t="s">
        <v>475</v>
      </c>
      <c r="D178" s="62" t="s">
        <v>476</v>
      </c>
      <c r="E178" t="s">
        <v>24</v>
      </c>
      <c r="F178" t="s">
        <v>25</v>
      </c>
      <c r="G178" t="s">
        <v>477</v>
      </c>
      <c r="H178"/>
      <c r="I178" s="16">
        <v>-347889160000</v>
      </c>
      <c r="J178" s="16">
        <v>-582775030000</v>
      </c>
      <c r="K178" s="16" t="s">
        <v>1117</v>
      </c>
      <c r="L178" s="57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t="s">
        <v>478</v>
      </c>
      <c r="B179" s="62"/>
      <c r="C179" s="63" t="s">
        <v>479</v>
      </c>
      <c r="D179" s="62" t="s">
        <v>480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1125</v>
      </c>
      <c r="L179" s="57">
        <f t="shared" si="16"/>
        <v>30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t="s">
        <v>478</v>
      </c>
      <c r="B180" s="62"/>
      <c r="C180" s="63" t="s">
        <v>481</v>
      </c>
      <c r="D180" s="62" t="s">
        <v>482</v>
      </c>
      <c r="E180" t="s">
        <v>24</v>
      </c>
      <c r="F180" t="s">
        <v>36</v>
      </c>
      <c r="G180" t="s">
        <v>483</v>
      </c>
      <c r="H180"/>
      <c r="I180" s="16">
        <v>-348072540000</v>
      </c>
      <c r="J180" s="16">
        <v>-582665870000</v>
      </c>
      <c r="K180" s="16" t="s">
        <v>1118</v>
      </c>
      <c r="L180" s="57">
        <f t="shared" si="16"/>
        <v>30</v>
      </c>
      <c r="M180" s="17">
        <f t="shared" si="14"/>
        <v>0</v>
      </c>
      <c r="N180" s="18">
        <f t="shared" si="15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B181" s="62"/>
      <c r="C181" s="63" t="s">
        <v>484</v>
      </c>
      <c r="D181" s="62" t="s">
        <v>485</v>
      </c>
      <c r="E181" t="s">
        <v>24</v>
      </c>
      <c r="F181" t="s">
        <v>25</v>
      </c>
      <c r="G181" t="s">
        <v>160</v>
      </c>
      <c r="H181" t="s">
        <v>486</v>
      </c>
      <c r="I181" s="16">
        <v>-348093100000</v>
      </c>
      <c r="J181" s="16">
        <v>-582605600000</v>
      </c>
      <c r="K181" s="16" t="s">
        <v>1119</v>
      </c>
      <c r="L181" s="57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t="s">
        <v>478</v>
      </c>
      <c r="B182" s="62"/>
      <c r="C182" s="63" t="s">
        <v>487</v>
      </c>
      <c r="D182" s="62" t="s">
        <v>488</v>
      </c>
      <c r="E182" t="s">
        <v>24</v>
      </c>
      <c r="F182" t="s">
        <v>941</v>
      </c>
      <c r="G182" t="s">
        <v>489</v>
      </c>
      <c r="H182" t="s">
        <v>490</v>
      </c>
      <c r="I182" s="16">
        <v>-348062580000</v>
      </c>
      <c r="J182" s="16">
        <v>-582667320000</v>
      </c>
      <c r="K182" s="16" t="s">
        <v>1120</v>
      </c>
      <c r="L182" s="57">
        <f t="shared" si="16"/>
        <v>26</v>
      </c>
      <c r="M182" s="17">
        <f t="shared" si="14"/>
        <v>4</v>
      </c>
      <c r="N182" s="18">
        <f t="shared" si="15"/>
        <v>0.8666666666666667</v>
      </c>
      <c r="O182" s="27"/>
      <c r="P182" s="8" t="s">
        <v>1369</v>
      </c>
      <c r="Q182" s="8" t="s">
        <v>1369</v>
      </c>
      <c r="R182" s="8" t="s">
        <v>1369</v>
      </c>
      <c r="S182" s="27" t="s">
        <v>1369</v>
      </c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t="s">
        <v>478</v>
      </c>
      <c r="B183" s="62"/>
      <c r="C183" s="63" t="s">
        <v>491</v>
      </c>
      <c r="D183" s="62" t="s">
        <v>492</v>
      </c>
      <c r="E183" t="s">
        <v>24</v>
      </c>
      <c r="F183" t="s">
        <v>25</v>
      </c>
      <c r="G183" t="s">
        <v>160</v>
      </c>
      <c r="H183"/>
      <c r="I183" s="16">
        <v>-348035500000</v>
      </c>
      <c r="J183" s="16">
        <v>-582648750000</v>
      </c>
      <c r="K183" s="16" t="s">
        <v>1121</v>
      </c>
      <c r="L183" s="57">
        <f t="shared" si="16"/>
        <v>30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t="s">
        <v>493</v>
      </c>
      <c r="B184" s="62"/>
      <c r="C184" s="63" t="s">
        <v>494</v>
      </c>
      <c r="D184" s="62" t="s">
        <v>495</v>
      </c>
      <c r="E184" t="s">
        <v>24</v>
      </c>
      <c r="F184" t="s">
        <v>25</v>
      </c>
      <c r="G184" t="s">
        <v>489</v>
      </c>
      <c r="H184"/>
      <c r="I184" s="16">
        <v>-348026160000</v>
      </c>
      <c r="J184" s="16">
        <v>-582654650000</v>
      </c>
      <c r="K184" s="16" t="s">
        <v>1122</v>
      </c>
      <c r="L184" s="57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t="s">
        <v>80</v>
      </c>
      <c r="B185" s="62"/>
      <c r="C185" s="63" t="s">
        <v>496</v>
      </c>
      <c r="D185" s="62" t="s">
        <v>497</v>
      </c>
      <c r="E185" t="s">
        <v>24</v>
      </c>
      <c r="F185" t="s">
        <v>36</v>
      </c>
      <c r="G185" t="s">
        <v>184</v>
      </c>
      <c r="H185"/>
      <c r="I185" s="16">
        <v>-348074170000</v>
      </c>
      <c r="J185" s="16">
        <v>-582683730000</v>
      </c>
      <c r="K185" s="16" t="s">
        <v>1123</v>
      </c>
      <c r="L185" s="57">
        <f t="shared" si="16"/>
        <v>27</v>
      </c>
      <c r="M185" s="17">
        <f t="shared" si="14"/>
        <v>3</v>
      </c>
      <c r="N185" s="18">
        <f t="shared" si="15"/>
        <v>0.9</v>
      </c>
      <c r="O185" s="27"/>
      <c r="P185" s="8"/>
      <c r="Q185" s="8" t="s">
        <v>1369</v>
      </c>
      <c r="R185" s="8" t="s">
        <v>1369</v>
      </c>
      <c r="S185" s="27" t="s">
        <v>1369</v>
      </c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t="s">
        <v>478</v>
      </c>
      <c r="B186" s="62"/>
      <c r="C186" s="63" t="s">
        <v>498</v>
      </c>
      <c r="D186" s="62" t="s">
        <v>499</v>
      </c>
      <c r="E186" t="s">
        <v>24</v>
      </c>
      <c r="F186" t="s">
        <v>36</v>
      </c>
      <c r="G186" t="s">
        <v>500</v>
      </c>
      <c r="H186"/>
      <c r="I186" s="16">
        <v>-348107680000</v>
      </c>
      <c r="J186" s="16">
        <v>-582663690000</v>
      </c>
      <c r="K186" s="16" t="s">
        <v>1124</v>
      </c>
      <c r="L186" s="57">
        <f t="shared" si="16"/>
        <v>28</v>
      </c>
      <c r="M186" s="17">
        <f t="shared" si="14"/>
        <v>2</v>
      </c>
      <c r="N186" s="18">
        <f t="shared" si="15"/>
        <v>0.93333333333333335</v>
      </c>
      <c r="O186" s="27"/>
      <c r="P186" s="8"/>
      <c r="Q186" s="8" t="s">
        <v>1369</v>
      </c>
      <c r="R186" s="8" t="s">
        <v>1369</v>
      </c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B187" s="62"/>
      <c r="C187" s="63" t="s">
        <v>501</v>
      </c>
      <c r="D187" s="62" t="s">
        <v>502</v>
      </c>
      <c r="E187" t="s">
        <v>19</v>
      </c>
      <c r="F187" t="s">
        <v>36</v>
      </c>
      <c r="G187"/>
      <c r="H187" t="s">
        <v>503</v>
      </c>
      <c r="I187" s="16">
        <v>-348042930000</v>
      </c>
      <c r="J187" s="16">
        <v>-582667740000</v>
      </c>
      <c r="K187" s="16" t="s">
        <v>1126</v>
      </c>
      <c r="L187" s="57">
        <f t="shared" si="16"/>
        <v>25</v>
      </c>
      <c r="M187" s="17">
        <f t="shared" si="14"/>
        <v>5</v>
      </c>
      <c r="N187" s="18">
        <f t="shared" si="15"/>
        <v>0.83333333333333337</v>
      </c>
      <c r="O187" s="27" t="s">
        <v>1369</v>
      </c>
      <c r="P187" s="8" t="s">
        <v>1369</v>
      </c>
      <c r="Q187" s="8" t="s">
        <v>1369</v>
      </c>
      <c r="R187" s="8" t="s">
        <v>1369</v>
      </c>
      <c r="S187" s="27" t="s">
        <v>1369</v>
      </c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B188" s="62"/>
      <c r="C188" s="63" t="s">
        <v>504</v>
      </c>
      <c r="D188" s="62" t="s">
        <v>505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1127</v>
      </c>
      <c r="L188" s="57">
        <f t="shared" si="16"/>
        <v>29</v>
      </c>
      <c r="M188" s="17">
        <f t="shared" si="14"/>
        <v>1</v>
      </c>
      <c r="N188" s="18">
        <f t="shared" si="15"/>
        <v>0.96666666666666667</v>
      </c>
      <c r="O188" s="27" t="s">
        <v>1369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t="s">
        <v>506</v>
      </c>
      <c r="B189" s="62"/>
      <c r="C189" s="63" t="s">
        <v>507</v>
      </c>
      <c r="D189" s="62" t="s">
        <v>508</v>
      </c>
      <c r="E189" t="s">
        <v>113</v>
      </c>
      <c r="F189" t="s">
        <v>36</v>
      </c>
      <c r="G189"/>
      <c r="H189" t="s">
        <v>509</v>
      </c>
      <c r="I189" s="16">
        <v>-348434280000</v>
      </c>
      <c r="J189" s="16">
        <v>-582840340000</v>
      </c>
      <c r="K189" s="16" t="s">
        <v>1128</v>
      </c>
      <c r="L189" s="57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t="s">
        <v>506</v>
      </c>
      <c r="B190" s="62"/>
      <c r="C190" s="63" t="s">
        <v>510</v>
      </c>
      <c r="D190" s="62" t="s">
        <v>508</v>
      </c>
      <c r="E190" t="s">
        <v>113</v>
      </c>
      <c r="F190" t="s">
        <v>36</v>
      </c>
      <c r="G190"/>
      <c r="H190" t="s">
        <v>509</v>
      </c>
      <c r="I190" s="16">
        <v>-348434120000</v>
      </c>
      <c r="J190" s="16">
        <v>-582840350000</v>
      </c>
      <c r="K190" s="16" t="s">
        <v>1129</v>
      </c>
      <c r="L190" s="57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t="s">
        <v>506</v>
      </c>
      <c r="B191" s="62"/>
      <c r="C191" s="63" t="s">
        <v>511</v>
      </c>
      <c r="D191" s="62" t="s">
        <v>512</v>
      </c>
      <c r="E191" t="s">
        <v>113</v>
      </c>
      <c r="F191" t="s">
        <v>36</v>
      </c>
      <c r="G191"/>
      <c r="H191" t="s">
        <v>513</v>
      </c>
      <c r="I191" s="16">
        <v>-348403890000</v>
      </c>
      <c r="J191" s="16">
        <v>-582866050000</v>
      </c>
      <c r="K191" s="16" t="s">
        <v>1130</v>
      </c>
      <c r="L191" s="57">
        <f t="shared" si="16"/>
        <v>25</v>
      </c>
      <c r="M191" s="17">
        <f t="shared" si="14"/>
        <v>5</v>
      </c>
      <c r="N191" s="18">
        <f t="shared" si="15"/>
        <v>0.83333333333333337</v>
      </c>
      <c r="O191" s="27" t="s">
        <v>1369</v>
      </c>
      <c r="P191" s="8" t="s">
        <v>1369</v>
      </c>
      <c r="Q191" s="8" t="s">
        <v>1369</v>
      </c>
      <c r="R191" s="8" t="s">
        <v>1369</v>
      </c>
      <c r="S191" s="27" t="s">
        <v>1369</v>
      </c>
      <c r="T191" s="27"/>
      <c r="U191" s="8"/>
      <c r="V191" s="8"/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.75" thickBot="1" x14ac:dyDescent="0.3">
      <c r="A192" t="s">
        <v>506</v>
      </c>
      <c r="B192" s="62"/>
      <c r="C192" s="63" t="s">
        <v>514</v>
      </c>
      <c r="D192" s="62" t="s">
        <v>512</v>
      </c>
      <c r="E192" t="s">
        <v>113</v>
      </c>
      <c r="F192" t="s">
        <v>36</v>
      </c>
      <c r="G192"/>
      <c r="H192" t="s">
        <v>513</v>
      </c>
      <c r="I192" s="16">
        <v>-348403890000</v>
      </c>
      <c r="J192" s="16">
        <v>-582866050000</v>
      </c>
      <c r="K192" s="16" t="s">
        <v>1131</v>
      </c>
      <c r="L192" s="57">
        <f t="shared" si="16"/>
        <v>25</v>
      </c>
      <c r="M192" s="17">
        <f t="shared" si="14"/>
        <v>5</v>
      </c>
      <c r="N192" s="18">
        <f t="shared" si="15"/>
        <v>0.83333333333333337</v>
      </c>
      <c r="O192" s="27" t="s">
        <v>1369</v>
      </c>
      <c r="P192" s="8" t="s">
        <v>1369</v>
      </c>
      <c r="Q192" s="8" t="s">
        <v>1369</v>
      </c>
      <c r="R192" s="8" t="s">
        <v>1369</v>
      </c>
      <c r="S192" s="27" t="s">
        <v>1369</v>
      </c>
      <c r="T192" s="27"/>
      <c r="U192" s="8"/>
      <c r="V192" s="8"/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t="s">
        <v>410</v>
      </c>
      <c r="B193" s="62"/>
      <c r="C193" s="63" t="s">
        <v>515</v>
      </c>
      <c r="D193" s="62" t="s">
        <v>516</v>
      </c>
      <c r="E193" t="s">
        <v>113</v>
      </c>
      <c r="F193" t="s">
        <v>36</v>
      </c>
      <c r="G193"/>
      <c r="H193" t="s">
        <v>247</v>
      </c>
      <c r="I193" s="16">
        <v>-347887260000</v>
      </c>
      <c r="J193" s="16">
        <v>-582696950000</v>
      </c>
      <c r="K193" s="16" t="s">
        <v>1132</v>
      </c>
      <c r="L193" s="57">
        <f t="shared" si="16"/>
        <v>30</v>
      </c>
      <c r="M193" s="17">
        <f t="shared" si="14"/>
        <v>0</v>
      </c>
      <c r="N193" s="18">
        <f t="shared" si="15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t="s">
        <v>410</v>
      </c>
      <c r="B194" s="60">
        <v>44642</v>
      </c>
      <c r="C194" s="63" t="s">
        <v>517</v>
      </c>
      <c r="D194" s="62" t="s">
        <v>516</v>
      </c>
      <c r="E194" t="s">
        <v>113</v>
      </c>
      <c r="F194" t="s">
        <v>36</v>
      </c>
      <c r="G194"/>
      <c r="H194" t="s">
        <v>247</v>
      </c>
      <c r="I194" s="16">
        <v>-347887260000</v>
      </c>
      <c r="J194" s="16">
        <v>-582696950000</v>
      </c>
      <c r="K194" s="16" t="s">
        <v>1133</v>
      </c>
      <c r="L194" s="57">
        <f t="shared" si="16"/>
        <v>30</v>
      </c>
      <c r="M194" s="17">
        <f t="shared" si="14"/>
        <v>0</v>
      </c>
      <c r="N194" s="18">
        <f t="shared" si="15"/>
        <v>1</v>
      </c>
      <c r="O194" s="27"/>
      <c r="P194" s="8"/>
      <c r="Q194" s="8"/>
      <c r="R194" s="8"/>
      <c r="S194" s="27"/>
      <c r="T194" s="27"/>
      <c r="U194" s="8"/>
      <c r="V194" s="8"/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t="s">
        <v>62</v>
      </c>
      <c r="B195" s="62"/>
      <c r="C195" s="63" t="s">
        <v>518</v>
      </c>
      <c r="D195" s="62" t="s">
        <v>519</v>
      </c>
      <c r="E195" t="s">
        <v>19</v>
      </c>
      <c r="F195" t="s">
        <v>36</v>
      </c>
      <c r="G195"/>
      <c r="H195" t="s">
        <v>520</v>
      </c>
      <c r="I195" s="16">
        <v>-347980180000</v>
      </c>
      <c r="J195" s="16">
        <v>-583162160000</v>
      </c>
      <c r="K195" s="16" t="s">
        <v>1134</v>
      </c>
      <c r="L195" s="57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t="s">
        <v>62</v>
      </c>
      <c r="B196" s="62"/>
      <c r="C196" s="63" t="s">
        <v>521</v>
      </c>
      <c r="D196" s="62" t="s">
        <v>519</v>
      </c>
      <c r="E196" t="s">
        <v>113</v>
      </c>
      <c r="F196" t="s">
        <v>36</v>
      </c>
      <c r="G196"/>
      <c r="H196" t="s">
        <v>520</v>
      </c>
      <c r="I196" s="16">
        <v>-347980200000</v>
      </c>
      <c r="J196" s="16">
        <v>-583162180000</v>
      </c>
      <c r="K196" s="16" t="s">
        <v>1135</v>
      </c>
      <c r="L196" s="57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t="s">
        <v>288</v>
      </c>
      <c r="B197" s="62"/>
      <c r="C197" s="63" t="s">
        <v>522</v>
      </c>
      <c r="D197" s="62" t="s">
        <v>523</v>
      </c>
      <c r="E197" t="s">
        <v>19</v>
      </c>
      <c r="F197" t="s">
        <v>36</v>
      </c>
      <c r="G197"/>
      <c r="H197" t="s">
        <v>524</v>
      </c>
      <c r="I197" s="16">
        <v>-348657160000</v>
      </c>
      <c r="J197" s="16">
        <v>-581910020000</v>
      </c>
      <c r="K197" s="16" t="s">
        <v>1136</v>
      </c>
      <c r="L197" s="57">
        <f t="shared" si="16"/>
        <v>30</v>
      </c>
      <c r="M197" s="17">
        <f t="shared" ref="M197:M262" si="17">COUNTIF(O197:AP197,"APAGADO")</f>
        <v>0</v>
      </c>
      <c r="N197" s="18">
        <f t="shared" ref="N197:N262" si="18">(L197)/(M197+L197)</f>
        <v>1</v>
      </c>
      <c r="O197" s="27"/>
      <c r="P197" s="8"/>
      <c r="Q197" s="8"/>
      <c r="R197" s="8"/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t="s">
        <v>288</v>
      </c>
      <c r="B198" s="62"/>
      <c r="C198" s="63" t="s">
        <v>525</v>
      </c>
      <c r="D198" s="62" t="s">
        <v>523</v>
      </c>
      <c r="E198" t="s">
        <v>113</v>
      </c>
      <c r="F198" t="s">
        <v>36</v>
      </c>
      <c r="G198"/>
      <c r="H198" t="s">
        <v>526</v>
      </c>
      <c r="I198" s="16">
        <v>-348657160000</v>
      </c>
      <c r="J198" s="16">
        <v>-581910020000</v>
      </c>
      <c r="K198" s="16" t="s">
        <v>1137</v>
      </c>
      <c r="L198" s="57">
        <f t="shared" ref="L198:L261" si="19">COUNTIF(O198:AR198,"")</f>
        <v>30</v>
      </c>
      <c r="M198" s="17">
        <f t="shared" si="17"/>
        <v>0</v>
      </c>
      <c r="N198" s="18">
        <f t="shared" si="18"/>
        <v>1</v>
      </c>
      <c r="O198" s="27"/>
      <c r="P198" s="8"/>
      <c r="Q198" s="8"/>
      <c r="R198" s="8"/>
      <c r="S198" s="27"/>
      <c r="T198" s="27"/>
      <c r="U198" s="8"/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t="s">
        <v>331</v>
      </c>
      <c r="B199" s="62"/>
      <c r="C199" s="63" t="s">
        <v>527</v>
      </c>
      <c r="D199" s="62" t="s">
        <v>528</v>
      </c>
      <c r="E199" t="s">
        <v>19</v>
      </c>
      <c r="F199" t="s">
        <v>36</v>
      </c>
      <c r="G199"/>
      <c r="H199" t="s">
        <v>524</v>
      </c>
      <c r="I199" s="16">
        <v>-348711900000</v>
      </c>
      <c r="J199" s="16">
        <v>-581914850000</v>
      </c>
      <c r="K199" s="16" t="s">
        <v>1138</v>
      </c>
      <c r="L199" s="57">
        <f t="shared" si="19"/>
        <v>30</v>
      </c>
      <c r="M199" s="17">
        <f t="shared" si="17"/>
        <v>0</v>
      </c>
      <c r="N199" s="18">
        <f t="shared" si="18"/>
        <v>1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t="s">
        <v>331</v>
      </c>
      <c r="B200" s="62"/>
      <c r="C200" s="63" t="s">
        <v>529</v>
      </c>
      <c r="D200" s="62" t="s">
        <v>528</v>
      </c>
      <c r="E200" t="s">
        <v>113</v>
      </c>
      <c r="F200" t="s">
        <v>36</v>
      </c>
      <c r="G200"/>
      <c r="H200" t="s">
        <v>526</v>
      </c>
      <c r="I200" s="16">
        <v>-348711900000</v>
      </c>
      <c r="J200" s="16">
        <v>-581914850000</v>
      </c>
      <c r="K200" s="16" t="s">
        <v>1139</v>
      </c>
      <c r="L200" s="57">
        <f t="shared" si="19"/>
        <v>30</v>
      </c>
      <c r="M200" s="17">
        <f t="shared" si="17"/>
        <v>0</v>
      </c>
      <c r="N200" s="18">
        <f t="shared" si="18"/>
        <v>1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t="s">
        <v>356</v>
      </c>
      <c r="B201" s="62"/>
      <c r="C201" s="63" t="s">
        <v>1149</v>
      </c>
      <c r="D201" s="62" t="s">
        <v>530</v>
      </c>
      <c r="E201" t="s">
        <v>24</v>
      </c>
      <c r="F201" t="s">
        <v>36</v>
      </c>
      <c r="G201"/>
      <c r="H201" t="s">
        <v>296</v>
      </c>
      <c r="I201" s="16">
        <v>-348096600000</v>
      </c>
      <c r="J201" s="16">
        <v>-583016800000</v>
      </c>
      <c r="K201" s="16" t="s">
        <v>1150</v>
      </c>
      <c r="L201" s="57">
        <f t="shared" si="19"/>
        <v>29</v>
      </c>
      <c r="M201" s="17">
        <f t="shared" si="17"/>
        <v>1</v>
      </c>
      <c r="N201" s="18">
        <f t="shared" si="18"/>
        <v>0.96666666666666667</v>
      </c>
      <c r="O201" s="27"/>
      <c r="P201" s="8"/>
      <c r="Q201" s="8"/>
      <c r="R201" s="8" t="s">
        <v>1369</v>
      </c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t="s">
        <v>356</v>
      </c>
      <c r="B202" s="62"/>
      <c r="C202" s="63" t="s">
        <v>531</v>
      </c>
      <c r="D202" s="62" t="s">
        <v>530</v>
      </c>
      <c r="E202" t="s">
        <v>113</v>
      </c>
      <c r="F202" t="s">
        <v>36</v>
      </c>
      <c r="G202"/>
      <c r="H202" t="s">
        <v>532</v>
      </c>
      <c r="I202" s="16">
        <v>-348095830000</v>
      </c>
      <c r="J202" s="16">
        <v>-583017120000</v>
      </c>
      <c r="K202" s="16" t="s">
        <v>1140</v>
      </c>
      <c r="L202" s="57">
        <f t="shared" si="19"/>
        <v>29</v>
      </c>
      <c r="M202" s="17">
        <f t="shared" si="17"/>
        <v>1</v>
      </c>
      <c r="N202" s="18">
        <f t="shared" si="18"/>
        <v>0.96666666666666667</v>
      </c>
      <c r="O202" s="27"/>
      <c r="P202" s="8"/>
      <c r="Q202" s="8"/>
      <c r="R202" s="8" t="s">
        <v>1369</v>
      </c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t="s">
        <v>443</v>
      </c>
      <c r="B203" s="62"/>
      <c r="C203" s="63" t="s">
        <v>533</v>
      </c>
      <c r="D203" s="62" t="s">
        <v>534</v>
      </c>
      <c r="E203" t="s">
        <v>113</v>
      </c>
      <c r="F203" t="s">
        <v>36</v>
      </c>
      <c r="G203"/>
      <c r="H203" t="s">
        <v>535</v>
      </c>
      <c r="I203" s="16">
        <v>-348071780000</v>
      </c>
      <c r="J203" s="16">
        <v>-583115710000</v>
      </c>
      <c r="K203" s="16" t="s">
        <v>1141</v>
      </c>
      <c r="L203" s="57">
        <f t="shared" si="19"/>
        <v>30</v>
      </c>
      <c r="M203" s="17">
        <f t="shared" si="17"/>
        <v>0</v>
      </c>
      <c r="N203" s="18">
        <f t="shared" si="18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t="s">
        <v>536</v>
      </c>
      <c r="B204" s="62"/>
      <c r="C204" s="63" t="s">
        <v>537</v>
      </c>
      <c r="D204" s="62" t="s">
        <v>538</v>
      </c>
      <c r="E204" t="s">
        <v>19</v>
      </c>
      <c r="F204" t="s">
        <v>36</v>
      </c>
      <c r="G204"/>
      <c r="H204" t="s">
        <v>532</v>
      </c>
      <c r="I204" s="16">
        <v>-348476780000</v>
      </c>
      <c r="J204" s="16">
        <v>-582894530000</v>
      </c>
      <c r="K204" s="16" t="s">
        <v>1143</v>
      </c>
      <c r="L204" s="57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t="s">
        <v>536</v>
      </c>
      <c r="B205" s="62"/>
      <c r="C205" s="63" t="s">
        <v>539</v>
      </c>
      <c r="D205" s="62" t="s">
        <v>538</v>
      </c>
      <c r="E205" t="s">
        <v>113</v>
      </c>
      <c r="F205" t="s">
        <v>36</v>
      </c>
      <c r="G205"/>
      <c r="H205" t="s">
        <v>532</v>
      </c>
      <c r="I205" s="16">
        <v>-348477280000</v>
      </c>
      <c r="J205" s="16">
        <v>-582894670000</v>
      </c>
      <c r="K205" s="16" t="s">
        <v>1144</v>
      </c>
      <c r="L205" s="57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t="s">
        <v>540</v>
      </c>
      <c r="B206" s="62"/>
      <c r="C206" s="63" t="s">
        <v>541</v>
      </c>
      <c r="D206" s="62" t="s">
        <v>542</v>
      </c>
      <c r="E206" t="s">
        <v>19</v>
      </c>
      <c r="F206" t="s">
        <v>36</v>
      </c>
      <c r="G206"/>
      <c r="H206" t="s">
        <v>532</v>
      </c>
      <c r="I206" s="16">
        <v>-348676700000</v>
      </c>
      <c r="J206" s="16">
        <v>-582754020000</v>
      </c>
      <c r="K206" s="16" t="s">
        <v>1151</v>
      </c>
      <c r="L206" s="57">
        <f t="shared" si="19"/>
        <v>25</v>
      </c>
      <c r="M206" s="17">
        <f t="shared" si="17"/>
        <v>5</v>
      </c>
      <c r="N206" s="18">
        <f t="shared" si="18"/>
        <v>0.83333333333333337</v>
      </c>
      <c r="O206" s="27" t="s">
        <v>1369</v>
      </c>
      <c r="P206" s="8" t="s">
        <v>1369</v>
      </c>
      <c r="Q206" s="8" t="s">
        <v>1369</v>
      </c>
      <c r="R206" s="8" t="s">
        <v>1369</v>
      </c>
      <c r="S206" s="27" t="s">
        <v>1369</v>
      </c>
      <c r="T206" s="27"/>
      <c r="U206" s="8"/>
      <c r="V206" s="8"/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t="s">
        <v>308</v>
      </c>
      <c r="B207" s="62"/>
      <c r="C207" s="63" t="s">
        <v>543</v>
      </c>
      <c r="D207" s="62" t="s">
        <v>544</v>
      </c>
      <c r="E207" t="s">
        <v>19</v>
      </c>
      <c r="F207" t="s">
        <v>941</v>
      </c>
      <c r="G207"/>
      <c r="H207" t="s">
        <v>545</v>
      </c>
      <c r="I207" s="16">
        <v>-348181990000</v>
      </c>
      <c r="J207" s="16">
        <v>-583002490000</v>
      </c>
      <c r="K207" s="16" t="s">
        <v>1145</v>
      </c>
      <c r="L207" s="57">
        <f t="shared" si="19"/>
        <v>25</v>
      </c>
      <c r="M207" s="17">
        <f t="shared" si="17"/>
        <v>5</v>
      </c>
      <c r="N207" s="18">
        <f t="shared" si="18"/>
        <v>0.83333333333333337</v>
      </c>
      <c r="O207" s="27" t="s">
        <v>1369</v>
      </c>
      <c r="P207" s="8" t="s">
        <v>1369</v>
      </c>
      <c r="Q207" s="8" t="s">
        <v>1369</v>
      </c>
      <c r="R207" s="8" t="s">
        <v>1369</v>
      </c>
      <c r="S207" s="27" t="s">
        <v>1369</v>
      </c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.75" thickBot="1" x14ac:dyDescent="0.3">
      <c r="A208" t="s">
        <v>308</v>
      </c>
      <c r="B208" s="62"/>
      <c r="C208" s="63" t="s">
        <v>546</v>
      </c>
      <c r="D208" s="62" t="s">
        <v>544</v>
      </c>
      <c r="E208" t="s">
        <v>113</v>
      </c>
      <c r="F208" t="s">
        <v>941</v>
      </c>
      <c r="G208"/>
      <c r="H208" t="s">
        <v>545</v>
      </c>
      <c r="I208" s="16">
        <v>-348181940000</v>
      </c>
      <c r="J208" s="16">
        <v>-583002740000</v>
      </c>
      <c r="K208" s="16" t="s">
        <v>1146</v>
      </c>
      <c r="L208" s="57">
        <f t="shared" si="19"/>
        <v>30</v>
      </c>
      <c r="M208" s="17">
        <f t="shared" si="17"/>
        <v>0</v>
      </c>
      <c r="N208" s="18">
        <f t="shared" si="18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t="s">
        <v>547</v>
      </c>
      <c r="B209" s="62"/>
      <c r="C209" s="63" t="s">
        <v>548</v>
      </c>
      <c r="D209" s="62" t="s">
        <v>1345</v>
      </c>
      <c r="E209" t="s">
        <v>19</v>
      </c>
      <c r="F209" t="s">
        <v>36</v>
      </c>
      <c r="G209"/>
      <c r="H209" t="s">
        <v>339</v>
      </c>
      <c r="I209" s="16">
        <v>-348181790000</v>
      </c>
      <c r="J209" s="16">
        <v>-582067620000</v>
      </c>
      <c r="K209" s="16" t="s">
        <v>1152</v>
      </c>
      <c r="L209" s="57">
        <f t="shared" si="19"/>
        <v>30</v>
      </c>
      <c r="M209" s="17">
        <f t="shared" si="17"/>
        <v>0</v>
      </c>
      <c r="N209" s="18">
        <f t="shared" si="18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t="s">
        <v>547</v>
      </c>
      <c r="B210" s="62"/>
      <c r="C210" s="63" t="s">
        <v>549</v>
      </c>
      <c r="D210" s="62" t="s">
        <v>1345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1153</v>
      </c>
      <c r="L210" s="57">
        <f t="shared" si="19"/>
        <v>30</v>
      </c>
      <c r="M210" s="17">
        <f t="shared" si="17"/>
        <v>0</v>
      </c>
      <c r="N210" s="18">
        <f t="shared" si="18"/>
        <v>1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t="s">
        <v>536</v>
      </c>
      <c r="B211" s="62"/>
      <c r="C211" s="63" t="s">
        <v>550</v>
      </c>
      <c r="D211" s="62" t="s">
        <v>551</v>
      </c>
      <c r="E211" t="s">
        <v>19</v>
      </c>
      <c r="F211" t="s">
        <v>36</v>
      </c>
      <c r="G211"/>
      <c r="H211" t="s">
        <v>532</v>
      </c>
      <c r="I211" s="16">
        <v>-348315930000</v>
      </c>
      <c r="J211" s="16">
        <v>-582907280000</v>
      </c>
      <c r="K211" s="16" t="s">
        <v>1148</v>
      </c>
      <c r="L211" s="57">
        <f t="shared" si="19"/>
        <v>25</v>
      </c>
      <c r="M211" s="17">
        <f t="shared" si="17"/>
        <v>5</v>
      </c>
      <c r="N211" s="18">
        <f t="shared" si="18"/>
        <v>0.83333333333333337</v>
      </c>
      <c r="O211" s="27" t="s">
        <v>1369</v>
      </c>
      <c r="P211" s="8" t="s">
        <v>1369</v>
      </c>
      <c r="Q211" s="8" t="s">
        <v>1369</v>
      </c>
      <c r="R211" s="8" t="s">
        <v>1369</v>
      </c>
      <c r="S211" s="27" t="s">
        <v>1369</v>
      </c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.75" thickBot="1" x14ac:dyDescent="0.3">
      <c r="A212" t="s">
        <v>536</v>
      </c>
      <c r="B212" s="62"/>
      <c r="C212" s="63" t="s">
        <v>552</v>
      </c>
      <c r="D212" s="62" t="s">
        <v>551</v>
      </c>
      <c r="E212" t="s">
        <v>113</v>
      </c>
      <c r="F212" t="s">
        <v>36</v>
      </c>
      <c r="G212"/>
      <c r="H212" t="s">
        <v>532</v>
      </c>
      <c r="I212" s="16">
        <v>-348315930000</v>
      </c>
      <c r="J212" s="16">
        <v>-582907280000</v>
      </c>
      <c r="K212" s="16" t="s">
        <v>1147</v>
      </c>
      <c r="L212" s="57">
        <f t="shared" si="19"/>
        <v>25</v>
      </c>
      <c r="M212" s="17">
        <f t="shared" si="17"/>
        <v>5</v>
      </c>
      <c r="N212" s="18">
        <f t="shared" si="18"/>
        <v>0.83333333333333337</v>
      </c>
      <c r="O212" s="27" t="s">
        <v>1369</v>
      </c>
      <c r="P212" s="8" t="s">
        <v>1369</v>
      </c>
      <c r="Q212" s="8" t="s">
        <v>1369</v>
      </c>
      <c r="R212" s="8" t="s">
        <v>1369</v>
      </c>
      <c r="S212" s="27" t="s">
        <v>1369</v>
      </c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.75" thickBot="1" x14ac:dyDescent="0.3">
      <c r="A213" t="s">
        <v>443</v>
      </c>
      <c r="B213" s="62"/>
      <c r="C213" s="63" t="s">
        <v>553</v>
      </c>
      <c r="D213" s="62" t="s">
        <v>534</v>
      </c>
      <c r="E213" t="s">
        <v>19</v>
      </c>
      <c r="F213" t="s">
        <v>36</v>
      </c>
      <c r="G213"/>
      <c r="H213" t="s">
        <v>532</v>
      </c>
      <c r="I213" s="16">
        <v>-348071730000</v>
      </c>
      <c r="J213" s="16">
        <v>-583116710000</v>
      </c>
      <c r="K213" s="16" t="s">
        <v>1142</v>
      </c>
      <c r="L213" s="57">
        <f t="shared" si="19"/>
        <v>30</v>
      </c>
      <c r="M213" s="17">
        <f t="shared" si="17"/>
        <v>0</v>
      </c>
      <c r="N213" s="18">
        <f t="shared" si="18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t="s">
        <v>554</v>
      </c>
      <c r="B214" s="62"/>
      <c r="C214" s="63" t="s">
        <v>555</v>
      </c>
      <c r="D214" s="62" t="s">
        <v>556</v>
      </c>
      <c r="E214" t="s">
        <v>19</v>
      </c>
      <c r="F214" t="s">
        <v>36</v>
      </c>
      <c r="G214"/>
      <c r="H214" t="s">
        <v>557</v>
      </c>
      <c r="I214" s="16">
        <v>-348307510000</v>
      </c>
      <c r="J214" s="16">
        <v>-582304880000</v>
      </c>
      <c r="K214" s="16" t="s">
        <v>1154</v>
      </c>
      <c r="L214" s="57">
        <f t="shared" si="19"/>
        <v>30</v>
      </c>
      <c r="M214" s="17">
        <f t="shared" si="17"/>
        <v>0</v>
      </c>
      <c r="N214" s="18">
        <f t="shared" si="18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t="s">
        <v>554</v>
      </c>
      <c r="B215" s="62"/>
      <c r="C215" s="63" t="s">
        <v>558</v>
      </c>
      <c r="D215" s="62" t="s">
        <v>559</v>
      </c>
      <c r="E215" t="s">
        <v>19</v>
      </c>
      <c r="F215" t="s">
        <v>36</v>
      </c>
      <c r="G215"/>
      <c r="H215" t="s">
        <v>339</v>
      </c>
      <c r="I215" s="16">
        <v>-348296530000</v>
      </c>
      <c r="J215" s="16">
        <v>-582293330000</v>
      </c>
      <c r="K215" s="16" t="s">
        <v>1155</v>
      </c>
      <c r="L215" s="57">
        <f t="shared" si="19"/>
        <v>30</v>
      </c>
      <c r="M215" s="17">
        <f t="shared" si="17"/>
        <v>0</v>
      </c>
      <c r="N215" s="18">
        <f t="shared" si="18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t="s">
        <v>554</v>
      </c>
      <c r="B216" s="62"/>
      <c r="C216" s="63" t="s">
        <v>560</v>
      </c>
      <c r="D216" s="62" t="s">
        <v>561</v>
      </c>
      <c r="E216" t="s">
        <v>113</v>
      </c>
      <c r="F216" t="s">
        <v>36</v>
      </c>
      <c r="G216"/>
      <c r="H216" t="s">
        <v>562</v>
      </c>
      <c r="I216" s="16">
        <v>-348304210000</v>
      </c>
      <c r="J216" s="16">
        <v>-582269250000</v>
      </c>
      <c r="K216" s="16" t="s">
        <v>1156</v>
      </c>
      <c r="L216" s="57">
        <f t="shared" si="19"/>
        <v>30</v>
      </c>
      <c r="M216" s="17">
        <f t="shared" si="17"/>
        <v>0</v>
      </c>
      <c r="N216" s="18">
        <f t="shared" si="18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t="s">
        <v>554</v>
      </c>
      <c r="B217" s="62"/>
      <c r="C217" s="63" t="s">
        <v>563</v>
      </c>
      <c r="D217" s="62" t="s">
        <v>561</v>
      </c>
      <c r="E217" t="s">
        <v>113</v>
      </c>
      <c r="F217" t="s">
        <v>36</v>
      </c>
      <c r="G217"/>
      <c r="H217" t="s">
        <v>562</v>
      </c>
      <c r="I217" s="16">
        <v>-348304120000</v>
      </c>
      <c r="J217" s="16">
        <v>-582269240000</v>
      </c>
      <c r="K217" s="16" t="s">
        <v>1157</v>
      </c>
      <c r="L217" s="57">
        <f t="shared" si="19"/>
        <v>30</v>
      </c>
      <c r="M217" s="17">
        <f t="shared" si="17"/>
        <v>0</v>
      </c>
      <c r="N217" s="18">
        <f t="shared" si="18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t="s">
        <v>554</v>
      </c>
      <c r="B218" s="62"/>
      <c r="C218" s="63" t="s">
        <v>564</v>
      </c>
      <c r="D218" s="62" t="s">
        <v>565</v>
      </c>
      <c r="E218" t="s">
        <v>113</v>
      </c>
      <c r="F218" t="s">
        <v>36</v>
      </c>
      <c r="G218"/>
      <c r="H218" t="s">
        <v>247</v>
      </c>
      <c r="I218" s="16">
        <v>-348327470000</v>
      </c>
      <c r="J218" s="16">
        <v>-582277380000</v>
      </c>
      <c r="K218" s="16" t="s">
        <v>1158</v>
      </c>
      <c r="L218" s="57">
        <f t="shared" si="19"/>
        <v>30</v>
      </c>
      <c r="M218" s="17">
        <f t="shared" si="17"/>
        <v>0</v>
      </c>
      <c r="N218" s="18">
        <f t="shared" si="18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t="s">
        <v>554</v>
      </c>
      <c r="B219" s="62"/>
      <c r="C219" s="63" t="s">
        <v>566</v>
      </c>
      <c r="D219" s="62" t="s">
        <v>565</v>
      </c>
      <c r="E219" t="s">
        <v>73</v>
      </c>
      <c r="F219" t="s">
        <v>36</v>
      </c>
      <c r="G219"/>
      <c r="H219" t="s">
        <v>567</v>
      </c>
      <c r="I219" s="16">
        <v>-348327560000</v>
      </c>
      <c r="J219" s="16">
        <v>-582277570000</v>
      </c>
      <c r="K219" s="16" t="s">
        <v>1159</v>
      </c>
      <c r="L219" s="57">
        <f t="shared" si="19"/>
        <v>30</v>
      </c>
      <c r="M219" s="17">
        <f t="shared" si="17"/>
        <v>0</v>
      </c>
      <c r="N219" s="18">
        <f t="shared" si="18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t="s">
        <v>568</v>
      </c>
      <c r="B220" s="62"/>
      <c r="C220" s="63" t="s">
        <v>569</v>
      </c>
      <c r="D220" s="62" t="s">
        <v>570</v>
      </c>
      <c r="E220" t="s">
        <v>19</v>
      </c>
      <c r="F220" t="s">
        <v>36</v>
      </c>
      <c r="G220"/>
      <c r="H220" t="s">
        <v>339</v>
      </c>
      <c r="I220" s="16">
        <v>-348284690000</v>
      </c>
      <c r="J220" s="16">
        <v>-582281770000</v>
      </c>
      <c r="K220" s="16" t="s">
        <v>1160</v>
      </c>
      <c r="L220" s="57">
        <f t="shared" si="19"/>
        <v>30</v>
      </c>
      <c r="M220" s="17">
        <f t="shared" si="17"/>
        <v>0</v>
      </c>
      <c r="N220" s="18">
        <f t="shared" si="18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t="s">
        <v>568</v>
      </c>
      <c r="B221" s="62"/>
      <c r="C221" s="63" t="s">
        <v>571</v>
      </c>
      <c r="D221" s="62" t="s">
        <v>572</v>
      </c>
      <c r="E221" t="s">
        <v>19</v>
      </c>
      <c r="F221" t="s">
        <v>36</v>
      </c>
      <c r="G221"/>
      <c r="H221" t="s">
        <v>339</v>
      </c>
      <c r="I221" s="16">
        <v>-348266150000</v>
      </c>
      <c r="J221" s="16">
        <v>-582261560000</v>
      </c>
      <c r="K221" s="16" t="s">
        <v>1163</v>
      </c>
      <c r="L221" s="57">
        <f t="shared" si="19"/>
        <v>30</v>
      </c>
      <c r="M221" s="17">
        <f t="shared" si="17"/>
        <v>0</v>
      </c>
      <c r="N221" s="18">
        <f t="shared" si="18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t="s">
        <v>568</v>
      </c>
      <c r="B222" s="62"/>
      <c r="C222" s="63" t="s">
        <v>573</v>
      </c>
      <c r="D222" s="62" t="s">
        <v>574</v>
      </c>
      <c r="E222" t="s">
        <v>113</v>
      </c>
      <c r="F222" t="s">
        <v>36</v>
      </c>
      <c r="G222"/>
      <c r="H222" t="s">
        <v>562</v>
      </c>
      <c r="I222" s="16">
        <v>-348268070000</v>
      </c>
      <c r="J222" s="16">
        <v>-582275680000</v>
      </c>
      <c r="K222" s="16" t="s">
        <v>1161</v>
      </c>
      <c r="L222" s="57">
        <f t="shared" si="19"/>
        <v>30</v>
      </c>
      <c r="M222" s="17">
        <f t="shared" si="17"/>
        <v>0</v>
      </c>
      <c r="N222" s="18">
        <f t="shared" si="18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t="s">
        <v>568</v>
      </c>
      <c r="B223" s="62"/>
      <c r="C223" s="63" t="s">
        <v>575</v>
      </c>
      <c r="D223" s="62" t="s">
        <v>574</v>
      </c>
      <c r="E223" t="s">
        <v>113</v>
      </c>
      <c r="F223" t="s">
        <v>36</v>
      </c>
      <c r="G223"/>
      <c r="H223" t="s">
        <v>576</v>
      </c>
      <c r="I223" s="16">
        <v>-348268070000</v>
      </c>
      <c r="J223" s="16">
        <v>-582275680000</v>
      </c>
      <c r="K223" s="16" t="s">
        <v>1162</v>
      </c>
      <c r="L223" s="57">
        <f t="shared" si="19"/>
        <v>30</v>
      </c>
      <c r="M223" s="17">
        <f t="shared" si="17"/>
        <v>0</v>
      </c>
      <c r="N223" s="18">
        <f t="shared" si="18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t="s">
        <v>568</v>
      </c>
      <c r="B224" s="60">
        <v>44629</v>
      </c>
      <c r="C224" s="63" t="s">
        <v>577</v>
      </c>
      <c r="D224" s="62" t="s">
        <v>578</v>
      </c>
      <c r="E224" t="s">
        <v>19</v>
      </c>
      <c r="F224" t="s">
        <v>36</v>
      </c>
      <c r="G224"/>
      <c r="H224" t="s">
        <v>579</v>
      </c>
      <c r="I224" s="16">
        <v>-348255670000</v>
      </c>
      <c r="J224" s="16">
        <v>-582250020000</v>
      </c>
      <c r="K224" s="16" t="s">
        <v>1164</v>
      </c>
      <c r="L224" s="57">
        <f t="shared" si="19"/>
        <v>30</v>
      </c>
      <c r="M224" s="17">
        <f t="shared" si="17"/>
        <v>0</v>
      </c>
      <c r="N224" s="18">
        <f t="shared" si="18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t="s">
        <v>410</v>
      </c>
      <c r="B225" s="62"/>
      <c r="C225" s="63" t="s">
        <v>580</v>
      </c>
      <c r="D225" s="62" t="s">
        <v>581</v>
      </c>
      <c r="E225" t="s">
        <v>24</v>
      </c>
      <c r="F225" t="s">
        <v>36</v>
      </c>
      <c r="G225" t="s">
        <v>582</v>
      </c>
      <c r="H225"/>
      <c r="I225" s="16">
        <v>-347820290000</v>
      </c>
      <c r="J225" s="16">
        <v>-582627140000</v>
      </c>
      <c r="K225" s="16" t="s">
        <v>1165</v>
      </c>
      <c r="L225" s="57">
        <f t="shared" si="19"/>
        <v>30</v>
      </c>
      <c r="M225" s="17">
        <f t="shared" si="17"/>
        <v>0</v>
      </c>
      <c r="N225" s="18">
        <f t="shared" si="18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t="s">
        <v>583</v>
      </c>
      <c r="B226" s="62"/>
      <c r="C226" s="63" t="s">
        <v>584</v>
      </c>
      <c r="D226" s="62" t="s">
        <v>585</v>
      </c>
      <c r="E226" t="s">
        <v>24</v>
      </c>
      <c r="F226" t="s">
        <v>36</v>
      </c>
      <c r="G226" t="s">
        <v>586</v>
      </c>
      <c r="H226"/>
      <c r="I226" s="16">
        <v>-347820510000</v>
      </c>
      <c r="J226" s="16">
        <v>-582792740000</v>
      </c>
      <c r="K226" s="16" t="s">
        <v>1166</v>
      </c>
      <c r="L226" s="57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t="s">
        <v>583</v>
      </c>
      <c r="B227" s="62"/>
      <c r="C227" s="63" t="s">
        <v>587</v>
      </c>
      <c r="D227" s="62" t="s">
        <v>588</v>
      </c>
      <c r="E227" t="s">
        <v>24</v>
      </c>
      <c r="F227" t="s">
        <v>36</v>
      </c>
      <c r="G227" t="s">
        <v>589</v>
      </c>
      <c r="H227"/>
      <c r="I227" s="16">
        <v>-347891490000</v>
      </c>
      <c r="J227" s="16">
        <v>-582788520000</v>
      </c>
      <c r="K227" s="16" t="s">
        <v>1167</v>
      </c>
      <c r="L227" s="57">
        <f t="shared" si="19"/>
        <v>30</v>
      </c>
      <c r="M227" s="17">
        <f t="shared" si="17"/>
        <v>0</v>
      </c>
      <c r="N227" s="18">
        <f t="shared" si="18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t="s">
        <v>590</v>
      </c>
      <c r="B228" s="62"/>
      <c r="C228" s="63" t="s">
        <v>591</v>
      </c>
      <c r="D228" s="62" t="s">
        <v>592</v>
      </c>
      <c r="E228" t="s">
        <v>24</v>
      </c>
      <c r="F228" t="s">
        <v>25</v>
      </c>
      <c r="G228" t="s">
        <v>276</v>
      </c>
      <c r="H228"/>
      <c r="I228" s="16">
        <v>-347858230000</v>
      </c>
      <c r="J228" s="16">
        <v>-582788230000</v>
      </c>
      <c r="K228" s="16" t="s">
        <v>1168</v>
      </c>
      <c r="L228" s="57">
        <f t="shared" si="19"/>
        <v>30</v>
      </c>
      <c r="M228" s="17">
        <f t="shared" si="17"/>
        <v>0</v>
      </c>
      <c r="N228" s="18">
        <f t="shared" si="18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t="s">
        <v>454</v>
      </c>
      <c r="B229" s="62"/>
      <c r="C229" s="63" t="s">
        <v>593</v>
      </c>
      <c r="D229" s="62" t="s">
        <v>594</v>
      </c>
      <c r="E229" t="s">
        <v>24</v>
      </c>
      <c r="F229" t="s">
        <v>36</v>
      </c>
      <c r="G229" t="s">
        <v>595</v>
      </c>
      <c r="H229"/>
      <c r="I229" s="16">
        <v>-347803150000</v>
      </c>
      <c r="J229" s="16">
        <v>-582792150000</v>
      </c>
      <c r="K229" s="16" t="s">
        <v>1171</v>
      </c>
      <c r="L229" s="57">
        <f t="shared" si="19"/>
        <v>30</v>
      </c>
      <c r="M229" s="17">
        <f t="shared" si="17"/>
        <v>0</v>
      </c>
      <c r="N229" s="18">
        <f t="shared" si="18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t="s">
        <v>454</v>
      </c>
      <c r="B230" s="60">
        <v>44642</v>
      </c>
      <c r="C230" s="63" t="s">
        <v>596</v>
      </c>
      <c r="D230" s="62" t="s">
        <v>597</v>
      </c>
      <c r="E230" t="s">
        <v>24</v>
      </c>
      <c r="F230" t="s">
        <v>36</v>
      </c>
      <c r="G230" t="s">
        <v>598</v>
      </c>
      <c r="H230"/>
      <c r="I230" s="16">
        <v>-347724810000</v>
      </c>
      <c r="J230" s="16">
        <v>-582779860000</v>
      </c>
      <c r="K230" s="16" t="s">
        <v>1172</v>
      </c>
      <c r="L230" s="57">
        <f t="shared" si="19"/>
        <v>30</v>
      </c>
      <c r="M230" s="17">
        <f t="shared" si="17"/>
        <v>0</v>
      </c>
      <c r="N230" s="18">
        <f t="shared" si="18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t="s">
        <v>454</v>
      </c>
      <c r="B231" s="62"/>
      <c r="C231" s="63" t="s">
        <v>599</v>
      </c>
      <c r="D231" s="62" t="s">
        <v>600</v>
      </c>
      <c r="E231" t="s">
        <v>113</v>
      </c>
      <c r="F231" t="s">
        <v>36</v>
      </c>
      <c r="G231"/>
      <c r="H231" t="s">
        <v>247</v>
      </c>
      <c r="I231" s="16">
        <v>-347758420000</v>
      </c>
      <c r="J231" s="16">
        <v>-582787380000</v>
      </c>
      <c r="K231" s="16" t="s">
        <v>1169</v>
      </c>
      <c r="L231" s="57">
        <f t="shared" si="19"/>
        <v>25</v>
      </c>
      <c r="M231" s="17">
        <f t="shared" si="17"/>
        <v>5</v>
      </c>
      <c r="N231" s="18">
        <f t="shared" si="18"/>
        <v>0.83333333333333337</v>
      </c>
      <c r="O231" s="27" t="s">
        <v>1369</v>
      </c>
      <c r="P231" s="8" t="s">
        <v>1369</v>
      </c>
      <c r="Q231" s="8" t="s">
        <v>1369</v>
      </c>
      <c r="R231" s="8" t="s">
        <v>1369</v>
      </c>
      <c r="S231" s="27" t="s">
        <v>1369</v>
      </c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t="s">
        <v>454</v>
      </c>
      <c r="B232" s="62"/>
      <c r="C232" s="63" t="s">
        <v>601</v>
      </c>
      <c r="D232" s="62" t="s">
        <v>600</v>
      </c>
      <c r="E232" t="s">
        <v>113</v>
      </c>
      <c r="F232" t="s">
        <v>36</v>
      </c>
      <c r="G232"/>
      <c r="H232" t="s">
        <v>247</v>
      </c>
      <c r="I232" s="16">
        <v>-347758300000</v>
      </c>
      <c r="J232" s="16">
        <v>-582787420000</v>
      </c>
      <c r="K232" s="16" t="s">
        <v>1170</v>
      </c>
      <c r="L232" s="57">
        <f t="shared" si="19"/>
        <v>25</v>
      </c>
      <c r="M232" s="17">
        <f t="shared" si="17"/>
        <v>5</v>
      </c>
      <c r="N232" s="18">
        <f t="shared" si="18"/>
        <v>0.83333333333333337</v>
      </c>
      <c r="O232" s="27" t="s">
        <v>1369</v>
      </c>
      <c r="P232" s="8" t="s">
        <v>1369</v>
      </c>
      <c r="Q232" s="8" t="s">
        <v>1369</v>
      </c>
      <c r="R232" s="8" t="s">
        <v>1369</v>
      </c>
      <c r="S232" s="27" t="s">
        <v>1369</v>
      </c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t="s">
        <v>583</v>
      </c>
      <c r="B233" s="62"/>
      <c r="C233" s="63" t="s">
        <v>602</v>
      </c>
      <c r="D233" s="62" t="s">
        <v>603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1174</v>
      </c>
      <c r="L233" s="57">
        <f t="shared" si="19"/>
        <v>30</v>
      </c>
      <c r="M233" s="17">
        <f t="shared" si="17"/>
        <v>0</v>
      </c>
      <c r="N233" s="18">
        <f t="shared" si="18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B234" s="62"/>
      <c r="C234" s="63" t="s">
        <v>604</v>
      </c>
      <c r="D234" s="62" t="s">
        <v>605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1175</v>
      </c>
      <c r="L234" s="57">
        <f t="shared" si="19"/>
        <v>30</v>
      </c>
      <c r="M234" s="17">
        <f t="shared" si="17"/>
        <v>0</v>
      </c>
      <c r="N234" s="18">
        <f t="shared" si="18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t="s">
        <v>606</v>
      </c>
      <c r="B235" s="62"/>
      <c r="C235" s="63" t="s">
        <v>607</v>
      </c>
      <c r="D235" s="62" t="s">
        <v>608</v>
      </c>
      <c r="E235" t="s">
        <v>24</v>
      </c>
      <c r="F235" t="s">
        <v>36</v>
      </c>
      <c r="G235"/>
      <c r="H235" t="s">
        <v>609</v>
      </c>
      <c r="I235" s="16">
        <v>-347813810000</v>
      </c>
      <c r="J235" s="16">
        <v>-582945970000</v>
      </c>
      <c r="K235" s="16" t="s">
        <v>1176</v>
      </c>
      <c r="L235" s="57">
        <f t="shared" si="19"/>
        <v>30</v>
      </c>
      <c r="M235" s="17">
        <f t="shared" si="17"/>
        <v>0</v>
      </c>
      <c r="N235" s="18">
        <f t="shared" si="18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t="s">
        <v>606</v>
      </c>
      <c r="B236" s="62"/>
      <c r="C236" s="63" t="s">
        <v>610</v>
      </c>
      <c r="D236" s="62" t="s">
        <v>608</v>
      </c>
      <c r="E236" t="s">
        <v>113</v>
      </c>
      <c r="F236" t="s">
        <v>36</v>
      </c>
      <c r="G236"/>
      <c r="H236" t="s">
        <v>611</v>
      </c>
      <c r="I236" s="16">
        <v>-347813820000</v>
      </c>
      <c r="J236" s="16">
        <v>-582946080000</v>
      </c>
      <c r="K236" s="16" t="s">
        <v>1177</v>
      </c>
      <c r="L236" s="57">
        <f t="shared" si="19"/>
        <v>30</v>
      </c>
      <c r="M236" s="17">
        <f t="shared" si="17"/>
        <v>0</v>
      </c>
      <c r="N236" s="18">
        <f t="shared" si="18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t="s">
        <v>606</v>
      </c>
      <c r="B237" s="62"/>
      <c r="C237" s="63" t="s">
        <v>612</v>
      </c>
      <c r="D237" s="62" t="s">
        <v>608</v>
      </c>
      <c r="E237" t="s">
        <v>113</v>
      </c>
      <c r="F237" t="s">
        <v>36</v>
      </c>
      <c r="G237"/>
      <c r="H237" t="s">
        <v>611</v>
      </c>
      <c r="I237" s="16">
        <v>-347813760000</v>
      </c>
      <c r="J237" s="16">
        <v>-582945930000</v>
      </c>
      <c r="K237" s="16" t="s">
        <v>1178</v>
      </c>
      <c r="L237" s="57">
        <f t="shared" si="19"/>
        <v>30</v>
      </c>
      <c r="M237" s="17">
        <f t="shared" si="17"/>
        <v>0</v>
      </c>
      <c r="N237" s="18">
        <f t="shared" si="18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t="s">
        <v>606</v>
      </c>
      <c r="B238" s="62"/>
      <c r="C238" s="63" t="s">
        <v>613</v>
      </c>
      <c r="D238" s="62" t="s">
        <v>614</v>
      </c>
      <c r="E238" t="s">
        <v>19</v>
      </c>
      <c r="F238" t="s">
        <v>25</v>
      </c>
      <c r="G238" t="s">
        <v>184</v>
      </c>
      <c r="H238" t="s">
        <v>615</v>
      </c>
      <c r="I238" s="16">
        <v>-347871630000</v>
      </c>
      <c r="J238" s="16">
        <v>-582901360000</v>
      </c>
      <c r="K238" s="16" t="s">
        <v>1173</v>
      </c>
      <c r="L238" s="57">
        <f t="shared" si="19"/>
        <v>30</v>
      </c>
      <c r="M238" s="17">
        <f t="shared" si="17"/>
        <v>0</v>
      </c>
      <c r="N238" s="18">
        <f t="shared" si="18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t="s">
        <v>616</v>
      </c>
      <c r="B239" s="62"/>
      <c r="C239" s="63" t="s">
        <v>617</v>
      </c>
      <c r="D239" s="62" t="s">
        <v>618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1179</v>
      </c>
      <c r="L239" s="57">
        <f t="shared" si="19"/>
        <v>29</v>
      </c>
      <c r="M239" s="17">
        <f t="shared" si="17"/>
        <v>1</v>
      </c>
      <c r="N239" s="18">
        <f t="shared" si="18"/>
        <v>0.96666666666666667</v>
      </c>
      <c r="O239" s="27" t="s">
        <v>1369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t="s">
        <v>616</v>
      </c>
      <c r="B240" s="62"/>
      <c r="C240" s="63" t="s">
        <v>619</v>
      </c>
      <c r="D240" s="62" t="s">
        <v>618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1180</v>
      </c>
      <c r="L240" s="57">
        <f t="shared" si="19"/>
        <v>29</v>
      </c>
      <c r="M240" s="17">
        <f t="shared" si="17"/>
        <v>1</v>
      </c>
      <c r="N240" s="18">
        <f t="shared" si="18"/>
        <v>0.96666666666666667</v>
      </c>
      <c r="O240" s="27" t="s">
        <v>1369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t="s">
        <v>606</v>
      </c>
      <c r="B241" s="62"/>
      <c r="C241" s="63" t="s">
        <v>620</v>
      </c>
      <c r="D241" s="62" t="s">
        <v>621</v>
      </c>
      <c r="E241" t="s">
        <v>113</v>
      </c>
      <c r="F241" t="s">
        <v>36</v>
      </c>
      <c r="G241" t="s">
        <v>622</v>
      </c>
      <c r="H241"/>
      <c r="I241" s="16">
        <v>-347831700000</v>
      </c>
      <c r="J241" s="16">
        <v>-582932590000</v>
      </c>
      <c r="K241" s="16" t="s">
        <v>1181</v>
      </c>
      <c r="L241" s="57">
        <f t="shared" si="19"/>
        <v>30</v>
      </c>
      <c r="M241" s="17">
        <f t="shared" si="17"/>
        <v>0</v>
      </c>
      <c r="N241" s="18">
        <f t="shared" si="18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t="s">
        <v>606</v>
      </c>
      <c r="B242" s="62"/>
      <c r="C242" s="63" t="s">
        <v>623</v>
      </c>
      <c r="D242" s="62" t="s">
        <v>621</v>
      </c>
      <c r="E242" t="s">
        <v>113</v>
      </c>
      <c r="F242" t="s">
        <v>36</v>
      </c>
      <c r="G242" t="s">
        <v>622</v>
      </c>
      <c r="H242"/>
      <c r="I242" s="16">
        <v>-347832580000</v>
      </c>
      <c r="J242" s="16">
        <v>-582932170000</v>
      </c>
      <c r="K242" s="16" t="s">
        <v>1182</v>
      </c>
      <c r="L242" s="57">
        <f t="shared" si="19"/>
        <v>30</v>
      </c>
      <c r="M242" s="17">
        <f t="shared" si="17"/>
        <v>0</v>
      </c>
      <c r="N242" s="18">
        <f t="shared" si="18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t="s">
        <v>606</v>
      </c>
      <c r="B243" s="62"/>
      <c r="C243" s="63" t="s">
        <v>624</v>
      </c>
      <c r="D243" s="62" t="s">
        <v>625</v>
      </c>
      <c r="E243" t="s">
        <v>113</v>
      </c>
      <c r="F243" t="s">
        <v>36</v>
      </c>
      <c r="G243" t="s">
        <v>626</v>
      </c>
      <c r="H243"/>
      <c r="I243" s="16">
        <v>-347819280000</v>
      </c>
      <c r="J243" s="16">
        <v>-582932800000</v>
      </c>
      <c r="K243" s="16" t="s">
        <v>1183</v>
      </c>
      <c r="L243" s="57">
        <f t="shared" si="19"/>
        <v>30</v>
      </c>
      <c r="M243" s="17">
        <f t="shared" si="17"/>
        <v>0</v>
      </c>
      <c r="N243" s="18">
        <f t="shared" si="18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t="s">
        <v>606</v>
      </c>
      <c r="B244" s="62"/>
      <c r="C244" s="63" t="s">
        <v>627</v>
      </c>
      <c r="D244" s="62" t="s">
        <v>625</v>
      </c>
      <c r="E244" t="s">
        <v>113</v>
      </c>
      <c r="F244" t="s">
        <v>36</v>
      </c>
      <c r="G244" t="s">
        <v>626</v>
      </c>
      <c r="H244"/>
      <c r="I244" s="16">
        <v>-347819190000</v>
      </c>
      <c r="J244" s="16">
        <v>-582932910000</v>
      </c>
      <c r="K244" s="16" t="s">
        <v>1184</v>
      </c>
      <c r="L244" s="57">
        <f t="shared" si="19"/>
        <v>30</v>
      </c>
      <c r="M244" s="17">
        <f t="shared" si="17"/>
        <v>0</v>
      </c>
      <c r="N244" s="18">
        <f t="shared" si="18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t="s">
        <v>616</v>
      </c>
      <c r="B245" s="62"/>
      <c r="C245" s="63" t="s">
        <v>1323</v>
      </c>
      <c r="D245" s="62" t="s">
        <v>1324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1339</v>
      </c>
      <c r="L245" s="57">
        <f t="shared" si="19"/>
        <v>29</v>
      </c>
      <c r="M245" s="17">
        <f t="shared" si="17"/>
        <v>1</v>
      </c>
      <c r="N245" s="18">
        <f t="shared" si="18"/>
        <v>0.96666666666666667</v>
      </c>
      <c r="O245" s="27" t="s">
        <v>1369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t="s">
        <v>606</v>
      </c>
      <c r="B246" s="62"/>
      <c r="C246" s="63" t="s">
        <v>1325</v>
      </c>
      <c r="D246" s="62" t="s">
        <v>1326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1340</v>
      </c>
      <c r="L246" s="57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t="s">
        <v>308</v>
      </c>
      <c r="B247" s="62"/>
      <c r="C247" s="63" t="s">
        <v>628</v>
      </c>
      <c r="D247" s="62" t="s">
        <v>629</v>
      </c>
      <c r="E247" t="s">
        <v>19</v>
      </c>
      <c r="F247" t="s">
        <v>25</v>
      </c>
      <c r="G247"/>
      <c r="H247" t="s">
        <v>630</v>
      </c>
      <c r="I247" s="16">
        <v>-348247270000</v>
      </c>
      <c r="J247" s="16">
        <v>-582923280000</v>
      </c>
      <c r="K247" s="16" t="s">
        <v>1187</v>
      </c>
      <c r="L247" s="57">
        <f t="shared" si="19"/>
        <v>30</v>
      </c>
      <c r="M247" s="17">
        <f t="shared" si="17"/>
        <v>0</v>
      </c>
      <c r="N247" s="18">
        <f t="shared" si="18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t="s">
        <v>308</v>
      </c>
      <c r="B248" s="62"/>
      <c r="C248" s="63" t="s">
        <v>631</v>
      </c>
      <c r="D248" s="62" t="s">
        <v>632</v>
      </c>
      <c r="E248" t="s">
        <v>19</v>
      </c>
      <c r="F248" t="s">
        <v>25</v>
      </c>
      <c r="G248"/>
      <c r="H248" t="s">
        <v>630</v>
      </c>
      <c r="I248" s="16">
        <v>-348165060000</v>
      </c>
      <c r="J248" s="16">
        <v>-582994990000</v>
      </c>
      <c r="K248" s="16" t="s">
        <v>1189</v>
      </c>
      <c r="L248" s="57">
        <f t="shared" si="19"/>
        <v>30</v>
      </c>
      <c r="M248" s="17">
        <f t="shared" si="17"/>
        <v>0</v>
      </c>
      <c r="N248" s="18">
        <f t="shared" si="18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t="s">
        <v>308</v>
      </c>
      <c r="B249" s="62"/>
      <c r="C249" s="63" t="s">
        <v>633</v>
      </c>
      <c r="D249" s="62" t="s">
        <v>634</v>
      </c>
      <c r="E249" t="s">
        <v>24</v>
      </c>
      <c r="F249" t="s">
        <v>25</v>
      </c>
      <c r="G249" t="s">
        <v>164</v>
      </c>
      <c r="H249"/>
      <c r="I249" s="16">
        <v>-348184850000</v>
      </c>
      <c r="J249" s="16">
        <v>-583019920000</v>
      </c>
      <c r="K249" s="16" t="s">
        <v>1185</v>
      </c>
      <c r="L249" s="57">
        <f t="shared" si="19"/>
        <v>30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t="s">
        <v>308</v>
      </c>
      <c r="B250" s="62"/>
      <c r="C250" s="63" t="s">
        <v>635</v>
      </c>
      <c r="D250" s="62" t="s">
        <v>636</v>
      </c>
      <c r="E250" t="s">
        <v>24</v>
      </c>
      <c r="F250" t="s">
        <v>25</v>
      </c>
      <c r="G250" t="s">
        <v>184</v>
      </c>
      <c r="H250" t="s">
        <v>637</v>
      </c>
      <c r="I250" s="16">
        <v>-348155560000</v>
      </c>
      <c r="J250" s="16">
        <v>-582959460000</v>
      </c>
      <c r="K250" s="16" t="s">
        <v>1186</v>
      </c>
      <c r="L250" s="57">
        <f t="shared" si="19"/>
        <v>30</v>
      </c>
      <c r="M250" s="17">
        <f t="shared" si="17"/>
        <v>0</v>
      </c>
      <c r="N250" s="18">
        <f t="shared" si="18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t="s">
        <v>308</v>
      </c>
      <c r="B251" s="60">
        <v>44634</v>
      </c>
      <c r="C251" s="63" t="s">
        <v>638</v>
      </c>
      <c r="D251" s="62" t="s">
        <v>639</v>
      </c>
      <c r="E251" t="s">
        <v>113</v>
      </c>
      <c r="F251" t="s">
        <v>36</v>
      </c>
      <c r="G251"/>
      <c r="H251" t="s">
        <v>520</v>
      </c>
      <c r="I251" s="16">
        <v>-348174220000</v>
      </c>
      <c r="J251" s="16">
        <v>-582945170000</v>
      </c>
      <c r="K251" s="16" t="s">
        <v>1190</v>
      </c>
      <c r="L251" s="57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t="s">
        <v>308</v>
      </c>
      <c r="B252" s="60">
        <v>44634</v>
      </c>
      <c r="C252" s="63" t="s">
        <v>640</v>
      </c>
      <c r="D252" s="62" t="s">
        <v>639</v>
      </c>
      <c r="E252" t="s">
        <v>113</v>
      </c>
      <c r="F252" t="s">
        <v>36</v>
      </c>
      <c r="G252"/>
      <c r="H252" t="s">
        <v>520</v>
      </c>
      <c r="I252" s="16">
        <v>-348174220000</v>
      </c>
      <c r="J252" s="16">
        <v>-582945170000</v>
      </c>
      <c r="K252" s="16" t="s">
        <v>1191</v>
      </c>
      <c r="L252" s="57">
        <f t="shared" si="19"/>
        <v>30</v>
      </c>
      <c r="M252" s="17">
        <f t="shared" si="17"/>
        <v>0</v>
      </c>
      <c r="N252" s="18">
        <f t="shared" si="18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t="s">
        <v>308</v>
      </c>
      <c r="B253" s="60">
        <v>44634</v>
      </c>
      <c r="C253" s="63" t="s">
        <v>641</v>
      </c>
      <c r="D253" s="62" t="s">
        <v>642</v>
      </c>
      <c r="E253" t="s">
        <v>113</v>
      </c>
      <c r="F253" t="s">
        <v>36</v>
      </c>
      <c r="G253"/>
      <c r="H253" t="s">
        <v>285</v>
      </c>
      <c r="I253" s="16">
        <v>-348145600000</v>
      </c>
      <c r="J253" s="16">
        <v>-582924490000</v>
      </c>
      <c r="K253" s="16" t="s">
        <v>1192</v>
      </c>
      <c r="L253" s="57">
        <f t="shared" si="19"/>
        <v>30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t="s">
        <v>308</v>
      </c>
      <c r="B254" s="60">
        <v>44634</v>
      </c>
      <c r="C254" s="63" t="s">
        <v>643</v>
      </c>
      <c r="D254" s="62" t="s">
        <v>642</v>
      </c>
      <c r="E254" t="s">
        <v>113</v>
      </c>
      <c r="F254" t="s">
        <v>36</v>
      </c>
      <c r="G254"/>
      <c r="H254" t="s">
        <v>285</v>
      </c>
      <c r="I254" s="16">
        <v>-348145600000</v>
      </c>
      <c r="J254" s="16">
        <v>-582924490000</v>
      </c>
      <c r="K254" s="16" t="s">
        <v>1193</v>
      </c>
      <c r="L254" s="57">
        <f t="shared" si="19"/>
        <v>30</v>
      </c>
      <c r="M254" s="17">
        <f t="shared" si="17"/>
        <v>0</v>
      </c>
      <c r="N254" s="18">
        <f t="shared" si="18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t="s">
        <v>644</v>
      </c>
      <c r="B255" s="62"/>
      <c r="C255" s="63" t="s">
        <v>645</v>
      </c>
      <c r="D255" s="62" t="s">
        <v>646</v>
      </c>
      <c r="E255" t="s">
        <v>24</v>
      </c>
      <c r="F255" t="s">
        <v>25</v>
      </c>
      <c r="G255" t="s">
        <v>647</v>
      </c>
      <c r="H255" t="s">
        <v>648</v>
      </c>
      <c r="I255" s="16">
        <v>-348007570000</v>
      </c>
      <c r="J255" s="16">
        <v>-582391960000</v>
      </c>
      <c r="K255" s="16" t="s">
        <v>1194</v>
      </c>
      <c r="L255" s="57">
        <f t="shared" si="19"/>
        <v>30</v>
      </c>
      <c r="M255" s="17">
        <f t="shared" si="17"/>
        <v>0</v>
      </c>
      <c r="N255" s="18">
        <f t="shared" si="18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B256" s="62"/>
      <c r="C256" s="63" t="s">
        <v>649</v>
      </c>
      <c r="D256" s="62" t="s">
        <v>650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1197</v>
      </c>
      <c r="L256" s="57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t="s">
        <v>651</v>
      </c>
      <c r="B257" s="62"/>
      <c r="C257" s="63" t="s">
        <v>652</v>
      </c>
      <c r="D257" s="62" t="s">
        <v>653</v>
      </c>
      <c r="E257" t="s">
        <v>73</v>
      </c>
      <c r="F257" t="s">
        <v>25</v>
      </c>
      <c r="G257" t="s">
        <v>654</v>
      </c>
      <c r="H257" t="s">
        <v>655</v>
      </c>
      <c r="I257" s="16">
        <v>-348119330000</v>
      </c>
      <c r="J257" s="16">
        <v>-582583640000</v>
      </c>
      <c r="K257" s="16" t="s">
        <v>1198</v>
      </c>
      <c r="L257" s="57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t="s">
        <v>651</v>
      </c>
      <c r="B258" s="62"/>
      <c r="C258" s="63" t="s">
        <v>656</v>
      </c>
      <c r="D258" s="62" t="s">
        <v>657</v>
      </c>
      <c r="E258" t="s">
        <v>19</v>
      </c>
      <c r="F258" t="s">
        <v>36</v>
      </c>
      <c r="G258"/>
      <c r="H258" t="s">
        <v>339</v>
      </c>
      <c r="I258" s="16">
        <v>-348167840000</v>
      </c>
      <c r="J258" s="16">
        <v>-582534370000</v>
      </c>
      <c r="K258" s="16" t="s">
        <v>1200</v>
      </c>
      <c r="L258" s="57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t="s">
        <v>651</v>
      </c>
      <c r="B259" s="62"/>
      <c r="C259" s="63" t="s">
        <v>658</v>
      </c>
      <c r="D259" s="62" t="s">
        <v>659</v>
      </c>
      <c r="E259" t="s">
        <v>19</v>
      </c>
      <c r="F259" t="s">
        <v>36</v>
      </c>
      <c r="G259"/>
      <c r="H259" t="s">
        <v>339</v>
      </c>
      <c r="I259" s="16">
        <v>-348194100000</v>
      </c>
      <c r="J259" s="16">
        <v>-582514340000</v>
      </c>
      <c r="K259" s="16" t="s">
        <v>1201</v>
      </c>
      <c r="L259" s="57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t="s">
        <v>651</v>
      </c>
      <c r="B260" s="62"/>
      <c r="C260" s="63" t="s">
        <v>660</v>
      </c>
      <c r="D260" s="62" t="s">
        <v>661</v>
      </c>
      <c r="E260" t="s">
        <v>19</v>
      </c>
      <c r="F260" t="s">
        <v>25</v>
      </c>
      <c r="G260" t="s">
        <v>184</v>
      </c>
      <c r="H260"/>
      <c r="I260" s="16">
        <v>-348119410000</v>
      </c>
      <c r="J260" s="16">
        <v>-582582760000</v>
      </c>
      <c r="K260" s="16" t="s">
        <v>1195</v>
      </c>
      <c r="L260" s="57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t="s">
        <v>651</v>
      </c>
      <c r="B261" s="60">
        <v>44629</v>
      </c>
      <c r="C261" s="63" t="s">
        <v>662</v>
      </c>
      <c r="D261" s="62" t="s">
        <v>663</v>
      </c>
      <c r="E261" t="s">
        <v>24</v>
      </c>
      <c r="F261" t="s">
        <v>25</v>
      </c>
      <c r="G261" t="s">
        <v>184</v>
      </c>
      <c r="H261"/>
      <c r="I261" s="16">
        <v>-348150360000</v>
      </c>
      <c r="J261" s="16">
        <v>-582549730000</v>
      </c>
      <c r="K261" s="16" t="s">
        <v>1196</v>
      </c>
      <c r="L261" s="57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t="s">
        <v>651</v>
      </c>
      <c r="B262" s="62"/>
      <c r="C262" s="63" t="s">
        <v>664</v>
      </c>
      <c r="D262" s="62" t="s">
        <v>665</v>
      </c>
      <c r="E262" t="s">
        <v>19</v>
      </c>
      <c r="F262" t="s">
        <v>941</v>
      </c>
      <c r="G262"/>
      <c r="H262" t="s">
        <v>666</v>
      </c>
      <c r="I262" s="16">
        <v>-348150250000</v>
      </c>
      <c r="J262" s="16">
        <v>-582640890000</v>
      </c>
      <c r="K262" s="16" t="s">
        <v>1199</v>
      </c>
      <c r="L262" s="57">
        <f t="shared" ref="L262:L325" si="20">COUNTIF(O262:AR262,"")</f>
        <v>30</v>
      </c>
      <c r="M262" s="17">
        <f t="shared" si="17"/>
        <v>0</v>
      </c>
      <c r="N262" s="18">
        <f t="shared" si="18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t="s">
        <v>257</v>
      </c>
      <c r="B263" s="62"/>
      <c r="C263" s="63" t="s">
        <v>667</v>
      </c>
      <c r="D263" s="62" t="s">
        <v>668</v>
      </c>
      <c r="E263" t="s">
        <v>113</v>
      </c>
      <c r="F263" t="s">
        <v>36</v>
      </c>
      <c r="G263"/>
      <c r="H263" t="s">
        <v>669</v>
      </c>
      <c r="I263" s="16">
        <v>-348003780000</v>
      </c>
      <c r="J263" s="16">
        <v>-582918660000</v>
      </c>
      <c r="K263" s="16" t="s">
        <v>1202</v>
      </c>
      <c r="L263" s="57">
        <f t="shared" si="20"/>
        <v>30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t="s">
        <v>257</v>
      </c>
      <c r="B264" s="62"/>
      <c r="C264" s="63" t="s">
        <v>670</v>
      </c>
      <c r="D264" s="62" t="s">
        <v>668</v>
      </c>
      <c r="E264" t="s">
        <v>113</v>
      </c>
      <c r="F264" t="s">
        <v>36</v>
      </c>
      <c r="G264"/>
      <c r="H264" t="s">
        <v>669</v>
      </c>
      <c r="I264" s="16">
        <v>-348003590000</v>
      </c>
      <c r="J264" s="16">
        <v>-582918370000</v>
      </c>
      <c r="K264" s="16" t="s">
        <v>1203</v>
      </c>
      <c r="L264" s="57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t="s">
        <v>257</v>
      </c>
      <c r="B265" s="62"/>
      <c r="C265" s="63" t="s">
        <v>671</v>
      </c>
      <c r="D265" s="62" t="s">
        <v>672</v>
      </c>
      <c r="E265" t="s">
        <v>113</v>
      </c>
      <c r="F265" t="s">
        <v>36</v>
      </c>
      <c r="G265"/>
      <c r="H265" t="s">
        <v>269</v>
      </c>
      <c r="I265" s="16">
        <v>-348013110000</v>
      </c>
      <c r="J265" s="16">
        <v>-582936040000</v>
      </c>
      <c r="K265" s="16" t="s">
        <v>1204</v>
      </c>
      <c r="L265" s="57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t="s">
        <v>257</v>
      </c>
      <c r="B266" s="62"/>
      <c r="C266" s="63" t="s">
        <v>673</v>
      </c>
      <c r="D266" s="62" t="s">
        <v>672</v>
      </c>
      <c r="E266" t="s">
        <v>113</v>
      </c>
      <c r="F266" t="s">
        <v>36</v>
      </c>
      <c r="G266"/>
      <c r="H266" t="s">
        <v>669</v>
      </c>
      <c r="I266" s="16">
        <v>-348013110000</v>
      </c>
      <c r="J266" s="16">
        <v>-582936040000</v>
      </c>
      <c r="K266" s="16" t="s">
        <v>1205</v>
      </c>
      <c r="L266" s="57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t="s">
        <v>674</v>
      </c>
      <c r="B267" s="62"/>
      <c r="C267" s="63" t="s">
        <v>675</v>
      </c>
      <c r="D267" s="62" t="s">
        <v>676</v>
      </c>
      <c r="E267" t="s">
        <v>19</v>
      </c>
      <c r="F267" t="s">
        <v>25</v>
      </c>
      <c r="G267"/>
      <c r="H267" t="s">
        <v>630</v>
      </c>
      <c r="I267" s="16">
        <v>-348253350000</v>
      </c>
      <c r="J267" s="16">
        <v>-582845700000</v>
      </c>
      <c r="K267" s="16" t="s">
        <v>1212</v>
      </c>
      <c r="L267" s="57">
        <f t="shared" si="20"/>
        <v>30</v>
      </c>
      <c r="M267" s="17">
        <f t="shared" si="21"/>
        <v>0</v>
      </c>
      <c r="N267" s="18">
        <f t="shared" si="22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t="s">
        <v>674</v>
      </c>
      <c r="B268" s="62"/>
      <c r="C268" s="63" t="s">
        <v>677</v>
      </c>
      <c r="D268" s="62" t="s">
        <v>678</v>
      </c>
      <c r="E268" t="s">
        <v>24</v>
      </c>
      <c r="F268" t="s">
        <v>36</v>
      </c>
      <c r="G268" t="s">
        <v>679</v>
      </c>
      <c r="H268"/>
      <c r="I268" s="16">
        <v>-348241790000</v>
      </c>
      <c r="J268" s="16">
        <v>-582823410000</v>
      </c>
      <c r="K268" s="16" t="s">
        <v>1213</v>
      </c>
      <c r="L268" s="57">
        <f t="shared" si="20"/>
        <v>30</v>
      </c>
      <c r="M268" s="17">
        <f t="shared" si="21"/>
        <v>0</v>
      </c>
      <c r="N268" s="18">
        <f t="shared" si="22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t="s">
        <v>674</v>
      </c>
      <c r="B269" s="62"/>
      <c r="C269" s="63" t="s">
        <v>680</v>
      </c>
      <c r="D269" s="62" t="s">
        <v>681</v>
      </c>
      <c r="E269" t="s">
        <v>24</v>
      </c>
      <c r="F269" t="s">
        <v>36</v>
      </c>
      <c r="G269" t="s">
        <v>679</v>
      </c>
      <c r="H269"/>
      <c r="I269" s="16">
        <v>-348222800000</v>
      </c>
      <c r="J269" s="16">
        <v>-582835650000</v>
      </c>
      <c r="K269" s="16" t="s">
        <v>1214</v>
      </c>
      <c r="L269" s="57">
        <f t="shared" si="20"/>
        <v>30</v>
      </c>
      <c r="M269" s="17">
        <f t="shared" si="21"/>
        <v>0</v>
      </c>
      <c r="N269" s="18">
        <f t="shared" si="22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t="s">
        <v>674</v>
      </c>
      <c r="B270" s="62"/>
      <c r="C270" s="63" t="s">
        <v>682</v>
      </c>
      <c r="D270" s="62" t="s">
        <v>683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1215</v>
      </c>
      <c r="L270" s="57">
        <f t="shared" si="20"/>
        <v>30</v>
      </c>
      <c r="M270" s="17">
        <f t="shared" si="21"/>
        <v>0</v>
      </c>
      <c r="N270" s="18">
        <f t="shared" si="22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t="s">
        <v>674</v>
      </c>
      <c r="B271" s="62"/>
      <c r="C271" s="63" t="s">
        <v>684</v>
      </c>
      <c r="D271" s="62" t="s">
        <v>685</v>
      </c>
      <c r="E271" t="s">
        <v>19</v>
      </c>
      <c r="F271" t="s">
        <v>25</v>
      </c>
      <c r="G271"/>
      <c r="H271" t="s">
        <v>686</v>
      </c>
      <c r="I271" s="16">
        <v>-348290430000</v>
      </c>
      <c r="J271" s="16">
        <v>-582797810000</v>
      </c>
      <c r="K271" s="16" t="s">
        <v>1188</v>
      </c>
      <c r="L271" s="57">
        <f t="shared" si="20"/>
        <v>30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t="s">
        <v>674</v>
      </c>
      <c r="B272" s="60">
        <v>44629</v>
      </c>
      <c r="C272" s="63" t="s">
        <v>687</v>
      </c>
      <c r="D272" s="62" t="s">
        <v>688</v>
      </c>
      <c r="E272" t="s">
        <v>19</v>
      </c>
      <c r="F272" t="s">
        <v>25</v>
      </c>
      <c r="G272"/>
      <c r="H272" t="s">
        <v>689</v>
      </c>
      <c r="I272" s="16">
        <v>-348289520000</v>
      </c>
      <c r="J272" s="16">
        <v>-582878780000</v>
      </c>
      <c r="K272" s="16" t="s">
        <v>1216</v>
      </c>
      <c r="L272" s="57">
        <f t="shared" si="20"/>
        <v>30</v>
      </c>
      <c r="M272" s="17">
        <f t="shared" si="21"/>
        <v>0</v>
      </c>
      <c r="N272" s="18">
        <f t="shared" si="22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t="s">
        <v>674</v>
      </c>
      <c r="B273" s="60">
        <v>44634</v>
      </c>
      <c r="C273" s="63" t="s">
        <v>690</v>
      </c>
      <c r="D273" s="62" t="s">
        <v>691</v>
      </c>
      <c r="E273" t="s">
        <v>113</v>
      </c>
      <c r="F273" t="s">
        <v>36</v>
      </c>
      <c r="G273"/>
      <c r="H273" t="s">
        <v>692</v>
      </c>
      <c r="I273" s="16">
        <v>-348214110000</v>
      </c>
      <c r="J273" s="16">
        <v>-582806410000</v>
      </c>
      <c r="K273" s="16" t="s">
        <v>1220</v>
      </c>
      <c r="L273" s="57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t="s">
        <v>674</v>
      </c>
      <c r="B274" s="60">
        <v>44634</v>
      </c>
      <c r="C274" s="63" t="s">
        <v>693</v>
      </c>
      <c r="D274" s="62" t="s">
        <v>691</v>
      </c>
      <c r="E274" t="s">
        <v>113</v>
      </c>
      <c r="F274" t="s">
        <v>36</v>
      </c>
      <c r="G274"/>
      <c r="H274" t="s">
        <v>692</v>
      </c>
      <c r="I274" s="16">
        <v>-348214480000</v>
      </c>
      <c r="J274" s="16">
        <v>-582806290000</v>
      </c>
      <c r="K274" s="16" t="s">
        <v>1221</v>
      </c>
      <c r="L274" s="57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t="s">
        <v>674</v>
      </c>
      <c r="B275" s="62"/>
      <c r="C275" s="63" t="s">
        <v>694</v>
      </c>
      <c r="D275" s="62" t="s">
        <v>920</v>
      </c>
      <c r="E275" t="s">
        <v>24</v>
      </c>
      <c r="F275" t="s">
        <v>25</v>
      </c>
      <c r="G275" t="s">
        <v>362</v>
      </c>
      <c r="H275"/>
      <c r="I275" s="16">
        <v>-348304140000</v>
      </c>
      <c r="J275" s="16">
        <v>-582906680000</v>
      </c>
      <c r="K275" s="16" t="s">
        <v>1208</v>
      </c>
      <c r="L275" s="57">
        <f t="shared" si="20"/>
        <v>30</v>
      </c>
      <c r="M275" s="17">
        <f t="shared" si="21"/>
        <v>0</v>
      </c>
      <c r="N275" s="18">
        <f t="shared" si="22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t="s">
        <v>536</v>
      </c>
      <c r="B276" s="62"/>
      <c r="C276" s="63" t="s">
        <v>695</v>
      </c>
      <c r="D276" s="62" t="s">
        <v>696</v>
      </c>
      <c r="E276" t="s">
        <v>24</v>
      </c>
      <c r="F276" t="s">
        <v>25</v>
      </c>
      <c r="G276" t="s">
        <v>160</v>
      </c>
      <c r="H276"/>
      <c r="I276" s="16">
        <v>-348364740000</v>
      </c>
      <c r="J276" s="16">
        <v>-583002200000</v>
      </c>
      <c r="K276" s="16" t="s">
        <v>1209</v>
      </c>
      <c r="L276" s="57">
        <f t="shared" si="20"/>
        <v>30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t="s">
        <v>674</v>
      </c>
      <c r="B277" s="62"/>
      <c r="C277" s="63" t="s">
        <v>697</v>
      </c>
      <c r="D277" s="62" t="s">
        <v>698</v>
      </c>
      <c r="E277" t="s">
        <v>24</v>
      </c>
      <c r="F277" t="s">
        <v>25</v>
      </c>
      <c r="G277" t="s">
        <v>699</v>
      </c>
      <c r="H277"/>
      <c r="I277" s="16">
        <v>-348289220000</v>
      </c>
      <c r="J277" s="16">
        <v>-582776430000</v>
      </c>
      <c r="K277" s="16" t="s">
        <v>1210</v>
      </c>
      <c r="L277" s="57">
        <f t="shared" si="20"/>
        <v>30</v>
      </c>
      <c r="M277" s="17">
        <f t="shared" si="21"/>
        <v>0</v>
      </c>
      <c r="N277" s="18">
        <f t="shared" si="22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t="s">
        <v>674</v>
      </c>
      <c r="B278" s="62"/>
      <c r="C278" s="63" t="s">
        <v>700</v>
      </c>
      <c r="D278" s="62" t="s">
        <v>701</v>
      </c>
      <c r="E278" t="s">
        <v>24</v>
      </c>
      <c r="F278" t="s">
        <v>25</v>
      </c>
      <c r="G278" t="s">
        <v>702</v>
      </c>
      <c r="H278"/>
      <c r="I278" s="16">
        <v>-348208590000</v>
      </c>
      <c r="J278" s="16">
        <v>-582810870000</v>
      </c>
      <c r="K278" s="16" t="s">
        <v>1211</v>
      </c>
      <c r="L278" s="57">
        <f t="shared" si="20"/>
        <v>30</v>
      </c>
      <c r="M278" s="17">
        <f t="shared" si="21"/>
        <v>0</v>
      </c>
      <c r="N278" s="18">
        <f t="shared" si="22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t="s">
        <v>674</v>
      </c>
      <c r="B279" s="62"/>
      <c r="C279" s="63" t="s">
        <v>703</v>
      </c>
      <c r="D279" s="62" t="s">
        <v>704</v>
      </c>
      <c r="E279" t="s">
        <v>19</v>
      </c>
      <c r="F279" t="s">
        <v>25</v>
      </c>
      <c r="G279"/>
      <c r="H279" t="s">
        <v>705</v>
      </c>
      <c r="I279" s="16">
        <v>-348280830000</v>
      </c>
      <c r="J279" s="16">
        <v>-582861650000</v>
      </c>
      <c r="K279" s="16" t="s">
        <v>1206</v>
      </c>
      <c r="L279" s="57">
        <f t="shared" si="20"/>
        <v>29</v>
      </c>
      <c r="M279" s="17">
        <f t="shared" si="21"/>
        <v>1</v>
      </c>
      <c r="N279" s="18">
        <f t="shared" si="22"/>
        <v>0.96666666666666667</v>
      </c>
      <c r="O279" s="27"/>
      <c r="P279" s="8"/>
      <c r="Q279" s="8" t="s">
        <v>1369</v>
      </c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t="s">
        <v>674</v>
      </c>
      <c r="B280" s="62"/>
      <c r="C280" s="63" t="s">
        <v>706</v>
      </c>
      <c r="D280" s="62" t="s">
        <v>707</v>
      </c>
      <c r="E280" t="s">
        <v>19</v>
      </c>
      <c r="F280" t="s">
        <v>25</v>
      </c>
      <c r="G280"/>
      <c r="H280" t="s">
        <v>705</v>
      </c>
      <c r="I280" s="16">
        <v>-348340000000</v>
      </c>
      <c r="J280" s="16">
        <v>-582878750000</v>
      </c>
      <c r="K280" s="16" t="s">
        <v>1207</v>
      </c>
      <c r="L280" s="57">
        <f t="shared" si="20"/>
        <v>30</v>
      </c>
      <c r="M280" s="17">
        <f t="shared" si="21"/>
        <v>0</v>
      </c>
      <c r="N280" s="18">
        <f t="shared" si="22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t="s">
        <v>536</v>
      </c>
      <c r="B281" s="60">
        <v>44634</v>
      </c>
      <c r="C281" s="63" t="s">
        <v>708</v>
      </c>
      <c r="D281" s="62" t="s">
        <v>709</v>
      </c>
      <c r="E281" t="s">
        <v>113</v>
      </c>
      <c r="F281" t="s">
        <v>20</v>
      </c>
      <c r="G281"/>
      <c r="H281" t="s">
        <v>269</v>
      </c>
      <c r="I281" s="16">
        <v>-348335600000</v>
      </c>
      <c r="J281" s="16">
        <v>-582946050000</v>
      </c>
      <c r="K281" s="16" t="s">
        <v>1217</v>
      </c>
      <c r="L281" s="57">
        <f t="shared" si="20"/>
        <v>30</v>
      </c>
      <c r="M281" s="17">
        <f t="shared" si="21"/>
        <v>0</v>
      </c>
      <c r="N281" s="18">
        <f t="shared" si="22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t="s">
        <v>536</v>
      </c>
      <c r="B282" s="60">
        <v>44634</v>
      </c>
      <c r="C282" s="63" t="s">
        <v>710</v>
      </c>
      <c r="D282" s="62" t="s">
        <v>709</v>
      </c>
      <c r="E282" t="s">
        <v>113</v>
      </c>
      <c r="F282" t="s">
        <v>20</v>
      </c>
      <c r="G282"/>
      <c r="H282" t="s">
        <v>269</v>
      </c>
      <c r="I282" s="16">
        <v>-348335740000</v>
      </c>
      <c r="J282" s="16">
        <v>-582946270000</v>
      </c>
      <c r="K282" s="16" t="s">
        <v>1218</v>
      </c>
      <c r="L282" s="57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t="s">
        <v>674</v>
      </c>
      <c r="B283" s="62"/>
      <c r="C283" s="63" t="s">
        <v>711</v>
      </c>
      <c r="D283" s="62" t="s">
        <v>712</v>
      </c>
      <c r="E283" t="s">
        <v>19</v>
      </c>
      <c r="F283" t="s">
        <v>36</v>
      </c>
      <c r="G283"/>
      <c r="H283" t="s">
        <v>713</v>
      </c>
      <c r="I283" s="16">
        <v>-348275750000</v>
      </c>
      <c r="J283" s="16">
        <v>-582788330000</v>
      </c>
      <c r="K283" s="16" t="s">
        <v>1219</v>
      </c>
      <c r="L283" s="57">
        <f t="shared" si="20"/>
        <v>25</v>
      </c>
      <c r="M283" s="17">
        <f t="shared" si="21"/>
        <v>5</v>
      </c>
      <c r="N283" s="18">
        <f t="shared" si="22"/>
        <v>0.83333333333333337</v>
      </c>
      <c r="O283" s="27" t="s">
        <v>1369</v>
      </c>
      <c r="P283" s="8" t="s">
        <v>1369</v>
      </c>
      <c r="Q283" s="8" t="s">
        <v>1369</v>
      </c>
      <c r="R283" s="8" t="s">
        <v>1369</v>
      </c>
      <c r="S283" s="27" t="s">
        <v>1369</v>
      </c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t="s">
        <v>674</v>
      </c>
      <c r="B284" s="62"/>
      <c r="C284" s="63" t="s">
        <v>714</v>
      </c>
      <c r="D284" s="62" t="s">
        <v>715</v>
      </c>
      <c r="E284" t="s">
        <v>113</v>
      </c>
      <c r="F284" t="s">
        <v>36</v>
      </c>
      <c r="G284" t="s">
        <v>626</v>
      </c>
      <c r="H284" t="s">
        <v>716</v>
      </c>
      <c r="I284" s="16">
        <v>-348258430000</v>
      </c>
      <c r="J284" s="16">
        <v>-582890260000</v>
      </c>
      <c r="K284" s="16" t="s">
        <v>1222</v>
      </c>
      <c r="L284" s="57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t="s">
        <v>674</v>
      </c>
      <c r="B285" s="62"/>
      <c r="C285" s="63" t="s">
        <v>717</v>
      </c>
      <c r="D285" s="62" t="s">
        <v>715</v>
      </c>
      <c r="E285" t="s">
        <v>113</v>
      </c>
      <c r="F285" t="s">
        <v>36</v>
      </c>
      <c r="G285" t="s">
        <v>626</v>
      </c>
      <c r="H285" t="s">
        <v>716</v>
      </c>
      <c r="I285" s="16">
        <v>-348258430000</v>
      </c>
      <c r="J285" s="16">
        <v>-582889510000</v>
      </c>
      <c r="K285" s="16" t="s">
        <v>1223</v>
      </c>
      <c r="L285" s="57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t="s">
        <v>547</v>
      </c>
      <c r="B286" s="62"/>
      <c r="C286" s="63" t="s">
        <v>718</v>
      </c>
      <c r="D286" s="62" t="s">
        <v>719</v>
      </c>
      <c r="E286" t="s">
        <v>113</v>
      </c>
      <c r="F286" t="s">
        <v>36</v>
      </c>
      <c r="G286"/>
      <c r="H286" t="s">
        <v>669</v>
      </c>
      <c r="I286" s="16">
        <v>-348182670000</v>
      </c>
      <c r="J286" s="16">
        <v>-582049970000</v>
      </c>
      <c r="K286" s="16" t="s">
        <v>1224</v>
      </c>
      <c r="L286" s="57">
        <f t="shared" si="20"/>
        <v>30</v>
      </c>
      <c r="M286" s="17">
        <f t="shared" si="21"/>
        <v>0</v>
      </c>
      <c r="N286" s="18">
        <f t="shared" si="22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t="s">
        <v>547</v>
      </c>
      <c r="B287" s="62"/>
      <c r="C287" s="63" t="s">
        <v>720</v>
      </c>
      <c r="D287" s="62" t="s">
        <v>719</v>
      </c>
      <c r="E287" t="s">
        <v>113</v>
      </c>
      <c r="F287" t="s">
        <v>36</v>
      </c>
      <c r="G287"/>
      <c r="H287" t="s">
        <v>669</v>
      </c>
      <c r="I287" s="16">
        <v>-348182670000</v>
      </c>
      <c r="J287" s="16">
        <v>-582049970000</v>
      </c>
      <c r="K287" s="16" t="s">
        <v>1225</v>
      </c>
      <c r="L287" s="57">
        <f t="shared" si="20"/>
        <v>30</v>
      </c>
      <c r="M287" s="17">
        <f t="shared" si="21"/>
        <v>0</v>
      </c>
      <c r="N287" s="18">
        <f t="shared" si="22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t="s">
        <v>721</v>
      </c>
      <c r="B288" s="62"/>
      <c r="C288" s="63" t="s">
        <v>722</v>
      </c>
      <c r="D288" s="62" t="s">
        <v>723</v>
      </c>
      <c r="E288" t="s">
        <v>24</v>
      </c>
      <c r="F288" t="s">
        <v>941</v>
      </c>
      <c r="G288" t="s">
        <v>724</v>
      </c>
      <c r="H288"/>
      <c r="I288" s="16">
        <v>-347888010000</v>
      </c>
      <c r="J288" s="16">
        <v>-582597900000</v>
      </c>
      <c r="K288" s="16" t="s">
        <v>1226</v>
      </c>
      <c r="L288" s="57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t="s">
        <v>721</v>
      </c>
      <c r="B289" s="62"/>
      <c r="C289" s="63" t="s">
        <v>725</v>
      </c>
      <c r="D289" s="62" t="s">
        <v>726</v>
      </c>
      <c r="E289" t="s">
        <v>24</v>
      </c>
      <c r="F289" t="s">
        <v>36</v>
      </c>
      <c r="G289" t="s">
        <v>365</v>
      </c>
      <c r="H289"/>
      <c r="I289" s="16">
        <v>-347926510000</v>
      </c>
      <c r="J289" s="16">
        <v>-582499030000</v>
      </c>
      <c r="K289" s="16" t="s">
        <v>1227</v>
      </c>
      <c r="L289" s="57">
        <f t="shared" si="20"/>
        <v>30</v>
      </c>
      <c r="M289" s="17">
        <f t="shared" si="21"/>
        <v>0</v>
      </c>
      <c r="N289" s="18">
        <f t="shared" si="22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t="s">
        <v>727</v>
      </c>
      <c r="B290" s="62"/>
      <c r="C290" s="63" t="s">
        <v>728</v>
      </c>
      <c r="D290" s="62" t="s">
        <v>729</v>
      </c>
      <c r="E290" t="s">
        <v>24</v>
      </c>
      <c r="F290" t="s">
        <v>36</v>
      </c>
      <c r="G290" t="s">
        <v>365</v>
      </c>
      <c r="H290"/>
      <c r="I290" s="16">
        <v>-347955320000</v>
      </c>
      <c r="J290" s="16">
        <v>-582553260000</v>
      </c>
      <c r="K290" s="16" t="s">
        <v>1228</v>
      </c>
      <c r="L290" s="57">
        <f t="shared" si="20"/>
        <v>30</v>
      </c>
      <c r="M290" s="17">
        <f t="shared" si="21"/>
        <v>0</v>
      </c>
      <c r="N290" s="18">
        <f t="shared" si="22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t="s">
        <v>721</v>
      </c>
      <c r="B291" s="62"/>
      <c r="C291" s="63" t="s">
        <v>730</v>
      </c>
      <c r="D291" s="62" t="s">
        <v>731</v>
      </c>
      <c r="E291" t="s">
        <v>19</v>
      </c>
      <c r="F291" t="s">
        <v>36</v>
      </c>
      <c r="G291" t="s">
        <v>732</v>
      </c>
      <c r="H291" t="s">
        <v>733</v>
      </c>
      <c r="I291" s="16">
        <v>-347933300000</v>
      </c>
      <c r="J291" s="16">
        <v>-582534600000</v>
      </c>
      <c r="K291" s="16" t="s">
        <v>1229</v>
      </c>
      <c r="L291" s="57">
        <f t="shared" si="20"/>
        <v>30</v>
      </c>
      <c r="M291" s="17">
        <f t="shared" si="21"/>
        <v>0</v>
      </c>
      <c r="N291" s="18">
        <f t="shared" si="22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t="s">
        <v>721</v>
      </c>
      <c r="B292" s="62"/>
      <c r="C292" s="63" t="s">
        <v>734</v>
      </c>
      <c r="D292" s="62" t="s">
        <v>735</v>
      </c>
      <c r="E292" t="s">
        <v>24</v>
      </c>
      <c r="F292" t="s">
        <v>36</v>
      </c>
      <c r="G292" t="s">
        <v>365</v>
      </c>
      <c r="H292"/>
      <c r="I292" s="16">
        <v>-347941580000</v>
      </c>
      <c r="J292" s="16">
        <v>-582528380000</v>
      </c>
      <c r="K292" s="16" t="s">
        <v>1230</v>
      </c>
      <c r="L292" s="57">
        <f t="shared" si="20"/>
        <v>30</v>
      </c>
      <c r="M292" s="17">
        <f t="shared" si="21"/>
        <v>0</v>
      </c>
      <c r="N292" s="18">
        <f t="shared" si="22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t="s">
        <v>721</v>
      </c>
      <c r="B293" s="62"/>
      <c r="C293" s="63" t="s">
        <v>736</v>
      </c>
      <c r="D293" s="62" t="s">
        <v>737</v>
      </c>
      <c r="E293" t="s">
        <v>19</v>
      </c>
      <c r="F293" t="s">
        <v>36</v>
      </c>
      <c r="G293" t="s">
        <v>732</v>
      </c>
      <c r="H293" t="s">
        <v>738</v>
      </c>
      <c r="I293" s="16">
        <v>-347928980000</v>
      </c>
      <c r="J293" s="16">
        <v>-582523980000</v>
      </c>
      <c r="K293" s="16" t="s">
        <v>1231</v>
      </c>
      <c r="L293" s="57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t="s">
        <v>721</v>
      </c>
      <c r="B294" s="62"/>
      <c r="C294" s="63" t="s">
        <v>739</v>
      </c>
      <c r="D294" s="62" t="s">
        <v>740</v>
      </c>
      <c r="E294" t="s">
        <v>24</v>
      </c>
      <c r="F294" t="s">
        <v>36</v>
      </c>
      <c r="G294" t="s">
        <v>365</v>
      </c>
      <c r="H294"/>
      <c r="I294" s="16">
        <v>-347936470000</v>
      </c>
      <c r="J294" s="16">
        <v>-582518290000</v>
      </c>
      <c r="K294" s="16" t="s">
        <v>1232</v>
      </c>
      <c r="L294" s="57">
        <f t="shared" si="20"/>
        <v>30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t="s">
        <v>721</v>
      </c>
      <c r="B295" s="62"/>
      <c r="C295" s="63" t="s">
        <v>741</v>
      </c>
      <c r="D295" s="62" t="s">
        <v>742</v>
      </c>
      <c r="E295" t="s">
        <v>24</v>
      </c>
      <c r="F295" t="s">
        <v>941</v>
      </c>
      <c r="G295" t="s">
        <v>732</v>
      </c>
      <c r="H295"/>
      <c r="I295" s="16">
        <v>-347917260000</v>
      </c>
      <c r="J295" s="16">
        <v>-582524730000</v>
      </c>
      <c r="K295" s="16" t="s">
        <v>1233</v>
      </c>
      <c r="L295" s="57">
        <f t="shared" si="20"/>
        <v>30</v>
      </c>
      <c r="M295" s="17">
        <f t="shared" si="21"/>
        <v>0</v>
      </c>
      <c r="N295" s="18">
        <f t="shared" si="22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t="s">
        <v>410</v>
      </c>
      <c r="B296" s="62"/>
      <c r="C296" s="63" t="s">
        <v>743</v>
      </c>
      <c r="D296" s="62" t="s">
        <v>744</v>
      </c>
      <c r="E296" t="s">
        <v>24</v>
      </c>
      <c r="F296" t="s">
        <v>941</v>
      </c>
      <c r="G296" t="s">
        <v>160</v>
      </c>
      <c r="H296"/>
      <c r="I296" s="16">
        <v>-347867610000</v>
      </c>
      <c r="J296" s="16">
        <v>-582563190000</v>
      </c>
      <c r="K296" s="16" t="s">
        <v>1234</v>
      </c>
      <c r="L296" s="57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t="s">
        <v>356</v>
      </c>
      <c r="B297" s="62"/>
      <c r="C297" s="63" t="s">
        <v>745</v>
      </c>
      <c r="D297" s="62" t="s">
        <v>746</v>
      </c>
      <c r="E297" t="s">
        <v>24</v>
      </c>
      <c r="F297" t="s">
        <v>25</v>
      </c>
      <c r="G297" t="s">
        <v>747</v>
      </c>
      <c r="H297"/>
      <c r="I297" s="16">
        <v>-348145260000</v>
      </c>
      <c r="J297" s="16">
        <v>-583009670000</v>
      </c>
      <c r="K297" s="16" t="s">
        <v>1235</v>
      </c>
      <c r="L297" s="57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t="s">
        <v>356</v>
      </c>
      <c r="B298" s="62"/>
      <c r="C298" s="63" t="s">
        <v>748</v>
      </c>
      <c r="D298" s="62" t="s">
        <v>749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1236</v>
      </c>
      <c r="L298" s="57">
        <f t="shared" si="20"/>
        <v>30</v>
      </c>
      <c r="M298" s="17">
        <f t="shared" si="21"/>
        <v>0</v>
      </c>
      <c r="N298" s="18">
        <f t="shared" si="22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t="s">
        <v>356</v>
      </c>
      <c r="B299" s="62"/>
      <c r="C299" s="63" t="s">
        <v>750</v>
      </c>
      <c r="D299" s="62" t="s">
        <v>751</v>
      </c>
      <c r="E299" t="s">
        <v>113</v>
      </c>
      <c r="F299" t="s">
        <v>20</v>
      </c>
      <c r="G299"/>
      <c r="H299" t="s">
        <v>269</v>
      </c>
      <c r="I299" s="16">
        <v>-348125630000</v>
      </c>
      <c r="J299" s="16">
        <v>-582971310000</v>
      </c>
      <c r="K299" s="16" t="s">
        <v>1237</v>
      </c>
      <c r="L299" s="57">
        <f t="shared" si="20"/>
        <v>26</v>
      </c>
      <c r="M299" s="17">
        <f t="shared" si="21"/>
        <v>4</v>
      </c>
      <c r="N299" s="18">
        <f t="shared" si="22"/>
        <v>0.8666666666666667</v>
      </c>
      <c r="O299" s="27"/>
      <c r="P299" s="8" t="s">
        <v>1369</v>
      </c>
      <c r="Q299" s="8" t="s">
        <v>1369</v>
      </c>
      <c r="R299" s="8" t="s">
        <v>1369</v>
      </c>
      <c r="S299" s="27" t="s">
        <v>1369</v>
      </c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t="s">
        <v>356</v>
      </c>
      <c r="B300" s="62"/>
      <c r="C300" s="63" t="s">
        <v>752</v>
      </c>
      <c r="D300" s="62" t="s">
        <v>751</v>
      </c>
      <c r="E300" t="s">
        <v>113</v>
      </c>
      <c r="F300" t="s">
        <v>20</v>
      </c>
      <c r="G300"/>
      <c r="H300" t="s">
        <v>269</v>
      </c>
      <c r="I300" s="16">
        <v>-348125630000</v>
      </c>
      <c r="J300" s="16">
        <v>-582971310000</v>
      </c>
      <c r="K300" s="16" t="s">
        <v>1238</v>
      </c>
      <c r="L300" s="57">
        <f t="shared" si="20"/>
        <v>26</v>
      </c>
      <c r="M300" s="17">
        <f t="shared" si="21"/>
        <v>4</v>
      </c>
      <c r="N300" s="18">
        <f t="shared" si="22"/>
        <v>0.8666666666666667</v>
      </c>
      <c r="O300" s="27"/>
      <c r="P300" s="8" t="s">
        <v>1369</v>
      </c>
      <c r="Q300" s="8" t="s">
        <v>1369</v>
      </c>
      <c r="R300" s="8" t="s">
        <v>1369</v>
      </c>
      <c r="S300" s="27" t="s">
        <v>1369</v>
      </c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t="s">
        <v>356</v>
      </c>
      <c r="B301" s="62"/>
      <c r="C301" s="63" t="s">
        <v>753</v>
      </c>
      <c r="D301" s="62" t="s">
        <v>754</v>
      </c>
      <c r="E301" t="s">
        <v>113</v>
      </c>
      <c r="F301" t="s">
        <v>20</v>
      </c>
      <c r="G301"/>
      <c r="H301" t="s">
        <v>269</v>
      </c>
      <c r="I301" s="16">
        <v>-348125690000</v>
      </c>
      <c r="J301" s="16">
        <v>-582982090000</v>
      </c>
      <c r="K301" s="16" t="s">
        <v>1239</v>
      </c>
      <c r="L301" s="57">
        <f t="shared" si="20"/>
        <v>29</v>
      </c>
      <c r="M301" s="17">
        <f t="shared" si="21"/>
        <v>1</v>
      </c>
      <c r="N301" s="18">
        <f t="shared" si="22"/>
        <v>0.96666666666666667</v>
      </c>
      <c r="O301" s="27"/>
      <c r="P301" s="8"/>
      <c r="Q301" s="8"/>
      <c r="R301" s="8" t="s">
        <v>1369</v>
      </c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t="s">
        <v>356</v>
      </c>
      <c r="B302" s="62"/>
      <c r="C302" s="63" t="s">
        <v>755</v>
      </c>
      <c r="D302" s="62" t="s">
        <v>754</v>
      </c>
      <c r="E302" t="s">
        <v>113</v>
      </c>
      <c r="F302" t="s">
        <v>20</v>
      </c>
      <c r="G302"/>
      <c r="H302" t="s">
        <v>269</v>
      </c>
      <c r="I302" s="16">
        <v>-348126020000</v>
      </c>
      <c r="J302" s="16">
        <v>-582981720000</v>
      </c>
      <c r="K302" s="16" t="s">
        <v>1240</v>
      </c>
      <c r="L302" s="57">
        <f t="shared" si="20"/>
        <v>29</v>
      </c>
      <c r="M302" s="17">
        <f t="shared" si="21"/>
        <v>1</v>
      </c>
      <c r="N302" s="18">
        <f t="shared" si="22"/>
        <v>0.96666666666666667</v>
      </c>
      <c r="O302" s="27"/>
      <c r="P302" s="8"/>
      <c r="Q302" s="8"/>
      <c r="R302" s="8" t="s">
        <v>1369</v>
      </c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t="s">
        <v>356</v>
      </c>
      <c r="B303" s="62"/>
      <c r="C303" s="63" t="s">
        <v>756</v>
      </c>
      <c r="D303" s="62" t="s">
        <v>757</v>
      </c>
      <c r="E303" t="s">
        <v>19</v>
      </c>
      <c r="F303" t="s">
        <v>36</v>
      </c>
      <c r="G303"/>
      <c r="H303" t="s">
        <v>247</v>
      </c>
      <c r="I303" s="16">
        <v>-348088620000</v>
      </c>
      <c r="J303" s="16">
        <v>-583035370000</v>
      </c>
      <c r="K303" s="16" t="s">
        <v>1241</v>
      </c>
      <c r="L303" s="57">
        <f t="shared" si="20"/>
        <v>25</v>
      </c>
      <c r="M303" s="17">
        <f t="shared" si="21"/>
        <v>5</v>
      </c>
      <c r="N303" s="18">
        <f t="shared" si="22"/>
        <v>0.83333333333333337</v>
      </c>
      <c r="O303" s="27" t="s">
        <v>1369</v>
      </c>
      <c r="P303" s="8" t="s">
        <v>1369</v>
      </c>
      <c r="Q303" s="8" t="s">
        <v>1369</v>
      </c>
      <c r="R303" s="8" t="s">
        <v>1369</v>
      </c>
      <c r="S303" s="27" t="s">
        <v>1369</v>
      </c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.75" thickBot="1" x14ac:dyDescent="0.3">
      <c r="A304" t="s">
        <v>356</v>
      </c>
      <c r="B304" s="60">
        <v>44634</v>
      </c>
      <c r="C304" s="63" t="s">
        <v>758</v>
      </c>
      <c r="D304" s="62" t="s">
        <v>759</v>
      </c>
      <c r="E304" t="s">
        <v>113</v>
      </c>
      <c r="F304" t="s">
        <v>36</v>
      </c>
      <c r="G304"/>
      <c r="H304" t="s">
        <v>760</v>
      </c>
      <c r="I304" s="16">
        <v>-348105760000</v>
      </c>
      <c r="J304" s="16">
        <v>-583061370000</v>
      </c>
      <c r="K304" s="16" t="s">
        <v>1242</v>
      </c>
      <c r="L304" s="57">
        <f t="shared" si="20"/>
        <v>30</v>
      </c>
      <c r="M304" s="17">
        <f t="shared" si="21"/>
        <v>0</v>
      </c>
      <c r="N304" s="18">
        <f t="shared" si="22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t="s">
        <v>356</v>
      </c>
      <c r="B305" s="60">
        <v>44634</v>
      </c>
      <c r="C305" s="63" t="s">
        <v>761</v>
      </c>
      <c r="D305" s="62" t="s">
        <v>759</v>
      </c>
      <c r="E305" t="s">
        <v>113</v>
      </c>
      <c r="F305" t="s">
        <v>36</v>
      </c>
      <c r="G305"/>
      <c r="H305" t="s">
        <v>760</v>
      </c>
      <c r="I305" s="16">
        <v>-348105760000</v>
      </c>
      <c r="J305" s="16">
        <v>-583061370000</v>
      </c>
      <c r="K305" s="16" t="s">
        <v>1243</v>
      </c>
      <c r="L305" s="57">
        <f t="shared" si="20"/>
        <v>30</v>
      </c>
      <c r="M305" s="17">
        <f t="shared" si="21"/>
        <v>0</v>
      </c>
      <c r="N305" s="18">
        <f t="shared" si="22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t="s">
        <v>356</v>
      </c>
      <c r="B306" s="60">
        <v>44634</v>
      </c>
      <c r="C306" s="63" t="s">
        <v>762</v>
      </c>
      <c r="D306" s="62" t="s">
        <v>763</v>
      </c>
      <c r="E306" t="s">
        <v>113</v>
      </c>
      <c r="F306" t="s">
        <v>36</v>
      </c>
      <c r="G306"/>
      <c r="H306" t="s">
        <v>764</v>
      </c>
      <c r="I306" s="16">
        <v>-348100750000</v>
      </c>
      <c r="J306" s="16">
        <v>-583065270000</v>
      </c>
      <c r="K306" s="16" t="s">
        <v>1244</v>
      </c>
      <c r="L306" s="57">
        <f t="shared" si="20"/>
        <v>30</v>
      </c>
      <c r="M306" s="17">
        <f t="shared" si="21"/>
        <v>0</v>
      </c>
      <c r="N306" s="18">
        <f t="shared" si="22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t="s">
        <v>356</v>
      </c>
      <c r="B307" s="60">
        <v>44634</v>
      </c>
      <c r="C307" s="63" t="s">
        <v>765</v>
      </c>
      <c r="D307" s="62" t="s">
        <v>763</v>
      </c>
      <c r="E307" t="s">
        <v>113</v>
      </c>
      <c r="F307" t="s">
        <v>36</v>
      </c>
      <c r="G307"/>
      <c r="H307" t="s">
        <v>764</v>
      </c>
      <c r="I307" s="16">
        <v>-348100750000</v>
      </c>
      <c r="J307" s="16">
        <v>-583065270000</v>
      </c>
      <c r="K307" s="16" t="s">
        <v>1245</v>
      </c>
      <c r="L307" s="57">
        <f t="shared" si="20"/>
        <v>30</v>
      </c>
      <c r="M307" s="17">
        <f t="shared" si="21"/>
        <v>0</v>
      </c>
      <c r="N307" s="18">
        <f t="shared" si="22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B308" s="62"/>
      <c r="C308" s="63" t="s">
        <v>766</v>
      </c>
      <c r="D308" s="62" t="s">
        <v>767</v>
      </c>
      <c r="E308" t="s">
        <v>19</v>
      </c>
      <c r="F308" t="s">
        <v>941</v>
      </c>
      <c r="G308" t="s">
        <v>184</v>
      </c>
      <c r="H308" t="s">
        <v>768</v>
      </c>
      <c r="I308" s="16">
        <v>-348153800000</v>
      </c>
      <c r="J308" s="16">
        <v>-582706170000</v>
      </c>
      <c r="K308" s="16" t="s">
        <v>1257</v>
      </c>
      <c r="L308" s="57">
        <f t="shared" si="20"/>
        <v>25</v>
      </c>
      <c r="M308" s="17">
        <f t="shared" si="21"/>
        <v>5</v>
      </c>
      <c r="N308" s="18">
        <f t="shared" si="22"/>
        <v>0.83333333333333337</v>
      </c>
      <c r="O308" s="27" t="s">
        <v>1369</v>
      </c>
      <c r="P308" s="8" t="s">
        <v>1369</v>
      </c>
      <c r="Q308" s="8" t="s">
        <v>1369</v>
      </c>
      <c r="R308" s="8" t="s">
        <v>1369</v>
      </c>
      <c r="S308" s="27" t="s">
        <v>1369</v>
      </c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t="s">
        <v>769</v>
      </c>
      <c r="B309" s="62"/>
      <c r="C309" s="63" t="s">
        <v>770</v>
      </c>
      <c r="D309" s="62" t="s">
        <v>771</v>
      </c>
      <c r="E309" t="s">
        <v>24</v>
      </c>
      <c r="F309" t="s">
        <v>941</v>
      </c>
      <c r="G309" t="s">
        <v>184</v>
      </c>
      <c r="H309" t="s">
        <v>772</v>
      </c>
      <c r="I309" s="16">
        <v>-348171860000</v>
      </c>
      <c r="J309" s="16">
        <v>-582741990000</v>
      </c>
      <c r="K309" s="16" t="s">
        <v>1258</v>
      </c>
      <c r="L309" s="57">
        <f t="shared" si="20"/>
        <v>30</v>
      </c>
      <c r="M309" s="17">
        <f t="shared" si="21"/>
        <v>0</v>
      </c>
      <c r="N309" s="18">
        <f t="shared" si="22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B310" s="62"/>
      <c r="C310" s="63" t="s">
        <v>773</v>
      </c>
      <c r="D310" s="62" t="s">
        <v>774</v>
      </c>
      <c r="E310" t="s">
        <v>19</v>
      </c>
      <c r="F310" t="s">
        <v>941</v>
      </c>
      <c r="G310" t="s">
        <v>775</v>
      </c>
      <c r="H310"/>
      <c r="I310" s="16">
        <v>-348129440000</v>
      </c>
      <c r="J310" s="16">
        <v>-582759900000</v>
      </c>
      <c r="K310" s="16" t="s">
        <v>1260</v>
      </c>
      <c r="L310" s="57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t="s">
        <v>776</v>
      </c>
      <c r="B311" s="62"/>
      <c r="C311" s="63" t="s">
        <v>777</v>
      </c>
      <c r="D311" s="62" t="s">
        <v>778</v>
      </c>
      <c r="E311" t="s">
        <v>19</v>
      </c>
      <c r="F311" t="s">
        <v>941</v>
      </c>
      <c r="G311"/>
      <c r="H311" t="s">
        <v>779</v>
      </c>
      <c r="I311" s="16">
        <v>-348174960000</v>
      </c>
      <c r="J311" s="16">
        <v>-582687670000</v>
      </c>
      <c r="K311" s="16" t="s">
        <v>1261</v>
      </c>
      <c r="L311" s="57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t="s">
        <v>776</v>
      </c>
      <c r="B312" s="62"/>
      <c r="C312" s="63" t="s">
        <v>780</v>
      </c>
      <c r="D312" s="62" t="s">
        <v>925</v>
      </c>
      <c r="E312" t="s">
        <v>19</v>
      </c>
      <c r="F312" t="s">
        <v>941</v>
      </c>
      <c r="G312"/>
      <c r="H312" t="s">
        <v>30</v>
      </c>
      <c r="I312" s="16">
        <v>-348206040000</v>
      </c>
      <c r="J312" s="16">
        <v>-582725050000</v>
      </c>
      <c r="K312" s="16" t="s">
        <v>1262</v>
      </c>
      <c r="L312" s="57">
        <f t="shared" si="20"/>
        <v>30</v>
      </c>
      <c r="M312" s="17">
        <f t="shared" si="21"/>
        <v>0</v>
      </c>
      <c r="N312" s="18">
        <f t="shared" si="22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t="s">
        <v>769</v>
      </c>
      <c r="B313" s="62"/>
      <c r="C313" s="63" t="s">
        <v>781</v>
      </c>
      <c r="D313" s="62" t="s">
        <v>782</v>
      </c>
      <c r="E313" t="s">
        <v>19</v>
      </c>
      <c r="F313" t="s">
        <v>941</v>
      </c>
      <c r="G313"/>
      <c r="H313" t="s">
        <v>689</v>
      </c>
      <c r="I313" s="16">
        <v>-348117590000</v>
      </c>
      <c r="J313" s="16">
        <v>-582727020000</v>
      </c>
      <c r="K313" s="16" t="s">
        <v>1263</v>
      </c>
      <c r="L313" s="57">
        <f t="shared" si="20"/>
        <v>30</v>
      </c>
      <c r="M313" s="17">
        <f t="shared" si="21"/>
        <v>0</v>
      </c>
      <c r="N313" s="18">
        <f t="shared" si="22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t="s">
        <v>769</v>
      </c>
      <c r="B314" s="62"/>
      <c r="C314" s="63" t="s">
        <v>783</v>
      </c>
      <c r="D314" s="62" t="s">
        <v>784</v>
      </c>
      <c r="E314" t="s">
        <v>19</v>
      </c>
      <c r="F314" t="s">
        <v>25</v>
      </c>
      <c r="G314"/>
      <c r="H314" t="s">
        <v>689</v>
      </c>
      <c r="I314" s="16">
        <v>-348137760000</v>
      </c>
      <c r="J314" s="16">
        <v>-582704960000</v>
      </c>
      <c r="K314" s="16" t="s">
        <v>1264</v>
      </c>
      <c r="L314" s="57">
        <f t="shared" si="20"/>
        <v>30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t="s">
        <v>776</v>
      </c>
      <c r="B315" s="62"/>
      <c r="C315" s="63" t="s">
        <v>785</v>
      </c>
      <c r="D315" s="62" t="s">
        <v>786</v>
      </c>
      <c r="E315" t="s">
        <v>73</v>
      </c>
      <c r="F315" t="s">
        <v>25</v>
      </c>
      <c r="G315"/>
      <c r="H315" t="s">
        <v>305</v>
      </c>
      <c r="I315" s="16">
        <v>-348227100000</v>
      </c>
      <c r="J315" s="16">
        <v>-582764200000</v>
      </c>
      <c r="K315" s="16" t="s">
        <v>1265</v>
      </c>
      <c r="L315" s="57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t="s">
        <v>776</v>
      </c>
      <c r="B316" s="62"/>
      <c r="C316" s="63" t="s">
        <v>787</v>
      </c>
      <c r="D316" s="62" t="s">
        <v>924</v>
      </c>
      <c r="E316" t="s">
        <v>24</v>
      </c>
      <c r="F316" t="s">
        <v>36</v>
      </c>
      <c r="G316" t="s">
        <v>788</v>
      </c>
      <c r="H316"/>
      <c r="I316" s="16">
        <v>-348197840000</v>
      </c>
      <c r="J316" s="16">
        <v>-582731040000</v>
      </c>
      <c r="K316" s="16" t="s">
        <v>1246</v>
      </c>
      <c r="L316" s="57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t="s">
        <v>769</v>
      </c>
      <c r="B317" s="62"/>
      <c r="C317" s="63" t="s">
        <v>789</v>
      </c>
      <c r="D317" s="62" t="s">
        <v>923</v>
      </c>
      <c r="E317" t="s">
        <v>24</v>
      </c>
      <c r="F317" t="s">
        <v>36</v>
      </c>
      <c r="G317" t="s">
        <v>184</v>
      </c>
      <c r="H317"/>
      <c r="I317" s="16">
        <v>-348187010000</v>
      </c>
      <c r="J317" s="16">
        <v>-582769880000</v>
      </c>
      <c r="K317" s="16" t="s">
        <v>1247</v>
      </c>
      <c r="L317" s="57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t="s">
        <v>769</v>
      </c>
      <c r="B318" s="62"/>
      <c r="C318" s="63" t="s">
        <v>790</v>
      </c>
      <c r="D318" s="62" t="s">
        <v>791</v>
      </c>
      <c r="E318" t="s">
        <v>24</v>
      </c>
      <c r="F318" t="s">
        <v>36</v>
      </c>
      <c r="G318" t="s">
        <v>792</v>
      </c>
      <c r="H318"/>
      <c r="I318" s="16">
        <v>-348117420000</v>
      </c>
      <c r="J318" s="16">
        <v>-582744990000</v>
      </c>
      <c r="K318" s="16" t="s">
        <v>1248</v>
      </c>
      <c r="L318" s="57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t="s">
        <v>769</v>
      </c>
      <c r="B319" s="62"/>
      <c r="C319" s="63" t="s">
        <v>793</v>
      </c>
      <c r="D319" s="62" t="s">
        <v>794</v>
      </c>
      <c r="E319" t="s">
        <v>24</v>
      </c>
      <c r="F319" t="s">
        <v>36</v>
      </c>
      <c r="G319" t="s">
        <v>795</v>
      </c>
      <c r="H319"/>
      <c r="I319" s="16">
        <v>-348115920000</v>
      </c>
      <c r="J319" s="16">
        <v>-582697890000</v>
      </c>
      <c r="K319" s="16" t="s">
        <v>1249</v>
      </c>
      <c r="L319" s="57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t="s">
        <v>769</v>
      </c>
      <c r="B320" s="62"/>
      <c r="C320" s="63" t="s">
        <v>796</v>
      </c>
      <c r="D320" s="62" t="s">
        <v>797</v>
      </c>
      <c r="E320" t="s">
        <v>24</v>
      </c>
      <c r="F320" t="s">
        <v>25</v>
      </c>
      <c r="G320" t="s">
        <v>798</v>
      </c>
      <c r="H320"/>
      <c r="I320" s="16">
        <v>-348115310000</v>
      </c>
      <c r="J320" s="16">
        <v>-582685340000</v>
      </c>
      <c r="K320" s="16" t="s">
        <v>1250</v>
      </c>
      <c r="L320" s="57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t="s">
        <v>769</v>
      </c>
      <c r="B321" s="62"/>
      <c r="C321" s="63" t="s">
        <v>799</v>
      </c>
      <c r="D321" s="62" t="s">
        <v>921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1251</v>
      </c>
      <c r="L321" s="57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t="s">
        <v>769</v>
      </c>
      <c r="B322" s="62"/>
      <c r="C322" s="63" t="s">
        <v>800</v>
      </c>
      <c r="D322" s="62" t="s">
        <v>922</v>
      </c>
      <c r="E322" t="s">
        <v>19</v>
      </c>
      <c r="F322" t="s">
        <v>941</v>
      </c>
      <c r="G322" t="s">
        <v>801</v>
      </c>
      <c r="H322"/>
      <c r="I322" s="16">
        <v>-348119360000</v>
      </c>
      <c r="J322" s="16">
        <v>-582777500000</v>
      </c>
      <c r="K322" s="16" t="s">
        <v>1252</v>
      </c>
      <c r="L322" s="57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t="s">
        <v>776</v>
      </c>
      <c r="B323" s="62"/>
      <c r="C323" s="63" t="s">
        <v>802</v>
      </c>
      <c r="D323" s="62" t="s">
        <v>803</v>
      </c>
      <c r="E323" t="s">
        <v>24</v>
      </c>
      <c r="F323" t="s">
        <v>36</v>
      </c>
      <c r="G323" t="s">
        <v>160</v>
      </c>
      <c r="H323"/>
      <c r="I323" s="16">
        <v>-348165160000</v>
      </c>
      <c r="J323" s="16">
        <v>-582725140000</v>
      </c>
      <c r="K323" s="16" t="s">
        <v>1253</v>
      </c>
      <c r="L323" s="57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t="s">
        <v>776</v>
      </c>
      <c r="B324" s="62"/>
      <c r="C324" s="63" t="s">
        <v>804</v>
      </c>
      <c r="D324" s="62" t="s">
        <v>805</v>
      </c>
      <c r="E324" t="s">
        <v>24</v>
      </c>
      <c r="F324" t="s">
        <v>36</v>
      </c>
      <c r="G324" t="s">
        <v>160</v>
      </c>
      <c r="H324" t="s">
        <v>806</v>
      </c>
      <c r="I324" s="16">
        <v>-348159830000</v>
      </c>
      <c r="J324" s="16">
        <v>-582660100000</v>
      </c>
      <c r="K324" s="16" t="s">
        <v>1254</v>
      </c>
      <c r="L324" s="57">
        <f t="shared" si="20"/>
        <v>30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t="s">
        <v>769</v>
      </c>
      <c r="B325" s="62"/>
      <c r="C325" s="63" t="s">
        <v>807</v>
      </c>
      <c r="D325" s="62" t="s">
        <v>808</v>
      </c>
      <c r="E325" t="s">
        <v>24</v>
      </c>
      <c r="F325" t="s">
        <v>36</v>
      </c>
      <c r="G325" t="s">
        <v>160</v>
      </c>
      <c r="H325"/>
      <c r="I325" s="16">
        <v>-348139270000</v>
      </c>
      <c r="J325" s="16">
        <v>-582743600000</v>
      </c>
      <c r="K325" s="16" t="s">
        <v>1255</v>
      </c>
      <c r="L325" s="57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t="s">
        <v>776</v>
      </c>
      <c r="B326" s="62"/>
      <c r="C326" s="63" t="s">
        <v>809</v>
      </c>
      <c r="D326" s="62" t="s">
        <v>810</v>
      </c>
      <c r="E326" t="s">
        <v>24</v>
      </c>
      <c r="F326" t="s">
        <v>36</v>
      </c>
      <c r="G326" t="s">
        <v>788</v>
      </c>
      <c r="H326"/>
      <c r="I326" s="16">
        <v>-348191940000</v>
      </c>
      <c r="J326" s="16">
        <v>-582720740000</v>
      </c>
      <c r="K326" s="16" t="s">
        <v>1256</v>
      </c>
      <c r="L326" s="57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B327" s="62"/>
      <c r="C327" s="63" t="s">
        <v>811</v>
      </c>
      <c r="D327" s="62" t="s">
        <v>812</v>
      </c>
      <c r="E327" t="s">
        <v>19</v>
      </c>
      <c r="F327" t="s">
        <v>36</v>
      </c>
      <c r="G327" t="s">
        <v>813</v>
      </c>
      <c r="H327" t="s">
        <v>814</v>
      </c>
      <c r="I327" s="16">
        <v>-348187470000</v>
      </c>
      <c r="J327" s="16">
        <v>-582709000000</v>
      </c>
      <c r="K327" s="16" t="s">
        <v>1259</v>
      </c>
      <c r="L327" s="57">
        <f t="shared" si="23"/>
        <v>30</v>
      </c>
      <c r="M327" s="17">
        <f t="shared" ref="M327:M372" si="24">COUNTIF(O327:AP327,"APAGADO")</f>
        <v>0</v>
      </c>
      <c r="N327" s="18">
        <f t="shared" ref="N327:N372" si="25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t="s">
        <v>769</v>
      </c>
      <c r="B328" s="62"/>
      <c r="C328" s="63" t="s">
        <v>815</v>
      </c>
      <c r="D328" s="62" t="s">
        <v>816</v>
      </c>
      <c r="E328" t="s">
        <v>113</v>
      </c>
      <c r="F328" t="s">
        <v>36</v>
      </c>
      <c r="G328"/>
      <c r="H328" t="s">
        <v>247</v>
      </c>
      <c r="I328" s="16">
        <v>-348138590000</v>
      </c>
      <c r="J328" s="16">
        <v>-582734640000</v>
      </c>
      <c r="K328" s="16" t="s">
        <v>1266</v>
      </c>
      <c r="L328" s="57">
        <f t="shared" si="23"/>
        <v>30</v>
      </c>
      <c r="M328" s="17">
        <f t="shared" si="24"/>
        <v>0</v>
      </c>
      <c r="N328" s="18">
        <f t="shared" si="25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t="s">
        <v>769</v>
      </c>
      <c r="B329" s="62"/>
      <c r="C329" s="63" t="s">
        <v>817</v>
      </c>
      <c r="D329" s="62" t="s">
        <v>816</v>
      </c>
      <c r="E329" t="s">
        <v>113</v>
      </c>
      <c r="F329" t="s">
        <v>36</v>
      </c>
      <c r="G329"/>
      <c r="H329" t="s">
        <v>247</v>
      </c>
      <c r="I329" s="16">
        <v>-348138540000</v>
      </c>
      <c r="J329" s="16">
        <v>-582734290000</v>
      </c>
      <c r="K329" s="16" t="s">
        <v>1267</v>
      </c>
      <c r="L329" s="57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t="s">
        <v>769</v>
      </c>
      <c r="B330" s="62"/>
      <c r="C330" s="63" t="s">
        <v>818</v>
      </c>
      <c r="D330" s="62" t="s">
        <v>819</v>
      </c>
      <c r="E330" t="s">
        <v>113</v>
      </c>
      <c r="F330" t="s">
        <v>36</v>
      </c>
      <c r="G330"/>
      <c r="H330" t="s">
        <v>299</v>
      </c>
      <c r="I330" s="16">
        <v>-348114320000</v>
      </c>
      <c r="J330" s="16">
        <v>-582778570000</v>
      </c>
      <c r="K330" s="16" t="s">
        <v>1022</v>
      </c>
      <c r="L330" s="57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t="s">
        <v>769</v>
      </c>
      <c r="B331" s="62"/>
      <c r="C331" s="63" t="s">
        <v>820</v>
      </c>
      <c r="D331" s="62" t="s">
        <v>819</v>
      </c>
      <c r="E331" t="s">
        <v>113</v>
      </c>
      <c r="F331" t="s">
        <v>36</v>
      </c>
      <c r="G331"/>
      <c r="H331" t="s">
        <v>299</v>
      </c>
      <c r="I331" s="16">
        <v>-348114300000</v>
      </c>
      <c r="J331" s="16">
        <v>-582778730000</v>
      </c>
      <c r="K331" s="16" t="s">
        <v>1268</v>
      </c>
      <c r="L331" s="57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t="s">
        <v>616</v>
      </c>
      <c r="B332" s="62"/>
      <c r="C332" s="63" t="s">
        <v>821</v>
      </c>
      <c r="D332" s="62" t="s">
        <v>822</v>
      </c>
      <c r="E332" t="s">
        <v>24</v>
      </c>
      <c r="F332" t="s">
        <v>36</v>
      </c>
      <c r="G332" t="s">
        <v>823</v>
      </c>
      <c r="H332" t="s">
        <v>824</v>
      </c>
      <c r="I332" s="16">
        <v>-347781830000</v>
      </c>
      <c r="J332" s="16">
        <v>-582883670000</v>
      </c>
      <c r="K332" s="16" t="s">
        <v>1275</v>
      </c>
      <c r="L332" s="57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t="s">
        <v>616</v>
      </c>
      <c r="B333" s="62"/>
      <c r="C333" s="63" t="s">
        <v>825</v>
      </c>
      <c r="D333" s="62" t="s">
        <v>826</v>
      </c>
      <c r="E333" t="s">
        <v>24</v>
      </c>
      <c r="F333" t="s">
        <v>36</v>
      </c>
      <c r="G333" t="s">
        <v>598</v>
      </c>
      <c r="H333"/>
      <c r="I333" s="16">
        <v>-347743850000</v>
      </c>
      <c r="J333" s="16">
        <v>-582816550000</v>
      </c>
      <c r="K333" s="16" t="s">
        <v>1271</v>
      </c>
      <c r="L333" s="57">
        <f t="shared" si="23"/>
        <v>30</v>
      </c>
      <c r="M333" s="17">
        <f t="shared" si="24"/>
        <v>0</v>
      </c>
      <c r="N333" s="18">
        <f t="shared" si="25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t="s">
        <v>454</v>
      </c>
      <c r="B334" s="62"/>
      <c r="C334" s="63" t="s">
        <v>827</v>
      </c>
      <c r="D334" s="62" t="s">
        <v>828</v>
      </c>
      <c r="E334" t="s">
        <v>24</v>
      </c>
      <c r="F334" t="s">
        <v>36</v>
      </c>
      <c r="G334" t="s">
        <v>184</v>
      </c>
      <c r="H334"/>
      <c r="I334" s="16">
        <v>-347773100000</v>
      </c>
      <c r="J334" s="16">
        <v>-582804110000</v>
      </c>
      <c r="K334" s="16" t="s">
        <v>1272</v>
      </c>
      <c r="L334" s="57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t="s">
        <v>616</v>
      </c>
      <c r="B335" s="62"/>
      <c r="C335" s="63" t="s">
        <v>829</v>
      </c>
      <c r="D335" s="62" t="s">
        <v>830</v>
      </c>
      <c r="E335" t="s">
        <v>113</v>
      </c>
      <c r="F335" t="s">
        <v>36</v>
      </c>
      <c r="G335"/>
      <c r="H335" t="s">
        <v>247</v>
      </c>
      <c r="I335" s="16">
        <v>-347807260000</v>
      </c>
      <c r="J335" s="16">
        <v>-582820830000</v>
      </c>
      <c r="K335" s="16" t="s">
        <v>1269</v>
      </c>
      <c r="L335" s="57">
        <f t="shared" si="23"/>
        <v>25</v>
      </c>
      <c r="M335" s="17">
        <f t="shared" si="24"/>
        <v>5</v>
      </c>
      <c r="N335" s="18">
        <f t="shared" si="25"/>
        <v>0.83333333333333337</v>
      </c>
      <c r="O335" s="27" t="s">
        <v>1369</v>
      </c>
      <c r="P335" s="8" t="s">
        <v>1369</v>
      </c>
      <c r="Q335" s="8" t="s">
        <v>1369</v>
      </c>
      <c r="R335" s="8" t="s">
        <v>1369</v>
      </c>
      <c r="S335" s="27" t="s">
        <v>1369</v>
      </c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t="s">
        <v>616</v>
      </c>
      <c r="B336" s="62"/>
      <c r="C336" s="63" t="s">
        <v>831</v>
      </c>
      <c r="D336" s="62" t="s">
        <v>830</v>
      </c>
      <c r="E336" t="s">
        <v>113</v>
      </c>
      <c r="F336" t="s">
        <v>36</v>
      </c>
      <c r="G336"/>
      <c r="H336" t="s">
        <v>247</v>
      </c>
      <c r="I336" s="16">
        <v>-347807260000</v>
      </c>
      <c r="J336" s="16">
        <v>-582820830000</v>
      </c>
      <c r="K336" s="16" t="s">
        <v>1270</v>
      </c>
      <c r="L336" s="57">
        <f t="shared" si="23"/>
        <v>25</v>
      </c>
      <c r="M336" s="17">
        <f t="shared" si="24"/>
        <v>5</v>
      </c>
      <c r="N336" s="18">
        <f t="shared" si="25"/>
        <v>0.83333333333333337</v>
      </c>
      <c r="O336" s="27" t="s">
        <v>1369</v>
      </c>
      <c r="P336" s="8" t="s">
        <v>1369</v>
      </c>
      <c r="Q336" s="8" t="s">
        <v>1369</v>
      </c>
      <c r="R336" s="8" t="s">
        <v>1369</v>
      </c>
      <c r="S336" s="27" t="s">
        <v>1369</v>
      </c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t="s">
        <v>616</v>
      </c>
      <c r="B337" s="62"/>
      <c r="C337" s="63" t="s">
        <v>832</v>
      </c>
      <c r="D337" s="62" t="s">
        <v>833</v>
      </c>
      <c r="E337" t="s">
        <v>113</v>
      </c>
      <c r="F337" t="s">
        <v>36</v>
      </c>
      <c r="G337" t="s">
        <v>834</v>
      </c>
      <c r="H337" t="s">
        <v>824</v>
      </c>
      <c r="I337" s="16">
        <v>-347798010000</v>
      </c>
      <c r="J337" s="16">
        <v>-582870530000</v>
      </c>
      <c r="K337" s="16" t="s">
        <v>1273</v>
      </c>
      <c r="L337" s="57">
        <f t="shared" si="23"/>
        <v>29</v>
      </c>
      <c r="M337" s="17">
        <f t="shared" si="24"/>
        <v>1</v>
      </c>
      <c r="N337" s="18">
        <f t="shared" si="25"/>
        <v>0.96666666666666667</v>
      </c>
      <c r="O337" s="27" t="s">
        <v>1369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t="s">
        <v>616</v>
      </c>
      <c r="B338" s="62"/>
      <c r="C338" s="63" t="s">
        <v>835</v>
      </c>
      <c r="D338" s="62" t="s">
        <v>833</v>
      </c>
      <c r="E338" t="s">
        <v>113</v>
      </c>
      <c r="F338" t="s">
        <v>36</v>
      </c>
      <c r="G338" t="s">
        <v>834</v>
      </c>
      <c r="H338" t="s">
        <v>824</v>
      </c>
      <c r="I338" s="16">
        <v>-347797690000</v>
      </c>
      <c r="J338" s="16">
        <v>-582869910000</v>
      </c>
      <c r="K338" s="16" t="s">
        <v>1274</v>
      </c>
      <c r="L338" s="57">
        <f t="shared" si="23"/>
        <v>29</v>
      </c>
      <c r="M338" s="17">
        <f t="shared" si="24"/>
        <v>1</v>
      </c>
      <c r="N338" s="18">
        <f t="shared" si="25"/>
        <v>0.96666666666666667</v>
      </c>
      <c r="O338" s="27" t="s">
        <v>1369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t="s">
        <v>616</v>
      </c>
      <c r="B339" s="62"/>
      <c r="C339" s="63" t="s">
        <v>836</v>
      </c>
      <c r="D339" s="62" t="s">
        <v>837</v>
      </c>
      <c r="E339" t="s">
        <v>19</v>
      </c>
      <c r="F339" t="s">
        <v>36</v>
      </c>
      <c r="G339"/>
      <c r="H339" t="s">
        <v>254</v>
      </c>
      <c r="I339" s="16">
        <v>-347753360000</v>
      </c>
      <c r="J339" s="16">
        <v>-582834130000</v>
      </c>
      <c r="K339" s="16" t="s">
        <v>1276</v>
      </c>
      <c r="L339" s="57">
        <f t="shared" si="23"/>
        <v>30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t="s">
        <v>727</v>
      </c>
      <c r="B340" s="62"/>
      <c r="C340" s="63" t="s">
        <v>838</v>
      </c>
      <c r="D340" s="62" t="s">
        <v>839</v>
      </c>
      <c r="E340" t="s">
        <v>24</v>
      </c>
      <c r="F340" t="s">
        <v>36</v>
      </c>
      <c r="G340" t="s">
        <v>365</v>
      </c>
      <c r="H340"/>
      <c r="I340" s="16">
        <v>-347957790000</v>
      </c>
      <c r="J340" s="16">
        <v>-582557990000</v>
      </c>
      <c r="K340" s="16" t="s">
        <v>1277</v>
      </c>
      <c r="L340" s="57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t="s">
        <v>727</v>
      </c>
      <c r="B341" s="62"/>
      <c r="C341" s="63" t="s">
        <v>840</v>
      </c>
      <c r="D341" s="62" t="s">
        <v>841</v>
      </c>
      <c r="E341" t="s">
        <v>24</v>
      </c>
      <c r="F341" t="s">
        <v>25</v>
      </c>
      <c r="G341" t="s">
        <v>65</v>
      </c>
      <c r="H341" t="s">
        <v>842</v>
      </c>
      <c r="I341" s="16">
        <v>-347986250000</v>
      </c>
      <c r="J341" s="16">
        <v>-582551820000</v>
      </c>
      <c r="K341" s="16" t="s">
        <v>1278</v>
      </c>
      <c r="L341" s="57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t="s">
        <v>727</v>
      </c>
      <c r="B342" s="62"/>
      <c r="C342" s="63" t="s">
        <v>843</v>
      </c>
      <c r="D342" s="62" t="s">
        <v>844</v>
      </c>
      <c r="E342" t="s">
        <v>24</v>
      </c>
      <c r="F342" t="s">
        <v>25</v>
      </c>
      <c r="G342" t="s">
        <v>160</v>
      </c>
      <c r="H342"/>
      <c r="I342" s="16">
        <v>-348016910000</v>
      </c>
      <c r="J342" s="16">
        <v>-582610020000</v>
      </c>
      <c r="K342" s="16" t="s">
        <v>1279</v>
      </c>
      <c r="L342" s="57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t="s">
        <v>727</v>
      </c>
      <c r="B343" s="62"/>
      <c r="C343" s="63" t="s">
        <v>845</v>
      </c>
      <c r="D343" s="62" t="s">
        <v>846</v>
      </c>
      <c r="E343" t="s">
        <v>24</v>
      </c>
      <c r="F343" t="s">
        <v>941</v>
      </c>
      <c r="G343" t="s">
        <v>65</v>
      </c>
      <c r="H343"/>
      <c r="I343" s="16">
        <v>-347937530000</v>
      </c>
      <c r="J343" s="16">
        <v>-582478490000</v>
      </c>
      <c r="K343" s="16" t="s">
        <v>1280</v>
      </c>
      <c r="L343" s="57">
        <f t="shared" si="23"/>
        <v>30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t="s">
        <v>721</v>
      </c>
      <c r="B344" s="62"/>
      <c r="C344" s="63" t="s">
        <v>847</v>
      </c>
      <c r="D344" s="62" t="s">
        <v>848</v>
      </c>
      <c r="E344" t="s">
        <v>24</v>
      </c>
      <c r="F344" t="s">
        <v>25</v>
      </c>
      <c r="G344" t="s">
        <v>849</v>
      </c>
      <c r="H344"/>
      <c r="I344" s="16">
        <v>-347994440000</v>
      </c>
      <c r="J344" s="16">
        <v>-582627080000</v>
      </c>
      <c r="K344" s="16" t="s">
        <v>1281</v>
      </c>
      <c r="L344" s="57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t="s">
        <v>850</v>
      </c>
      <c r="B345" s="62"/>
      <c r="C345" s="63" t="s">
        <v>851</v>
      </c>
      <c r="D345" s="62" t="s">
        <v>852</v>
      </c>
      <c r="E345" t="s">
        <v>19</v>
      </c>
      <c r="F345" t="s">
        <v>36</v>
      </c>
      <c r="G345"/>
      <c r="H345" t="s">
        <v>339</v>
      </c>
      <c r="I345" s="16">
        <v>-348374820000</v>
      </c>
      <c r="J345" s="16">
        <v>-582378510000</v>
      </c>
      <c r="K345" s="16" t="s">
        <v>1282</v>
      </c>
      <c r="L345" s="57">
        <f t="shared" si="23"/>
        <v>30</v>
      </c>
      <c r="M345" s="17">
        <f t="shared" si="24"/>
        <v>0</v>
      </c>
      <c r="N345" s="18">
        <f t="shared" si="25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t="s">
        <v>850</v>
      </c>
      <c r="B346" s="62"/>
      <c r="C346" s="63" t="s">
        <v>853</v>
      </c>
      <c r="D346" s="62" t="s">
        <v>854</v>
      </c>
      <c r="E346" t="s">
        <v>19</v>
      </c>
      <c r="F346" t="s">
        <v>36</v>
      </c>
      <c r="G346"/>
      <c r="H346" t="s">
        <v>339</v>
      </c>
      <c r="I346" s="16">
        <v>-348349880000</v>
      </c>
      <c r="J346" s="16">
        <v>-582351700000</v>
      </c>
      <c r="K346" s="16" t="s">
        <v>1283</v>
      </c>
      <c r="L346" s="57">
        <f t="shared" si="23"/>
        <v>30</v>
      </c>
      <c r="M346" s="17">
        <f t="shared" si="24"/>
        <v>0</v>
      </c>
      <c r="N346" s="18">
        <f t="shared" si="25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t="s">
        <v>850</v>
      </c>
      <c r="B347" s="60">
        <v>44629</v>
      </c>
      <c r="C347" s="63" t="s">
        <v>855</v>
      </c>
      <c r="D347" s="62" t="s">
        <v>856</v>
      </c>
      <c r="E347" t="s">
        <v>113</v>
      </c>
      <c r="F347" t="s">
        <v>36</v>
      </c>
      <c r="G347"/>
      <c r="H347" t="s">
        <v>247</v>
      </c>
      <c r="I347" s="16">
        <v>-348382350000</v>
      </c>
      <c r="J347" s="16">
        <v>-582372950000</v>
      </c>
      <c r="K347" s="16" t="s">
        <v>1284</v>
      </c>
      <c r="L347" s="57">
        <f t="shared" si="23"/>
        <v>30</v>
      </c>
      <c r="M347" s="17">
        <f t="shared" si="24"/>
        <v>0</v>
      </c>
      <c r="N347" s="18">
        <f t="shared" si="25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t="s">
        <v>850</v>
      </c>
      <c r="B348" s="60">
        <v>44629</v>
      </c>
      <c r="C348" s="63" t="s">
        <v>857</v>
      </c>
      <c r="D348" s="62" t="s">
        <v>856</v>
      </c>
      <c r="E348" t="s">
        <v>113</v>
      </c>
      <c r="F348" t="s">
        <v>36</v>
      </c>
      <c r="G348"/>
      <c r="H348" t="s">
        <v>247</v>
      </c>
      <c r="I348" s="16">
        <v>-348382440000</v>
      </c>
      <c r="J348" s="16">
        <v>-582373030000</v>
      </c>
      <c r="K348" s="16" t="s">
        <v>1285</v>
      </c>
      <c r="L348" s="57">
        <f t="shared" si="23"/>
        <v>30</v>
      </c>
      <c r="M348" s="17">
        <f t="shared" si="24"/>
        <v>0</v>
      </c>
      <c r="N348" s="18">
        <f t="shared" si="25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t="s">
        <v>858</v>
      </c>
      <c r="B349" s="60">
        <v>44629</v>
      </c>
      <c r="C349" s="63" t="s">
        <v>859</v>
      </c>
      <c r="D349" s="62" t="s">
        <v>860</v>
      </c>
      <c r="E349" t="s">
        <v>113</v>
      </c>
      <c r="F349" t="s">
        <v>36</v>
      </c>
      <c r="G349"/>
      <c r="H349" t="s">
        <v>861</v>
      </c>
      <c r="I349" s="16">
        <v>-348173980000</v>
      </c>
      <c r="J349" s="16">
        <v>-582515460000</v>
      </c>
      <c r="K349" s="16" t="s">
        <v>1286</v>
      </c>
      <c r="L349" s="57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t="s">
        <v>858</v>
      </c>
      <c r="B350" s="62"/>
      <c r="C350" s="63" t="s">
        <v>862</v>
      </c>
      <c r="D350" s="62" t="s">
        <v>863</v>
      </c>
      <c r="E350" t="s">
        <v>19</v>
      </c>
      <c r="F350" t="s">
        <v>36</v>
      </c>
      <c r="G350"/>
      <c r="H350" t="s">
        <v>247</v>
      </c>
      <c r="I350" s="16">
        <v>-348108560000</v>
      </c>
      <c r="J350" s="16">
        <v>-582592810000</v>
      </c>
      <c r="K350" s="16" t="s">
        <v>1287</v>
      </c>
      <c r="L350" s="57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t="s">
        <v>858</v>
      </c>
      <c r="B351" s="60">
        <v>44629</v>
      </c>
      <c r="C351" s="63" t="s">
        <v>864</v>
      </c>
      <c r="D351" s="62" t="s">
        <v>865</v>
      </c>
      <c r="E351" t="s">
        <v>113</v>
      </c>
      <c r="F351" t="s">
        <v>36</v>
      </c>
      <c r="G351"/>
      <c r="H351" t="s">
        <v>866</v>
      </c>
      <c r="I351" s="16">
        <v>-348173990000</v>
      </c>
      <c r="J351" s="16">
        <v>-582515250000</v>
      </c>
      <c r="K351" s="16" t="s">
        <v>1288</v>
      </c>
      <c r="L351" s="57">
        <f t="shared" si="23"/>
        <v>30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t="s">
        <v>858</v>
      </c>
      <c r="B352" s="62"/>
      <c r="C352" s="63" t="s">
        <v>867</v>
      </c>
      <c r="D352" s="62" t="s">
        <v>868</v>
      </c>
      <c r="E352" t="s">
        <v>19</v>
      </c>
      <c r="F352" t="s">
        <v>36</v>
      </c>
      <c r="G352"/>
      <c r="H352" t="s">
        <v>866</v>
      </c>
      <c r="I352" s="16">
        <v>-348116860000</v>
      </c>
      <c r="J352" s="16">
        <v>-582556310000</v>
      </c>
      <c r="K352" s="16" t="s">
        <v>1289</v>
      </c>
      <c r="L352" s="57">
        <f t="shared" si="23"/>
        <v>25</v>
      </c>
      <c r="M352" s="17">
        <f t="shared" si="24"/>
        <v>5</v>
      </c>
      <c r="N352" s="18">
        <f t="shared" si="25"/>
        <v>0.83333333333333337</v>
      </c>
      <c r="O352" s="27" t="s">
        <v>1369</v>
      </c>
      <c r="P352" s="8" t="s">
        <v>1369</v>
      </c>
      <c r="Q352" s="8" t="s">
        <v>1369</v>
      </c>
      <c r="R352" s="8" t="s">
        <v>1369</v>
      </c>
      <c r="S352" s="27" t="s">
        <v>1369</v>
      </c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t="s">
        <v>858</v>
      </c>
      <c r="B353" s="62"/>
      <c r="C353" s="63" t="s">
        <v>869</v>
      </c>
      <c r="D353" s="62" t="s">
        <v>870</v>
      </c>
      <c r="E353" t="s">
        <v>19</v>
      </c>
      <c r="F353" t="s">
        <v>36</v>
      </c>
      <c r="G353"/>
      <c r="H353" t="s">
        <v>866</v>
      </c>
      <c r="I353" s="16">
        <v>-348113810000</v>
      </c>
      <c r="J353" s="16">
        <v>-582573240000</v>
      </c>
      <c r="K353" s="16" t="s">
        <v>1290</v>
      </c>
      <c r="L353" s="57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t="s">
        <v>270</v>
      </c>
      <c r="B354" s="62"/>
      <c r="C354" s="63" t="s">
        <v>871</v>
      </c>
      <c r="D354" s="62" t="s">
        <v>926</v>
      </c>
      <c r="E354" t="s">
        <v>24</v>
      </c>
      <c r="F354" t="s">
        <v>25</v>
      </c>
      <c r="G354" t="s">
        <v>702</v>
      </c>
      <c r="H354"/>
      <c r="I354" s="16">
        <v>-348336200000</v>
      </c>
      <c r="J354" s="16">
        <v>-582709260000</v>
      </c>
      <c r="K354" s="16" t="s">
        <v>1291</v>
      </c>
      <c r="L354" s="57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A355" s="54" t="s">
        <v>270</v>
      </c>
      <c r="B355" s="62"/>
      <c r="C355" s="63" t="s">
        <v>872</v>
      </c>
      <c r="D355" s="62" t="s">
        <v>927</v>
      </c>
      <c r="E355" t="s">
        <v>19</v>
      </c>
      <c r="F355" t="s">
        <v>36</v>
      </c>
      <c r="G355" t="s">
        <v>873</v>
      </c>
      <c r="H355" t="s">
        <v>874</v>
      </c>
      <c r="I355" s="16">
        <v>-348339360000</v>
      </c>
      <c r="J355" s="16">
        <v>-582778770000</v>
      </c>
      <c r="K355" s="16" t="s">
        <v>1357</v>
      </c>
      <c r="L355" s="57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t="s">
        <v>270</v>
      </c>
      <c r="B356" s="62"/>
      <c r="C356" s="63" t="s">
        <v>875</v>
      </c>
      <c r="D356" s="62" t="s">
        <v>928</v>
      </c>
      <c r="E356" t="s">
        <v>113</v>
      </c>
      <c r="F356" t="s">
        <v>36</v>
      </c>
      <c r="G356"/>
      <c r="H356" t="s">
        <v>876</v>
      </c>
      <c r="I356" s="16">
        <v>-348368690000</v>
      </c>
      <c r="J356" s="16">
        <v>-582780410000</v>
      </c>
      <c r="K356" s="16" t="s">
        <v>1292</v>
      </c>
      <c r="L356" s="57">
        <f t="shared" si="23"/>
        <v>30</v>
      </c>
      <c r="M356" s="17">
        <f t="shared" si="24"/>
        <v>0</v>
      </c>
      <c r="N356" s="18">
        <f t="shared" si="25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t="s">
        <v>270</v>
      </c>
      <c r="B357" s="62"/>
      <c r="C357" s="63" t="s">
        <v>877</v>
      </c>
      <c r="D357" s="62" t="s">
        <v>928</v>
      </c>
      <c r="E357" t="s">
        <v>113</v>
      </c>
      <c r="F357" t="s">
        <v>36</v>
      </c>
      <c r="G357"/>
      <c r="H357" t="s">
        <v>878</v>
      </c>
      <c r="I357" s="16">
        <v>-348367000000</v>
      </c>
      <c r="J357" s="16">
        <v>-582781300000</v>
      </c>
      <c r="K357" s="16" t="s">
        <v>1293</v>
      </c>
      <c r="L357" s="57">
        <f t="shared" si="23"/>
        <v>30</v>
      </c>
      <c r="M357" s="17">
        <f t="shared" si="24"/>
        <v>0</v>
      </c>
      <c r="N357" s="18">
        <f t="shared" si="25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t="s">
        <v>270</v>
      </c>
      <c r="B358" s="62"/>
      <c r="C358" s="63" t="s">
        <v>879</v>
      </c>
      <c r="D358" s="62" t="s">
        <v>929</v>
      </c>
      <c r="E358" t="s">
        <v>19</v>
      </c>
      <c r="F358" t="s">
        <v>36</v>
      </c>
      <c r="G358"/>
      <c r="H358" t="s">
        <v>880</v>
      </c>
      <c r="I358" s="16">
        <v>-348375310000</v>
      </c>
      <c r="J358" s="16">
        <v>-582782110000</v>
      </c>
      <c r="K358" s="16" t="s">
        <v>1294</v>
      </c>
      <c r="L358" s="57">
        <f t="shared" si="23"/>
        <v>30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t="s">
        <v>881</v>
      </c>
      <c r="B359" s="62"/>
      <c r="C359" s="63" t="s">
        <v>882</v>
      </c>
      <c r="D359" s="62" t="s">
        <v>883</v>
      </c>
      <c r="E359" t="s">
        <v>113</v>
      </c>
      <c r="F359" t="s">
        <v>36</v>
      </c>
      <c r="G359"/>
      <c r="H359" t="s">
        <v>884</v>
      </c>
      <c r="I359" s="16">
        <v>-348344030000</v>
      </c>
      <c r="J359" s="16">
        <v>-582802100000</v>
      </c>
      <c r="K359" s="16" t="s">
        <v>1295</v>
      </c>
      <c r="L359" s="57">
        <f t="shared" si="23"/>
        <v>25</v>
      </c>
      <c r="M359" s="17">
        <f t="shared" si="24"/>
        <v>5</v>
      </c>
      <c r="N359" s="18">
        <f t="shared" si="25"/>
        <v>0.83333333333333337</v>
      </c>
      <c r="O359" s="27" t="s">
        <v>1369</v>
      </c>
      <c r="P359" s="8" t="s">
        <v>1369</v>
      </c>
      <c r="Q359" s="8" t="s">
        <v>1369</v>
      </c>
      <c r="R359" s="8" t="s">
        <v>1369</v>
      </c>
      <c r="S359" s="27" t="s">
        <v>1369</v>
      </c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t="s">
        <v>881</v>
      </c>
      <c r="B360" s="62"/>
      <c r="C360" s="63" t="s">
        <v>885</v>
      </c>
      <c r="D360" s="62" t="s">
        <v>883</v>
      </c>
      <c r="E360" t="s">
        <v>113</v>
      </c>
      <c r="F360" t="s">
        <v>36</v>
      </c>
      <c r="G360"/>
      <c r="H360" t="s">
        <v>884</v>
      </c>
      <c r="I360" s="16">
        <v>-348343990000</v>
      </c>
      <c r="J360" s="16">
        <v>-582802050000</v>
      </c>
      <c r="K360" s="16" t="s">
        <v>1296</v>
      </c>
      <c r="L360" s="57">
        <f t="shared" si="23"/>
        <v>25</v>
      </c>
      <c r="M360" s="17">
        <f t="shared" si="24"/>
        <v>5</v>
      </c>
      <c r="N360" s="18">
        <f t="shared" si="25"/>
        <v>0.83333333333333337</v>
      </c>
      <c r="O360" s="27" t="s">
        <v>1369</v>
      </c>
      <c r="P360" s="8" t="s">
        <v>1369</v>
      </c>
      <c r="Q360" s="8" t="s">
        <v>1369</v>
      </c>
      <c r="R360" s="8" t="s">
        <v>1369</v>
      </c>
      <c r="S360" s="27" t="s">
        <v>1369</v>
      </c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t="s">
        <v>881</v>
      </c>
      <c r="B361" s="62"/>
      <c r="C361" s="63" t="s">
        <v>886</v>
      </c>
      <c r="D361" s="62" t="s">
        <v>887</v>
      </c>
      <c r="E361" t="s">
        <v>113</v>
      </c>
      <c r="F361" t="s">
        <v>36</v>
      </c>
      <c r="G361"/>
      <c r="H361" t="s">
        <v>884</v>
      </c>
      <c r="I361" s="16">
        <v>-348350290000</v>
      </c>
      <c r="J361" s="16">
        <v>-582814190000</v>
      </c>
      <c r="K361" s="16" t="s">
        <v>1297</v>
      </c>
      <c r="L361" s="57">
        <f t="shared" si="23"/>
        <v>25</v>
      </c>
      <c r="M361" s="17">
        <f t="shared" si="24"/>
        <v>5</v>
      </c>
      <c r="N361" s="18">
        <f t="shared" si="25"/>
        <v>0.83333333333333337</v>
      </c>
      <c r="O361" s="27" t="s">
        <v>1369</v>
      </c>
      <c r="P361" s="8" t="s">
        <v>1369</v>
      </c>
      <c r="Q361" s="8" t="s">
        <v>1369</v>
      </c>
      <c r="R361" s="8" t="s">
        <v>1369</v>
      </c>
      <c r="S361" s="27" t="s">
        <v>1369</v>
      </c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t="s">
        <v>881</v>
      </c>
      <c r="B362" s="62"/>
      <c r="C362" s="63" t="s">
        <v>888</v>
      </c>
      <c r="D362" s="62" t="s">
        <v>887</v>
      </c>
      <c r="E362" t="s">
        <v>113</v>
      </c>
      <c r="F362" t="s">
        <v>36</v>
      </c>
      <c r="G362"/>
      <c r="H362" t="s">
        <v>884</v>
      </c>
      <c r="I362" s="16">
        <v>-348350240000</v>
      </c>
      <c r="J362" s="16">
        <v>-582814080000</v>
      </c>
      <c r="K362" s="16" t="s">
        <v>1298</v>
      </c>
      <c r="L362" s="57">
        <f t="shared" si="23"/>
        <v>25</v>
      </c>
      <c r="M362" s="17">
        <f t="shared" si="24"/>
        <v>5</v>
      </c>
      <c r="N362" s="18">
        <f t="shared" si="25"/>
        <v>0.83333333333333337</v>
      </c>
      <c r="O362" s="27" t="s">
        <v>1369</v>
      </c>
      <c r="P362" s="8" t="s">
        <v>1369</v>
      </c>
      <c r="Q362" s="8" t="s">
        <v>1369</v>
      </c>
      <c r="R362" s="8" t="s">
        <v>1369</v>
      </c>
      <c r="S362" s="27" t="s">
        <v>1369</v>
      </c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t="s">
        <v>889</v>
      </c>
      <c r="B363" s="62"/>
      <c r="C363" s="63" t="s">
        <v>890</v>
      </c>
      <c r="D363" s="62" t="s">
        <v>891</v>
      </c>
      <c r="E363" t="s">
        <v>19</v>
      </c>
      <c r="F363" t="s">
        <v>36</v>
      </c>
      <c r="G363"/>
      <c r="H363" t="s">
        <v>339</v>
      </c>
      <c r="I363" s="16">
        <v>-348331020000</v>
      </c>
      <c r="J363" s="16">
        <v>-582411500000</v>
      </c>
      <c r="K363" s="16" t="s">
        <v>1299</v>
      </c>
      <c r="L363" s="57">
        <f t="shared" si="23"/>
        <v>26</v>
      </c>
      <c r="M363" s="17">
        <f t="shared" si="24"/>
        <v>4</v>
      </c>
      <c r="N363" s="18">
        <f t="shared" si="25"/>
        <v>0.8666666666666667</v>
      </c>
      <c r="O363" s="27" t="s">
        <v>1369</v>
      </c>
      <c r="P363" s="8" t="s">
        <v>1369</v>
      </c>
      <c r="Q363" s="8" t="s">
        <v>1369</v>
      </c>
      <c r="R363" s="8" t="s">
        <v>1369</v>
      </c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t="s">
        <v>892</v>
      </c>
      <c r="B364" s="62"/>
      <c r="C364" s="63" t="s">
        <v>893</v>
      </c>
      <c r="D364" s="62" t="s">
        <v>894</v>
      </c>
      <c r="E364" t="s">
        <v>19</v>
      </c>
      <c r="F364" t="s">
        <v>25</v>
      </c>
      <c r="G364"/>
      <c r="H364" t="s">
        <v>686</v>
      </c>
      <c r="I364" s="16">
        <v>-348140350000</v>
      </c>
      <c r="J364" s="16">
        <v>-582788310000</v>
      </c>
      <c r="K364" s="16" t="s">
        <v>1300</v>
      </c>
      <c r="L364" s="57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t="s">
        <v>892</v>
      </c>
      <c r="B365" s="62"/>
      <c r="C365" s="63" t="s">
        <v>895</v>
      </c>
      <c r="D365" s="62" t="s">
        <v>896</v>
      </c>
      <c r="E365" t="s">
        <v>19</v>
      </c>
      <c r="F365" t="s">
        <v>25</v>
      </c>
      <c r="G365"/>
      <c r="H365" t="s">
        <v>897</v>
      </c>
      <c r="I365" s="16">
        <v>-348118850000</v>
      </c>
      <c r="J365" s="16">
        <v>-582790580000</v>
      </c>
      <c r="K365" s="16" t="s">
        <v>1301</v>
      </c>
      <c r="L365" s="57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t="s">
        <v>892</v>
      </c>
      <c r="B366" s="62"/>
      <c r="C366" s="63" t="s">
        <v>898</v>
      </c>
      <c r="D366" s="62" t="s">
        <v>899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1302</v>
      </c>
      <c r="L366" s="57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B367" s="62"/>
      <c r="C367" s="63" t="s">
        <v>900</v>
      </c>
      <c r="D367" s="62" t="s">
        <v>901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1306</v>
      </c>
      <c r="L367" s="57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t="s">
        <v>902</v>
      </c>
      <c r="B368" s="62"/>
      <c r="C368" s="63" t="s">
        <v>903</v>
      </c>
      <c r="D368" s="62" t="s">
        <v>904</v>
      </c>
      <c r="E368" t="s">
        <v>24</v>
      </c>
      <c r="F368" t="s">
        <v>25</v>
      </c>
      <c r="G368" t="s">
        <v>792</v>
      </c>
      <c r="H368"/>
      <c r="I368" s="16">
        <v>-348108520000</v>
      </c>
      <c r="J368" s="16">
        <v>-582564000000</v>
      </c>
      <c r="K368" s="16" t="s">
        <v>1303</v>
      </c>
      <c r="L368" s="57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t="s">
        <v>478</v>
      </c>
      <c r="B369" s="60">
        <v>44629</v>
      </c>
      <c r="C369" s="63" t="s">
        <v>905</v>
      </c>
      <c r="D369" s="62" t="s">
        <v>906</v>
      </c>
      <c r="E369" t="s">
        <v>24</v>
      </c>
      <c r="F369" t="s">
        <v>25</v>
      </c>
      <c r="G369" t="s">
        <v>792</v>
      </c>
      <c r="H369"/>
      <c r="I369" s="16">
        <v>-348105440000</v>
      </c>
      <c r="J369" s="16">
        <v>-582580200000</v>
      </c>
      <c r="K369" s="16" t="s">
        <v>1304</v>
      </c>
      <c r="L369" s="57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B370" s="62"/>
      <c r="C370" s="63" t="s">
        <v>907</v>
      </c>
      <c r="D370" s="62" t="s">
        <v>908</v>
      </c>
      <c r="E370" t="s">
        <v>19</v>
      </c>
      <c r="F370" t="s">
        <v>25</v>
      </c>
      <c r="G370"/>
      <c r="H370" t="s">
        <v>909</v>
      </c>
      <c r="I370" s="16">
        <v>-348006770000</v>
      </c>
      <c r="J370" s="16">
        <v>-582652130000</v>
      </c>
      <c r="K370" s="16" t="s">
        <v>1305</v>
      </c>
      <c r="L370" s="57">
        <f t="shared" si="23"/>
        <v>30</v>
      </c>
      <c r="M370" s="17">
        <f t="shared" si="24"/>
        <v>0</v>
      </c>
      <c r="N370" s="18">
        <f t="shared" si="25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t="s">
        <v>1312</v>
      </c>
      <c r="B371" s="62"/>
      <c r="C371" s="63" t="s">
        <v>1308</v>
      </c>
      <c r="D371" s="62" t="s">
        <v>1310</v>
      </c>
      <c r="E371" s="45" t="s">
        <v>113</v>
      </c>
      <c r="F371" s="45" t="s">
        <v>36</v>
      </c>
      <c r="G371" s="9"/>
      <c r="H371" s="9" t="s">
        <v>1315</v>
      </c>
      <c r="I371" s="9"/>
      <c r="J371" s="9"/>
      <c r="K371" s="28" t="s">
        <v>1313</v>
      </c>
      <c r="L371" s="57">
        <f t="shared" si="23"/>
        <v>30</v>
      </c>
      <c r="M371" s="17">
        <f t="shared" si="24"/>
        <v>0</v>
      </c>
      <c r="N371" s="18">
        <f t="shared" si="25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t="s">
        <v>1312</v>
      </c>
      <c r="B372" s="62"/>
      <c r="C372" s="63" t="s">
        <v>1309</v>
      </c>
      <c r="D372" s="62" t="s">
        <v>1311</v>
      </c>
      <c r="E372" s="45" t="s">
        <v>113</v>
      </c>
      <c r="F372" s="45" t="s">
        <v>36</v>
      </c>
      <c r="G372" s="9" t="s">
        <v>1315</v>
      </c>
      <c r="H372" s="9"/>
      <c r="I372" s="9"/>
      <c r="J372" s="9"/>
      <c r="K372" s="28" t="s">
        <v>1314</v>
      </c>
      <c r="L372" s="57">
        <f t="shared" si="23"/>
        <v>30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4" customFormat="1" ht="15.75" thickBot="1" x14ac:dyDescent="0.3">
      <c r="A373" s="54" t="s">
        <v>568</v>
      </c>
      <c r="B373" s="62"/>
      <c r="C373" s="63" t="s">
        <v>1327</v>
      </c>
      <c r="D373" s="62" t="s">
        <v>1331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1335</v>
      </c>
      <c r="L373" s="57">
        <f t="shared" si="23"/>
        <v>30</v>
      </c>
      <c r="M373" s="57">
        <f t="shared" ref="M373:M379" si="26">COUNTIF(O373:AP373,"APAGADO")</f>
        <v>0</v>
      </c>
      <c r="N373" s="58">
        <f t="shared" ref="N373:N379" si="27">(L373)/(M373+L373)</f>
        <v>1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4" customFormat="1" ht="15.75" thickBot="1" x14ac:dyDescent="0.3">
      <c r="A374" s="54" t="s">
        <v>568</v>
      </c>
      <c r="B374" s="62"/>
      <c r="C374" s="63" t="s">
        <v>1328</v>
      </c>
      <c r="D374" s="62" t="s">
        <v>1332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1336</v>
      </c>
      <c r="L374" s="57">
        <f t="shared" si="23"/>
        <v>30</v>
      </c>
      <c r="M374" s="57">
        <f t="shared" si="26"/>
        <v>0</v>
      </c>
      <c r="N374" s="58">
        <f t="shared" si="27"/>
        <v>1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4" customFormat="1" ht="15.75" thickBot="1" x14ac:dyDescent="0.3">
      <c r="A375" s="54" t="s">
        <v>568</v>
      </c>
      <c r="B375" s="62"/>
      <c r="C375" s="63" t="s">
        <v>1329</v>
      </c>
      <c r="D375" s="62" t="s">
        <v>1333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1337</v>
      </c>
      <c r="L375" s="57">
        <f t="shared" si="23"/>
        <v>30</v>
      </c>
      <c r="M375" s="57">
        <f t="shared" si="26"/>
        <v>0</v>
      </c>
      <c r="N375" s="58">
        <f t="shared" si="27"/>
        <v>1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4" customFormat="1" ht="15.75" thickBot="1" x14ac:dyDescent="0.3">
      <c r="A376" s="54" t="s">
        <v>568</v>
      </c>
      <c r="B376" s="62"/>
      <c r="C376" s="63" t="s">
        <v>1330</v>
      </c>
      <c r="D376" s="62" t="s">
        <v>1334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1338</v>
      </c>
      <c r="L376" s="57">
        <f t="shared" si="23"/>
        <v>30</v>
      </c>
      <c r="M376" s="57">
        <f t="shared" si="26"/>
        <v>0</v>
      </c>
      <c r="N376" s="58">
        <f t="shared" si="27"/>
        <v>1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4" customFormat="1" ht="15.75" thickBot="1" x14ac:dyDescent="0.3">
      <c r="A377" s="54" t="s">
        <v>80</v>
      </c>
      <c r="B377" s="62"/>
      <c r="C377" s="63" t="s">
        <v>1343</v>
      </c>
      <c r="D377" s="62" t="s">
        <v>1341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1342</v>
      </c>
      <c r="L377" s="57">
        <f t="shared" si="23"/>
        <v>30</v>
      </c>
      <c r="M377" s="57">
        <f t="shared" si="26"/>
        <v>0</v>
      </c>
      <c r="N377" s="58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4" customFormat="1" ht="15.75" thickBot="1" x14ac:dyDescent="0.3">
      <c r="A378" s="54" t="s">
        <v>16</v>
      </c>
      <c r="B378" s="62"/>
      <c r="C378" s="63" t="s">
        <v>1351</v>
      </c>
      <c r="D378" s="62" t="s">
        <v>1353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1358</v>
      </c>
      <c r="L378" s="57">
        <f t="shared" si="23"/>
        <v>30</v>
      </c>
      <c r="M378" s="57">
        <f t="shared" si="26"/>
        <v>0</v>
      </c>
      <c r="N378" s="58">
        <f t="shared" si="27"/>
        <v>1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4" customFormat="1" ht="15.75" thickBot="1" x14ac:dyDescent="0.3">
      <c r="A379" s="54" t="s">
        <v>16</v>
      </c>
      <c r="B379" s="62"/>
      <c r="C379" s="63" t="s">
        <v>1352</v>
      </c>
      <c r="D379" s="62" t="s">
        <v>1353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1359</v>
      </c>
      <c r="L379" s="57">
        <f t="shared" si="23"/>
        <v>30</v>
      </c>
      <c r="M379" s="57">
        <f t="shared" si="26"/>
        <v>0</v>
      </c>
      <c r="N379" s="58">
        <f t="shared" si="27"/>
        <v>1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x14ac:dyDescent="0.25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5" x14ac:dyDescent="0.25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5" x14ac:dyDescent="0.25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5" x14ac:dyDescent="0.25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5" x14ac:dyDescent="0.25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25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25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25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25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25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25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25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25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2 AA96:AJ372">
    <cfRule type="cellIs" dxfId="807" priority="2159" operator="lessThan">
      <formula>0.8</formula>
    </cfRule>
    <cfRule type="cellIs" dxfId="806" priority="2160" operator="greaterThan">
      <formula>0.8</formula>
    </cfRule>
  </conditionalFormatting>
  <conditionalFormatting sqref="E1:K3 E284:K334 E236:K236 E5:K32 E36:K91 E94:K230 E337:K364 E369:K372 E243:K281 E391:K1048576">
    <cfRule type="containsText" dxfId="805" priority="2158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804" priority="2154" operator="notContains" text="Caida">
      <formula>ISERROR(SEARCH("Caida",O95))</formula>
    </cfRule>
    <cfRule type="containsText" dxfId="803" priority="2155" operator="containsText" text="Caida">
      <formula>NOT(ISERROR(SEARCH("Caida",O95)))</formula>
    </cfRule>
  </conditionalFormatting>
  <conditionalFormatting sqref="E282:K282">
    <cfRule type="containsText" dxfId="802" priority="2127" operator="containsText" text="Radio">
      <formula>NOT(ISERROR(SEARCH("Radio",E282)))</formula>
    </cfRule>
  </conditionalFormatting>
  <conditionalFormatting sqref="E283:K283">
    <cfRule type="containsText" dxfId="801" priority="2102" operator="containsText" text="Radio">
      <formula>NOT(ISERROR(SEARCH("Radio",E283)))</formula>
    </cfRule>
  </conditionalFormatting>
  <conditionalFormatting sqref="E4:K4">
    <cfRule type="containsText" dxfId="800" priority="2077" operator="containsText" text="Radio">
      <formula>NOT(ISERROR(SEARCH("Radio",E4)))</formula>
    </cfRule>
  </conditionalFormatting>
  <conditionalFormatting sqref="E231:K231">
    <cfRule type="containsText" dxfId="799" priority="2076" operator="containsText" text="Radio">
      <formula>NOT(ISERROR(SEARCH("Radio",E231)))</formula>
    </cfRule>
  </conditionalFormatting>
  <conditionalFormatting sqref="E232:K232">
    <cfRule type="containsText" dxfId="798" priority="2051" operator="containsText" text="Radio">
      <formula>NOT(ISERROR(SEARCH("Radio",E232)))</formula>
    </cfRule>
  </conditionalFormatting>
  <conditionalFormatting sqref="E233:K233">
    <cfRule type="containsText" dxfId="797" priority="2026" operator="containsText" text="Radio">
      <formula>NOT(ISERROR(SEARCH("Radio",E233)))</formula>
    </cfRule>
  </conditionalFormatting>
  <conditionalFormatting sqref="E234:K234">
    <cfRule type="containsText" dxfId="796" priority="2001" operator="containsText" text="Radio">
      <formula>NOT(ISERROR(SEARCH("Radio",E234)))</formula>
    </cfRule>
  </conditionalFormatting>
  <conditionalFormatting sqref="E235:K235">
    <cfRule type="containsText" dxfId="795" priority="1976" operator="containsText" text="Radio">
      <formula>NOT(ISERROR(SEARCH("Radio",E235)))</formula>
    </cfRule>
  </conditionalFormatting>
  <conditionalFormatting sqref="E335:K335">
    <cfRule type="containsText" dxfId="794" priority="1927" operator="containsText" text="Radio">
      <formula>NOT(ISERROR(SEARCH("Radio",E335)))</formula>
    </cfRule>
  </conditionalFormatting>
  <conditionalFormatting sqref="E336:K336">
    <cfRule type="containsText" dxfId="793" priority="1902" operator="containsText" text="Radio">
      <formula>NOT(ISERROR(SEARCH("Radio",E336)))</formula>
    </cfRule>
  </conditionalFormatting>
  <conditionalFormatting sqref="E237:K237">
    <cfRule type="containsText" dxfId="792" priority="1877" operator="containsText" text="Radio">
      <formula>NOT(ISERROR(SEARCH("Radio",E237)))</formula>
    </cfRule>
  </conditionalFormatting>
  <conditionalFormatting sqref="E238:K238">
    <cfRule type="containsText" dxfId="791" priority="1852" operator="containsText" text="Radio">
      <formula>NOT(ISERROR(SEARCH("Radio",E238)))</formula>
    </cfRule>
  </conditionalFormatting>
  <conditionalFormatting sqref="E33:K35">
    <cfRule type="containsText" dxfId="790" priority="1827" operator="containsText" text="Radio">
      <formula>NOT(ISERROR(SEARCH("Radio",E33)))</formula>
    </cfRule>
  </conditionalFormatting>
  <conditionalFormatting sqref="E239:K239">
    <cfRule type="containsText" dxfId="789" priority="1802" operator="containsText" text="Radio">
      <formula>NOT(ISERROR(SEARCH("Radio",E239)))</formula>
    </cfRule>
  </conditionalFormatting>
  <conditionalFormatting sqref="E240:K240">
    <cfRule type="containsText" dxfId="788" priority="1777" operator="containsText" text="Radio">
      <formula>NOT(ISERROR(SEARCH("Radio",E240)))</formula>
    </cfRule>
  </conditionalFormatting>
  <conditionalFormatting sqref="E241:K241">
    <cfRule type="containsText" dxfId="787" priority="1752" operator="containsText" text="Radio">
      <formula>NOT(ISERROR(SEARCH("Radio",E241)))</formula>
    </cfRule>
  </conditionalFormatting>
  <conditionalFormatting sqref="E242:K242">
    <cfRule type="containsText" dxfId="786" priority="1727" operator="containsText" text="Radio">
      <formula>NOT(ISERROR(SEARCH("Radio",E242)))</formula>
    </cfRule>
  </conditionalFormatting>
  <conditionalFormatting sqref="P6:P92 P96:P230">
    <cfRule type="cellIs" dxfId="785" priority="1652" operator="lessThan">
      <formula>0.8</formula>
    </cfRule>
    <cfRule type="cellIs" dxfId="784" priority="1653" operator="greaterThan">
      <formula>0.8</formula>
    </cfRule>
  </conditionalFormatting>
  <conditionalFormatting sqref="P6:P92 P96:P230">
    <cfRule type="notContainsText" dxfId="783" priority="1650" operator="notContains" text="Caida">
      <formula>ISERROR(SEARCH("Caida",P6))</formula>
    </cfRule>
    <cfRule type="containsText" dxfId="782" priority="1651" operator="containsText" text="Caida">
      <formula>NOT(ISERROR(SEARCH("Caida",P6)))</formula>
    </cfRule>
  </conditionalFormatting>
  <conditionalFormatting sqref="P337:P366 P284:P334">
    <cfRule type="cellIs" dxfId="781" priority="1648" operator="lessThan">
      <formula>0.8</formula>
    </cfRule>
    <cfRule type="cellIs" dxfId="780" priority="1649" operator="greaterThan">
      <formula>0.8</formula>
    </cfRule>
  </conditionalFormatting>
  <conditionalFormatting sqref="P337:P366 P284:P334 P391:P1048576">
    <cfRule type="notContainsText" dxfId="779" priority="1646" operator="notContains" text="Caida">
      <formula>ISERROR(SEARCH("Caida",P284))</formula>
    </cfRule>
    <cfRule type="containsText" dxfId="778" priority="1647" operator="containsText" text="Caida">
      <formula>NOT(ISERROR(SEARCH("Caida",P284)))</formula>
    </cfRule>
  </conditionalFormatting>
  <conditionalFormatting sqref="O391:O1048576">
    <cfRule type="notContainsText" dxfId="777" priority="1695" operator="notContains" text="Caida">
      <formula>ISERROR(SEARCH("Caida",O391))</formula>
    </cfRule>
    <cfRule type="containsText" dxfId="776" priority="1696" operator="containsText" text="Caida">
      <formula>NOT(ISERROR(SEARCH("Caida",O391)))</formula>
    </cfRule>
  </conditionalFormatting>
  <conditionalFormatting sqref="P336">
    <cfRule type="cellIs" dxfId="775" priority="1607" operator="lessThan">
      <formula>0.8</formula>
    </cfRule>
    <cfRule type="cellIs" dxfId="774" priority="1608" operator="greaterThan">
      <formula>0.8</formula>
    </cfRule>
  </conditionalFormatting>
  <conditionalFormatting sqref="P336">
    <cfRule type="notContainsText" dxfId="773" priority="1605" operator="notContains" text="Caida">
      <formula>ISERROR(SEARCH("Caida",P336))</formula>
    </cfRule>
    <cfRule type="containsText" dxfId="772" priority="1606" operator="containsText" text="Caida">
      <formula>NOT(ISERROR(SEARCH("Caida",P336)))</formula>
    </cfRule>
  </conditionalFormatting>
  <conditionalFormatting sqref="P22">
    <cfRule type="containsText" dxfId="771" priority="1645" operator="containsText" text="Instaladas en Funcionamiento Caida">
      <formula>NOT(ISERROR(SEARCH("Instaladas en Funcionamiento Caida",P22)))</formula>
    </cfRule>
  </conditionalFormatting>
  <conditionalFormatting sqref="P282">
    <cfRule type="cellIs" dxfId="770" priority="1643" operator="lessThan">
      <formula>0.8</formula>
    </cfRule>
    <cfRule type="cellIs" dxfId="769" priority="1644" operator="greaterThan">
      <formula>0.8</formula>
    </cfRule>
  </conditionalFormatting>
  <conditionalFormatting sqref="P282">
    <cfRule type="notContainsText" dxfId="768" priority="1641" operator="notContains" text="Caida">
      <formula>ISERROR(SEARCH("Caida",P282))</formula>
    </cfRule>
    <cfRule type="containsText" dxfId="767" priority="1642" operator="containsText" text="Caida">
      <formula>NOT(ISERROR(SEARCH("Caida",P282)))</formula>
    </cfRule>
  </conditionalFormatting>
  <conditionalFormatting sqref="P283">
    <cfRule type="cellIs" dxfId="766" priority="1639" operator="lessThan">
      <formula>0.8</formula>
    </cfRule>
    <cfRule type="cellIs" dxfId="765" priority="1640" operator="greaterThan">
      <formula>0.8</formula>
    </cfRule>
  </conditionalFormatting>
  <conditionalFormatting sqref="P283">
    <cfRule type="notContainsText" dxfId="764" priority="1637" operator="notContains" text="Caida">
      <formula>ISERROR(SEARCH("Caida",P283))</formula>
    </cfRule>
    <cfRule type="containsText" dxfId="763" priority="1638" operator="containsText" text="Caida">
      <formula>NOT(ISERROR(SEARCH("Caida",P283)))</formula>
    </cfRule>
  </conditionalFormatting>
  <conditionalFormatting sqref="P5">
    <cfRule type="cellIs" dxfId="762" priority="1635" operator="lessThan">
      <formula>0.8</formula>
    </cfRule>
    <cfRule type="cellIs" dxfId="761" priority="1636" operator="greaterThan">
      <formula>0.8</formula>
    </cfRule>
  </conditionalFormatting>
  <conditionalFormatting sqref="P5">
    <cfRule type="notContainsText" dxfId="760" priority="1633" operator="notContains" text="Caida">
      <formula>ISERROR(SEARCH("Caida",P5))</formula>
    </cfRule>
    <cfRule type="containsText" dxfId="759" priority="1634" operator="containsText" text="Caida">
      <formula>NOT(ISERROR(SEARCH("Caida",P5)))</formula>
    </cfRule>
  </conditionalFormatting>
  <conditionalFormatting sqref="P231">
    <cfRule type="cellIs" dxfId="758" priority="1631" operator="lessThan">
      <formula>0.8</formula>
    </cfRule>
    <cfRule type="cellIs" dxfId="757" priority="1632" operator="greaterThan">
      <formula>0.8</formula>
    </cfRule>
  </conditionalFormatting>
  <conditionalFormatting sqref="P231">
    <cfRule type="notContainsText" dxfId="756" priority="1629" operator="notContains" text="Caida">
      <formula>ISERROR(SEARCH("Caida",P231))</formula>
    </cfRule>
    <cfRule type="containsText" dxfId="755" priority="1630" operator="containsText" text="Caida">
      <formula>NOT(ISERROR(SEARCH("Caida",P231)))</formula>
    </cfRule>
  </conditionalFormatting>
  <conditionalFormatting sqref="P232">
    <cfRule type="cellIs" dxfId="754" priority="1627" operator="lessThan">
      <formula>0.8</formula>
    </cfRule>
    <cfRule type="cellIs" dxfId="753" priority="1628" operator="greaterThan">
      <formula>0.8</formula>
    </cfRule>
  </conditionalFormatting>
  <conditionalFormatting sqref="P232">
    <cfRule type="notContainsText" dxfId="752" priority="1625" operator="notContains" text="Caida">
      <formula>ISERROR(SEARCH("Caida",P232))</formula>
    </cfRule>
    <cfRule type="containsText" dxfId="751" priority="1626" operator="containsText" text="Caida">
      <formula>NOT(ISERROR(SEARCH("Caida",P232)))</formula>
    </cfRule>
  </conditionalFormatting>
  <conditionalFormatting sqref="P233">
    <cfRule type="cellIs" dxfId="750" priority="1623" operator="lessThan">
      <formula>0.8</formula>
    </cfRule>
    <cfRule type="cellIs" dxfId="749" priority="1624" operator="greaterThan">
      <formula>0.8</formula>
    </cfRule>
  </conditionalFormatting>
  <conditionalFormatting sqref="P233">
    <cfRule type="notContainsText" dxfId="748" priority="1621" operator="notContains" text="Caida">
      <formula>ISERROR(SEARCH("Caida",P233))</formula>
    </cfRule>
    <cfRule type="containsText" dxfId="747" priority="1622" operator="containsText" text="Caida">
      <formula>NOT(ISERROR(SEARCH("Caida",P233)))</formula>
    </cfRule>
  </conditionalFormatting>
  <conditionalFormatting sqref="P234">
    <cfRule type="cellIs" dxfId="746" priority="1619" operator="lessThan">
      <formula>0.8</formula>
    </cfRule>
    <cfRule type="cellIs" dxfId="745" priority="1620" operator="greaterThan">
      <formula>0.8</formula>
    </cfRule>
  </conditionalFormatting>
  <conditionalFormatting sqref="P234">
    <cfRule type="notContainsText" dxfId="744" priority="1617" operator="notContains" text="Caida">
      <formula>ISERROR(SEARCH("Caida",P234))</formula>
    </cfRule>
    <cfRule type="containsText" dxfId="743" priority="1618" operator="containsText" text="Caida">
      <formula>NOT(ISERROR(SEARCH("Caida",P234)))</formula>
    </cfRule>
  </conditionalFormatting>
  <conditionalFormatting sqref="P235">
    <cfRule type="cellIs" dxfId="742" priority="1615" operator="lessThan">
      <formula>0.8</formula>
    </cfRule>
    <cfRule type="cellIs" dxfId="741" priority="1616" operator="greaterThan">
      <formula>0.8</formula>
    </cfRule>
  </conditionalFormatting>
  <conditionalFormatting sqref="P235">
    <cfRule type="notContainsText" dxfId="740" priority="1613" operator="notContains" text="Caida">
      <formula>ISERROR(SEARCH("Caida",P235))</formula>
    </cfRule>
    <cfRule type="containsText" dxfId="739" priority="1614" operator="containsText" text="Caida">
      <formula>NOT(ISERROR(SEARCH("Caida",P235)))</formula>
    </cfRule>
  </conditionalFormatting>
  <conditionalFormatting sqref="P335">
    <cfRule type="cellIs" dxfId="738" priority="1611" operator="lessThan">
      <formula>0.8</formula>
    </cfRule>
    <cfRule type="cellIs" dxfId="737" priority="1612" operator="greaterThan">
      <formula>0.8</formula>
    </cfRule>
  </conditionalFormatting>
  <conditionalFormatting sqref="P335">
    <cfRule type="notContainsText" dxfId="736" priority="1609" operator="notContains" text="Caida">
      <formula>ISERROR(SEARCH("Caida",P335))</formula>
    </cfRule>
    <cfRule type="containsText" dxfId="735" priority="1610" operator="containsText" text="Caida">
      <formula>NOT(ISERROR(SEARCH("Caida",P335)))</formula>
    </cfRule>
  </conditionalFormatting>
  <conditionalFormatting sqref="Q6:Q92 Q96:Q230">
    <cfRule type="cellIs" dxfId="734" priority="1603" operator="lessThan">
      <formula>0.8</formula>
    </cfRule>
    <cfRule type="cellIs" dxfId="733" priority="1604" operator="greaterThan">
      <formula>0.8</formula>
    </cfRule>
  </conditionalFormatting>
  <conditionalFormatting sqref="Q6:Q92 Q96:Q230">
    <cfRule type="notContainsText" dxfId="732" priority="1601" operator="notContains" text="Caida">
      <formula>ISERROR(SEARCH("Caida",Q6))</formula>
    </cfRule>
    <cfRule type="containsText" dxfId="731" priority="1602" operator="containsText" text="Caida">
      <formula>NOT(ISERROR(SEARCH("Caida",Q6)))</formula>
    </cfRule>
  </conditionalFormatting>
  <conditionalFormatting sqref="Q336">
    <cfRule type="cellIs" dxfId="730" priority="1558" operator="lessThan">
      <formula>0.8</formula>
    </cfRule>
    <cfRule type="cellIs" dxfId="729" priority="1559" operator="greaterThan">
      <formula>0.8</formula>
    </cfRule>
  </conditionalFormatting>
  <conditionalFormatting sqref="Q336">
    <cfRule type="notContainsText" dxfId="728" priority="1556" operator="notContains" text="Caida">
      <formula>ISERROR(SEARCH("Caida",Q336))</formula>
    </cfRule>
    <cfRule type="containsText" dxfId="727" priority="1557" operator="containsText" text="Caida">
      <formula>NOT(ISERROR(SEARCH("Caida",Q336)))</formula>
    </cfRule>
  </conditionalFormatting>
  <conditionalFormatting sqref="Q337:Q366 Q284:Q334">
    <cfRule type="cellIs" dxfId="726" priority="1599" operator="lessThan">
      <formula>0.8</formula>
    </cfRule>
    <cfRule type="cellIs" dxfId="725" priority="1600" operator="greaterThan">
      <formula>0.8</formula>
    </cfRule>
  </conditionalFormatting>
  <conditionalFormatting sqref="Q337:Q366 Q284:Q334 Q391:Q1048576">
    <cfRule type="notContainsText" dxfId="724" priority="1597" operator="notContains" text="Caida">
      <formula>ISERROR(SEARCH("Caida",Q284))</formula>
    </cfRule>
    <cfRule type="containsText" dxfId="723" priority="1598" operator="containsText" text="Caida">
      <formula>NOT(ISERROR(SEARCH("Caida",Q284)))</formula>
    </cfRule>
  </conditionalFormatting>
  <conditionalFormatting sqref="Q22">
    <cfRule type="containsText" dxfId="722" priority="1596" operator="containsText" text="Instaladas en Funcionamiento Caida">
      <formula>NOT(ISERROR(SEARCH("Instaladas en Funcionamiento Caida",Q22)))</formula>
    </cfRule>
  </conditionalFormatting>
  <conditionalFormatting sqref="Q282">
    <cfRule type="cellIs" dxfId="721" priority="1594" operator="lessThan">
      <formula>0.8</formula>
    </cfRule>
    <cfRule type="cellIs" dxfId="720" priority="1595" operator="greaterThan">
      <formula>0.8</formula>
    </cfRule>
  </conditionalFormatting>
  <conditionalFormatting sqref="Q282">
    <cfRule type="notContainsText" dxfId="719" priority="1592" operator="notContains" text="Caida">
      <formula>ISERROR(SEARCH("Caida",Q282))</formula>
    </cfRule>
    <cfRule type="containsText" dxfId="718" priority="1593" operator="containsText" text="Caida">
      <formula>NOT(ISERROR(SEARCH("Caida",Q282)))</formula>
    </cfRule>
  </conditionalFormatting>
  <conditionalFormatting sqref="Q283">
    <cfRule type="cellIs" dxfId="717" priority="1590" operator="lessThan">
      <formula>0.8</formula>
    </cfRule>
    <cfRule type="cellIs" dxfId="716" priority="1591" operator="greaterThan">
      <formula>0.8</formula>
    </cfRule>
  </conditionalFormatting>
  <conditionalFormatting sqref="Q283">
    <cfRule type="notContainsText" dxfId="715" priority="1588" operator="notContains" text="Caida">
      <formula>ISERROR(SEARCH("Caida",Q283))</formula>
    </cfRule>
    <cfRule type="containsText" dxfId="714" priority="1589" operator="containsText" text="Caida">
      <formula>NOT(ISERROR(SEARCH("Caida",Q283)))</formula>
    </cfRule>
  </conditionalFormatting>
  <conditionalFormatting sqref="Q5">
    <cfRule type="cellIs" dxfId="713" priority="1586" operator="lessThan">
      <formula>0.8</formula>
    </cfRule>
    <cfRule type="cellIs" dxfId="712" priority="1587" operator="greaterThan">
      <formula>0.8</formula>
    </cfRule>
  </conditionalFormatting>
  <conditionalFormatting sqref="Q5">
    <cfRule type="notContainsText" dxfId="711" priority="1584" operator="notContains" text="Caida">
      <formula>ISERROR(SEARCH("Caida",Q5))</formula>
    </cfRule>
    <cfRule type="containsText" dxfId="710" priority="1585" operator="containsText" text="Caida">
      <formula>NOT(ISERROR(SEARCH("Caida",Q5)))</formula>
    </cfRule>
  </conditionalFormatting>
  <conditionalFormatting sqref="Q231">
    <cfRule type="cellIs" dxfId="709" priority="1582" operator="lessThan">
      <formula>0.8</formula>
    </cfRule>
    <cfRule type="cellIs" dxfId="708" priority="1583" operator="greaterThan">
      <formula>0.8</formula>
    </cfRule>
  </conditionalFormatting>
  <conditionalFormatting sqref="Q231">
    <cfRule type="notContainsText" dxfId="707" priority="1580" operator="notContains" text="Caida">
      <formula>ISERROR(SEARCH("Caida",Q231))</formula>
    </cfRule>
    <cfRule type="containsText" dxfId="706" priority="1581" operator="containsText" text="Caida">
      <formula>NOT(ISERROR(SEARCH("Caida",Q231)))</formula>
    </cfRule>
  </conditionalFormatting>
  <conditionalFormatting sqref="Q232">
    <cfRule type="cellIs" dxfId="705" priority="1578" operator="lessThan">
      <formula>0.8</formula>
    </cfRule>
    <cfRule type="cellIs" dxfId="704" priority="1579" operator="greaterThan">
      <formula>0.8</formula>
    </cfRule>
  </conditionalFormatting>
  <conditionalFormatting sqref="Q232">
    <cfRule type="notContainsText" dxfId="703" priority="1576" operator="notContains" text="Caida">
      <formula>ISERROR(SEARCH("Caida",Q232))</formula>
    </cfRule>
    <cfRule type="containsText" dxfId="702" priority="1577" operator="containsText" text="Caida">
      <formula>NOT(ISERROR(SEARCH("Caida",Q232)))</formula>
    </cfRule>
  </conditionalFormatting>
  <conditionalFormatting sqref="Q233">
    <cfRule type="cellIs" dxfId="701" priority="1574" operator="lessThan">
      <formula>0.8</formula>
    </cfRule>
    <cfRule type="cellIs" dxfId="700" priority="1575" operator="greaterThan">
      <formula>0.8</formula>
    </cfRule>
  </conditionalFormatting>
  <conditionalFormatting sqref="Q233">
    <cfRule type="notContainsText" dxfId="699" priority="1572" operator="notContains" text="Caida">
      <formula>ISERROR(SEARCH("Caida",Q233))</formula>
    </cfRule>
    <cfRule type="containsText" dxfId="698" priority="1573" operator="containsText" text="Caida">
      <formula>NOT(ISERROR(SEARCH("Caida",Q233)))</formula>
    </cfRule>
  </conditionalFormatting>
  <conditionalFormatting sqref="Q234">
    <cfRule type="cellIs" dxfId="697" priority="1570" operator="lessThan">
      <formula>0.8</formula>
    </cfRule>
    <cfRule type="cellIs" dxfId="696" priority="1571" operator="greaterThan">
      <formula>0.8</formula>
    </cfRule>
  </conditionalFormatting>
  <conditionalFormatting sqref="Q234">
    <cfRule type="notContainsText" dxfId="695" priority="1568" operator="notContains" text="Caida">
      <formula>ISERROR(SEARCH("Caida",Q234))</formula>
    </cfRule>
    <cfRule type="containsText" dxfId="694" priority="1569" operator="containsText" text="Caida">
      <formula>NOT(ISERROR(SEARCH("Caida",Q234)))</formula>
    </cfRule>
  </conditionalFormatting>
  <conditionalFormatting sqref="Q235">
    <cfRule type="cellIs" dxfId="693" priority="1566" operator="lessThan">
      <formula>0.8</formula>
    </cfRule>
    <cfRule type="cellIs" dxfId="692" priority="1567" operator="greaterThan">
      <formula>0.8</formula>
    </cfRule>
  </conditionalFormatting>
  <conditionalFormatting sqref="Q235">
    <cfRule type="notContainsText" dxfId="691" priority="1564" operator="notContains" text="Caida">
      <formula>ISERROR(SEARCH("Caida",Q235))</formula>
    </cfRule>
    <cfRule type="containsText" dxfId="690" priority="1565" operator="containsText" text="Caida">
      <formula>NOT(ISERROR(SEARCH("Caida",Q235)))</formula>
    </cfRule>
  </conditionalFormatting>
  <conditionalFormatting sqref="Q335">
    <cfRule type="cellIs" dxfId="689" priority="1562" operator="lessThan">
      <formula>0.8</formula>
    </cfRule>
    <cfRule type="cellIs" dxfId="688" priority="1563" operator="greaterThan">
      <formula>0.8</formula>
    </cfRule>
  </conditionalFormatting>
  <conditionalFormatting sqref="Q335">
    <cfRule type="notContainsText" dxfId="687" priority="1560" operator="notContains" text="Caida">
      <formula>ISERROR(SEARCH("Caida",Q335))</formula>
    </cfRule>
    <cfRule type="containsText" dxfId="686" priority="1561" operator="containsText" text="Caida">
      <formula>NOT(ISERROR(SEARCH("Caida",Q335)))</formula>
    </cfRule>
  </conditionalFormatting>
  <conditionalFormatting sqref="R6:R92 R96:R230">
    <cfRule type="cellIs" dxfId="685" priority="1554" operator="lessThan">
      <formula>0.8</formula>
    </cfRule>
    <cfRule type="cellIs" dxfId="684" priority="1555" operator="greaterThan">
      <formula>0.8</formula>
    </cfRule>
  </conditionalFormatting>
  <conditionalFormatting sqref="R6:R92 R96:R230">
    <cfRule type="notContainsText" dxfId="683" priority="1552" operator="notContains" text="Caida">
      <formula>ISERROR(SEARCH("Caida",R6))</formula>
    </cfRule>
    <cfRule type="containsText" dxfId="682" priority="1553" operator="containsText" text="Caida">
      <formula>NOT(ISERROR(SEARCH("Caida",R6)))</formula>
    </cfRule>
  </conditionalFormatting>
  <conditionalFormatting sqref="R336:T336">
    <cfRule type="cellIs" dxfId="681" priority="1509" operator="lessThan">
      <formula>0.8</formula>
    </cfRule>
    <cfRule type="cellIs" dxfId="680" priority="1510" operator="greaterThan">
      <formula>0.8</formula>
    </cfRule>
  </conditionalFormatting>
  <conditionalFormatting sqref="R336:T336">
    <cfRule type="notContainsText" dxfId="679" priority="1507" operator="notContains" text="Caida">
      <formula>ISERROR(SEARCH("Caida",R336))</formula>
    </cfRule>
    <cfRule type="containsText" dxfId="678" priority="1508" operator="containsText" text="Caida">
      <formula>NOT(ISERROR(SEARCH("Caida",R336)))</formula>
    </cfRule>
  </conditionalFormatting>
  <conditionalFormatting sqref="R337:R366 R284:R334">
    <cfRule type="cellIs" dxfId="677" priority="1550" operator="lessThan">
      <formula>0.8</formula>
    </cfRule>
    <cfRule type="cellIs" dxfId="676" priority="1551" operator="greaterThan">
      <formula>0.8</formula>
    </cfRule>
  </conditionalFormatting>
  <conditionalFormatting sqref="R337:R366 R284:R334 R391:R1048576">
    <cfRule type="notContainsText" dxfId="675" priority="1548" operator="notContains" text="Caida">
      <formula>ISERROR(SEARCH("Caida",R284))</formula>
    </cfRule>
    <cfRule type="containsText" dxfId="674" priority="1549" operator="containsText" text="Caida">
      <formula>NOT(ISERROR(SEARCH("Caida",R284)))</formula>
    </cfRule>
  </conditionalFormatting>
  <conditionalFormatting sqref="R22:T22">
    <cfRule type="containsText" dxfId="673" priority="1547" operator="containsText" text="Instaladas en Funcionamiento Caida">
      <formula>NOT(ISERROR(SEARCH("Instaladas en Funcionamiento Caida",R22)))</formula>
    </cfRule>
  </conditionalFormatting>
  <conditionalFormatting sqref="R282:T282">
    <cfRule type="cellIs" dxfId="672" priority="1545" operator="lessThan">
      <formula>0.8</formula>
    </cfRule>
    <cfRule type="cellIs" dxfId="671" priority="1546" operator="greaterThan">
      <formula>0.8</formula>
    </cfRule>
  </conditionalFormatting>
  <conditionalFormatting sqref="R282:T282">
    <cfRule type="notContainsText" dxfId="670" priority="1543" operator="notContains" text="Caida">
      <formula>ISERROR(SEARCH("Caida",R282))</formula>
    </cfRule>
    <cfRule type="containsText" dxfId="669" priority="1544" operator="containsText" text="Caida">
      <formula>NOT(ISERROR(SEARCH("Caida",R282)))</formula>
    </cfRule>
  </conditionalFormatting>
  <conditionalFormatting sqref="R283:T283">
    <cfRule type="cellIs" dxfId="668" priority="1541" operator="lessThan">
      <formula>0.8</formula>
    </cfRule>
    <cfRule type="cellIs" dxfId="667" priority="1542" operator="greaterThan">
      <formula>0.8</formula>
    </cfRule>
  </conditionalFormatting>
  <conditionalFormatting sqref="R283:T283">
    <cfRule type="notContainsText" dxfId="666" priority="1539" operator="notContains" text="Caida">
      <formula>ISERROR(SEARCH("Caida",R283))</formula>
    </cfRule>
    <cfRule type="containsText" dxfId="665" priority="1540" operator="containsText" text="Caida">
      <formula>NOT(ISERROR(SEARCH("Caida",R283)))</formula>
    </cfRule>
  </conditionalFormatting>
  <conditionalFormatting sqref="R5:T5">
    <cfRule type="cellIs" dxfId="664" priority="1537" operator="lessThan">
      <formula>0.8</formula>
    </cfRule>
    <cfRule type="cellIs" dxfId="663" priority="1538" operator="greaterThan">
      <formula>0.8</formula>
    </cfRule>
  </conditionalFormatting>
  <conditionalFormatting sqref="R5:T5">
    <cfRule type="notContainsText" dxfId="662" priority="1535" operator="notContains" text="Caida">
      <formula>ISERROR(SEARCH("Caida",R5))</formula>
    </cfRule>
    <cfRule type="containsText" dxfId="661" priority="1536" operator="containsText" text="Caida">
      <formula>NOT(ISERROR(SEARCH("Caida",R5)))</formula>
    </cfRule>
  </conditionalFormatting>
  <conditionalFormatting sqref="R231:T231">
    <cfRule type="cellIs" dxfId="660" priority="1533" operator="lessThan">
      <formula>0.8</formula>
    </cfRule>
    <cfRule type="cellIs" dxfId="659" priority="1534" operator="greaterThan">
      <formula>0.8</formula>
    </cfRule>
  </conditionalFormatting>
  <conditionalFormatting sqref="R231:T231">
    <cfRule type="notContainsText" dxfId="658" priority="1531" operator="notContains" text="Caida">
      <formula>ISERROR(SEARCH("Caida",R231))</formula>
    </cfRule>
    <cfRule type="containsText" dxfId="657" priority="1532" operator="containsText" text="Caida">
      <formula>NOT(ISERROR(SEARCH("Caida",R231)))</formula>
    </cfRule>
  </conditionalFormatting>
  <conditionalFormatting sqref="R232:T232">
    <cfRule type="cellIs" dxfId="656" priority="1529" operator="lessThan">
      <formula>0.8</formula>
    </cfRule>
    <cfRule type="cellIs" dxfId="655" priority="1530" operator="greaterThan">
      <formula>0.8</formula>
    </cfRule>
  </conditionalFormatting>
  <conditionalFormatting sqref="R232:T232">
    <cfRule type="notContainsText" dxfId="654" priority="1527" operator="notContains" text="Caida">
      <formula>ISERROR(SEARCH("Caida",R232))</formula>
    </cfRule>
    <cfRule type="containsText" dxfId="653" priority="1528" operator="containsText" text="Caida">
      <formula>NOT(ISERROR(SEARCH("Caida",R232)))</formula>
    </cfRule>
  </conditionalFormatting>
  <conditionalFormatting sqref="R233:T233">
    <cfRule type="cellIs" dxfId="652" priority="1525" operator="lessThan">
      <formula>0.8</formula>
    </cfRule>
    <cfRule type="cellIs" dxfId="651" priority="1526" operator="greaterThan">
      <formula>0.8</formula>
    </cfRule>
  </conditionalFormatting>
  <conditionalFormatting sqref="R233:T233">
    <cfRule type="notContainsText" dxfId="650" priority="1523" operator="notContains" text="Caida">
      <formula>ISERROR(SEARCH("Caida",R233))</formula>
    </cfRule>
    <cfRule type="containsText" dxfId="649" priority="1524" operator="containsText" text="Caida">
      <formula>NOT(ISERROR(SEARCH("Caida",R233)))</formula>
    </cfRule>
  </conditionalFormatting>
  <conditionalFormatting sqref="R234:T234">
    <cfRule type="cellIs" dxfId="648" priority="1521" operator="lessThan">
      <formula>0.8</formula>
    </cfRule>
    <cfRule type="cellIs" dxfId="647" priority="1522" operator="greaterThan">
      <formula>0.8</formula>
    </cfRule>
  </conditionalFormatting>
  <conditionalFormatting sqref="R234:T234">
    <cfRule type="notContainsText" dxfId="646" priority="1519" operator="notContains" text="Caida">
      <formula>ISERROR(SEARCH("Caida",R234))</formula>
    </cfRule>
    <cfRule type="containsText" dxfId="645" priority="1520" operator="containsText" text="Caida">
      <formula>NOT(ISERROR(SEARCH("Caida",R234)))</formula>
    </cfRule>
  </conditionalFormatting>
  <conditionalFormatting sqref="R235:T235">
    <cfRule type="cellIs" dxfId="644" priority="1517" operator="lessThan">
      <formula>0.8</formula>
    </cfRule>
    <cfRule type="cellIs" dxfId="643" priority="1518" operator="greaterThan">
      <formula>0.8</formula>
    </cfRule>
  </conditionalFormatting>
  <conditionalFormatting sqref="R235:T235">
    <cfRule type="notContainsText" dxfId="642" priority="1515" operator="notContains" text="Caida">
      <formula>ISERROR(SEARCH("Caida",R235))</formula>
    </cfRule>
    <cfRule type="containsText" dxfId="641" priority="1516" operator="containsText" text="Caida">
      <formula>NOT(ISERROR(SEARCH("Caida",R235)))</formula>
    </cfRule>
  </conditionalFormatting>
  <conditionalFormatting sqref="R335:T335">
    <cfRule type="cellIs" dxfId="640" priority="1513" operator="lessThan">
      <formula>0.8</formula>
    </cfRule>
    <cfRule type="cellIs" dxfId="639" priority="1514" operator="greaterThan">
      <formula>0.8</formula>
    </cfRule>
  </conditionalFormatting>
  <conditionalFormatting sqref="R335:T335">
    <cfRule type="notContainsText" dxfId="638" priority="1511" operator="notContains" text="Caida">
      <formula>ISERROR(SEARCH("Caida",R335))</formula>
    </cfRule>
    <cfRule type="containsText" dxfId="637" priority="1512" operator="containsText" text="Caida">
      <formula>NOT(ISERROR(SEARCH("Caida",R335)))</formula>
    </cfRule>
  </conditionalFormatting>
  <conditionalFormatting sqref="S391:S1048576">
    <cfRule type="notContainsText" dxfId="636" priority="1499" operator="notContains" text="Caida">
      <formula>ISERROR(SEARCH("Caida",S391))</formula>
    </cfRule>
    <cfRule type="containsText" dxfId="635" priority="1500" operator="containsText" text="Caida">
      <formula>NOT(ISERROR(SEARCH("Caida",S391)))</formula>
    </cfRule>
  </conditionalFormatting>
  <conditionalFormatting sqref="T391:T1048576">
    <cfRule type="notContainsText" dxfId="634" priority="1450" operator="notContains" text="Caida">
      <formula>ISERROR(SEARCH("Caida",T391))</formula>
    </cfRule>
    <cfRule type="containsText" dxfId="633" priority="1451" operator="containsText" text="Caida">
      <formula>NOT(ISERROR(SEARCH("Caida",T391)))</formula>
    </cfRule>
  </conditionalFormatting>
  <conditionalFormatting sqref="E92:K93">
    <cfRule type="containsText" dxfId="632" priority="1406" operator="containsText" text="Radio">
      <formula>NOT(ISERROR(SEARCH("Radio",E92)))</formula>
    </cfRule>
  </conditionalFormatting>
  <conditionalFormatting sqref="P93:P95">
    <cfRule type="cellIs" dxfId="631" priority="1376" operator="lessThan">
      <formula>0.8</formula>
    </cfRule>
    <cfRule type="cellIs" dxfId="630" priority="1377" operator="greaterThan">
      <formula>0.8</formula>
    </cfRule>
  </conditionalFormatting>
  <conditionalFormatting sqref="P93:P95">
    <cfRule type="notContainsText" dxfId="629" priority="1374" operator="notContains" text="Caida">
      <formula>ISERROR(SEARCH("Caida",P93))</formula>
    </cfRule>
    <cfRule type="containsText" dxfId="628" priority="1375" operator="containsText" text="Caida">
      <formula>NOT(ISERROR(SEARCH("Caida",P93)))</formula>
    </cfRule>
  </conditionalFormatting>
  <conditionalFormatting sqref="Q93:Q95">
    <cfRule type="cellIs" dxfId="627" priority="1372" operator="lessThan">
      <formula>0.8</formula>
    </cfRule>
    <cfRule type="cellIs" dxfId="626" priority="1373" operator="greaterThan">
      <formula>0.8</formula>
    </cfRule>
  </conditionalFormatting>
  <conditionalFormatting sqref="Q93:Q95">
    <cfRule type="notContainsText" dxfId="625" priority="1370" operator="notContains" text="Caida">
      <formula>ISERROR(SEARCH("Caida",Q93))</formula>
    </cfRule>
    <cfRule type="containsText" dxfId="624" priority="1371" operator="containsText" text="Caida">
      <formula>NOT(ISERROR(SEARCH("Caida",Q93)))</formula>
    </cfRule>
  </conditionalFormatting>
  <conditionalFormatting sqref="R93:R95">
    <cfRule type="cellIs" dxfId="623" priority="1368" operator="lessThan">
      <formula>0.8</formula>
    </cfRule>
    <cfRule type="cellIs" dxfId="622" priority="1369" operator="greaterThan">
      <formula>0.8</formula>
    </cfRule>
  </conditionalFormatting>
  <conditionalFormatting sqref="R93:R95">
    <cfRule type="notContainsText" dxfId="621" priority="1366" operator="notContains" text="Caida">
      <formula>ISERROR(SEARCH("Caida",R93))</formula>
    </cfRule>
    <cfRule type="containsText" dxfId="620" priority="1367" operator="containsText" text="Caida">
      <formula>NOT(ISERROR(SEARCH("Caida",R93)))</formula>
    </cfRule>
  </conditionalFormatting>
  <conditionalFormatting sqref="E365:K365">
    <cfRule type="containsText" dxfId="619" priority="1355" operator="containsText" text="Radio">
      <formula>NOT(ISERROR(SEARCH("Radio",E365)))</formula>
    </cfRule>
  </conditionalFormatting>
  <conditionalFormatting sqref="P367">
    <cfRule type="cellIs" dxfId="618" priority="1337" operator="lessThan">
      <formula>0.8</formula>
    </cfRule>
    <cfRule type="cellIs" dxfId="617" priority="1338" operator="greaterThan">
      <formula>0.8</formula>
    </cfRule>
  </conditionalFormatting>
  <conditionalFormatting sqref="P367">
    <cfRule type="notContainsText" dxfId="616" priority="1335" operator="notContains" text="Caida">
      <formula>ISERROR(SEARCH("Caida",P367))</formula>
    </cfRule>
    <cfRule type="containsText" dxfId="615" priority="1336" operator="containsText" text="Caida">
      <formula>NOT(ISERROR(SEARCH("Caida",P367)))</formula>
    </cfRule>
  </conditionalFormatting>
  <conditionalFormatting sqref="Q367">
    <cfRule type="cellIs" dxfId="614" priority="1333" operator="lessThan">
      <formula>0.8</formula>
    </cfRule>
    <cfRule type="cellIs" dxfId="613" priority="1334" operator="greaterThan">
      <formula>0.8</formula>
    </cfRule>
  </conditionalFormatting>
  <conditionalFormatting sqref="Q367">
    <cfRule type="notContainsText" dxfId="612" priority="1331" operator="notContains" text="Caida">
      <formula>ISERROR(SEARCH("Caida",Q367))</formula>
    </cfRule>
    <cfRule type="containsText" dxfId="611" priority="1332" operator="containsText" text="Caida">
      <formula>NOT(ISERROR(SEARCH("Caida",Q367)))</formula>
    </cfRule>
  </conditionalFormatting>
  <conditionalFormatting sqref="R367:T367">
    <cfRule type="cellIs" dxfId="610" priority="1329" operator="lessThan">
      <formula>0.8</formula>
    </cfRule>
    <cfRule type="cellIs" dxfId="609" priority="1330" operator="greaterThan">
      <formula>0.8</formula>
    </cfRule>
  </conditionalFormatting>
  <conditionalFormatting sqref="R367:T367">
    <cfRule type="notContainsText" dxfId="608" priority="1327" operator="notContains" text="Caida">
      <formula>ISERROR(SEARCH("Caida",R367))</formula>
    </cfRule>
    <cfRule type="containsText" dxfId="607" priority="1328" operator="containsText" text="Caida">
      <formula>NOT(ISERROR(SEARCH("Caida",R367)))</formula>
    </cfRule>
  </conditionalFormatting>
  <conditionalFormatting sqref="E366:K366">
    <cfRule type="containsText" dxfId="606" priority="1316" operator="containsText" text="Radio">
      <formula>NOT(ISERROR(SEARCH("Radio",E366)))</formula>
    </cfRule>
  </conditionalFormatting>
  <conditionalFormatting sqref="P368">
    <cfRule type="cellIs" dxfId="605" priority="1298" operator="lessThan">
      <formula>0.8</formula>
    </cfRule>
    <cfRule type="cellIs" dxfId="604" priority="1299" operator="greaterThan">
      <formula>0.8</formula>
    </cfRule>
  </conditionalFormatting>
  <conditionalFormatting sqref="P368">
    <cfRule type="notContainsText" dxfId="603" priority="1296" operator="notContains" text="Caida">
      <formula>ISERROR(SEARCH("Caida",P368))</formula>
    </cfRule>
    <cfRule type="containsText" dxfId="602" priority="1297" operator="containsText" text="Caida">
      <formula>NOT(ISERROR(SEARCH("Caida",P368)))</formula>
    </cfRule>
  </conditionalFormatting>
  <conditionalFormatting sqref="Q368">
    <cfRule type="cellIs" dxfId="601" priority="1294" operator="lessThan">
      <formula>0.8</formula>
    </cfRule>
    <cfRule type="cellIs" dxfId="600" priority="1295" operator="greaterThan">
      <formula>0.8</formula>
    </cfRule>
  </conditionalFormatting>
  <conditionalFormatting sqref="Q368">
    <cfRule type="notContainsText" dxfId="599" priority="1292" operator="notContains" text="Caida">
      <formula>ISERROR(SEARCH("Caida",Q368))</formula>
    </cfRule>
    <cfRule type="containsText" dxfId="598" priority="1293" operator="containsText" text="Caida">
      <formula>NOT(ISERROR(SEARCH("Caida",Q368)))</formula>
    </cfRule>
  </conditionalFormatting>
  <conditionalFormatting sqref="R368:T368">
    <cfRule type="cellIs" dxfId="597" priority="1290" operator="lessThan">
      <formula>0.8</formula>
    </cfRule>
    <cfRule type="cellIs" dxfId="596" priority="1291" operator="greaterThan">
      <formula>0.8</formula>
    </cfRule>
  </conditionalFormatting>
  <conditionalFormatting sqref="R368:T368">
    <cfRule type="notContainsText" dxfId="595" priority="1288" operator="notContains" text="Caida">
      <formula>ISERROR(SEARCH("Caida",R368))</formula>
    </cfRule>
    <cfRule type="containsText" dxfId="594" priority="1289" operator="containsText" text="Caida">
      <formula>NOT(ISERROR(SEARCH("Caida",R368)))</formula>
    </cfRule>
  </conditionalFormatting>
  <conditionalFormatting sqref="E367:K367">
    <cfRule type="containsText" dxfId="593" priority="1277" operator="containsText" text="Radio">
      <formula>NOT(ISERROR(SEARCH("Radio",E367)))</formula>
    </cfRule>
  </conditionalFormatting>
  <conditionalFormatting sqref="P369">
    <cfRule type="cellIs" dxfId="592" priority="1259" operator="lessThan">
      <formula>0.8</formula>
    </cfRule>
    <cfRule type="cellIs" dxfId="591" priority="1260" operator="greaterThan">
      <formula>0.8</formula>
    </cfRule>
  </conditionalFormatting>
  <conditionalFormatting sqref="P369">
    <cfRule type="notContainsText" dxfId="590" priority="1257" operator="notContains" text="Caida">
      <formula>ISERROR(SEARCH("Caida",P369))</formula>
    </cfRule>
    <cfRule type="containsText" dxfId="589" priority="1258" operator="containsText" text="Caida">
      <formula>NOT(ISERROR(SEARCH("Caida",P369)))</formula>
    </cfRule>
  </conditionalFormatting>
  <conditionalFormatting sqref="Q369">
    <cfRule type="cellIs" dxfId="588" priority="1255" operator="lessThan">
      <formula>0.8</formula>
    </cfRule>
    <cfRule type="cellIs" dxfId="587" priority="1256" operator="greaterThan">
      <formula>0.8</formula>
    </cfRule>
  </conditionalFormatting>
  <conditionalFormatting sqref="Q369">
    <cfRule type="notContainsText" dxfId="586" priority="1253" operator="notContains" text="Caida">
      <formula>ISERROR(SEARCH("Caida",Q369))</formula>
    </cfRule>
    <cfRule type="containsText" dxfId="585" priority="1254" operator="containsText" text="Caida">
      <formula>NOT(ISERROR(SEARCH("Caida",Q369)))</formula>
    </cfRule>
  </conditionalFormatting>
  <conditionalFormatting sqref="R369:T369">
    <cfRule type="cellIs" dxfId="584" priority="1251" operator="lessThan">
      <formula>0.8</formula>
    </cfRule>
    <cfRule type="cellIs" dxfId="583" priority="1252" operator="greaterThan">
      <formula>0.8</formula>
    </cfRule>
  </conditionalFormatting>
  <conditionalFormatting sqref="R369:T369">
    <cfRule type="notContainsText" dxfId="582" priority="1249" operator="notContains" text="Caida">
      <formula>ISERROR(SEARCH("Caida",R369))</formula>
    </cfRule>
    <cfRule type="containsText" dxfId="581" priority="1250" operator="containsText" text="Caida">
      <formula>NOT(ISERROR(SEARCH("Caida",R369)))</formula>
    </cfRule>
  </conditionalFormatting>
  <conditionalFormatting sqref="E368:K368">
    <cfRule type="containsText" dxfId="580" priority="1238" operator="containsText" text="Radio">
      <formula>NOT(ISERROR(SEARCH("Radio",E368)))</formula>
    </cfRule>
  </conditionalFormatting>
  <conditionalFormatting sqref="U231">
    <cfRule type="cellIs" dxfId="579" priority="1179" operator="lessThan">
      <formula>0.8</formula>
    </cfRule>
    <cfRule type="cellIs" dxfId="578" priority="1180" operator="greaterThan">
      <formula>0.8</formula>
    </cfRule>
  </conditionalFormatting>
  <conditionalFormatting sqref="U231">
    <cfRule type="notContainsText" dxfId="577" priority="1177" operator="notContains" text="Caida">
      <formula>ISERROR(SEARCH("Caida",U231))</formula>
    </cfRule>
    <cfRule type="containsText" dxfId="576" priority="1178" operator="containsText" text="Caida">
      <formula>NOT(ISERROR(SEARCH("Caida",U231)))</formula>
    </cfRule>
  </conditionalFormatting>
  <conditionalFormatting sqref="U232">
    <cfRule type="cellIs" dxfId="575" priority="1175" operator="lessThan">
      <formula>0.8</formula>
    </cfRule>
    <cfRule type="cellIs" dxfId="574" priority="1176" operator="greaterThan">
      <formula>0.8</formula>
    </cfRule>
  </conditionalFormatting>
  <conditionalFormatting sqref="U232">
    <cfRule type="notContainsText" dxfId="573" priority="1173" operator="notContains" text="Caida">
      <formula>ISERROR(SEARCH("Caida",U232))</formula>
    </cfRule>
    <cfRule type="containsText" dxfId="572" priority="1174" operator="containsText" text="Caida">
      <formula>NOT(ISERROR(SEARCH("Caida",U232)))</formula>
    </cfRule>
  </conditionalFormatting>
  <conditionalFormatting sqref="P370:P372">
    <cfRule type="cellIs" dxfId="571" priority="1220" operator="lessThan">
      <formula>0.8</formula>
    </cfRule>
    <cfRule type="cellIs" dxfId="570" priority="1221" operator="greaterThan">
      <formula>0.8</formula>
    </cfRule>
  </conditionalFormatting>
  <conditionalFormatting sqref="P370:P372">
    <cfRule type="notContainsText" dxfId="569" priority="1218" operator="notContains" text="Caida">
      <formula>ISERROR(SEARCH("Caida",P370))</formula>
    </cfRule>
    <cfRule type="containsText" dxfId="568" priority="1219" operator="containsText" text="Caida">
      <formula>NOT(ISERROR(SEARCH("Caida",P370)))</formula>
    </cfRule>
  </conditionalFormatting>
  <conditionalFormatting sqref="Q370:Q372">
    <cfRule type="cellIs" dxfId="567" priority="1216" operator="lessThan">
      <formula>0.8</formula>
    </cfRule>
    <cfRule type="cellIs" dxfId="566" priority="1217" operator="greaterThan">
      <formula>0.8</formula>
    </cfRule>
  </conditionalFormatting>
  <conditionalFormatting sqref="Q370:Q372">
    <cfRule type="notContainsText" dxfId="565" priority="1214" operator="notContains" text="Caida">
      <formula>ISERROR(SEARCH("Caida",Q370))</formula>
    </cfRule>
    <cfRule type="containsText" dxfId="564" priority="1215" operator="containsText" text="Caida">
      <formula>NOT(ISERROR(SEARCH("Caida",Q370)))</formula>
    </cfRule>
  </conditionalFormatting>
  <conditionalFormatting sqref="R370:T370">
    <cfRule type="cellIs" dxfId="563" priority="1212" operator="lessThan">
      <formula>0.8</formula>
    </cfRule>
    <cfRule type="cellIs" dxfId="562" priority="1213" operator="greaterThan">
      <formula>0.8</formula>
    </cfRule>
  </conditionalFormatting>
  <conditionalFormatting sqref="R370:T370">
    <cfRule type="notContainsText" dxfId="561" priority="1210" operator="notContains" text="Caida">
      <formula>ISERROR(SEARCH("Caida",R370))</formula>
    </cfRule>
    <cfRule type="containsText" dxfId="560" priority="1211" operator="containsText" text="Caida">
      <formula>NOT(ISERROR(SEARCH("Caida",R370)))</formula>
    </cfRule>
  </conditionalFormatting>
  <conditionalFormatting sqref="U368">
    <cfRule type="cellIs" dxfId="559" priority="1143" operator="lessThan">
      <formula>0.8</formula>
    </cfRule>
    <cfRule type="cellIs" dxfId="558" priority="1144" operator="greaterThan">
      <formula>0.8</formula>
    </cfRule>
  </conditionalFormatting>
  <conditionalFormatting sqref="U368">
    <cfRule type="notContainsText" dxfId="557" priority="1141" operator="notContains" text="Caida">
      <formula>ISERROR(SEARCH("Caida",U368))</formula>
    </cfRule>
    <cfRule type="containsText" dxfId="556" priority="1142" operator="containsText" text="Caida">
      <formula>NOT(ISERROR(SEARCH("Caida",U368)))</formula>
    </cfRule>
  </conditionalFormatting>
  <conditionalFormatting sqref="U369">
    <cfRule type="cellIs" dxfId="555" priority="1139" operator="lessThan">
      <formula>0.8</formula>
    </cfRule>
    <cfRule type="cellIs" dxfId="554" priority="1140" operator="greaterThan">
      <formula>0.8</formula>
    </cfRule>
  </conditionalFormatting>
  <conditionalFormatting sqref="U369">
    <cfRule type="notContainsText" dxfId="553" priority="1137" operator="notContains" text="Caida">
      <formula>ISERROR(SEARCH("Caida",U369))</formula>
    </cfRule>
    <cfRule type="containsText" dxfId="552" priority="1138" operator="containsText" text="Caida">
      <formula>NOT(ISERROR(SEARCH("Caida",U369)))</formula>
    </cfRule>
  </conditionalFormatting>
  <conditionalFormatting sqref="U370:U372">
    <cfRule type="cellIs" dxfId="551" priority="1135" operator="lessThan">
      <formula>0.8</formula>
    </cfRule>
    <cfRule type="cellIs" dxfId="550" priority="1136" operator="greaterThan">
      <formula>0.8</formula>
    </cfRule>
  </conditionalFormatting>
  <conditionalFormatting sqref="U370:U372">
    <cfRule type="notContainsText" dxfId="549" priority="1133" operator="notContains" text="Caida">
      <formula>ISERROR(SEARCH("Caida",U370))</formula>
    </cfRule>
    <cfRule type="containsText" dxfId="548" priority="1134" operator="containsText" text="Caida">
      <formula>NOT(ISERROR(SEARCH("Caida",U370)))</formula>
    </cfRule>
  </conditionalFormatting>
  <conditionalFormatting sqref="U6:U92 U96:U230">
    <cfRule type="cellIs" dxfId="547" priority="1200" operator="lessThan">
      <formula>0.8</formula>
    </cfRule>
    <cfRule type="cellIs" dxfId="546" priority="1201" operator="greaterThan">
      <formula>0.8</formula>
    </cfRule>
  </conditionalFormatting>
  <conditionalFormatting sqref="U6:U92 U96:U230">
    <cfRule type="notContainsText" dxfId="545" priority="1198" operator="notContains" text="Caida">
      <formula>ISERROR(SEARCH("Caida",U6))</formula>
    </cfRule>
    <cfRule type="containsText" dxfId="544" priority="1199" operator="containsText" text="Caida">
      <formula>NOT(ISERROR(SEARCH("Caida",U6)))</formula>
    </cfRule>
  </conditionalFormatting>
  <conditionalFormatting sqref="U336">
    <cfRule type="cellIs" dxfId="543" priority="1155" operator="lessThan">
      <formula>0.8</formula>
    </cfRule>
    <cfRule type="cellIs" dxfId="542" priority="1156" operator="greaterThan">
      <formula>0.8</formula>
    </cfRule>
  </conditionalFormatting>
  <conditionalFormatting sqref="U336">
    <cfRule type="notContainsText" dxfId="541" priority="1153" operator="notContains" text="Caida">
      <formula>ISERROR(SEARCH("Caida",U336))</formula>
    </cfRule>
    <cfRule type="containsText" dxfId="540" priority="1154" operator="containsText" text="Caida">
      <formula>NOT(ISERROR(SEARCH("Caida",U336)))</formula>
    </cfRule>
  </conditionalFormatting>
  <conditionalFormatting sqref="U337:U366 U284:U334">
    <cfRule type="cellIs" dxfId="539" priority="1196" operator="lessThan">
      <formula>0.8</formula>
    </cfRule>
    <cfRule type="cellIs" dxfId="538" priority="1197" operator="greaterThan">
      <formula>0.8</formula>
    </cfRule>
  </conditionalFormatting>
  <conditionalFormatting sqref="U337:U366 U284:U334 U391:U1048576">
    <cfRule type="notContainsText" dxfId="537" priority="1194" operator="notContains" text="Caida">
      <formula>ISERROR(SEARCH("Caida",U284))</formula>
    </cfRule>
    <cfRule type="containsText" dxfId="536" priority="1195" operator="containsText" text="Caida">
      <formula>NOT(ISERROR(SEARCH("Caida",U284)))</formula>
    </cfRule>
  </conditionalFormatting>
  <conditionalFormatting sqref="U22">
    <cfRule type="containsText" dxfId="535" priority="1193" operator="containsText" text="Instaladas en Funcionamiento Caida">
      <formula>NOT(ISERROR(SEARCH("Instaladas en Funcionamiento Caida",U22)))</formula>
    </cfRule>
  </conditionalFormatting>
  <conditionalFormatting sqref="U282">
    <cfRule type="cellIs" dxfId="534" priority="1191" operator="lessThan">
      <formula>0.8</formula>
    </cfRule>
    <cfRule type="cellIs" dxfId="533" priority="1192" operator="greaterThan">
      <formula>0.8</formula>
    </cfRule>
  </conditionalFormatting>
  <conditionalFormatting sqref="U282">
    <cfRule type="notContainsText" dxfId="532" priority="1189" operator="notContains" text="Caida">
      <formula>ISERROR(SEARCH("Caida",U282))</formula>
    </cfRule>
    <cfRule type="containsText" dxfId="531" priority="1190" operator="containsText" text="Caida">
      <formula>NOT(ISERROR(SEARCH("Caida",U282)))</formula>
    </cfRule>
  </conditionalFormatting>
  <conditionalFormatting sqref="U283">
    <cfRule type="cellIs" dxfId="530" priority="1187" operator="lessThan">
      <formula>0.8</formula>
    </cfRule>
    <cfRule type="cellIs" dxfId="529" priority="1188" operator="greaterThan">
      <formula>0.8</formula>
    </cfRule>
  </conditionalFormatting>
  <conditionalFormatting sqref="U283">
    <cfRule type="notContainsText" dxfId="528" priority="1185" operator="notContains" text="Caida">
      <formula>ISERROR(SEARCH("Caida",U283))</formula>
    </cfRule>
    <cfRule type="containsText" dxfId="527" priority="1186" operator="containsText" text="Caida">
      <formula>NOT(ISERROR(SEARCH("Caida",U283)))</formula>
    </cfRule>
  </conditionalFormatting>
  <conditionalFormatting sqref="U5">
    <cfRule type="cellIs" dxfId="526" priority="1183" operator="lessThan">
      <formula>0.8</formula>
    </cfRule>
    <cfRule type="cellIs" dxfId="525" priority="1184" operator="greaterThan">
      <formula>0.8</formula>
    </cfRule>
  </conditionalFormatting>
  <conditionalFormatting sqref="U5">
    <cfRule type="notContainsText" dxfId="524" priority="1181" operator="notContains" text="Caida">
      <formula>ISERROR(SEARCH("Caida",U5))</formula>
    </cfRule>
    <cfRule type="containsText" dxfId="523" priority="1182" operator="containsText" text="Caida">
      <formula>NOT(ISERROR(SEARCH("Caida",U5)))</formula>
    </cfRule>
  </conditionalFormatting>
  <conditionalFormatting sqref="U233">
    <cfRule type="cellIs" dxfId="522" priority="1171" operator="lessThan">
      <formula>0.8</formula>
    </cfRule>
    <cfRule type="cellIs" dxfId="521" priority="1172" operator="greaterThan">
      <formula>0.8</formula>
    </cfRule>
  </conditionalFormatting>
  <conditionalFormatting sqref="U233">
    <cfRule type="notContainsText" dxfId="520" priority="1169" operator="notContains" text="Caida">
      <formula>ISERROR(SEARCH("Caida",U233))</formula>
    </cfRule>
    <cfRule type="containsText" dxfId="519" priority="1170" operator="containsText" text="Caida">
      <formula>NOT(ISERROR(SEARCH("Caida",U233)))</formula>
    </cfRule>
  </conditionalFormatting>
  <conditionalFormatting sqref="U234">
    <cfRule type="cellIs" dxfId="518" priority="1167" operator="lessThan">
      <formula>0.8</formula>
    </cfRule>
    <cfRule type="cellIs" dxfId="517" priority="1168" operator="greaterThan">
      <formula>0.8</formula>
    </cfRule>
  </conditionalFormatting>
  <conditionalFormatting sqref="U234">
    <cfRule type="notContainsText" dxfId="516" priority="1165" operator="notContains" text="Caida">
      <formula>ISERROR(SEARCH("Caida",U234))</formula>
    </cfRule>
    <cfRule type="containsText" dxfId="515" priority="1166" operator="containsText" text="Caida">
      <formula>NOT(ISERROR(SEARCH("Caida",U234)))</formula>
    </cfRule>
  </conditionalFormatting>
  <conditionalFormatting sqref="U235">
    <cfRule type="cellIs" dxfId="514" priority="1163" operator="lessThan">
      <formula>0.8</formula>
    </cfRule>
    <cfRule type="cellIs" dxfId="513" priority="1164" operator="greaterThan">
      <formula>0.8</formula>
    </cfRule>
  </conditionalFormatting>
  <conditionalFormatting sqref="U235">
    <cfRule type="notContainsText" dxfId="512" priority="1161" operator="notContains" text="Caida">
      <formula>ISERROR(SEARCH("Caida",U235))</formula>
    </cfRule>
    <cfRule type="containsText" dxfId="511" priority="1162" operator="containsText" text="Caida">
      <formula>NOT(ISERROR(SEARCH("Caida",U235)))</formula>
    </cfRule>
  </conditionalFormatting>
  <conditionalFormatting sqref="U335">
    <cfRule type="cellIs" dxfId="510" priority="1159" operator="lessThan">
      <formula>0.8</formula>
    </cfRule>
    <cfRule type="cellIs" dxfId="509" priority="1160" operator="greaterThan">
      <formula>0.8</formula>
    </cfRule>
  </conditionalFormatting>
  <conditionalFormatting sqref="U335">
    <cfRule type="notContainsText" dxfId="508" priority="1157" operator="notContains" text="Caida">
      <formula>ISERROR(SEARCH("Caida",U335))</formula>
    </cfRule>
    <cfRule type="containsText" dxfId="507" priority="1158" operator="containsText" text="Caida">
      <formula>NOT(ISERROR(SEARCH("Caida",U335)))</formula>
    </cfRule>
  </conditionalFormatting>
  <conditionalFormatting sqref="U93:U95">
    <cfRule type="cellIs" dxfId="506" priority="1151" operator="lessThan">
      <formula>0.8</formula>
    </cfRule>
    <cfRule type="cellIs" dxfId="505" priority="1152" operator="greaterThan">
      <formula>0.8</formula>
    </cfRule>
  </conditionalFormatting>
  <conditionalFormatting sqref="U93:U95">
    <cfRule type="notContainsText" dxfId="504" priority="1149" operator="notContains" text="Caida">
      <formula>ISERROR(SEARCH("Caida",U93))</formula>
    </cfRule>
    <cfRule type="containsText" dxfId="503" priority="1150" operator="containsText" text="Caida">
      <formula>NOT(ISERROR(SEARCH("Caida",U93)))</formula>
    </cfRule>
  </conditionalFormatting>
  <conditionalFormatting sqref="U367">
    <cfRule type="cellIs" dxfId="502" priority="1147" operator="lessThan">
      <formula>0.8</formula>
    </cfRule>
    <cfRule type="cellIs" dxfId="501" priority="1148" operator="greaterThan">
      <formula>0.8</formula>
    </cfRule>
  </conditionalFormatting>
  <conditionalFormatting sqref="U367">
    <cfRule type="notContainsText" dxfId="500" priority="1145" operator="notContains" text="Caida">
      <formula>ISERROR(SEARCH("Caida",U367))</formula>
    </cfRule>
    <cfRule type="containsText" dxfId="499" priority="1146" operator="containsText" text="Caida">
      <formula>NOT(ISERROR(SEARCH("Caida",U367)))</formula>
    </cfRule>
  </conditionalFormatting>
  <conditionalFormatting sqref="V6:X92">
    <cfRule type="cellIs" dxfId="498" priority="1131" operator="lessThan">
      <formula>0.8</formula>
    </cfRule>
    <cfRule type="cellIs" dxfId="497" priority="1132" operator="greaterThan">
      <formula>0.8</formula>
    </cfRule>
  </conditionalFormatting>
  <conditionalFormatting sqref="V6:X92">
    <cfRule type="notContainsText" dxfId="496" priority="1129" operator="notContains" text="Caida">
      <formula>ISERROR(SEARCH("Caida",V6))</formula>
    </cfRule>
    <cfRule type="containsText" dxfId="495" priority="1130" operator="containsText" text="Caida">
      <formula>NOT(ISERROR(SEARCH("Caida",V6)))</formula>
    </cfRule>
  </conditionalFormatting>
  <conditionalFormatting sqref="V22:X22 AA22:AJ22">
    <cfRule type="containsText" dxfId="494" priority="1128" operator="containsText" text="Instaladas en Funcionamiento Caida">
      <formula>NOT(ISERROR(SEARCH("Instaladas en Funcionamiento Caida",V22)))</formula>
    </cfRule>
  </conditionalFormatting>
  <conditionalFormatting sqref="V5:X5 AA5:AJ5">
    <cfRule type="cellIs" dxfId="493" priority="1126" operator="lessThan">
      <formula>0.8</formula>
    </cfRule>
    <cfRule type="cellIs" dxfId="492" priority="1127" operator="greaterThan">
      <formula>0.8</formula>
    </cfRule>
  </conditionalFormatting>
  <conditionalFormatting sqref="V5:X5 AA5:AJ5">
    <cfRule type="notContainsText" dxfId="491" priority="1124" operator="notContains" text="Caida">
      <formula>ISERROR(SEARCH("Caida",V5))</formula>
    </cfRule>
    <cfRule type="containsText" dxfId="490" priority="1125" operator="containsText" text="Caida">
      <formula>NOT(ISERROR(SEARCH("Caida",V5)))</formula>
    </cfRule>
  </conditionalFormatting>
  <conditionalFormatting sqref="V93:X95">
    <cfRule type="cellIs" dxfId="489" priority="1122" operator="lessThan">
      <formula>0.8</formula>
    </cfRule>
    <cfRule type="cellIs" dxfId="488" priority="1123" operator="greaterThan">
      <formula>0.8</formula>
    </cfRule>
  </conditionalFormatting>
  <conditionalFormatting sqref="V93:X95">
    <cfRule type="notContainsText" dxfId="487" priority="1120" operator="notContains" text="Caida">
      <formula>ISERROR(SEARCH("Caida",V93))</formula>
    </cfRule>
    <cfRule type="containsText" dxfId="486" priority="1121" operator="containsText" text="Caida">
      <formula>NOT(ISERROR(SEARCH("Caida",V93)))</formula>
    </cfRule>
  </conditionalFormatting>
  <conditionalFormatting sqref="E1:E372 E391:E1048576">
    <cfRule type="containsText" dxfId="485" priority="980" operator="containsText" text="fija">
      <formula>NOT(ISERROR(SEARCH("fija",E1)))</formula>
    </cfRule>
    <cfRule type="containsText" dxfId="484" priority="981" operator="containsText" text="domo">
      <formula>NOT(ISERROR(SEARCH("domo",E1)))</formula>
    </cfRule>
  </conditionalFormatting>
  <conditionalFormatting sqref="AK6:AP92">
    <cfRule type="cellIs" dxfId="483" priority="956" operator="lessThan">
      <formula>0.8</formula>
    </cfRule>
    <cfRule type="cellIs" dxfId="482" priority="957" operator="greaterThan">
      <formula>0.8</formula>
    </cfRule>
  </conditionalFormatting>
  <conditionalFormatting sqref="AK6:AP92">
    <cfRule type="notContainsText" dxfId="481" priority="954" operator="notContains" text="Caida">
      <formula>ISERROR(SEARCH("Caida",AK6))</formula>
    </cfRule>
    <cfRule type="containsText" dxfId="480" priority="955" operator="containsText" text="Caida">
      <formula>NOT(ISERROR(SEARCH("Caida",AK6)))</formula>
    </cfRule>
  </conditionalFormatting>
  <conditionalFormatting sqref="AK22:AR22">
    <cfRule type="containsText" dxfId="479" priority="953" operator="containsText" text="Instaladas en Funcionamiento Caida">
      <formula>NOT(ISERROR(SEARCH("Instaladas en Funcionamiento Caida",AK22)))</formula>
    </cfRule>
  </conditionalFormatting>
  <conditionalFormatting sqref="AK5:AR5">
    <cfRule type="cellIs" dxfId="478" priority="951" operator="lessThan">
      <formula>0.8</formula>
    </cfRule>
    <cfRule type="cellIs" dxfId="477" priority="952" operator="greaterThan">
      <formula>0.8</formula>
    </cfRule>
  </conditionalFormatting>
  <conditionalFormatting sqref="AK5:AR5">
    <cfRule type="notContainsText" dxfId="476" priority="949" operator="notContains" text="Caida">
      <formula>ISERROR(SEARCH("Caida",AK5))</formula>
    </cfRule>
    <cfRule type="containsText" dxfId="475" priority="950" operator="containsText" text="Caida">
      <formula>NOT(ISERROR(SEARCH("Caida",AK5)))</formula>
    </cfRule>
  </conditionalFormatting>
  <conditionalFormatting sqref="AK93:AP94">
    <cfRule type="cellIs" dxfId="474" priority="947" operator="lessThan">
      <formula>0.8</formula>
    </cfRule>
    <cfRule type="cellIs" dxfId="473" priority="948" operator="greaterThan">
      <formula>0.8</formula>
    </cfRule>
  </conditionalFormatting>
  <conditionalFormatting sqref="AK93:AP94">
    <cfRule type="notContainsText" dxfId="472" priority="945" operator="notContains" text="Caida">
      <formula>ISERROR(SEARCH("Caida",AK93))</formula>
    </cfRule>
    <cfRule type="containsText" dxfId="471" priority="946" operator="containsText" text="Caida">
      <formula>NOT(ISERROR(SEARCH("Caida",AK93)))</formula>
    </cfRule>
  </conditionalFormatting>
  <conditionalFormatting sqref="O247:O372 O5:X369 AK1:AR1 AK391:AR1048576 AK5:AR372 AA5:AJ369">
    <cfRule type="cellIs" dxfId="470" priority="944" operator="equal">
      <formula>"APAGADO"</formula>
    </cfRule>
  </conditionalFormatting>
  <conditionalFormatting sqref="S6:S92 S96:S230">
    <cfRule type="cellIs" dxfId="469" priority="928" operator="lessThan">
      <formula>0.8</formula>
    </cfRule>
    <cfRule type="cellIs" dxfId="468" priority="929" operator="greaterThan">
      <formula>0.8</formula>
    </cfRule>
  </conditionalFormatting>
  <conditionalFormatting sqref="S6:S92 S96:S230">
    <cfRule type="notContainsText" dxfId="467" priority="926" operator="notContains" text="Caida">
      <formula>ISERROR(SEARCH("Caida",S6))</formula>
    </cfRule>
    <cfRule type="containsText" dxfId="466" priority="927" operator="containsText" text="Caida">
      <formula>NOT(ISERROR(SEARCH("Caida",S6)))</formula>
    </cfRule>
  </conditionalFormatting>
  <conditionalFormatting sqref="S337:S366 S284:S334">
    <cfRule type="cellIs" dxfId="465" priority="924" operator="lessThan">
      <formula>0.8</formula>
    </cfRule>
    <cfRule type="cellIs" dxfId="464" priority="925" operator="greaterThan">
      <formula>0.8</formula>
    </cfRule>
  </conditionalFormatting>
  <conditionalFormatting sqref="S337:S366 S284:S334">
    <cfRule type="notContainsText" dxfId="463" priority="922" operator="notContains" text="Caida">
      <formula>ISERROR(SEARCH("Caida",S284))</formula>
    </cfRule>
    <cfRule type="containsText" dxfId="462" priority="923" operator="containsText" text="Caida">
      <formula>NOT(ISERROR(SEARCH("Caida",S284)))</formula>
    </cfRule>
  </conditionalFormatting>
  <conditionalFormatting sqref="S93:S95">
    <cfRule type="cellIs" dxfId="461" priority="920" operator="lessThan">
      <formula>0.8</formula>
    </cfRule>
    <cfRule type="cellIs" dxfId="460" priority="921" operator="greaterThan">
      <formula>0.8</formula>
    </cfRule>
  </conditionalFormatting>
  <conditionalFormatting sqref="S93:S95">
    <cfRule type="notContainsText" dxfId="459" priority="918" operator="notContains" text="Caida">
      <formula>ISERROR(SEARCH("Caida",S93))</formula>
    </cfRule>
    <cfRule type="containsText" dxfId="458" priority="919" operator="containsText" text="Caida">
      <formula>NOT(ISERROR(SEARCH("Caida",S93)))</formula>
    </cfRule>
  </conditionalFormatting>
  <conditionalFormatting sqref="T6:T92 T96:T230">
    <cfRule type="cellIs" dxfId="457" priority="916" operator="lessThan">
      <formula>0.8</formula>
    </cfRule>
    <cfRule type="cellIs" dxfId="456" priority="917" operator="greaterThan">
      <formula>0.8</formula>
    </cfRule>
  </conditionalFormatting>
  <conditionalFormatting sqref="T6:T92 T96:T230">
    <cfRule type="notContainsText" dxfId="455" priority="914" operator="notContains" text="Caida">
      <formula>ISERROR(SEARCH("Caida",T6))</formula>
    </cfRule>
    <cfRule type="containsText" dxfId="454" priority="915" operator="containsText" text="Caida">
      <formula>NOT(ISERROR(SEARCH("Caida",T6)))</formula>
    </cfRule>
  </conditionalFormatting>
  <conditionalFormatting sqref="T337:T366 T284:T334">
    <cfRule type="cellIs" dxfId="453" priority="912" operator="lessThan">
      <formula>0.8</formula>
    </cfRule>
    <cfRule type="cellIs" dxfId="452" priority="913" operator="greaterThan">
      <formula>0.8</formula>
    </cfRule>
  </conditionalFormatting>
  <conditionalFormatting sqref="T337:T366 T284:T334">
    <cfRule type="notContainsText" dxfId="451" priority="910" operator="notContains" text="Caida">
      <formula>ISERROR(SEARCH("Caida",T284))</formula>
    </cfRule>
    <cfRule type="containsText" dxfId="450" priority="911" operator="containsText" text="Caida">
      <formula>NOT(ISERROR(SEARCH("Caida",T284)))</formula>
    </cfRule>
  </conditionalFormatting>
  <conditionalFormatting sqref="T93:T95">
    <cfRule type="cellIs" dxfId="449" priority="908" operator="lessThan">
      <formula>0.8</formula>
    </cfRule>
    <cfRule type="cellIs" dxfId="448" priority="909" operator="greaterThan">
      <formula>0.8</formula>
    </cfRule>
  </conditionalFormatting>
  <conditionalFormatting sqref="T93:T95">
    <cfRule type="notContainsText" dxfId="447" priority="906" operator="notContains" text="Caida">
      <formula>ISERROR(SEARCH("Caida",T93))</formula>
    </cfRule>
    <cfRule type="containsText" dxfId="446" priority="907" operator="containsText" text="Caida">
      <formula>NOT(ISERROR(SEARCH("Caida",T93)))</formula>
    </cfRule>
  </conditionalFormatting>
  <conditionalFormatting sqref="F1:F372 F391:F1048576">
    <cfRule type="cellIs" dxfId="445" priority="835" operator="equal">
      <formula>"PTP A FO"</formula>
    </cfRule>
  </conditionalFormatting>
  <conditionalFormatting sqref="R371:T372">
    <cfRule type="cellIs" dxfId="444" priority="464" operator="lessThan">
      <formula>0.8</formula>
    </cfRule>
    <cfRule type="cellIs" dxfId="443" priority="465" operator="greaterThan">
      <formula>0.8</formula>
    </cfRule>
  </conditionalFormatting>
  <conditionalFormatting sqref="R371:T372">
    <cfRule type="notContainsText" dxfId="442" priority="462" operator="notContains" text="Caida">
      <formula>ISERROR(SEARCH("Caida",R371))</formula>
    </cfRule>
    <cfRule type="containsText" dxfId="441" priority="463" operator="containsText" text="Caida">
      <formula>NOT(ISERROR(SEARCH("Caida",R371)))</formula>
    </cfRule>
  </conditionalFormatting>
  <conditionalFormatting sqref="O6:O92">
    <cfRule type="cellIs" dxfId="440" priority="452" operator="lessThan">
      <formula>0.8</formula>
    </cfRule>
    <cfRule type="cellIs" dxfId="439" priority="453" operator="greaterThan">
      <formula>0.8</formula>
    </cfRule>
  </conditionalFormatting>
  <conditionalFormatting sqref="O6:O92">
    <cfRule type="notContainsText" dxfId="438" priority="450" operator="notContains" text="Caida">
      <formula>ISERROR(SEARCH("Caida",O6))</formula>
    </cfRule>
    <cfRule type="containsText" dxfId="437" priority="451" operator="containsText" text="Caida">
      <formula>NOT(ISERROR(SEARCH("Caida",O6)))</formula>
    </cfRule>
  </conditionalFormatting>
  <conditionalFormatting sqref="O22">
    <cfRule type="containsText" dxfId="436" priority="449" operator="containsText" text="Instaladas en Funcionamiento Caida">
      <formula>NOT(ISERROR(SEARCH("Instaladas en Funcionamiento Caida",O22)))</formula>
    </cfRule>
  </conditionalFormatting>
  <conditionalFormatting sqref="O5">
    <cfRule type="cellIs" dxfId="435" priority="447" operator="lessThan">
      <formula>0.8</formula>
    </cfRule>
    <cfRule type="cellIs" dxfId="434" priority="448" operator="greaterThan">
      <formula>0.8</formula>
    </cfRule>
  </conditionalFormatting>
  <conditionalFormatting sqref="O5">
    <cfRule type="notContainsText" dxfId="433" priority="445" operator="notContains" text="Caida">
      <formula>ISERROR(SEARCH("Caida",O5))</formula>
    </cfRule>
    <cfRule type="containsText" dxfId="432" priority="446" operator="containsText" text="Caida">
      <formula>NOT(ISERROR(SEARCH("Caida",O5)))</formula>
    </cfRule>
  </conditionalFormatting>
  <conditionalFormatting sqref="O93:O94">
    <cfRule type="cellIs" dxfId="431" priority="443" operator="lessThan">
      <formula>0.8</formula>
    </cfRule>
    <cfRule type="cellIs" dxfId="430" priority="444" operator="greaterThan">
      <formula>0.8</formula>
    </cfRule>
  </conditionalFormatting>
  <conditionalFormatting sqref="O93:O94">
    <cfRule type="notContainsText" dxfId="429" priority="441" operator="notContains" text="Caida">
      <formula>ISERROR(SEARCH("Caida",O93))</formula>
    </cfRule>
    <cfRule type="containsText" dxfId="428" priority="442" operator="containsText" text="Caida">
      <formula>NOT(ISERROR(SEARCH("Caida",O93)))</formula>
    </cfRule>
  </conditionalFormatting>
  <conditionalFormatting sqref="AR6:AR92">
    <cfRule type="cellIs" dxfId="427" priority="434" operator="lessThan">
      <formula>0.8</formula>
    </cfRule>
    <cfRule type="cellIs" dxfId="426" priority="435" operator="greaterThan">
      <formula>0.8</formula>
    </cfRule>
  </conditionalFormatting>
  <conditionalFormatting sqref="AR6:AR92">
    <cfRule type="notContainsText" dxfId="425" priority="432" operator="notContains" text="Caida">
      <formula>ISERROR(SEARCH("Caida",AR6))</formula>
    </cfRule>
    <cfRule type="containsText" dxfId="424" priority="433" operator="containsText" text="Caida">
      <formula>NOT(ISERROR(SEARCH("Caida",AR6)))</formula>
    </cfRule>
  </conditionalFormatting>
  <conditionalFormatting sqref="AR93:AR94">
    <cfRule type="cellIs" dxfId="423" priority="430" operator="lessThan">
      <formula>0.8</formula>
    </cfRule>
    <cfRule type="cellIs" dxfId="422" priority="431" operator="greaterThan">
      <formula>0.8</formula>
    </cfRule>
  </conditionalFormatting>
  <conditionalFormatting sqref="AR93:AR94">
    <cfRule type="notContainsText" dxfId="421" priority="428" operator="notContains" text="Caida">
      <formula>ISERROR(SEARCH("Caida",AR93))</formula>
    </cfRule>
    <cfRule type="containsText" dxfId="420" priority="429" operator="containsText" text="Caida">
      <formula>NOT(ISERROR(SEARCH("Caida",AR93)))</formula>
    </cfRule>
  </conditionalFormatting>
  <conditionalFormatting sqref="AA6:AF92">
    <cfRule type="cellIs" dxfId="419" priority="369" operator="lessThan">
      <formula>0.8</formula>
    </cfRule>
    <cfRule type="cellIs" dxfId="418" priority="370" operator="greaterThan">
      <formula>0.8</formula>
    </cfRule>
  </conditionalFormatting>
  <conditionalFormatting sqref="AA6:AF92">
    <cfRule type="notContainsText" dxfId="417" priority="367" operator="notContains" text="Caida">
      <formula>ISERROR(SEARCH("Caida",AA6))</formula>
    </cfRule>
    <cfRule type="containsText" dxfId="416" priority="368" operator="containsText" text="Caida">
      <formula>NOT(ISERROR(SEARCH("Caida",AA6)))</formula>
    </cfRule>
  </conditionalFormatting>
  <conditionalFormatting sqref="AA93:AF95">
    <cfRule type="cellIs" dxfId="415" priority="365" operator="lessThan">
      <formula>0.8</formula>
    </cfRule>
    <cfRule type="cellIs" dxfId="414" priority="366" operator="greaterThan">
      <formula>0.8</formula>
    </cfRule>
  </conditionalFormatting>
  <conditionalFormatting sqref="AA93:AF95">
    <cfRule type="notContainsText" dxfId="413" priority="363" operator="notContains" text="Caida">
      <formula>ISERROR(SEARCH("Caida",AA93))</formula>
    </cfRule>
    <cfRule type="containsText" dxfId="412" priority="364" operator="containsText" text="Caida">
      <formula>NOT(ISERROR(SEARCH("Caida",AA93)))</formula>
    </cfRule>
  </conditionalFormatting>
  <conditionalFormatting sqref="AF1 AF5:AF372 AF380:AF1048576 AF3">
    <cfRule type="cellIs" dxfId="411" priority="362" operator="equal">
      <formula>"apagado"</formula>
    </cfRule>
  </conditionalFormatting>
  <conditionalFormatting sqref="AE1 AE5:AE372 AE380:AE1048576 AE3">
    <cfRule type="cellIs" dxfId="410" priority="361" operator="equal">
      <formula>"apagado"</formula>
    </cfRule>
  </conditionalFormatting>
  <conditionalFormatting sqref="AD1 AD5:AD372 AD380:AD1048576 AD3">
    <cfRule type="cellIs" dxfId="409" priority="360" operator="equal">
      <formula>"apagado"</formula>
    </cfRule>
  </conditionalFormatting>
  <conditionalFormatting sqref="AC1 AC5:AC372 AC380:AC1048576 AC3">
    <cfRule type="cellIs" dxfId="408" priority="359" operator="equal">
      <formula>"apagado"</formula>
    </cfRule>
  </conditionalFormatting>
  <conditionalFormatting sqref="AB1 AB5:AB372 AB380:AB1048576 AB3">
    <cfRule type="cellIs" dxfId="407" priority="358" operator="equal">
      <formula>"apagado"</formula>
    </cfRule>
  </conditionalFormatting>
  <conditionalFormatting sqref="AA1 AA5:AA372 AA380:AA1048576 AA3">
    <cfRule type="cellIs" dxfId="406" priority="357" operator="equal">
      <formula>"apagado"</formula>
    </cfRule>
  </conditionalFormatting>
  <conditionalFormatting sqref="Z1 Z380:Z1048576 Z3">
    <cfRule type="cellIs" dxfId="405" priority="356" operator="equal">
      <formula>"apagado"</formula>
    </cfRule>
  </conditionalFormatting>
  <conditionalFormatting sqref="Y1 Y380:Y1048576 Y3">
    <cfRule type="cellIs" dxfId="404" priority="355" operator="equal">
      <formula>"apagado"</formula>
    </cfRule>
  </conditionalFormatting>
  <conditionalFormatting sqref="AG6:AG92">
    <cfRule type="cellIs" dxfId="403" priority="353" operator="lessThan">
      <formula>0.8</formula>
    </cfRule>
    <cfRule type="cellIs" dxfId="402" priority="354" operator="greaterThan">
      <formula>0.8</formula>
    </cfRule>
  </conditionalFormatting>
  <conditionalFormatting sqref="AG6:AG92">
    <cfRule type="notContainsText" dxfId="401" priority="351" operator="notContains" text="Caida">
      <formula>ISERROR(SEARCH("Caida",AG6))</formula>
    </cfRule>
    <cfRule type="containsText" dxfId="400" priority="352" operator="containsText" text="Caida">
      <formula>NOT(ISERROR(SEARCH("Caida",AG6)))</formula>
    </cfRule>
  </conditionalFormatting>
  <conditionalFormatting sqref="AG93:AG95">
    <cfRule type="cellIs" dxfId="399" priority="349" operator="lessThan">
      <formula>0.8</formula>
    </cfRule>
    <cfRule type="cellIs" dxfId="398" priority="350" operator="greaterThan">
      <formula>0.8</formula>
    </cfRule>
  </conditionalFormatting>
  <conditionalFormatting sqref="AG93:AG95">
    <cfRule type="notContainsText" dxfId="397" priority="347" operator="notContains" text="Caida">
      <formula>ISERROR(SEARCH("Caida",AG93))</formula>
    </cfRule>
    <cfRule type="containsText" dxfId="396" priority="348" operator="containsText" text="Caida">
      <formula>NOT(ISERROR(SEARCH("Caida",AG93)))</formula>
    </cfRule>
  </conditionalFormatting>
  <conditionalFormatting sqref="AG1 AG5:AG372 AG380:AG1048576 AG3">
    <cfRule type="cellIs" dxfId="395" priority="346" operator="equal">
      <formula>"apagado"</formula>
    </cfRule>
  </conditionalFormatting>
  <conditionalFormatting sqref="AH6:AH92">
    <cfRule type="cellIs" dxfId="394" priority="344" operator="lessThan">
      <formula>0.8</formula>
    </cfRule>
    <cfRule type="cellIs" dxfId="393" priority="345" operator="greaterThan">
      <formula>0.8</formula>
    </cfRule>
  </conditionalFormatting>
  <conditionalFormatting sqref="AH6:AH92">
    <cfRule type="notContainsText" dxfId="392" priority="342" operator="notContains" text="Caida">
      <formula>ISERROR(SEARCH("Caida",AH6))</formula>
    </cfRule>
    <cfRule type="containsText" dxfId="391" priority="343" operator="containsText" text="Caida">
      <formula>NOT(ISERROR(SEARCH("Caida",AH6)))</formula>
    </cfRule>
  </conditionalFormatting>
  <conditionalFormatting sqref="AH93:AH95">
    <cfRule type="cellIs" dxfId="390" priority="340" operator="lessThan">
      <formula>0.8</formula>
    </cfRule>
    <cfRule type="cellIs" dxfId="389" priority="341" operator="greaterThan">
      <formula>0.8</formula>
    </cfRule>
  </conditionalFormatting>
  <conditionalFormatting sqref="AH93:AH95">
    <cfRule type="notContainsText" dxfId="388" priority="338" operator="notContains" text="Caida">
      <formula>ISERROR(SEARCH("Caida",AH93))</formula>
    </cfRule>
    <cfRule type="containsText" dxfId="387" priority="339" operator="containsText" text="Caida">
      <formula>NOT(ISERROR(SEARCH("Caida",AH93)))</formula>
    </cfRule>
  </conditionalFormatting>
  <conditionalFormatting sqref="AH1 AH380:AH1048576 AH3 AH5:AH372">
    <cfRule type="cellIs" dxfId="386" priority="337" operator="equal">
      <formula>"apagado"</formula>
    </cfRule>
  </conditionalFormatting>
  <conditionalFormatting sqref="AI6:AI92">
    <cfRule type="cellIs" dxfId="385" priority="335" operator="lessThan">
      <formula>0.8</formula>
    </cfRule>
    <cfRule type="cellIs" dxfId="384" priority="336" operator="greaterThan">
      <formula>0.8</formula>
    </cfRule>
  </conditionalFormatting>
  <conditionalFormatting sqref="AI6:AI92">
    <cfRule type="notContainsText" dxfId="383" priority="333" operator="notContains" text="Caida">
      <formula>ISERROR(SEARCH("Caida",AI6))</formula>
    </cfRule>
    <cfRule type="containsText" dxfId="382" priority="334" operator="containsText" text="Caida">
      <formula>NOT(ISERROR(SEARCH("Caida",AI6)))</formula>
    </cfRule>
  </conditionalFormatting>
  <conditionalFormatting sqref="AI93:AI95">
    <cfRule type="cellIs" dxfId="381" priority="331" operator="lessThan">
      <formula>0.8</formula>
    </cfRule>
    <cfRule type="cellIs" dxfId="380" priority="332" operator="greaterThan">
      <formula>0.8</formula>
    </cfRule>
  </conditionalFormatting>
  <conditionalFormatting sqref="AI93:AI95">
    <cfRule type="notContainsText" dxfId="379" priority="329" operator="notContains" text="Caida">
      <formula>ISERROR(SEARCH("Caida",AI93))</formula>
    </cfRule>
    <cfRule type="containsText" dxfId="378" priority="330" operator="containsText" text="Caida">
      <formula>NOT(ISERROR(SEARCH("Caida",AI93)))</formula>
    </cfRule>
  </conditionalFormatting>
  <conditionalFormatting sqref="AI1 AI5:AI372 AI380:AI1048576 AI3">
    <cfRule type="cellIs" dxfId="377" priority="328" operator="equal">
      <formula>"apagado"</formula>
    </cfRule>
  </conditionalFormatting>
  <conditionalFormatting sqref="AJ6:AJ92">
    <cfRule type="cellIs" dxfId="376" priority="326" operator="lessThan">
      <formula>0.8</formula>
    </cfRule>
    <cfRule type="cellIs" dxfId="375" priority="327" operator="greaterThan">
      <formula>0.8</formula>
    </cfRule>
  </conditionalFormatting>
  <conditionalFormatting sqref="AJ6:AJ92">
    <cfRule type="notContainsText" dxfId="374" priority="324" operator="notContains" text="Caida">
      <formula>ISERROR(SEARCH("Caida",AJ6))</formula>
    </cfRule>
    <cfRule type="containsText" dxfId="373" priority="325" operator="containsText" text="Caida">
      <formula>NOT(ISERROR(SEARCH("Caida",AJ6)))</formula>
    </cfRule>
  </conditionalFormatting>
  <conditionalFormatting sqref="AJ93:AJ95">
    <cfRule type="cellIs" dxfId="372" priority="322" operator="lessThan">
      <formula>0.8</formula>
    </cfRule>
    <cfRule type="cellIs" dxfId="371" priority="323" operator="greaterThan">
      <formula>0.8</formula>
    </cfRule>
  </conditionalFormatting>
  <conditionalFormatting sqref="AJ93:AJ95">
    <cfRule type="notContainsText" dxfId="370" priority="320" operator="notContains" text="Caida">
      <formula>ISERROR(SEARCH("Caida",AJ93))</formula>
    </cfRule>
    <cfRule type="containsText" dxfId="369" priority="321" operator="containsText" text="Caida">
      <formula>NOT(ISERROR(SEARCH("Caida",AJ93)))</formula>
    </cfRule>
  </conditionalFormatting>
  <conditionalFormatting sqref="AJ1 AJ5:AJ372 AJ380:AJ1048576 AJ3">
    <cfRule type="cellIs" dxfId="368" priority="319" operator="equal">
      <formula>"apagado"</formula>
    </cfRule>
  </conditionalFormatting>
  <conditionalFormatting sqref="AQ95:AQ369">
    <cfRule type="cellIs" dxfId="367" priority="300" operator="lessThan">
      <formula>0.8</formula>
    </cfRule>
    <cfRule type="cellIs" dxfId="366" priority="301" operator="greaterThan">
      <formula>0.8</formula>
    </cfRule>
  </conditionalFormatting>
  <conditionalFormatting sqref="AQ95:AQ372 AQ391:AQ1048576">
    <cfRule type="notContainsText" dxfId="365" priority="298" operator="notContains" text="Caida">
      <formula>ISERROR(SEARCH("Caida",AQ95))</formula>
    </cfRule>
    <cfRule type="containsText" dxfId="364" priority="299" operator="containsText" text="Caida">
      <formula>NOT(ISERROR(SEARCH("Caida",AQ95)))</formula>
    </cfRule>
  </conditionalFormatting>
  <conditionalFormatting sqref="AQ6:AQ92">
    <cfRule type="cellIs" dxfId="363" priority="296" operator="lessThan">
      <formula>0.8</formula>
    </cfRule>
    <cfRule type="cellIs" dxfId="362" priority="297" operator="greaterThan">
      <formula>0.8</formula>
    </cfRule>
  </conditionalFormatting>
  <conditionalFormatting sqref="AQ6:AQ92">
    <cfRule type="notContainsText" dxfId="361" priority="294" operator="notContains" text="Caida">
      <formula>ISERROR(SEARCH("Caida",AQ6))</formula>
    </cfRule>
    <cfRule type="containsText" dxfId="360" priority="295" operator="containsText" text="Caida">
      <formula>NOT(ISERROR(SEARCH("Caida",AQ6)))</formula>
    </cfRule>
  </conditionalFormatting>
  <conditionalFormatting sqref="AQ93:AQ94">
    <cfRule type="cellIs" dxfId="359" priority="292" operator="lessThan">
      <formula>0.8</formula>
    </cfRule>
    <cfRule type="cellIs" dxfId="358" priority="293" operator="greaterThan">
      <formula>0.8</formula>
    </cfRule>
  </conditionalFormatting>
  <conditionalFormatting sqref="AQ93:AQ94">
    <cfRule type="notContainsText" dxfId="357" priority="290" operator="notContains" text="Caida">
      <formula>ISERROR(SEARCH("Caida",AQ93))</formula>
    </cfRule>
    <cfRule type="containsText" dxfId="356" priority="291" operator="containsText" text="Caida">
      <formula>NOT(ISERROR(SEARCH("Caida",AQ93)))</formula>
    </cfRule>
  </conditionalFormatting>
  <conditionalFormatting sqref="AQ10">
    <cfRule type="cellIs" dxfId="355" priority="285" operator="equal">
      <formula>"apagado"</formula>
    </cfRule>
    <cfRule type="cellIs" dxfId="354" priority="288" operator="lessThan">
      <formula>0.8</formula>
    </cfRule>
    <cfRule type="cellIs" dxfId="353" priority="289" operator="greaterThan">
      <formula>0.8</formula>
    </cfRule>
  </conditionalFormatting>
  <conditionalFormatting sqref="AQ10">
    <cfRule type="notContainsText" dxfId="352" priority="286" operator="notContains" text="Caida">
      <formula>ISERROR(SEARCH("Caida",AQ10))</formula>
    </cfRule>
    <cfRule type="containsText" dxfId="351" priority="287" operator="containsText" text="Caida">
      <formula>NOT(ISERROR(SEARCH("Caida",AQ10)))</formula>
    </cfRule>
  </conditionalFormatting>
  <conditionalFormatting sqref="AQ1 AQ5:AQ372 AQ380:AQ1048576 AQ3">
    <cfRule type="cellIs" dxfId="350" priority="284" operator="equal">
      <formula>"apagado"</formula>
    </cfRule>
  </conditionalFormatting>
  <conditionalFormatting sqref="O5:X372 AA5:AR372">
    <cfRule type="cellIs" dxfId="349" priority="283" operator="equal">
      <formula>"APAGADO"</formula>
    </cfRule>
  </conditionalFormatting>
  <conditionalFormatting sqref="Y96:Y372">
    <cfRule type="cellIs" dxfId="348" priority="245" operator="lessThan">
      <formula>0.8</formula>
    </cfRule>
    <cfRule type="cellIs" dxfId="347" priority="246" operator="greaterThan">
      <formula>0.8</formula>
    </cfRule>
  </conditionalFormatting>
  <conditionalFormatting sqref="Y96:Y372">
    <cfRule type="notContainsText" dxfId="346" priority="243" operator="notContains" text="Caida">
      <formula>ISERROR(SEARCH("Caida",Y96))</formula>
    </cfRule>
    <cfRule type="containsText" dxfId="345" priority="244" operator="containsText" text="Caida">
      <formula>NOT(ISERROR(SEARCH("Caida",Y96)))</formula>
    </cfRule>
  </conditionalFormatting>
  <conditionalFormatting sqref="Y22">
    <cfRule type="containsText" dxfId="344" priority="242" operator="containsText" text="Instaladas en Funcionamiento Caida">
      <formula>NOT(ISERROR(SEARCH("Instaladas en Funcionamiento Caida",Y22)))</formula>
    </cfRule>
  </conditionalFormatting>
  <conditionalFormatting sqref="Y5">
    <cfRule type="cellIs" dxfId="343" priority="240" operator="lessThan">
      <formula>0.8</formula>
    </cfRule>
    <cfRule type="cellIs" dxfId="342" priority="241" operator="greaterThan">
      <formula>0.8</formula>
    </cfRule>
  </conditionalFormatting>
  <conditionalFormatting sqref="Y5">
    <cfRule type="notContainsText" dxfId="341" priority="238" operator="notContains" text="Caida">
      <formula>ISERROR(SEARCH("Caida",Y5))</formula>
    </cfRule>
    <cfRule type="containsText" dxfId="340" priority="239" operator="containsText" text="Caida">
      <formula>NOT(ISERROR(SEARCH("Caida",Y5)))</formula>
    </cfRule>
  </conditionalFormatting>
  <conditionalFormatting sqref="Y5:Y372">
    <cfRule type="cellIs" dxfId="339" priority="237" operator="equal">
      <formula>"APAGADO"</formula>
    </cfRule>
  </conditionalFormatting>
  <conditionalFormatting sqref="Y6:Y92">
    <cfRule type="cellIs" dxfId="338" priority="235" operator="lessThan">
      <formula>0.8</formula>
    </cfRule>
    <cfRule type="cellIs" dxfId="337" priority="236" operator="greaterThan">
      <formula>0.8</formula>
    </cfRule>
  </conditionalFormatting>
  <conditionalFormatting sqref="Y6:Y92">
    <cfRule type="notContainsText" dxfId="336" priority="233" operator="notContains" text="Caida">
      <formula>ISERROR(SEARCH("Caida",Y6))</formula>
    </cfRule>
    <cfRule type="containsText" dxfId="335" priority="234" operator="containsText" text="Caida">
      <formula>NOT(ISERROR(SEARCH("Caida",Y6)))</formula>
    </cfRule>
  </conditionalFormatting>
  <conditionalFormatting sqref="Y93:Y95">
    <cfRule type="cellIs" dxfId="334" priority="231" operator="lessThan">
      <formula>0.8</formula>
    </cfRule>
    <cfRule type="cellIs" dxfId="333" priority="232" operator="greaterThan">
      <formula>0.8</formula>
    </cfRule>
  </conditionalFormatting>
  <conditionalFormatting sqref="Y93:Y95">
    <cfRule type="notContainsText" dxfId="332" priority="229" operator="notContains" text="Caida">
      <formula>ISERROR(SEARCH("Caida",Y93))</formula>
    </cfRule>
    <cfRule type="containsText" dxfId="331" priority="230" operator="containsText" text="Caida">
      <formula>NOT(ISERROR(SEARCH("Caida",Y93)))</formula>
    </cfRule>
  </conditionalFormatting>
  <conditionalFormatting sqref="Y5:Y372">
    <cfRule type="cellIs" dxfId="330" priority="228" operator="equal">
      <formula>"apagado"</formula>
    </cfRule>
  </conditionalFormatting>
  <conditionalFormatting sqref="Z96:Z372">
    <cfRule type="cellIs" dxfId="329" priority="225" operator="lessThan">
      <formula>0.8</formula>
    </cfRule>
    <cfRule type="cellIs" dxfId="328" priority="226" operator="greaterThan">
      <formula>0.8</formula>
    </cfRule>
  </conditionalFormatting>
  <conditionalFormatting sqref="Z96:Z372">
    <cfRule type="notContainsText" dxfId="327" priority="223" operator="notContains" text="Caida">
      <formula>ISERROR(SEARCH("Caida",Z96))</formula>
    </cfRule>
    <cfRule type="containsText" dxfId="326" priority="224" operator="containsText" text="Caida">
      <formula>NOT(ISERROR(SEARCH("Caida",Z96)))</formula>
    </cfRule>
  </conditionalFormatting>
  <conditionalFormatting sqref="Z22">
    <cfRule type="containsText" dxfId="325" priority="222" operator="containsText" text="Instaladas en Funcionamiento Caida">
      <formula>NOT(ISERROR(SEARCH("Instaladas en Funcionamiento Caida",Z22)))</formula>
    </cfRule>
  </conditionalFormatting>
  <conditionalFormatting sqref="Z5">
    <cfRule type="cellIs" dxfId="324" priority="220" operator="lessThan">
      <formula>0.8</formula>
    </cfRule>
    <cfRule type="cellIs" dxfId="323" priority="221" operator="greaterThan">
      <formula>0.8</formula>
    </cfRule>
  </conditionalFormatting>
  <conditionalFormatting sqref="Z5">
    <cfRule type="notContainsText" dxfId="322" priority="218" operator="notContains" text="Caida">
      <formula>ISERROR(SEARCH("Caida",Z5))</formula>
    </cfRule>
    <cfRule type="containsText" dxfId="321" priority="219" operator="containsText" text="Caida">
      <formula>NOT(ISERROR(SEARCH("Caida",Z5)))</formula>
    </cfRule>
  </conditionalFormatting>
  <conditionalFormatting sqref="Z5:Z372">
    <cfRule type="cellIs" dxfId="320" priority="217" operator="equal">
      <formula>"APAGADO"</formula>
    </cfRule>
  </conditionalFormatting>
  <conditionalFormatting sqref="Z6:Z92">
    <cfRule type="cellIs" dxfId="319" priority="215" operator="lessThan">
      <formula>0.8</formula>
    </cfRule>
    <cfRule type="cellIs" dxfId="318" priority="216" operator="greaterThan">
      <formula>0.8</formula>
    </cfRule>
  </conditionalFormatting>
  <conditionalFormatting sqref="Z6:Z92">
    <cfRule type="notContainsText" dxfId="317" priority="213" operator="notContains" text="Caida">
      <formula>ISERROR(SEARCH("Caida",Z6))</formula>
    </cfRule>
    <cfRule type="containsText" dxfId="316" priority="214" operator="containsText" text="Caida">
      <formula>NOT(ISERROR(SEARCH("Caida",Z6)))</formula>
    </cfRule>
  </conditionalFormatting>
  <conditionalFormatting sqref="Z93:Z95">
    <cfRule type="cellIs" dxfId="315" priority="211" operator="lessThan">
      <formula>0.8</formula>
    </cfRule>
    <cfRule type="cellIs" dxfId="314" priority="212" operator="greaterThan">
      <formula>0.8</formula>
    </cfRule>
  </conditionalFormatting>
  <conditionalFormatting sqref="Z93:Z95">
    <cfRule type="notContainsText" dxfId="313" priority="209" operator="notContains" text="Caida">
      <formula>ISERROR(SEARCH("Caida",Z93))</formula>
    </cfRule>
    <cfRule type="containsText" dxfId="312" priority="210" operator="containsText" text="Caida">
      <formula>NOT(ISERROR(SEARCH("Caida",Z93)))</formula>
    </cfRule>
  </conditionalFormatting>
  <conditionalFormatting sqref="Z5:Z372">
    <cfRule type="cellIs" dxfId="311" priority="208" operator="equal">
      <formula>"apagado"</formula>
    </cfRule>
  </conditionalFormatting>
  <conditionalFormatting sqref="AH94">
    <cfRule type="cellIs" dxfId="310" priority="205" operator="lessThan">
      <formula>0.8</formula>
    </cfRule>
    <cfRule type="cellIs" dxfId="309" priority="206" operator="greaterThan">
      <formula>0.8</formula>
    </cfRule>
  </conditionalFormatting>
  <conditionalFormatting sqref="AH94">
    <cfRule type="notContainsText" dxfId="308" priority="203" operator="notContains" text="Caida">
      <formula>ISERROR(SEARCH("Caida",AH94))</formula>
    </cfRule>
    <cfRule type="containsText" dxfId="307" priority="204" operator="containsText" text="Caida">
      <formula>NOT(ISERROR(SEARCH("Caida",AH94)))</formula>
    </cfRule>
  </conditionalFormatting>
  <conditionalFormatting sqref="AH96">
    <cfRule type="cellIs" dxfId="306" priority="201" operator="lessThan">
      <formula>0.8</formula>
    </cfRule>
    <cfRule type="cellIs" dxfId="305" priority="202" operator="greaterThan">
      <formula>0.8</formula>
    </cfRule>
  </conditionalFormatting>
  <conditionalFormatting sqref="AH96">
    <cfRule type="notContainsText" dxfId="304" priority="199" operator="notContains" text="Caida">
      <formula>ISERROR(SEARCH("Caida",AH96))</formula>
    </cfRule>
    <cfRule type="containsText" dxfId="303" priority="200" operator="containsText" text="Caida">
      <formula>NOT(ISERROR(SEARCH("Caida",AH96)))</formula>
    </cfRule>
  </conditionalFormatting>
  <conditionalFormatting sqref="AH99">
    <cfRule type="cellIs" dxfId="302" priority="197" operator="lessThan">
      <formula>0.8</formula>
    </cfRule>
    <cfRule type="cellIs" dxfId="301" priority="198" operator="greaterThan">
      <formula>0.8</formula>
    </cfRule>
  </conditionalFormatting>
  <conditionalFormatting sqref="AH99">
    <cfRule type="notContainsText" dxfId="300" priority="195" operator="notContains" text="Caida">
      <formula>ISERROR(SEARCH("Caida",AH99))</formula>
    </cfRule>
    <cfRule type="containsText" dxfId="299" priority="196" operator="containsText" text="Caida">
      <formula>NOT(ISERROR(SEARCH("Caida",AH99)))</formula>
    </cfRule>
  </conditionalFormatting>
  <conditionalFormatting sqref="AH115">
    <cfRule type="cellIs" dxfId="298" priority="193" operator="lessThan">
      <formula>0.8</formula>
    </cfRule>
    <cfRule type="cellIs" dxfId="297" priority="194" operator="greaterThan">
      <formula>0.8</formula>
    </cfRule>
  </conditionalFormatting>
  <conditionalFormatting sqref="AH115">
    <cfRule type="notContainsText" dxfId="296" priority="191" operator="notContains" text="Caida">
      <formula>ISERROR(SEARCH("Caida",AH115))</formula>
    </cfRule>
    <cfRule type="containsText" dxfId="295" priority="192" operator="containsText" text="Caida">
      <formula>NOT(ISERROR(SEARCH("Caida",AH115)))</formula>
    </cfRule>
  </conditionalFormatting>
  <conditionalFormatting sqref="AH116">
    <cfRule type="cellIs" dxfId="294" priority="189" operator="lessThan">
      <formula>0.8</formula>
    </cfRule>
    <cfRule type="cellIs" dxfId="293" priority="190" operator="greaterThan">
      <formula>0.8</formula>
    </cfRule>
  </conditionalFormatting>
  <conditionalFormatting sqref="AH116">
    <cfRule type="notContainsText" dxfId="292" priority="187" operator="notContains" text="Caida">
      <formula>ISERROR(SEARCH("Caida",AH116))</formula>
    </cfRule>
    <cfRule type="containsText" dxfId="291" priority="188" operator="containsText" text="Caida">
      <formula>NOT(ISERROR(SEARCH("Caida",AH116)))</formula>
    </cfRule>
  </conditionalFormatting>
  <conditionalFormatting sqref="AH120">
    <cfRule type="cellIs" dxfId="290" priority="185" operator="lessThan">
      <formula>0.8</formula>
    </cfRule>
    <cfRule type="cellIs" dxfId="289" priority="186" operator="greaterThan">
      <formula>0.8</formula>
    </cfRule>
  </conditionalFormatting>
  <conditionalFormatting sqref="AH120">
    <cfRule type="notContainsText" dxfId="288" priority="183" operator="notContains" text="Caida">
      <formula>ISERROR(SEARCH("Caida",AH120))</formula>
    </cfRule>
    <cfRule type="containsText" dxfId="287" priority="184" operator="containsText" text="Caida">
      <formula>NOT(ISERROR(SEARCH("Caida",AH120)))</formula>
    </cfRule>
  </conditionalFormatting>
  <conditionalFormatting sqref="AH121">
    <cfRule type="cellIs" dxfId="286" priority="181" operator="lessThan">
      <formula>0.8</formula>
    </cfRule>
    <cfRule type="cellIs" dxfId="285" priority="182" operator="greaterThan">
      <formula>0.8</formula>
    </cfRule>
  </conditionalFormatting>
  <conditionalFormatting sqref="AH121">
    <cfRule type="notContainsText" dxfId="284" priority="179" operator="notContains" text="Caida">
      <formula>ISERROR(SEARCH("Caida",AH121))</formula>
    </cfRule>
    <cfRule type="containsText" dxfId="283" priority="180" operator="containsText" text="Caida">
      <formula>NOT(ISERROR(SEARCH("Caida",AH121)))</formula>
    </cfRule>
  </conditionalFormatting>
  <conditionalFormatting sqref="AH133">
    <cfRule type="cellIs" dxfId="282" priority="177" operator="lessThan">
      <formula>0.8</formula>
    </cfRule>
    <cfRule type="cellIs" dxfId="281" priority="178" operator="greaterThan">
      <formula>0.8</formula>
    </cfRule>
  </conditionalFormatting>
  <conditionalFormatting sqref="AH133">
    <cfRule type="notContainsText" dxfId="280" priority="175" operator="notContains" text="Caida">
      <formula>ISERROR(SEARCH("Caida",AH133))</formula>
    </cfRule>
    <cfRule type="containsText" dxfId="279" priority="176" operator="containsText" text="Caida">
      <formula>NOT(ISERROR(SEARCH("Caida",AH133)))</formula>
    </cfRule>
  </conditionalFormatting>
  <conditionalFormatting sqref="AH135">
    <cfRule type="cellIs" dxfId="278" priority="173" operator="lessThan">
      <formula>0.8</formula>
    </cfRule>
    <cfRule type="cellIs" dxfId="277" priority="174" operator="greaterThan">
      <formula>0.8</formula>
    </cfRule>
  </conditionalFormatting>
  <conditionalFormatting sqref="AH135">
    <cfRule type="notContainsText" dxfId="276" priority="171" operator="notContains" text="Caida">
      <formula>ISERROR(SEARCH("Caida",AH135))</formula>
    </cfRule>
    <cfRule type="containsText" dxfId="275" priority="172" operator="containsText" text="Caida">
      <formula>NOT(ISERROR(SEARCH("Caida",AH135)))</formula>
    </cfRule>
  </conditionalFormatting>
  <conditionalFormatting sqref="AH142">
    <cfRule type="cellIs" dxfId="274" priority="169" operator="lessThan">
      <formula>0.8</formula>
    </cfRule>
    <cfRule type="cellIs" dxfId="273" priority="170" operator="greaterThan">
      <formula>0.8</formula>
    </cfRule>
  </conditionalFormatting>
  <conditionalFormatting sqref="AH142">
    <cfRule type="notContainsText" dxfId="272" priority="167" operator="notContains" text="Caida">
      <formula>ISERROR(SEARCH("Caida",AH142))</formula>
    </cfRule>
    <cfRule type="containsText" dxfId="271" priority="168" operator="containsText" text="Caida">
      <formula>NOT(ISERROR(SEARCH("Caida",AH142)))</formula>
    </cfRule>
  </conditionalFormatting>
  <conditionalFormatting sqref="AH143">
    <cfRule type="cellIs" dxfId="270" priority="165" operator="lessThan">
      <formula>0.8</formula>
    </cfRule>
    <cfRule type="cellIs" dxfId="269" priority="166" operator="greaterThan">
      <formula>0.8</formula>
    </cfRule>
  </conditionalFormatting>
  <conditionalFormatting sqref="AH143">
    <cfRule type="notContainsText" dxfId="268" priority="163" operator="notContains" text="Caida">
      <formula>ISERROR(SEARCH("Caida",AH143))</formula>
    </cfRule>
    <cfRule type="containsText" dxfId="267" priority="164" operator="containsText" text="Caida">
      <formula>NOT(ISERROR(SEARCH("Caida",AH143)))</formula>
    </cfRule>
  </conditionalFormatting>
  <conditionalFormatting sqref="AH144">
    <cfRule type="cellIs" dxfId="266" priority="161" operator="lessThan">
      <formula>0.8</formula>
    </cfRule>
    <cfRule type="cellIs" dxfId="265" priority="162" operator="greaterThan">
      <formula>0.8</formula>
    </cfRule>
  </conditionalFormatting>
  <conditionalFormatting sqref="AH144">
    <cfRule type="notContainsText" dxfId="264" priority="159" operator="notContains" text="Caida">
      <formula>ISERROR(SEARCH("Caida",AH144))</formula>
    </cfRule>
    <cfRule type="containsText" dxfId="263" priority="160" operator="containsText" text="Caida">
      <formula>NOT(ISERROR(SEARCH("Caida",AH144)))</formula>
    </cfRule>
  </conditionalFormatting>
  <conditionalFormatting sqref="AH163">
    <cfRule type="cellIs" dxfId="262" priority="157" operator="lessThan">
      <formula>0.8</formula>
    </cfRule>
    <cfRule type="cellIs" dxfId="261" priority="158" operator="greaterThan">
      <formula>0.8</formula>
    </cfRule>
  </conditionalFormatting>
  <conditionalFormatting sqref="AH163">
    <cfRule type="notContainsText" dxfId="260" priority="155" operator="notContains" text="Caida">
      <formula>ISERROR(SEARCH("Caida",AH163))</formula>
    </cfRule>
    <cfRule type="containsText" dxfId="259" priority="156" operator="containsText" text="Caida">
      <formula>NOT(ISERROR(SEARCH("Caida",AH163)))</formula>
    </cfRule>
  </conditionalFormatting>
  <conditionalFormatting sqref="AH164">
    <cfRule type="cellIs" dxfId="258" priority="153" operator="lessThan">
      <formula>0.8</formula>
    </cfRule>
    <cfRule type="cellIs" dxfId="257" priority="154" operator="greaterThan">
      <formula>0.8</formula>
    </cfRule>
  </conditionalFormatting>
  <conditionalFormatting sqref="AH164">
    <cfRule type="notContainsText" dxfId="256" priority="151" operator="notContains" text="Caida">
      <formula>ISERROR(SEARCH("Caida",AH164))</formula>
    </cfRule>
    <cfRule type="containsText" dxfId="255" priority="152" operator="containsText" text="Caida">
      <formula>NOT(ISERROR(SEARCH("Caida",AH164)))</formula>
    </cfRule>
  </conditionalFormatting>
  <conditionalFormatting sqref="AH166">
    <cfRule type="cellIs" dxfId="254" priority="149" operator="lessThan">
      <formula>0.8</formula>
    </cfRule>
    <cfRule type="cellIs" dxfId="253" priority="150" operator="greaterThan">
      <formula>0.8</formula>
    </cfRule>
  </conditionalFormatting>
  <conditionalFormatting sqref="AH166">
    <cfRule type="notContainsText" dxfId="252" priority="147" operator="notContains" text="Caida">
      <formula>ISERROR(SEARCH("Caida",AH166))</formula>
    </cfRule>
    <cfRule type="containsText" dxfId="251" priority="148" operator="containsText" text="Caida">
      <formula>NOT(ISERROR(SEARCH("Caida",AH166)))</formula>
    </cfRule>
  </conditionalFormatting>
  <conditionalFormatting sqref="AH177">
    <cfRule type="cellIs" dxfId="250" priority="145" operator="lessThan">
      <formula>0.8</formula>
    </cfRule>
    <cfRule type="cellIs" dxfId="249" priority="146" operator="greaterThan">
      <formula>0.8</formula>
    </cfRule>
  </conditionalFormatting>
  <conditionalFormatting sqref="AH177">
    <cfRule type="notContainsText" dxfId="248" priority="143" operator="notContains" text="Caida">
      <formula>ISERROR(SEARCH("Caida",AH177))</formula>
    </cfRule>
    <cfRule type="containsText" dxfId="247" priority="144" operator="containsText" text="Caida">
      <formula>NOT(ISERROR(SEARCH("Caida",AH177)))</formula>
    </cfRule>
  </conditionalFormatting>
  <conditionalFormatting sqref="AH191">
    <cfRule type="cellIs" dxfId="246" priority="141" operator="lessThan">
      <formula>0.8</formula>
    </cfRule>
    <cfRule type="cellIs" dxfId="245" priority="142" operator="greaterThan">
      <formula>0.8</formula>
    </cfRule>
  </conditionalFormatting>
  <conditionalFormatting sqref="AH191">
    <cfRule type="notContainsText" dxfId="244" priority="139" operator="notContains" text="Caida">
      <formula>ISERROR(SEARCH("Caida",AH191))</formula>
    </cfRule>
    <cfRule type="containsText" dxfId="243" priority="140" operator="containsText" text="Caida">
      <formula>NOT(ISERROR(SEARCH("Caida",AH191)))</formula>
    </cfRule>
  </conditionalFormatting>
  <conditionalFormatting sqref="AH192">
    <cfRule type="cellIs" dxfId="242" priority="137" operator="lessThan">
      <formula>0.8</formula>
    </cfRule>
    <cfRule type="cellIs" dxfId="241" priority="138" operator="greaterThan">
      <formula>0.8</formula>
    </cfRule>
  </conditionalFormatting>
  <conditionalFormatting sqref="AH192">
    <cfRule type="notContainsText" dxfId="240" priority="135" operator="notContains" text="Caida">
      <formula>ISERROR(SEARCH("Caida",AH192))</formula>
    </cfRule>
    <cfRule type="containsText" dxfId="239" priority="136" operator="containsText" text="Caida">
      <formula>NOT(ISERROR(SEARCH("Caida",AH192)))</formula>
    </cfRule>
  </conditionalFormatting>
  <conditionalFormatting sqref="AH198">
    <cfRule type="cellIs" dxfId="238" priority="133" operator="lessThan">
      <formula>0.8</formula>
    </cfRule>
    <cfRule type="cellIs" dxfId="237" priority="134" operator="greaterThan">
      <formula>0.8</formula>
    </cfRule>
  </conditionalFormatting>
  <conditionalFormatting sqref="AH198">
    <cfRule type="notContainsText" dxfId="236" priority="131" operator="notContains" text="Caida">
      <formula>ISERROR(SEARCH("Caida",AH198))</formula>
    </cfRule>
    <cfRule type="containsText" dxfId="235" priority="132" operator="containsText" text="Caida">
      <formula>NOT(ISERROR(SEARCH("Caida",AH198)))</formula>
    </cfRule>
  </conditionalFormatting>
  <conditionalFormatting sqref="AH206">
    <cfRule type="cellIs" dxfId="234" priority="129" operator="lessThan">
      <formula>0.8</formula>
    </cfRule>
    <cfRule type="cellIs" dxfId="233" priority="130" operator="greaterThan">
      <formula>0.8</formula>
    </cfRule>
  </conditionalFormatting>
  <conditionalFormatting sqref="AH206">
    <cfRule type="notContainsText" dxfId="232" priority="127" operator="notContains" text="Caida">
      <formula>ISERROR(SEARCH("Caida",AH206))</formula>
    </cfRule>
    <cfRule type="containsText" dxfId="231" priority="128" operator="containsText" text="Caida">
      <formula>NOT(ISERROR(SEARCH("Caida",AH206)))</formula>
    </cfRule>
  </conditionalFormatting>
  <conditionalFormatting sqref="AH211">
    <cfRule type="cellIs" dxfId="230" priority="125" operator="lessThan">
      <formula>0.8</formula>
    </cfRule>
    <cfRule type="cellIs" dxfId="229" priority="126" operator="greaterThan">
      <formula>0.8</formula>
    </cfRule>
  </conditionalFormatting>
  <conditionalFormatting sqref="AH211">
    <cfRule type="notContainsText" dxfId="228" priority="123" operator="notContains" text="Caida">
      <formula>ISERROR(SEARCH("Caida",AH211))</formula>
    </cfRule>
    <cfRule type="containsText" dxfId="227" priority="124" operator="containsText" text="Caida">
      <formula>NOT(ISERROR(SEARCH("Caida",AH211)))</formula>
    </cfRule>
  </conditionalFormatting>
  <conditionalFormatting sqref="AH212">
    <cfRule type="cellIs" dxfId="226" priority="121" operator="lessThan">
      <formula>0.8</formula>
    </cfRule>
    <cfRule type="cellIs" dxfId="225" priority="122" operator="greaterThan">
      <formula>0.8</formula>
    </cfRule>
  </conditionalFormatting>
  <conditionalFormatting sqref="AH212">
    <cfRule type="notContainsText" dxfId="224" priority="119" operator="notContains" text="Caida">
      <formula>ISERROR(SEARCH("Caida",AH212))</formula>
    </cfRule>
    <cfRule type="containsText" dxfId="223" priority="120" operator="containsText" text="Caida">
      <formula>NOT(ISERROR(SEARCH("Caida",AH212)))</formula>
    </cfRule>
  </conditionalFormatting>
  <conditionalFormatting sqref="AH359">
    <cfRule type="cellIs" dxfId="222" priority="118" operator="equal">
      <formula>"apagado"</formula>
    </cfRule>
  </conditionalFormatting>
  <conditionalFormatting sqref="AH360">
    <cfRule type="cellIs" dxfId="221" priority="117" operator="equal">
      <formula>"apagado"</formula>
    </cfRule>
  </conditionalFormatting>
  <conditionalFormatting sqref="AH361">
    <cfRule type="cellIs" dxfId="220" priority="116" operator="equal">
      <formula>"apagado"</formula>
    </cfRule>
  </conditionalFormatting>
  <conditionalFormatting sqref="AH362">
    <cfRule type="cellIs" dxfId="219" priority="115" operator="equal">
      <formula>"apagado"</formula>
    </cfRule>
  </conditionalFormatting>
  <conditionalFormatting sqref="AH206">
    <cfRule type="cellIs" dxfId="218" priority="114" operator="equal">
      <formula>"apagado"</formula>
    </cfRule>
  </conditionalFormatting>
  <conditionalFormatting sqref="AH211">
    <cfRule type="cellIs" dxfId="217" priority="113" operator="equal">
      <formula>"apagado"</formula>
    </cfRule>
  </conditionalFormatting>
  <conditionalFormatting sqref="AH212">
    <cfRule type="cellIs" dxfId="216" priority="112" operator="equal">
      <formula>"apagado"</formula>
    </cfRule>
  </conditionalFormatting>
  <conditionalFormatting sqref="AH198">
    <cfRule type="cellIs" dxfId="215" priority="111" operator="equal">
      <formula>"apagado"</formula>
    </cfRule>
  </conditionalFormatting>
  <conditionalFormatting sqref="AH192">
    <cfRule type="cellIs" dxfId="214" priority="110" operator="equal">
      <formula>"apagado"</formula>
    </cfRule>
  </conditionalFormatting>
  <conditionalFormatting sqref="AH191">
    <cfRule type="cellIs" dxfId="213" priority="109" operator="equal">
      <formula>"apagado"</formula>
    </cfRule>
  </conditionalFormatting>
  <conditionalFormatting sqref="AH177">
    <cfRule type="cellIs" dxfId="212" priority="108" operator="equal">
      <formula>"apagado"</formula>
    </cfRule>
  </conditionalFormatting>
  <conditionalFormatting sqref="AH166">
    <cfRule type="cellIs" dxfId="211" priority="107" operator="equal">
      <formula>"apagado"</formula>
    </cfRule>
  </conditionalFormatting>
  <conditionalFormatting sqref="AH163">
    <cfRule type="cellIs" dxfId="210" priority="106" operator="equal">
      <formula>"apagado"</formula>
    </cfRule>
  </conditionalFormatting>
  <conditionalFormatting sqref="AH164">
    <cfRule type="cellIs" dxfId="209" priority="105" operator="equal">
      <formula>"apagado"</formula>
    </cfRule>
  </conditionalFormatting>
  <conditionalFormatting sqref="AH142">
    <cfRule type="cellIs" dxfId="208" priority="104" operator="equal">
      <formula>"apagado"</formula>
    </cfRule>
  </conditionalFormatting>
  <conditionalFormatting sqref="AH143">
    <cfRule type="cellIs" dxfId="207" priority="103" operator="equal">
      <formula>"apagado"</formula>
    </cfRule>
  </conditionalFormatting>
  <conditionalFormatting sqref="AH144">
    <cfRule type="cellIs" dxfId="206" priority="102" operator="equal">
      <formula>"apagado"</formula>
    </cfRule>
  </conditionalFormatting>
  <conditionalFormatting sqref="AH133">
    <cfRule type="cellIs" dxfId="205" priority="101" operator="equal">
      <formula>"apagado"</formula>
    </cfRule>
  </conditionalFormatting>
  <conditionalFormatting sqref="AH135">
    <cfRule type="cellIs" dxfId="204" priority="100" operator="equal">
      <formula>"apagado"</formula>
    </cfRule>
  </conditionalFormatting>
  <conditionalFormatting sqref="AH115">
    <cfRule type="cellIs" dxfId="203" priority="99" operator="equal">
      <formula>"apagado"</formula>
    </cfRule>
  </conditionalFormatting>
  <conditionalFormatting sqref="AH116">
    <cfRule type="cellIs" dxfId="202" priority="98" operator="equal">
      <formula>"apagado"</formula>
    </cfRule>
  </conditionalFormatting>
  <conditionalFormatting sqref="AH120">
    <cfRule type="cellIs" dxfId="201" priority="97" operator="equal">
      <formula>"apagado"</formula>
    </cfRule>
  </conditionalFormatting>
  <conditionalFormatting sqref="AH121">
    <cfRule type="cellIs" dxfId="200" priority="96" operator="equal">
      <formula>"apagado"</formula>
    </cfRule>
  </conditionalFormatting>
  <conditionalFormatting sqref="AH99">
    <cfRule type="cellIs" dxfId="199" priority="95" operator="equal">
      <formula>"apagado"</formula>
    </cfRule>
  </conditionalFormatting>
  <conditionalFormatting sqref="AH94">
    <cfRule type="cellIs" dxfId="198" priority="93" operator="lessThan">
      <formula>0.8</formula>
    </cfRule>
    <cfRule type="cellIs" dxfId="197" priority="94" operator="greaterThan">
      <formula>0.8</formula>
    </cfRule>
  </conditionalFormatting>
  <conditionalFormatting sqref="AH94">
    <cfRule type="notContainsText" dxfId="196" priority="91" operator="notContains" text="Caida">
      <formula>ISERROR(SEARCH("Caida",AH94))</formula>
    </cfRule>
    <cfRule type="containsText" dxfId="195" priority="92" operator="containsText" text="Caida">
      <formula>NOT(ISERROR(SEARCH("Caida",AH94)))</formula>
    </cfRule>
  </conditionalFormatting>
  <conditionalFormatting sqref="AH94">
    <cfRule type="cellIs" dxfId="194" priority="90" operator="equal">
      <formula>"apagado"</formula>
    </cfRule>
  </conditionalFormatting>
  <conditionalFormatting sqref="AH96">
    <cfRule type="cellIs" dxfId="193" priority="89" operator="equal">
      <formula>"apagado"</formula>
    </cfRule>
  </conditionalFormatting>
  <conditionalFormatting sqref="V373:X379 AA373:AJ379 N373:N379">
    <cfRule type="cellIs" dxfId="192" priority="73" operator="lessThan">
      <formula>0.8</formula>
    </cfRule>
    <cfRule type="cellIs" dxfId="191" priority="74" operator="greaterThan">
      <formula>0.8</formula>
    </cfRule>
  </conditionalFormatting>
  <conditionalFormatting sqref="E373:K379">
    <cfRule type="containsText" dxfId="190" priority="72" operator="containsText" text="Radio">
      <formula>NOT(ISERROR(SEARCH("Radio",E373)))</formula>
    </cfRule>
  </conditionalFormatting>
  <conditionalFormatting sqref="O373:O379 V373:X379 AA373:AP379 AR373:AR379">
    <cfRule type="notContainsText" dxfId="189" priority="70" operator="notContains" text="Caida">
      <formula>ISERROR(SEARCH("Caida",O373))</formula>
    </cfRule>
    <cfRule type="containsText" dxfId="188" priority="71" operator="containsText" text="Caida">
      <formula>NOT(ISERROR(SEARCH("Caida",O373)))</formula>
    </cfRule>
  </conditionalFormatting>
  <conditionalFormatting sqref="P373:P379">
    <cfRule type="cellIs" dxfId="187" priority="68" operator="lessThan">
      <formula>0.8</formula>
    </cfRule>
    <cfRule type="cellIs" dxfId="186" priority="69" operator="greaterThan">
      <formula>0.8</formula>
    </cfRule>
  </conditionalFormatting>
  <conditionalFormatting sqref="P373:P379">
    <cfRule type="notContainsText" dxfId="185" priority="66" operator="notContains" text="Caida">
      <formula>ISERROR(SEARCH("Caida",P373))</formula>
    </cfRule>
    <cfRule type="containsText" dxfId="184" priority="67" operator="containsText" text="Caida">
      <formula>NOT(ISERROR(SEARCH("Caida",P373)))</formula>
    </cfRule>
  </conditionalFormatting>
  <conditionalFormatting sqref="Q373:Q379">
    <cfRule type="cellIs" dxfId="183" priority="64" operator="lessThan">
      <formula>0.8</formula>
    </cfRule>
    <cfRule type="cellIs" dxfId="182" priority="65" operator="greaterThan">
      <formula>0.8</formula>
    </cfRule>
  </conditionalFormatting>
  <conditionalFormatting sqref="Q373:Q379">
    <cfRule type="notContainsText" dxfId="181" priority="62" operator="notContains" text="Caida">
      <formula>ISERROR(SEARCH("Caida",Q373))</formula>
    </cfRule>
    <cfRule type="containsText" dxfId="180" priority="63" operator="containsText" text="Caida">
      <formula>NOT(ISERROR(SEARCH("Caida",Q373)))</formula>
    </cfRule>
  </conditionalFormatting>
  <conditionalFormatting sqref="U373:U379">
    <cfRule type="cellIs" dxfId="179" priority="60" operator="lessThan">
      <formula>0.8</formula>
    </cfRule>
    <cfRule type="cellIs" dxfId="178" priority="61" operator="greaterThan">
      <formula>0.8</formula>
    </cfRule>
  </conditionalFormatting>
  <conditionalFormatting sqref="U373:U379">
    <cfRule type="notContainsText" dxfId="177" priority="58" operator="notContains" text="Caida">
      <formula>ISERROR(SEARCH("Caida",U373))</formula>
    </cfRule>
    <cfRule type="containsText" dxfId="176" priority="59" operator="containsText" text="Caida">
      <formula>NOT(ISERROR(SEARCH("Caida",U373)))</formula>
    </cfRule>
  </conditionalFormatting>
  <conditionalFormatting sqref="E373:E379">
    <cfRule type="containsText" dxfId="175" priority="56" operator="containsText" text="fija">
      <formula>NOT(ISERROR(SEARCH("fija",E373)))</formula>
    </cfRule>
    <cfRule type="containsText" dxfId="174" priority="57" operator="containsText" text="domo">
      <formula>NOT(ISERROR(SEARCH("domo",E373)))</formula>
    </cfRule>
  </conditionalFormatting>
  <conditionalFormatting sqref="O373:O379 AK373:AR379">
    <cfRule type="cellIs" dxfId="173" priority="55" operator="equal">
      <formula>"APAGADO"</formula>
    </cfRule>
  </conditionalFormatting>
  <conditionalFormatting sqref="F373:F379">
    <cfRule type="cellIs" dxfId="172" priority="54" operator="equal">
      <formula>"PTP A FO"</formula>
    </cfRule>
  </conditionalFormatting>
  <conditionalFormatting sqref="R373:T379">
    <cfRule type="cellIs" dxfId="171" priority="52" operator="lessThan">
      <formula>0.8</formula>
    </cfRule>
    <cfRule type="cellIs" dxfId="170" priority="53" operator="greaterThan">
      <formula>0.8</formula>
    </cfRule>
  </conditionalFormatting>
  <conditionalFormatting sqref="R373:T379">
    <cfRule type="notContainsText" dxfId="169" priority="50" operator="notContains" text="Caida">
      <formula>ISERROR(SEARCH("Caida",R373))</formula>
    </cfRule>
    <cfRule type="containsText" dxfId="168" priority="51" operator="containsText" text="Caida">
      <formula>NOT(ISERROR(SEARCH("Caida",R373)))</formula>
    </cfRule>
  </conditionalFormatting>
  <conditionalFormatting sqref="AF373:AF379">
    <cfRule type="cellIs" dxfId="167" priority="49" operator="equal">
      <formula>"apagado"</formula>
    </cfRule>
  </conditionalFormatting>
  <conditionalFormatting sqref="AE373:AE379">
    <cfRule type="cellIs" dxfId="166" priority="48" operator="equal">
      <formula>"apagado"</formula>
    </cfRule>
  </conditionalFormatting>
  <conditionalFormatting sqref="AD373:AD379">
    <cfRule type="cellIs" dxfId="165" priority="47" operator="equal">
      <formula>"apagado"</formula>
    </cfRule>
  </conditionalFormatting>
  <conditionalFormatting sqref="AC373:AC379">
    <cfRule type="cellIs" dxfId="164" priority="46" operator="equal">
      <formula>"apagado"</formula>
    </cfRule>
  </conditionalFormatting>
  <conditionalFormatting sqref="AB373:AB379">
    <cfRule type="cellIs" dxfId="163" priority="45" operator="equal">
      <formula>"apagado"</formula>
    </cfRule>
  </conditionalFormatting>
  <conditionalFormatting sqref="AA373:AA379">
    <cfRule type="cellIs" dxfId="162" priority="44" operator="equal">
      <formula>"apagado"</formula>
    </cfRule>
  </conditionalFormatting>
  <conditionalFormatting sqref="AG373:AG379">
    <cfRule type="cellIs" dxfId="161" priority="43" operator="equal">
      <formula>"apagado"</formula>
    </cfRule>
  </conditionalFormatting>
  <conditionalFormatting sqref="AH373:AH379">
    <cfRule type="cellIs" dxfId="160" priority="42" operator="equal">
      <formula>"apagado"</formula>
    </cfRule>
  </conditionalFormatting>
  <conditionalFormatting sqref="AI373:AI379">
    <cfRule type="cellIs" dxfId="159" priority="41" operator="equal">
      <formula>"apagado"</formula>
    </cfRule>
  </conditionalFormatting>
  <conditionalFormatting sqref="AJ373:AJ379">
    <cfRule type="cellIs" dxfId="158" priority="40" operator="equal">
      <formula>"apagado"</formula>
    </cfRule>
  </conditionalFormatting>
  <conditionalFormatting sqref="AQ373:AQ379">
    <cfRule type="notContainsText" dxfId="157" priority="38" operator="notContains" text="Caida">
      <formula>ISERROR(SEARCH("Caida",AQ373))</formula>
    </cfRule>
    <cfRule type="containsText" dxfId="156" priority="39" operator="containsText" text="Caida">
      <formula>NOT(ISERROR(SEARCH("Caida",AQ373)))</formula>
    </cfRule>
  </conditionalFormatting>
  <conditionalFormatting sqref="AQ373:AQ379">
    <cfRule type="cellIs" dxfId="155" priority="37" operator="equal">
      <formula>"apagado"</formula>
    </cfRule>
  </conditionalFormatting>
  <conditionalFormatting sqref="O373:X379 AA373:AR379">
    <cfRule type="cellIs" dxfId="154" priority="36" operator="equal">
      <formula>"APAGADO"</formula>
    </cfRule>
  </conditionalFormatting>
  <conditionalFormatting sqref="Y373:Y379">
    <cfRule type="cellIs" dxfId="153" priority="34" operator="lessThan">
      <formula>0.8</formula>
    </cfRule>
    <cfRule type="cellIs" dxfId="152" priority="35" operator="greaterThan">
      <formula>0.8</formula>
    </cfRule>
  </conditionalFormatting>
  <conditionalFormatting sqref="Y373:Y379">
    <cfRule type="notContainsText" dxfId="151" priority="32" operator="notContains" text="Caida">
      <formula>ISERROR(SEARCH("Caida",Y373))</formula>
    </cfRule>
    <cfRule type="containsText" dxfId="150" priority="33" operator="containsText" text="Caida">
      <formula>NOT(ISERROR(SEARCH("Caida",Y373)))</formula>
    </cfRule>
  </conditionalFormatting>
  <conditionalFormatting sqref="Y373:Y379">
    <cfRule type="cellIs" dxfId="149" priority="31" operator="equal">
      <formula>"APAGADO"</formula>
    </cfRule>
  </conditionalFormatting>
  <conditionalFormatting sqref="Y373:Y379">
    <cfRule type="cellIs" dxfId="148" priority="30" operator="equal">
      <formula>"apagado"</formula>
    </cfRule>
  </conditionalFormatting>
  <conditionalFormatting sqref="Z373:Z379">
    <cfRule type="cellIs" dxfId="147" priority="28" operator="lessThan">
      <formula>0.8</formula>
    </cfRule>
    <cfRule type="cellIs" dxfId="146" priority="29" operator="greaterThan">
      <formula>0.8</formula>
    </cfRule>
  </conditionalFormatting>
  <conditionalFormatting sqref="Z373:Z379">
    <cfRule type="notContainsText" dxfId="145" priority="26" operator="notContains" text="Caida">
      <formula>ISERROR(SEARCH("Caida",Z373))</formula>
    </cfRule>
    <cfRule type="containsText" dxfId="144" priority="27" operator="containsText" text="Caida">
      <formula>NOT(ISERROR(SEARCH("Caida",Z373)))</formula>
    </cfRule>
  </conditionalFormatting>
  <conditionalFormatting sqref="Z373:Z379">
    <cfRule type="cellIs" dxfId="143" priority="25" operator="equal">
      <formula>"APAGADO"</formula>
    </cfRule>
  </conditionalFormatting>
  <conditionalFormatting sqref="Z373:Z379">
    <cfRule type="cellIs" dxfId="142" priority="24" operator="equal">
      <formula>"apagado"</formula>
    </cfRule>
  </conditionalFormatting>
  <conditionalFormatting sqref="AS95:AS369">
    <cfRule type="cellIs" dxfId="141" priority="22" operator="lessThan">
      <formula>0.8</formula>
    </cfRule>
    <cfRule type="cellIs" dxfId="140" priority="23" operator="greaterThan">
      <formula>0.8</formula>
    </cfRule>
  </conditionalFormatting>
  <conditionalFormatting sqref="AS95:AS372">
    <cfRule type="notContainsText" dxfId="139" priority="20" operator="notContains" text="Caida">
      <formula>ISERROR(SEARCH("Caida",AS95))</formula>
    </cfRule>
    <cfRule type="containsText" dxfId="138" priority="21" operator="containsText" text="Caida">
      <formula>NOT(ISERROR(SEARCH("Caida",AS95)))</formula>
    </cfRule>
  </conditionalFormatting>
  <conditionalFormatting sqref="AS22">
    <cfRule type="containsText" dxfId="137" priority="19" operator="containsText" text="Instaladas en Funcionamiento Caida">
      <formula>NOT(ISERROR(SEARCH("Instaladas en Funcionamiento Caida",AS22)))</formula>
    </cfRule>
  </conditionalFormatting>
  <conditionalFormatting sqref="AS5">
    <cfRule type="cellIs" dxfId="136" priority="17" operator="lessThan">
      <formula>0.8</formula>
    </cfRule>
    <cfRule type="cellIs" dxfId="135" priority="18" operator="greaterThan">
      <formula>0.8</formula>
    </cfRule>
  </conditionalFormatting>
  <conditionalFormatting sqref="AS5">
    <cfRule type="notContainsText" dxfId="134" priority="15" operator="notContains" text="Caida">
      <formula>ISERROR(SEARCH("Caida",AS5))</formula>
    </cfRule>
    <cfRule type="containsText" dxfId="133" priority="16" operator="containsText" text="Caida">
      <formula>NOT(ISERROR(SEARCH("Caida",AS5)))</formula>
    </cfRule>
  </conditionalFormatting>
  <conditionalFormatting sqref="AS1 AS5:AS372">
    <cfRule type="cellIs" dxfId="132" priority="14" operator="equal">
      <formula>"APAGADO"</formula>
    </cfRule>
  </conditionalFormatting>
  <conditionalFormatting sqref="AS6:AS92">
    <cfRule type="cellIs" dxfId="131" priority="12" operator="lessThan">
      <formula>0.8</formula>
    </cfRule>
    <cfRule type="cellIs" dxfId="130" priority="13" operator="greaterThan">
      <formula>0.8</formula>
    </cfRule>
  </conditionalFormatting>
  <conditionalFormatting sqref="AS6:AS92">
    <cfRule type="notContainsText" dxfId="129" priority="10" operator="notContains" text="Caida">
      <formula>ISERROR(SEARCH("Caida",AS6))</formula>
    </cfRule>
    <cfRule type="containsText" dxfId="128" priority="11" operator="containsText" text="Caida">
      <formula>NOT(ISERROR(SEARCH("Caida",AS6)))</formula>
    </cfRule>
  </conditionalFormatting>
  <conditionalFormatting sqref="AS93:AS94">
    <cfRule type="cellIs" dxfId="127" priority="8" operator="lessThan">
      <formula>0.8</formula>
    </cfRule>
    <cfRule type="cellIs" dxfId="126" priority="9" operator="greaterThan">
      <formula>0.8</formula>
    </cfRule>
  </conditionalFormatting>
  <conditionalFormatting sqref="AS93:AS94">
    <cfRule type="notContainsText" dxfId="125" priority="6" operator="notContains" text="Caida">
      <formula>ISERROR(SEARCH("Caida",AS93))</formula>
    </cfRule>
    <cfRule type="containsText" dxfId="124" priority="7" operator="containsText" text="Caida">
      <formula>NOT(ISERROR(SEARCH("Caida",AS93)))</formula>
    </cfRule>
  </conditionalFormatting>
  <conditionalFormatting sqref="AS5:AS372">
    <cfRule type="cellIs" dxfId="123" priority="5" operator="equal">
      <formula>"APAGADO"</formula>
    </cfRule>
  </conditionalFormatting>
  <conditionalFormatting sqref="AS373:AS379">
    <cfRule type="notContainsText" dxfId="122" priority="3" operator="notContains" text="Caida">
      <formula>ISERROR(SEARCH("Caida",AS373))</formula>
    </cfRule>
    <cfRule type="containsText" dxfId="121" priority="4" operator="containsText" text="Caida">
      <formula>NOT(ISERROR(SEARCH("Caida",AS373)))</formula>
    </cfRule>
  </conditionalFormatting>
  <conditionalFormatting sqref="AS373:AS379">
    <cfRule type="cellIs" dxfId="120" priority="2" operator="equal">
      <formula>"APAGADO"</formula>
    </cfRule>
  </conditionalFormatting>
  <conditionalFormatting sqref="AS373:AS379">
    <cfRule type="cellIs" dxfId="119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44743</v>
      </c>
      <c r="G1" s="25">
        <f>'RESUMEN TOTAL'!P4</f>
        <v>44744</v>
      </c>
      <c r="H1" s="25">
        <f>'RESUMEN TOTAL'!Q4</f>
        <v>44745</v>
      </c>
      <c r="I1" s="25">
        <f>'RESUMEN TOTAL'!R4</f>
        <v>44746</v>
      </c>
      <c r="J1" s="25">
        <f>'RESUMEN TOTAL'!S4</f>
        <v>44747</v>
      </c>
      <c r="K1" s="25">
        <f>'RESUMEN TOTAL'!T4</f>
        <v>44748</v>
      </c>
      <c r="L1" s="25">
        <f>'RESUMEN TOTAL'!U4</f>
        <v>44749</v>
      </c>
      <c r="M1" s="25">
        <f>'RESUMEN TOTAL'!V4</f>
        <v>44750</v>
      </c>
      <c r="N1" s="25">
        <f>'RESUMEN TOTAL'!W4</f>
        <v>44751</v>
      </c>
      <c r="O1" s="25">
        <f>'RESUMEN TOTAL'!X4</f>
        <v>44752</v>
      </c>
      <c r="P1" s="25">
        <f>'RESUMEN TOTAL'!Y4</f>
        <v>44753</v>
      </c>
      <c r="Q1" s="25">
        <f>'RESUMEN TOTAL'!Z4</f>
        <v>44754</v>
      </c>
      <c r="R1" s="25">
        <f>'RESUMEN TOTAL'!AA4</f>
        <v>44755</v>
      </c>
      <c r="S1" s="25">
        <f>'RESUMEN TOTAL'!AB4</f>
        <v>44756</v>
      </c>
      <c r="T1" s="25">
        <f>'RESUMEN TOTAL'!AC4</f>
        <v>44757</v>
      </c>
      <c r="U1" s="25">
        <f>'RESUMEN TOTAL'!AD4</f>
        <v>44758</v>
      </c>
      <c r="V1" s="25">
        <f>'RESUMEN TOTAL'!AE4</f>
        <v>44759</v>
      </c>
      <c r="W1" s="25">
        <f>'RESUMEN TOTAL'!AF4</f>
        <v>44760</v>
      </c>
      <c r="X1" s="25">
        <f>'RESUMEN TOTAL'!AG4</f>
        <v>44761</v>
      </c>
      <c r="Y1" s="25">
        <f>'RESUMEN TOTAL'!AH4</f>
        <v>44762</v>
      </c>
      <c r="Z1" s="25">
        <f>'RESUMEN TOTAL'!AI4</f>
        <v>44763</v>
      </c>
      <c r="AA1" s="25">
        <f>'RESUMEN TOTAL'!AJ4</f>
        <v>44764</v>
      </c>
      <c r="AB1" s="25">
        <f>'RESUMEN TOTAL'!AK4</f>
        <v>44765</v>
      </c>
      <c r="AC1" s="25">
        <f>'RESUMEN TOTAL'!AL4</f>
        <v>44766</v>
      </c>
      <c r="AD1" s="25">
        <f>'RESUMEN TOTAL'!AM4</f>
        <v>44767</v>
      </c>
      <c r="AE1" s="25">
        <f>'RESUMEN TOTAL'!AN4</f>
        <v>44768</v>
      </c>
      <c r="AF1" s="25">
        <f>'RESUMEN TOTAL'!AO4</f>
        <v>44769</v>
      </c>
      <c r="AG1" s="25">
        <f>'RESUMEN TOTAL'!AP4</f>
        <v>44770</v>
      </c>
      <c r="AH1" s="25">
        <f>'RESUMEN TOTAL'!AQ4</f>
        <v>44771</v>
      </c>
      <c r="AI1" s="25">
        <f>'RESUMEN TOTAL'!AR4</f>
        <v>44772</v>
      </c>
    </row>
    <row r="2" spans="1:35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 t="str">
        <f>'RESUMEN TOTAL'!P36</f>
        <v>APAGADO</v>
      </c>
      <c r="H33" t="str">
        <f>'RESUMEN TOTAL'!Q36</f>
        <v>APAGADO</v>
      </c>
      <c r="I33" t="str">
        <f>'RESUMEN TOTAL'!R36</f>
        <v>APAGADO</v>
      </c>
      <c r="J33" t="str">
        <f>'RESUMEN TOTAL'!S36</f>
        <v>APAGADO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Peron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 t="str">
        <f>'RESUMEN TOTAL'!O74</f>
        <v>APAGADO</v>
      </c>
      <c r="G71" t="str">
        <f>'RESUMEN TOTAL'!P74</f>
        <v>APAGADO</v>
      </c>
      <c r="H71" t="str">
        <f>'RESUMEN TOTAL'!Q74</f>
        <v>APAGADO</v>
      </c>
      <c r="I71" t="str">
        <f>'RESUMEN TOTAL'!R74</f>
        <v>APAGADO</v>
      </c>
      <c r="J71" t="str">
        <f>'RESUMEN TOTAL'!S74</f>
        <v>APAGADO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>
        <f>'RESUMEN TOTAL'!P80</f>
        <v>0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 t="str">
        <f>'RESUMEN TOTAL'!R102</f>
        <v>APAGADO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 </v>
      </c>
      <c r="D108" t="str">
        <f>'RESUMEN TOTAL'!E111</f>
        <v>FIJA</v>
      </c>
      <c r="E108" t="str">
        <f>'RESUMEN TOTAL'!F111</f>
        <v>Radio</v>
      </c>
      <c r="F108" t="str">
        <f>'RESUMEN TOTAL'!O111</f>
        <v>APAGADO</v>
      </c>
      <c r="G108" t="str">
        <f>'RESUMEN TOTAL'!P111</f>
        <v>APAGADO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 t="str">
        <f>'RESUMEN TOTAL'!O113</f>
        <v>APAGADO</v>
      </c>
      <c r="G110" t="str">
        <f>'RESUMEN TOTAL'!P113</f>
        <v>APAGADO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>
        <f>'RESUMEN TOTAL'!T133</f>
        <v>0</v>
      </c>
      <c r="L130">
        <f>'RESUMEN TOTAL'!U133</f>
        <v>0</v>
      </c>
      <c r="M130">
        <f>'RESUMEN TOTAL'!V133</f>
        <v>0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 t="str">
        <f>'RESUMEN TOTAL'!P136</f>
        <v>APAGADO</v>
      </c>
      <c r="H133" t="str">
        <f>'RESUMEN TOTAL'!Q136</f>
        <v>APAGADO</v>
      </c>
      <c r="I133" t="str">
        <f>'RESUMEN TOTAL'!R136</f>
        <v>APAGADO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 t="str">
        <f>'RESUMEN TOTAL'!P182</f>
        <v>APAGADO</v>
      </c>
      <c r="H179" t="str">
        <f>'RESUMEN TOTAL'!Q182</f>
        <v>APAGADO</v>
      </c>
      <c r="I179" t="str">
        <f>'RESUMEN TOTAL'!R182</f>
        <v>APAGADO</v>
      </c>
      <c r="J179" t="str">
        <f>'RESUMEN TOTAL'!S182</f>
        <v>APAGADO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 t="str">
        <f>'RESUMEN TOTAL'!Q186</f>
        <v>APAGADO</v>
      </c>
      <c r="I183" t="str">
        <f>'RESUMEN TOTAL'!R186</f>
        <v>APAGADO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 t="str">
        <f>'RESUMEN TOTAL'!O187</f>
        <v>APAGADO</v>
      </c>
      <c r="G184" t="str">
        <f>'RESUMEN TOTAL'!P187</f>
        <v>APAGADO</v>
      </c>
      <c r="H184" t="str">
        <f>'RESUMEN TOTAL'!Q187</f>
        <v>APAGADO</v>
      </c>
      <c r="I184" t="str">
        <f>'RESUMEN TOTAL'!R187</f>
        <v>APAGADO</v>
      </c>
      <c r="J184" t="str">
        <f>'RESUMEN TOTAL'!S187</f>
        <v>APAGADO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>
        <f>'RESUMEN TOTAL'!T206</f>
        <v>0</v>
      </c>
      <c r="L203">
        <f>'RESUMEN TOTAL'!U206</f>
        <v>0</v>
      </c>
      <c r="M203">
        <f>'RESUMEN TOTAL'!V206</f>
        <v>0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 t="str">
        <f>'RESUMEN TOTAL'!Q279</f>
        <v>APAGADO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 t="str">
        <f>'RESUMEN TOTAL'!P283</f>
        <v>APAGADO</v>
      </c>
      <c r="H280" t="str">
        <f>'RESUMEN TOTAL'!Q283</f>
        <v>APAGADO</v>
      </c>
      <c r="I280" t="str">
        <f>'RESUMEN TOTAL'!R283</f>
        <v>APAGADO</v>
      </c>
      <c r="J280" t="str">
        <f>'RESUMEN TOTAL'!S283</f>
        <v>APAGADO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 t="str">
        <f>'RESUMEN TOTAL'!P299</f>
        <v>APAGADO</v>
      </c>
      <c r="H296" t="str">
        <f>'RESUMEN TOTAL'!Q299</f>
        <v>APAGADO</v>
      </c>
      <c r="I296" t="str">
        <f>'RESUMEN TOTAL'!R299</f>
        <v>APAGADO</v>
      </c>
      <c r="J296" t="str">
        <f>'RESUMEN TOTAL'!S299</f>
        <v>APAGADO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 t="str">
        <f>'RESUMEN TOTAL'!P300</f>
        <v>APAGADO</v>
      </c>
      <c r="H297" t="str">
        <f>'RESUMEN TOTAL'!Q300</f>
        <v>APAGADO</v>
      </c>
      <c r="I297" t="str">
        <f>'RESUMEN TOTAL'!R300</f>
        <v>APAGADO</v>
      </c>
      <c r="J297" t="str">
        <f>'RESUMEN TOTAL'!S300</f>
        <v>APAGADO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 t="str">
        <f>'RESUMEN TOTAL'!R301</f>
        <v>APAGADO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 t="str">
        <f>'RESUMEN TOTAL'!R302</f>
        <v>APAGADO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 t="str">
        <f>'RESUMEN TOTAL'!O308</f>
        <v>APAGADO</v>
      </c>
      <c r="G305" t="str">
        <f>'RESUMEN TOTAL'!P308</f>
        <v>APAGADO</v>
      </c>
      <c r="H305" t="str">
        <f>'RESUMEN TOTAL'!Q308</f>
        <v>APAGADO</v>
      </c>
      <c r="I305" t="str">
        <f>'RESUMEN TOTAL'!R308</f>
        <v>APAGADO</v>
      </c>
      <c r="J305" t="str">
        <f>'RESUMEN TOTAL'!S308</f>
        <v>APAGADO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 t="str">
        <f>'RESUMEN TOTAL'!O335</f>
        <v>APAGADO</v>
      </c>
      <c r="G332" t="str">
        <f>'RESUMEN TOTAL'!P335</f>
        <v>APAGADO</v>
      </c>
      <c r="H332" t="str">
        <f>'RESUMEN TOTAL'!Q335</f>
        <v>APAGADO</v>
      </c>
      <c r="I332" t="str">
        <f>'RESUMEN TOTAL'!R335</f>
        <v>APAGADO</v>
      </c>
      <c r="J332" t="str">
        <f>'RESUMEN TOTAL'!S335</f>
        <v>APAGADO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 t="str">
        <f>'RESUMEN TOTAL'!O336</f>
        <v>APAGADO</v>
      </c>
      <c r="G333" t="str">
        <f>'RESUMEN TOTAL'!P336</f>
        <v>APAGADO</v>
      </c>
      <c r="H333" t="str">
        <f>'RESUMEN TOTAL'!Q336</f>
        <v>APAGADO</v>
      </c>
      <c r="I333" t="str">
        <f>'RESUMEN TOTAL'!R336</f>
        <v>APAGADO</v>
      </c>
      <c r="J333" t="str">
        <f>'RESUMEN TOTAL'!S336</f>
        <v>APAGADO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 t="str">
        <f>'RESUMEN TOTAL'!O363</f>
        <v>APAGADO</v>
      </c>
      <c r="G360" t="str">
        <f>'RESUMEN TOTAL'!P363</f>
        <v>APAGADO</v>
      </c>
      <c r="H360" t="str">
        <f>'RESUMEN TOTAL'!Q363</f>
        <v>APAGADO</v>
      </c>
      <c r="I360" t="str">
        <f>'RESUMEN TOTAL'!R363</f>
        <v>APAGADO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4"/>
  </cols>
  <sheetData>
    <row r="1" spans="1:35" ht="21" x14ac:dyDescent="0.35">
      <c r="E1" s="26" t="s">
        <v>931</v>
      </c>
      <c r="F1" s="26">
        <f t="shared" ref="F1:AC1" si="0">COUNTIF(F3:F366, "APAGADO")</f>
        <v>35</v>
      </c>
      <c r="G1" s="26">
        <f t="shared" si="0"/>
        <v>33</v>
      </c>
      <c r="H1" s="26">
        <f t="shared" si="0"/>
        <v>36</v>
      </c>
      <c r="I1" s="26">
        <f t="shared" si="0"/>
        <v>40</v>
      </c>
      <c r="J1" s="26">
        <f t="shared" si="0"/>
        <v>32</v>
      </c>
      <c r="K1" s="26">
        <f t="shared" si="0"/>
        <v>0</v>
      </c>
      <c r="L1" s="26">
        <f t="shared" si="0"/>
        <v>0</v>
      </c>
      <c r="M1" s="26">
        <f t="shared" si="0"/>
        <v>0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44743</v>
      </c>
      <c r="G2" s="64">
        <f>ESTADISTICA!G1</f>
        <v>44744</v>
      </c>
      <c r="H2" s="64">
        <f>ESTADISTICA!H1</f>
        <v>44745</v>
      </c>
      <c r="I2" s="64">
        <f>ESTADISTICA!I1</f>
        <v>44746</v>
      </c>
      <c r="J2" s="64">
        <f>ESTADISTICA!J1</f>
        <v>44747</v>
      </c>
      <c r="K2" s="64">
        <f>ESTADISTICA!K1</f>
        <v>44748</v>
      </c>
      <c r="L2" s="64">
        <f>ESTADISTICA!L1</f>
        <v>44749</v>
      </c>
      <c r="M2" s="64">
        <f>ESTADISTICA!M1</f>
        <v>44750</v>
      </c>
      <c r="N2" s="64">
        <f>ESTADISTICA!N1</f>
        <v>44751</v>
      </c>
      <c r="O2" s="64">
        <f>ESTADISTICA!O1</f>
        <v>44752</v>
      </c>
      <c r="P2" s="64">
        <f>ESTADISTICA!P1</f>
        <v>44753</v>
      </c>
      <c r="Q2" s="64">
        <f>ESTADISTICA!Q1</f>
        <v>44754</v>
      </c>
      <c r="R2" s="64">
        <f>ESTADISTICA!R1</f>
        <v>44755</v>
      </c>
      <c r="S2" s="64">
        <f>ESTADISTICA!S1</f>
        <v>44756</v>
      </c>
      <c r="T2" s="64">
        <f>ESTADISTICA!T1</f>
        <v>44757</v>
      </c>
      <c r="U2" s="64">
        <f>ESTADISTICA!U1</f>
        <v>44758</v>
      </c>
      <c r="V2" s="64">
        <f>ESTADISTICA!V1</f>
        <v>44759</v>
      </c>
      <c r="W2" s="64">
        <f>ESTADISTICA!W1</f>
        <v>44760</v>
      </c>
      <c r="X2" s="64">
        <f>ESTADISTICA!X1</f>
        <v>44761</v>
      </c>
      <c r="Y2" s="64">
        <f>ESTADISTICA!Y1</f>
        <v>44762</v>
      </c>
      <c r="Z2" s="64">
        <f>ESTADISTICA!Z1</f>
        <v>44763</v>
      </c>
      <c r="AA2" s="64">
        <f>ESTADISTICA!AA1</f>
        <v>44764</v>
      </c>
      <c r="AB2" s="64">
        <f>ESTADISTICA!AB1</f>
        <v>44765</v>
      </c>
      <c r="AC2" s="64">
        <f>ESTADISTICA!AC1</f>
        <v>44766</v>
      </c>
      <c r="AD2" s="64">
        <f>ESTADISTICA!AD1</f>
        <v>44767</v>
      </c>
      <c r="AE2" s="64">
        <f>ESTADISTICA!AE1</f>
        <v>44768</v>
      </c>
      <c r="AF2" s="64">
        <f>ESTADISTICA!AF1</f>
        <v>44769</v>
      </c>
      <c r="AG2" s="64">
        <f>ESTADISTICA!AG1</f>
        <v>44770</v>
      </c>
      <c r="AH2" s="64">
        <f>ESTADISTICA!AH1</f>
        <v>44771</v>
      </c>
      <c r="AI2" s="64">
        <f>ESTADISTICA!AI1</f>
        <v>44772</v>
      </c>
    </row>
    <row r="3" spans="1:35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 t="str">
        <f>ESTADISTICA!J33</f>
        <v>APAGADO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Peron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 t="str">
        <f>ESTADISTICA!F71</f>
        <v>APAGADO</v>
      </c>
      <c r="G72" t="str">
        <f>ESTADISTICA!G71</f>
        <v>APAGADO</v>
      </c>
      <c r="H72" t="str">
        <f>ESTADISTICA!H71</f>
        <v>APAGADO</v>
      </c>
      <c r="I72" t="str">
        <f>ESTADISTICA!I71</f>
        <v>APAGADO</v>
      </c>
      <c r="J72" t="str">
        <f>ESTADISTICA!J71</f>
        <v>APAGADO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 </v>
      </c>
      <c r="D109" t="str">
        <f>ESTADISTICA!D108</f>
        <v>FIJA</v>
      </c>
      <c r="E109" t="str">
        <f>ESTADISTICA!E108</f>
        <v>Radio</v>
      </c>
      <c r="F109" t="str">
        <f>ESTADISTICA!F108</f>
        <v>APAGADO</v>
      </c>
      <c r="G109" t="str">
        <f>ESTADISTICA!G108</f>
        <v>APAGADO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 t="str">
        <f>ESTADISTICA!F110</f>
        <v>APAGADO</v>
      </c>
      <c r="G111" t="str">
        <f>ESTADISTICA!G110</f>
        <v>APAGADO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 t="str">
        <f>ESTADISTICA!G133</f>
        <v>APAGADO</v>
      </c>
      <c r="H134" t="str">
        <f>ESTADISTICA!H133</f>
        <v>APAGADO</v>
      </c>
      <c r="I134" t="str">
        <f>ESTADISTICA!I133</f>
        <v>APAGADO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 t="str">
        <f>ESTADISTICA!H276</f>
        <v>APAGADO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 t="str">
        <f>ESTADISTICA!G280</f>
        <v>APAGADO</v>
      </c>
      <c r="H281" t="str">
        <f>ESTADISTICA!H280</f>
        <v>APAGADO</v>
      </c>
      <c r="I281" t="str">
        <f>ESTADISTICA!I280</f>
        <v>APAGADO</v>
      </c>
      <c r="J281" t="str">
        <f>ESTADISTICA!J280</f>
        <v>APAGADO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 t="str">
        <f>ESTADISTICA!G296</f>
        <v>APAGADO</v>
      </c>
      <c r="H297" t="str">
        <f>ESTADISTICA!H296</f>
        <v>APAGADO</v>
      </c>
      <c r="I297" t="str">
        <f>ESTADISTICA!I296</f>
        <v>APAGADO</v>
      </c>
      <c r="J297" t="str">
        <f>ESTADISTICA!J296</f>
        <v>APAGADO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 t="str">
        <f>ESTADISTICA!J297</f>
        <v>APAGADO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 t="str">
        <f>ESTADISTICA!I298</f>
        <v>APAGADO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25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118" priority="1" operator="equal">
      <formula>0</formula>
    </cfRule>
    <cfRule type="cellIs" dxfId="117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369"/>
  <sheetViews>
    <sheetView workbookViewId="0">
      <pane xSplit="5" ySplit="8" topLeftCell="S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5" ht="18.75" x14ac:dyDescent="0.3">
      <c r="C1" s="48" t="s">
        <v>1317</v>
      </c>
      <c r="D1" s="49">
        <f>COUNTIFS(E4:E369,"=Fibra Optica")</f>
        <v>238</v>
      </c>
    </row>
    <row r="2" spans="1:35" ht="21" x14ac:dyDescent="0.35">
      <c r="E2" s="26" t="s">
        <v>931</v>
      </c>
      <c r="F2" s="26">
        <f>COUNTIFS(F4:F367, "=APAGADO",E4:E367,"=Fibra Optica")</f>
        <v>27</v>
      </c>
      <c r="G2" s="26">
        <f>COUNTIFS(G4:G367, "=APAGADO",E4:E367,"=Fibra Optica")</f>
        <v>22</v>
      </c>
      <c r="H2" s="26">
        <f>COUNTIFS(H4:H367, "=APAGADO",E4:E367,"=Fibra Optica")</f>
        <v>26</v>
      </c>
      <c r="I2" s="26">
        <f>COUNTIFS(I4:I367, "=APAGADO",E4:E367,"=Fibra Optica")</f>
        <v>28</v>
      </c>
      <c r="J2" s="26">
        <f>COUNTIFS(J4:J367, "=APAGADO",E4:E367,"=Fibra Optica")</f>
        <v>24</v>
      </c>
      <c r="K2" s="26">
        <f>COUNTIFS(K4:K367, "=APAGADO",E4:E367,"=Fibra Optica")</f>
        <v>0</v>
      </c>
      <c r="L2" s="26">
        <f>COUNTIFS(L4:L367, "=APAGADO",E4:E367,"=Fibra Optica")</f>
        <v>0</v>
      </c>
      <c r="M2" s="26">
        <f>COUNTIFS(M4:M367, "=APAGADO",E4:E367,"=Fibra Optica")</f>
        <v>0</v>
      </c>
      <c r="N2" s="26">
        <f>COUNTIFS(N4:N367, "=APAGADO",E4:E367,"=Fibra Optica")</f>
        <v>0</v>
      </c>
      <c r="O2" s="26">
        <f>COUNTIFS(O4:O367, "=APAGADO",E4:E367,"=Fibra Optica")</f>
        <v>0</v>
      </c>
      <c r="P2" s="26">
        <f>COUNTIFS(P4:P367, "=APAGADO",E4:E367,"=Fibra Optica")</f>
        <v>0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/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16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5" ht="21" x14ac:dyDescent="0.35">
      <c r="C1" s="50" t="s">
        <v>1318</v>
      </c>
      <c r="D1" s="50">
        <f>COUNTIFS(E4:E367,"=PTP A FO")</f>
        <v>38</v>
      </c>
    </row>
    <row r="2" spans="1:35" ht="21" x14ac:dyDescent="0.35">
      <c r="E2" s="26" t="s">
        <v>931</v>
      </c>
      <c r="F2" s="26">
        <f>COUNTIFS(F4:F367, "=APAGADO",E4:E367,"=PTP A FO")</f>
        <v>3</v>
      </c>
      <c r="G2" s="26">
        <f>COUNTIFS(G4:G367, "=APAGADO",E4:E367,"=PTP A FO")</f>
        <v>4</v>
      </c>
      <c r="H2" s="26">
        <f>COUNTIFS(H4:H367, "=APAGADO",E4:E367,"=PTP A FO")</f>
        <v>3</v>
      </c>
      <c r="I2" s="26">
        <f>COUNTIFS(I4:I367, "=APAGADO",E4:E367,"=PTP A FO")</f>
        <v>3</v>
      </c>
      <c r="J2" s="26">
        <f>COUNTIFS(J4:J367, "=APAGADO",E4:E367,"=PTP A FO")</f>
        <v>3</v>
      </c>
      <c r="K2" s="26">
        <f>COUNTIFS(K4:K367, "=APAGADO",E4:E367,"=PTP A FO")</f>
        <v>0</v>
      </c>
      <c r="L2" s="26">
        <f>COUNTIFS(L4:L367, "=APAGADO",E4:E367,"=PTP A FO")</f>
        <v>0</v>
      </c>
      <c r="M2" s="26">
        <f>COUNTIFS(M4:M367, "=APAGADO",E4:E367,"=PTP A FO")</f>
        <v>0</v>
      </c>
      <c r="N2" s="26">
        <f>COUNTIFS(N4:N367, "=APAGADO",E4:E367,"=PTP A FO")</f>
        <v>0</v>
      </c>
      <c r="O2" s="26">
        <f>COUNTIFS(O4:O367,"APAGADO", E4:E367,"=PTP A FO" )</f>
        <v>0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936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</autoFilter>
  <conditionalFormatting sqref="AE3:AE1048576">
    <cfRule type="containsText" dxfId="115" priority="2" operator="containsText" text="APAGADO">
      <formula>NOT(ISERROR(SEARCH("APAGADO",AE3)))</formula>
    </cfRule>
  </conditionalFormatting>
  <conditionalFormatting sqref="F4:AG370 AH4:AI369">
    <cfRule type="containsText" dxfId="11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S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1319</v>
      </c>
      <c r="D1" s="50">
        <f>COUNTIFS(E4:E367,"=radio")</f>
        <v>88</v>
      </c>
    </row>
    <row r="2" spans="1:35" ht="21" x14ac:dyDescent="0.35">
      <c r="E2" s="26" t="s">
        <v>931</v>
      </c>
      <c r="F2" s="26">
        <f>COUNTIFS(F4:F367, "=APAGADO",E4:E367,"=radio")</f>
        <v>5</v>
      </c>
      <c r="G2" s="26">
        <f>COUNTIFS(G4:G367, "=APAGADO",E4:E367,"=radio")</f>
        <v>7</v>
      </c>
      <c r="H2" s="26">
        <f>COUNTIFS(H4:H367, "=APAGADO",E4:E367,"=radio")</f>
        <v>7</v>
      </c>
      <c r="I2" s="26">
        <f>COUNTIFS(I4:I367, "=APAGADO",E4:E367,"=radio")</f>
        <v>9</v>
      </c>
      <c r="J2" s="26">
        <f>COUNTIFS(J4:J367, "=APAGADO",E4:E367,"=radio")</f>
        <v>5</v>
      </c>
      <c r="K2" s="26">
        <f>COUNTIFS(K4:K367, "=APAGADO",E4:E367,"=radio")</f>
        <v>0</v>
      </c>
      <c r="L2" s="26">
        <f>COUNTIFS(L4:L367, "=APAGADO",E4:E367,"=radio")</f>
        <v>0</v>
      </c>
      <c r="M2" s="26">
        <f>COUNTIFS(M4:M367, "=APAGADO",E4:E367,"=radio")</f>
        <v>0</v>
      </c>
      <c r="N2" s="26">
        <f>COUNTIFS(N4:N367, "=APAGADO",E4:E367,"=radio")</f>
        <v>0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936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7">
      <filters>
        <filter val="APAGADO"/>
      </filters>
    </filterColumn>
  </autoFilter>
  <conditionalFormatting sqref="AE3:AE1048576">
    <cfRule type="containsText" dxfId="113" priority="2" operator="containsText" text="APAGADO">
      <formula>NOT(ISERROR(SEARCH("APAGADO",AE3)))</formula>
    </cfRule>
  </conditionalFormatting>
  <conditionalFormatting sqref="F4:AG370 AH4:AI369">
    <cfRule type="containsText" dxfId="11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9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0" zoomScaleNormal="100" workbookViewId="0">
      <selection activeCell="H36" sqref="H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3" workbookViewId="0">
      <selection activeCell="R19" sqref="R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opLeftCell="A25" workbookViewId="0">
      <selection activeCell="G25" sqref="G25"/>
    </sheetView>
  </sheetViews>
  <sheetFormatPr baseColWidth="10" defaultRowHeight="15" x14ac:dyDescent="0.25"/>
  <cols>
    <col min="5" max="5" width="15.7109375" bestFit="1" customWidth="1"/>
    <col min="7" max="7" width="11.5703125" style="59"/>
  </cols>
  <sheetData>
    <row r="1" spans="1:7" x14ac:dyDescent="0.25">
      <c r="A1" t="s">
        <v>932</v>
      </c>
      <c r="B1" t="s">
        <v>20</v>
      </c>
      <c r="C1" t="s">
        <v>933</v>
      </c>
      <c r="D1" t="s">
        <v>1307</v>
      </c>
      <c r="E1" t="s">
        <v>935</v>
      </c>
      <c r="F1" t="s">
        <v>934</v>
      </c>
      <c r="G1" s="59" t="s">
        <v>1344</v>
      </c>
    </row>
    <row r="2" spans="1:7" x14ac:dyDescent="0.25">
      <c r="A2" s="25">
        <f>'APAGADOS RADIO'!F3</f>
        <v>44743</v>
      </c>
      <c r="B2">
        <f>'APAGADOS RADIO'!F2+D2</f>
        <v>8</v>
      </c>
      <c r="C2">
        <f>'APAGADOS FIBRA'!F2</f>
        <v>27</v>
      </c>
      <c r="D2">
        <f>'APAGADOS ANTENA'!F2</f>
        <v>3</v>
      </c>
      <c r="E2">
        <f t="shared" ref="E2" si="0">B2+C2</f>
        <v>35</v>
      </c>
      <c r="F2">
        <f>'RESUMEN TOTAL'!C1</f>
        <v>375</v>
      </c>
      <c r="G2" s="59">
        <f t="shared" ref="G2:G3" si="1">E2/F2</f>
        <v>9.3333333333333338E-2</v>
      </c>
    </row>
    <row r="3" spans="1:7" x14ac:dyDescent="0.25">
      <c r="A3" s="25">
        <f>'APAGADOS RADIO'!G3</f>
        <v>44744</v>
      </c>
      <c r="B3" s="54">
        <f>'APAGADOS RADIO'!G2+D3</f>
        <v>11</v>
      </c>
      <c r="C3" s="54">
        <f>'APAGADOS FIBRA'!G2</f>
        <v>22</v>
      </c>
      <c r="D3" s="54">
        <f>'APAGADOS ANTENA'!G2</f>
        <v>4</v>
      </c>
      <c r="E3" s="54">
        <f t="shared" ref="E3" si="2">B3+C3</f>
        <v>33</v>
      </c>
      <c r="F3" s="54">
        <f>'RESUMEN TOTAL'!C1</f>
        <v>375</v>
      </c>
      <c r="G3" s="59">
        <f t="shared" si="1"/>
        <v>8.7999999999999995E-2</v>
      </c>
    </row>
    <row r="4" spans="1:7" x14ac:dyDescent="0.25">
      <c r="A4" s="25">
        <f>'APAGADOS RADIO'!H3</f>
        <v>44745</v>
      </c>
      <c r="B4" s="54">
        <f>'APAGADOS RADIO'!H2+D4</f>
        <v>10</v>
      </c>
      <c r="C4" s="54">
        <f>'APAGADOS FIBRA'!H2</f>
        <v>26</v>
      </c>
      <c r="D4" s="54">
        <f>'APAGADOS ANTENA'!H2</f>
        <v>3</v>
      </c>
      <c r="E4" s="54">
        <f t="shared" ref="E4" si="3">B4+C4</f>
        <v>36</v>
      </c>
      <c r="F4" s="54">
        <f>'RESUMEN TOTAL'!C1</f>
        <v>375</v>
      </c>
      <c r="G4" s="59">
        <f t="shared" ref="G4" si="4">E4/F4</f>
        <v>9.6000000000000002E-2</v>
      </c>
    </row>
    <row r="5" spans="1:7" x14ac:dyDescent="0.25">
      <c r="A5" s="25">
        <f>'APAGADOS RADIO'!I3</f>
        <v>44746</v>
      </c>
      <c r="B5" s="54">
        <f>'APAGADOS RADIO'!I2+D5</f>
        <v>12</v>
      </c>
      <c r="C5" s="54">
        <f>'APAGADOS FIBRA'!I2</f>
        <v>28</v>
      </c>
      <c r="D5" s="54">
        <f>'APAGADOS ANTENA'!I2</f>
        <v>3</v>
      </c>
      <c r="E5" s="54">
        <f t="shared" ref="E5:E7" si="5">B5+C5</f>
        <v>40</v>
      </c>
      <c r="F5" s="54">
        <f>'RESUMEN TOTAL'!C1</f>
        <v>375</v>
      </c>
      <c r="G5" s="59">
        <f t="shared" ref="G5:G7" si="6">E5/F5</f>
        <v>0.10666666666666667</v>
      </c>
    </row>
    <row r="6" spans="1:7" x14ac:dyDescent="0.25">
      <c r="A6" s="25">
        <f>'APAGADOS RADIO'!J3</f>
        <v>44747</v>
      </c>
      <c r="B6" s="54">
        <f>'APAGADOS RADIO'!J2+D6</f>
        <v>8</v>
      </c>
      <c r="C6" s="54">
        <f>'APAGADOS FIBRA'!J2</f>
        <v>24</v>
      </c>
      <c r="D6" s="54">
        <f>'APAGADOS ANTENA'!J2</f>
        <v>3</v>
      </c>
      <c r="E6" s="54">
        <f t="shared" si="5"/>
        <v>32</v>
      </c>
      <c r="F6" s="54">
        <f>'RESUMEN TOTAL'!C1</f>
        <v>375</v>
      </c>
      <c r="G6" s="59">
        <f t="shared" si="6"/>
        <v>8.533333333333333E-2</v>
      </c>
    </row>
    <row r="7" spans="1:7" x14ac:dyDescent="0.25">
      <c r="A7" s="25">
        <f>'APAGADOS RADIO'!K3</f>
        <v>44748</v>
      </c>
      <c r="B7" s="54">
        <f>'APAGADOS RADIO'!K2+D7</f>
        <v>0</v>
      </c>
      <c r="C7" s="54">
        <f>'APAGADOS FIBRA'!K2</f>
        <v>0</v>
      </c>
      <c r="D7" s="54">
        <f>'APAGADOS ANTENA'!K2</f>
        <v>0</v>
      </c>
      <c r="E7" s="54">
        <f t="shared" si="5"/>
        <v>0</v>
      </c>
      <c r="F7" s="54">
        <f>'RESUMEN TOTAL'!C1</f>
        <v>375</v>
      </c>
      <c r="G7" s="59">
        <f t="shared" si="6"/>
        <v>0</v>
      </c>
    </row>
    <row r="8" spans="1:7" x14ac:dyDescent="0.25">
      <c r="A8" s="25">
        <f>'APAGADOS RADIO'!L3</f>
        <v>44749</v>
      </c>
      <c r="B8" s="54">
        <f>'APAGADOS RADIO'!L2+D8</f>
        <v>0</v>
      </c>
      <c r="C8" s="54">
        <f>'APAGADOS FIBRA'!L2</f>
        <v>0</v>
      </c>
      <c r="D8" s="54">
        <f>'APAGADOS ANTENA'!L2</f>
        <v>0</v>
      </c>
      <c r="E8" s="54">
        <f t="shared" ref="E8" si="7">B8+C8</f>
        <v>0</v>
      </c>
      <c r="F8" s="54">
        <f>'RESUMEN TOTAL'!C1</f>
        <v>375</v>
      </c>
      <c r="G8" s="59">
        <f t="shared" ref="G8" si="8">E8/F8</f>
        <v>0</v>
      </c>
    </row>
    <row r="9" spans="1:7" x14ac:dyDescent="0.25">
      <c r="A9" s="25">
        <f>'APAGADOS RADIO'!M3</f>
        <v>44750</v>
      </c>
      <c r="B9" s="54">
        <f>'APAGADOS RADIO'!M2+D9</f>
        <v>0</v>
      </c>
      <c r="C9" s="54">
        <f>'APAGADOS FIBRA'!M2</f>
        <v>0</v>
      </c>
      <c r="D9" s="54">
        <f>'APAGADOS ANTENA'!M2</f>
        <v>0</v>
      </c>
      <c r="E9" s="54">
        <f t="shared" ref="E9" si="9">B9+C9</f>
        <v>0</v>
      </c>
      <c r="F9" s="54">
        <f>'RESUMEN TOTAL'!C1</f>
        <v>375</v>
      </c>
      <c r="G9" s="59">
        <f t="shared" ref="G9" si="10">E9/F9</f>
        <v>0</v>
      </c>
    </row>
    <row r="10" spans="1:7" x14ac:dyDescent="0.25">
      <c r="A10" s="25">
        <f>'APAGADOS RADIO'!N3</f>
        <v>44751</v>
      </c>
      <c r="B10" s="54">
        <f>'APAGADOS RADIO'!N2+D10</f>
        <v>0</v>
      </c>
      <c r="C10" s="54">
        <f>'APAGADOS FIBRA'!N2</f>
        <v>0</v>
      </c>
      <c r="D10" s="54">
        <f>'APAGADOS ANTENA'!N2</f>
        <v>0</v>
      </c>
      <c r="E10" s="54">
        <f t="shared" ref="E10" si="11">B10+C10</f>
        <v>0</v>
      </c>
      <c r="F10" s="54">
        <f>'RESUMEN TOTAL'!C1</f>
        <v>375</v>
      </c>
      <c r="G10" s="59">
        <f t="shared" ref="G10" si="12">E10/F10</f>
        <v>0</v>
      </c>
    </row>
    <row r="11" spans="1:7" x14ac:dyDescent="0.25">
      <c r="A11" s="25">
        <f>'APAGADOS RADIO'!O3</f>
        <v>44752</v>
      </c>
      <c r="B11" s="54">
        <f>'APAGADOS RADIO'!O2+D11</f>
        <v>0</v>
      </c>
      <c r="C11" s="54">
        <f>'APAGADOS FIBRA'!O2</f>
        <v>0</v>
      </c>
      <c r="D11" s="54">
        <f>'APAGADOS ANTENA'!O2</f>
        <v>0</v>
      </c>
      <c r="E11" s="54">
        <f t="shared" ref="E11" si="13">B11+C11</f>
        <v>0</v>
      </c>
      <c r="F11" s="54">
        <f>'RESUMEN TOTAL'!C1</f>
        <v>375</v>
      </c>
      <c r="G11" s="59">
        <f t="shared" ref="G11" si="14">E11/F11</f>
        <v>0</v>
      </c>
    </row>
    <row r="12" spans="1:7" x14ac:dyDescent="0.25">
      <c r="A12" s="25">
        <f>'APAGADOS RADIO'!P3</f>
        <v>44753</v>
      </c>
      <c r="B12" s="54">
        <f>'APAGADOS RADIO'!P2+D12</f>
        <v>0</v>
      </c>
      <c r="C12" s="54">
        <f>'APAGADOS FIBRA'!P2</f>
        <v>0</v>
      </c>
      <c r="D12" s="54">
        <f>'APAGADOS ANTENA'!P2</f>
        <v>0</v>
      </c>
      <c r="E12" s="54">
        <f t="shared" ref="E12:E14" si="15">B12+C12</f>
        <v>0</v>
      </c>
      <c r="F12" s="54">
        <f>'RESUMEN TOTAL'!C1</f>
        <v>375</v>
      </c>
      <c r="G12" s="59">
        <f t="shared" ref="G12:G14" si="16">E12/F12</f>
        <v>0</v>
      </c>
    </row>
    <row r="13" spans="1:7" x14ac:dyDescent="0.25">
      <c r="A13" s="25">
        <f>'APAGADOS RADIO'!Q3</f>
        <v>44754</v>
      </c>
      <c r="B13" s="54">
        <f>'APAGADOS RADIO'!Q2+D13</f>
        <v>0</v>
      </c>
      <c r="C13" s="54">
        <f>'APAGADOS FIBRA'!Q2</f>
        <v>0</v>
      </c>
      <c r="D13" s="54">
        <f>'APAGADOS ANTENA'!Q2</f>
        <v>0</v>
      </c>
      <c r="E13" s="54">
        <f t="shared" si="15"/>
        <v>0</v>
      </c>
      <c r="F13" s="54">
        <f>'RESUMEN TOTAL'!C1</f>
        <v>375</v>
      </c>
      <c r="G13" s="59">
        <f t="shared" si="16"/>
        <v>0</v>
      </c>
    </row>
    <row r="14" spans="1:7" x14ac:dyDescent="0.25">
      <c r="A14" s="25">
        <f>'APAGADOS RADIO'!R3</f>
        <v>44755</v>
      </c>
      <c r="B14" s="54">
        <f>'APAGADOS RADIO'!R2+D14</f>
        <v>0</v>
      </c>
      <c r="C14" s="54">
        <f>'APAGADOS FIBRA'!R2</f>
        <v>0</v>
      </c>
      <c r="D14" s="54">
        <f>'APAGADOS ANTENA'!R2</f>
        <v>0</v>
      </c>
      <c r="E14" s="54">
        <f t="shared" si="15"/>
        <v>0</v>
      </c>
      <c r="F14" s="54">
        <f>'RESUMEN TOTAL'!C1</f>
        <v>375</v>
      </c>
      <c r="G14" s="59">
        <f t="shared" si="16"/>
        <v>0</v>
      </c>
    </row>
    <row r="15" spans="1:7" x14ac:dyDescent="0.25">
      <c r="A15" s="25">
        <f>'APAGADOS RADIO'!S3</f>
        <v>44756</v>
      </c>
      <c r="B15" s="54">
        <f>'APAGADOS RADIO'!S2+D15</f>
        <v>0</v>
      </c>
      <c r="C15" s="54">
        <f>'APAGADOS FIBRA'!S2</f>
        <v>0</v>
      </c>
      <c r="D15" s="54">
        <f>'APAGADOS ANTENA'!S2</f>
        <v>0</v>
      </c>
      <c r="E15" s="54">
        <f t="shared" ref="E15:E22" si="17">B15+C15</f>
        <v>0</v>
      </c>
      <c r="F15" s="54">
        <f>'RESUMEN TOTAL'!C1</f>
        <v>375</v>
      </c>
      <c r="G15" s="59">
        <f t="shared" ref="G15:G22" si="18">E15/F15</f>
        <v>0</v>
      </c>
    </row>
    <row r="16" spans="1:7" x14ac:dyDescent="0.25">
      <c r="A16" s="25">
        <f>'APAGADOS RADIO'!T3</f>
        <v>44757</v>
      </c>
      <c r="B16" s="54">
        <f>'APAGADOS RADIO'!T2+D16</f>
        <v>0</v>
      </c>
      <c r="C16" s="54">
        <f>'APAGADOS FIBRA'!T2</f>
        <v>0</v>
      </c>
      <c r="D16" s="54">
        <f>'APAGADOS ANTENA'!T2</f>
        <v>0</v>
      </c>
      <c r="E16" s="54">
        <f t="shared" si="17"/>
        <v>0</v>
      </c>
      <c r="F16" s="54">
        <f>'RESUMEN TOTAL'!C1</f>
        <v>375</v>
      </c>
      <c r="G16" s="59">
        <f t="shared" si="18"/>
        <v>0</v>
      </c>
    </row>
    <row r="17" spans="1:7" x14ac:dyDescent="0.25">
      <c r="A17" s="25">
        <f>'APAGADOS RADIO'!U3</f>
        <v>44758</v>
      </c>
      <c r="B17" s="54">
        <f>'APAGADOS RADIO'!U2+D17</f>
        <v>0</v>
      </c>
      <c r="C17" s="54">
        <f>'APAGADOS FIBRA'!U2</f>
        <v>0</v>
      </c>
      <c r="D17" s="54">
        <f>'APAGADOS ANTENA'!U2</f>
        <v>0</v>
      </c>
      <c r="E17" s="54">
        <f t="shared" si="17"/>
        <v>0</v>
      </c>
      <c r="F17" s="54">
        <f>'RESUMEN TOTAL'!C1</f>
        <v>375</v>
      </c>
      <c r="G17" s="59">
        <f t="shared" si="18"/>
        <v>0</v>
      </c>
    </row>
    <row r="18" spans="1:7" x14ac:dyDescent="0.25">
      <c r="A18" s="25">
        <f>'APAGADOS RADIO'!V3</f>
        <v>44759</v>
      </c>
      <c r="B18" s="54">
        <v>13</v>
      </c>
      <c r="C18" s="54">
        <v>46</v>
      </c>
      <c r="D18" s="54">
        <v>8</v>
      </c>
      <c r="E18" s="54">
        <f t="shared" si="17"/>
        <v>59</v>
      </c>
      <c r="F18" s="54">
        <f>'RESUMEN TOTAL'!C1</f>
        <v>375</v>
      </c>
      <c r="G18" s="59">
        <f t="shared" si="18"/>
        <v>0.15733333333333333</v>
      </c>
    </row>
    <row r="19" spans="1:7" x14ac:dyDescent="0.25">
      <c r="A19" s="25">
        <f>'APAGADOS RADIO'!W3</f>
        <v>44760</v>
      </c>
      <c r="B19" s="54">
        <f>'APAGADOS RADIO'!W2+D19</f>
        <v>0</v>
      </c>
      <c r="C19" s="54">
        <f>'APAGADOS FIBRA'!W2</f>
        <v>0</v>
      </c>
      <c r="D19" s="54">
        <f>'APAGADOS ANTENA'!W2</f>
        <v>0</v>
      </c>
      <c r="E19" s="54">
        <f t="shared" si="17"/>
        <v>0</v>
      </c>
      <c r="F19" s="54">
        <f>'RESUMEN TOTAL'!C1</f>
        <v>375</v>
      </c>
      <c r="G19" s="59">
        <f t="shared" si="18"/>
        <v>0</v>
      </c>
    </row>
    <row r="20" spans="1:7" x14ac:dyDescent="0.25">
      <c r="A20" s="25">
        <f>'APAGADOS RADIO'!X3</f>
        <v>44761</v>
      </c>
      <c r="B20" s="54">
        <f>'APAGADOS RADIO'!X2+D20</f>
        <v>0</v>
      </c>
      <c r="C20" s="54">
        <f>'APAGADOS FIBRA'!X2</f>
        <v>0</v>
      </c>
      <c r="D20" s="54">
        <f>'APAGADOS ANTENA'!X2</f>
        <v>0</v>
      </c>
      <c r="E20" s="54">
        <f t="shared" si="17"/>
        <v>0</v>
      </c>
      <c r="F20" s="54">
        <f>'RESUMEN TOTAL'!C1</f>
        <v>375</v>
      </c>
      <c r="G20" s="59">
        <f t="shared" si="18"/>
        <v>0</v>
      </c>
    </row>
    <row r="21" spans="1:7" x14ac:dyDescent="0.25">
      <c r="A21" s="25">
        <f>'APAGADOS RADIO'!Y3</f>
        <v>44762</v>
      </c>
      <c r="B21" s="54">
        <f>'APAGADOS RADIO'!Y2+D21</f>
        <v>0</v>
      </c>
      <c r="C21" s="54">
        <f>'APAGADOS FIBRA'!Y2</f>
        <v>0</v>
      </c>
      <c r="D21" s="54">
        <f>'APAGADOS ANTENA'!Y2</f>
        <v>0</v>
      </c>
      <c r="E21" s="54">
        <f t="shared" si="17"/>
        <v>0</v>
      </c>
      <c r="F21" s="54">
        <f>'RESUMEN TOTAL'!C1</f>
        <v>375</v>
      </c>
      <c r="G21" s="59">
        <f t="shared" si="18"/>
        <v>0</v>
      </c>
    </row>
    <row r="22" spans="1:7" x14ac:dyDescent="0.25">
      <c r="A22" s="25">
        <f>'APAGADOS RADIO'!Z3</f>
        <v>44763</v>
      </c>
      <c r="B22" s="54">
        <f>'APAGADOS RADIO'!Z2+D22</f>
        <v>0</v>
      </c>
      <c r="C22" s="54">
        <f>'APAGADOS FIBRA'!Z2</f>
        <v>0</v>
      </c>
      <c r="D22" s="54">
        <f>'APAGADOS ANTENA'!Z2</f>
        <v>0</v>
      </c>
      <c r="E22" s="54">
        <f t="shared" si="17"/>
        <v>0</v>
      </c>
      <c r="F22" s="54">
        <f>'RESUMEN TOTAL'!C1</f>
        <v>375</v>
      </c>
      <c r="G22" s="59">
        <f t="shared" si="18"/>
        <v>0</v>
      </c>
    </row>
    <row r="23" spans="1:7" x14ac:dyDescent="0.25">
      <c r="A23" s="25">
        <f>'APAGADOS RADIO'!AA3</f>
        <v>44764</v>
      </c>
      <c r="B23" s="54">
        <f>'APAGADOS RADIO'!AA2+D23</f>
        <v>0</v>
      </c>
      <c r="C23" s="54">
        <f>'APAGADOS FIBRA'!AA2</f>
        <v>0</v>
      </c>
      <c r="D23" s="54">
        <f>'APAGADOS ANTENA'!AA2</f>
        <v>0</v>
      </c>
      <c r="E23" s="54">
        <f t="shared" ref="E23" si="19">B23+C23</f>
        <v>0</v>
      </c>
      <c r="F23" s="54">
        <f>'RESUMEN TOTAL'!C1</f>
        <v>375</v>
      </c>
      <c r="G23" s="59">
        <f t="shared" ref="G23" si="20">E23/F23</f>
        <v>0</v>
      </c>
    </row>
    <row r="24" spans="1:7" x14ac:dyDescent="0.25">
      <c r="A24" s="25">
        <f>'APAGADOS RADIO'!AB3</f>
        <v>44765</v>
      </c>
      <c r="B24" s="54">
        <f>'APAGADOS RADIO'!AB2+D24</f>
        <v>0</v>
      </c>
      <c r="C24" s="54">
        <f>'APAGADOS FIBRA'!AB2</f>
        <v>0</v>
      </c>
      <c r="D24" s="54">
        <f>'APAGADOS ANTENA'!AB2</f>
        <v>0</v>
      </c>
      <c r="E24" s="54">
        <f t="shared" ref="E24" si="21">B24+C24</f>
        <v>0</v>
      </c>
      <c r="F24" s="54">
        <f>'RESUMEN TOTAL'!C1</f>
        <v>375</v>
      </c>
      <c r="G24" s="59">
        <f t="shared" ref="G24" si="22">E24/F24</f>
        <v>0</v>
      </c>
    </row>
    <row r="25" spans="1:7" x14ac:dyDescent="0.25">
      <c r="A25" s="25">
        <f>'APAGADOS RADIO'!AC3</f>
        <v>44766</v>
      </c>
      <c r="B25" s="54"/>
      <c r="C25" s="54"/>
      <c r="D25" s="54"/>
      <c r="E25" s="54"/>
    </row>
    <row r="26" spans="1:7" x14ac:dyDescent="0.25">
      <c r="A26" s="25">
        <f>'APAGADOS RADIO'!AD3</f>
        <v>44767</v>
      </c>
      <c r="B26" s="54"/>
      <c r="C26" s="54"/>
      <c r="D26" s="54"/>
      <c r="E26" s="54"/>
    </row>
    <row r="27" spans="1:7" x14ac:dyDescent="0.25">
      <c r="A27" s="25">
        <f>'APAGADOS RADIO'!AE3</f>
        <v>44768</v>
      </c>
      <c r="B27" s="54"/>
      <c r="C27" s="54"/>
      <c r="D27" s="54"/>
      <c r="E27" s="54"/>
    </row>
    <row r="28" spans="1:7" x14ac:dyDescent="0.25">
      <c r="A28" s="25">
        <f>'APAGADOS RADIO'!AF3</f>
        <v>44769</v>
      </c>
      <c r="B28" s="54"/>
      <c r="C28" s="54"/>
      <c r="D28" s="54"/>
      <c r="E28" s="54"/>
    </row>
    <row r="29" spans="1:7" x14ac:dyDescent="0.25">
      <c r="A29" s="25">
        <f>'APAGADOS RADIO'!AG3</f>
        <v>44770</v>
      </c>
      <c r="B29" s="54"/>
      <c r="C29" s="54"/>
      <c r="D29" s="54"/>
      <c r="E29" s="54"/>
    </row>
    <row r="30" spans="1:7" x14ac:dyDescent="0.25">
      <c r="A30" s="25">
        <f>'APAGADOS RADIO'!AH3</f>
        <v>44771</v>
      </c>
      <c r="B30" s="54"/>
      <c r="C30" s="54"/>
      <c r="D30" s="54"/>
      <c r="E30" s="54"/>
    </row>
    <row r="31" spans="1:7" x14ac:dyDescent="0.25">
      <c r="A31" s="25">
        <f>'APAGADOS RADIO'!AI3</f>
        <v>44772</v>
      </c>
      <c r="B31" s="54"/>
      <c r="C31" s="54"/>
      <c r="D31" s="54"/>
      <c r="E31" s="54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9"/>
    </row>
    <row r="36" spans="1:30" s="30" customFormat="1" x14ac:dyDescent="0.25">
      <c r="A36" s="20"/>
      <c r="B36" s="20"/>
      <c r="C36" s="20"/>
      <c r="D36" s="20"/>
      <c r="E36" s="20"/>
      <c r="F36" s="20"/>
      <c r="G36" s="59"/>
    </row>
    <row r="37" spans="1:30" s="20" customFormat="1" x14ac:dyDescent="0.25">
      <c r="A37"/>
      <c r="B37"/>
      <c r="C37"/>
      <c r="D37"/>
      <c r="E37"/>
      <c r="F37"/>
      <c r="G37" s="59"/>
    </row>
    <row r="39" spans="1:30" x14ac:dyDescent="0.25">
      <c r="A39" s="54"/>
      <c r="B39" s="54"/>
    </row>
    <row r="40" spans="1:30" x14ac:dyDescent="0.25">
      <c r="A40" s="54"/>
      <c r="B40" s="54"/>
      <c r="D40" s="25"/>
      <c r="E40" s="59"/>
    </row>
    <row r="41" spans="1:30" x14ac:dyDescent="0.25">
      <c r="A41" s="54"/>
      <c r="B41" s="54"/>
      <c r="D41" s="25"/>
      <c r="E41" s="59"/>
    </row>
    <row r="42" spans="1:30" x14ac:dyDescent="0.25">
      <c r="A42" s="54"/>
      <c r="B42" s="54"/>
      <c r="D42" s="25"/>
      <c r="E42" s="59"/>
    </row>
    <row r="43" spans="1:30" x14ac:dyDescent="0.25">
      <c r="A43" s="54"/>
      <c r="B43" s="54"/>
      <c r="D43" s="25"/>
      <c r="E43" s="59"/>
    </row>
    <row r="44" spans="1:30" x14ac:dyDescent="0.25">
      <c r="A44" s="54"/>
      <c r="B44" s="54"/>
      <c r="D44" s="25"/>
      <c r="E44" s="59"/>
    </row>
    <row r="45" spans="1:30" x14ac:dyDescent="0.25">
      <c r="A45" s="54"/>
      <c r="B45" s="54"/>
      <c r="D45" s="25"/>
      <c r="E45" s="59"/>
    </row>
    <row r="46" spans="1:30" x14ac:dyDescent="0.25">
      <c r="A46" s="54"/>
      <c r="B46" s="54"/>
      <c r="D46" s="25"/>
      <c r="E46" s="59"/>
    </row>
    <row r="47" spans="1:30" x14ac:dyDescent="0.25">
      <c r="A47" s="54"/>
      <c r="B47" s="54"/>
      <c r="D47" s="25"/>
      <c r="E47" s="59"/>
    </row>
    <row r="48" spans="1:30" x14ac:dyDescent="0.25">
      <c r="A48" s="54"/>
      <c r="B48" s="54"/>
      <c r="D48" s="25"/>
      <c r="E48" s="59"/>
    </row>
    <row r="49" spans="1:5" x14ac:dyDescent="0.25">
      <c r="A49" s="54"/>
      <c r="B49" s="54"/>
      <c r="D49" s="25"/>
      <c r="E49" s="59"/>
    </row>
    <row r="50" spans="1:5" x14ac:dyDescent="0.25">
      <c r="A50" s="54"/>
      <c r="B50" s="54"/>
      <c r="D50" s="25"/>
      <c r="E50" s="59"/>
    </row>
    <row r="51" spans="1:5" x14ac:dyDescent="0.25">
      <c r="A51" s="54"/>
      <c r="B51" s="54"/>
      <c r="D51" s="25"/>
      <c r="E51" s="59"/>
    </row>
    <row r="52" spans="1:5" x14ac:dyDescent="0.25">
      <c r="A52" s="54"/>
      <c r="B52" s="54"/>
      <c r="D52" s="25"/>
      <c r="E52" s="59"/>
    </row>
    <row r="53" spans="1:5" x14ac:dyDescent="0.25">
      <c r="A53" s="54"/>
      <c r="B53" s="54"/>
      <c r="D53" s="25"/>
      <c r="E53" s="59"/>
    </row>
    <row r="54" spans="1:5" x14ac:dyDescent="0.25">
      <c r="A54" s="54"/>
      <c r="B54" s="54"/>
      <c r="D54" s="25"/>
      <c r="E54" s="59"/>
    </row>
    <row r="55" spans="1:5" x14ac:dyDescent="0.25">
      <c r="A55" s="54"/>
      <c r="B55" s="54"/>
      <c r="D55" s="25"/>
      <c r="E55" s="59"/>
    </row>
    <row r="56" spans="1:5" x14ac:dyDescent="0.25">
      <c r="A56" s="54"/>
      <c r="B56" s="54"/>
      <c r="D56" s="25"/>
      <c r="E56" s="59"/>
    </row>
    <row r="57" spans="1:5" x14ac:dyDescent="0.25">
      <c r="A57" s="54"/>
      <c r="B57" s="54"/>
      <c r="D57" s="25"/>
      <c r="E57" s="59"/>
    </row>
    <row r="58" spans="1:5" x14ac:dyDescent="0.25">
      <c r="A58" s="54"/>
      <c r="B58" s="54"/>
      <c r="D58" s="25"/>
      <c r="E58" s="59"/>
    </row>
    <row r="59" spans="1:5" x14ac:dyDescent="0.25">
      <c r="A59" s="54"/>
      <c r="B59" s="54"/>
      <c r="D59" s="25"/>
      <c r="E59" s="59"/>
    </row>
    <row r="60" spans="1:5" x14ac:dyDescent="0.25">
      <c r="A60" s="54"/>
      <c r="B60" s="54"/>
      <c r="D60" s="25"/>
    </row>
    <row r="61" spans="1:5" x14ac:dyDescent="0.25">
      <c r="A61" s="54"/>
      <c r="B61" s="54"/>
      <c r="D61" s="25"/>
    </row>
    <row r="62" spans="1:5" x14ac:dyDescent="0.25">
      <c r="A62" s="54"/>
      <c r="B62" s="54"/>
      <c r="D62" s="25"/>
    </row>
    <row r="63" spans="1:5" x14ac:dyDescent="0.25">
      <c r="A63" s="54"/>
      <c r="B63" s="54"/>
      <c r="D63" s="25"/>
    </row>
    <row r="64" spans="1:5" x14ac:dyDescent="0.25">
      <c r="A64" s="54"/>
      <c r="B64" s="54"/>
      <c r="D64" s="25"/>
    </row>
    <row r="65" spans="1:4" x14ac:dyDescent="0.25">
      <c r="A65" s="54"/>
      <c r="B65" s="54"/>
      <c r="D65" s="25"/>
    </row>
    <row r="66" spans="1:4" x14ac:dyDescent="0.25">
      <c r="A66" s="54"/>
      <c r="B66" s="54"/>
      <c r="D66" s="25"/>
    </row>
    <row r="67" spans="1:4" x14ac:dyDescent="0.25">
      <c r="A67" s="54"/>
      <c r="B67" s="54"/>
      <c r="D67" s="25"/>
    </row>
    <row r="68" spans="1:4" x14ac:dyDescent="0.25">
      <c r="A68" s="54"/>
      <c r="B68" s="54"/>
      <c r="D68" s="25"/>
    </row>
    <row r="69" spans="1:4" x14ac:dyDescent="0.25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topLeftCell="A31" workbookViewId="0">
      <selection activeCell="A37" sqref="A37:E41"/>
    </sheetView>
  </sheetViews>
  <sheetFormatPr baseColWidth="10" defaultRowHeight="15" x14ac:dyDescent="0.25"/>
  <cols>
    <col min="1" max="1" width="20.28515625" bestFit="1" customWidth="1"/>
    <col min="2" max="2" width="11.5703125" style="76"/>
    <col min="3" max="3" width="11.5703125" style="11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1349</v>
      </c>
      <c r="D1" s="69" t="s">
        <v>1350</v>
      </c>
    </row>
    <row r="2" spans="1:13" ht="16.5" thickTop="1" thickBot="1" x14ac:dyDescent="0.3">
      <c r="A2" s="66" t="s">
        <v>1346</v>
      </c>
      <c r="B2" s="77">
        <v>375</v>
      </c>
      <c r="C2" s="73"/>
      <c r="D2" s="70"/>
      <c r="E2" s="106">
        <v>44715</v>
      </c>
    </row>
    <row r="3" spans="1:13" ht="15" customHeight="1" thickTop="1" x14ac:dyDescent="0.25">
      <c r="A3" s="67" t="s">
        <v>6</v>
      </c>
      <c r="B3" s="78">
        <v>83</v>
      </c>
      <c r="C3" s="74">
        <v>83</v>
      </c>
      <c r="D3" s="71">
        <f>C3/B2</f>
        <v>0.22133333333333333</v>
      </c>
      <c r="E3" s="107"/>
      <c r="G3" s="80" t="s">
        <v>151</v>
      </c>
      <c r="H3" s="81" t="s">
        <v>152</v>
      </c>
      <c r="I3" s="81" t="s">
        <v>24</v>
      </c>
      <c r="J3" s="81" t="s">
        <v>36</v>
      </c>
      <c r="K3" s="82" t="s">
        <v>969</v>
      </c>
      <c r="L3" s="83" t="s">
        <v>1354</v>
      </c>
      <c r="M3" s="103">
        <v>44715</v>
      </c>
    </row>
    <row r="4" spans="1:13" x14ac:dyDescent="0.25">
      <c r="A4" s="67" t="s">
        <v>1348</v>
      </c>
      <c r="B4" s="78">
        <v>4</v>
      </c>
      <c r="C4" s="74">
        <f>B3-B4</f>
        <v>79</v>
      </c>
      <c r="D4" s="71">
        <f>C4/B2</f>
        <v>0.21066666666666667</v>
      </c>
      <c r="E4" s="107"/>
      <c r="G4" s="84" t="s">
        <v>550</v>
      </c>
      <c r="H4" s="85" t="s">
        <v>551</v>
      </c>
      <c r="I4" s="85" t="s">
        <v>19</v>
      </c>
      <c r="J4" s="85" t="s">
        <v>36</v>
      </c>
      <c r="K4" s="86" t="s">
        <v>1148</v>
      </c>
      <c r="L4" s="87" t="s">
        <v>1355</v>
      </c>
      <c r="M4" s="104"/>
    </row>
    <row r="5" spans="1:13" x14ac:dyDescent="0.25">
      <c r="A5" s="67" t="s">
        <v>1347</v>
      </c>
      <c r="B5" s="78">
        <v>3</v>
      </c>
      <c r="C5" s="74">
        <f>C4-B5</f>
        <v>76</v>
      </c>
      <c r="D5" s="71">
        <f>C5/B2</f>
        <v>0.20266666666666666</v>
      </c>
      <c r="E5" s="107"/>
      <c r="G5" s="84" t="s">
        <v>552</v>
      </c>
      <c r="H5" s="85" t="s">
        <v>551</v>
      </c>
      <c r="I5" s="85" t="s">
        <v>113</v>
      </c>
      <c r="J5" s="85" t="s">
        <v>36</v>
      </c>
      <c r="K5" s="86" t="s">
        <v>1147</v>
      </c>
      <c r="L5" s="87" t="s">
        <v>1355</v>
      </c>
      <c r="M5" s="104"/>
    </row>
    <row r="6" spans="1:13" ht="15.75" thickBot="1" x14ac:dyDescent="0.3">
      <c r="A6" s="68" t="s">
        <v>20</v>
      </c>
      <c r="B6" s="79">
        <v>5</v>
      </c>
      <c r="C6" s="75">
        <f>C5-B6</f>
        <v>71</v>
      </c>
      <c r="D6" s="72">
        <f>C6/B2</f>
        <v>0.18933333333333333</v>
      </c>
      <c r="E6" s="108"/>
      <c r="G6" s="88" t="s">
        <v>517</v>
      </c>
      <c r="H6" s="89" t="s">
        <v>516</v>
      </c>
      <c r="I6" s="89" t="s">
        <v>113</v>
      </c>
      <c r="J6" s="89" t="s">
        <v>36</v>
      </c>
      <c r="K6" s="90" t="s">
        <v>1133</v>
      </c>
      <c r="L6" s="91" t="s">
        <v>1356</v>
      </c>
      <c r="M6" s="105"/>
    </row>
    <row r="7" spans="1:13" ht="15" customHeight="1" thickTop="1" thickBot="1" x14ac:dyDescent="0.3">
      <c r="A7" s="66" t="s">
        <v>1346</v>
      </c>
      <c r="B7" s="77">
        <v>375</v>
      </c>
      <c r="C7" s="73"/>
      <c r="D7" s="70"/>
      <c r="E7" s="106">
        <v>44718</v>
      </c>
      <c r="M7" s="92"/>
    </row>
    <row r="8" spans="1:13" ht="15.75" thickTop="1" x14ac:dyDescent="0.25">
      <c r="A8" s="67" t="s">
        <v>6</v>
      </c>
      <c r="B8" s="78">
        <v>63</v>
      </c>
      <c r="C8" s="74">
        <v>83</v>
      </c>
      <c r="D8" s="71">
        <f>C8/B7</f>
        <v>0.22133333333333333</v>
      </c>
      <c r="E8" s="107"/>
      <c r="G8" s="80" t="s">
        <v>151</v>
      </c>
      <c r="H8" s="81" t="s">
        <v>152</v>
      </c>
      <c r="I8" s="81" t="s">
        <v>24</v>
      </c>
      <c r="J8" s="81" t="s">
        <v>36</v>
      </c>
      <c r="K8" s="82" t="s">
        <v>969</v>
      </c>
      <c r="L8" s="83" t="s">
        <v>1354</v>
      </c>
      <c r="M8" s="103">
        <v>44718</v>
      </c>
    </row>
    <row r="9" spans="1:13" x14ac:dyDescent="0.25">
      <c r="A9" s="67" t="s">
        <v>1348</v>
      </c>
      <c r="B9" s="78">
        <v>5</v>
      </c>
      <c r="C9" s="74">
        <f>B8-B9</f>
        <v>58</v>
      </c>
      <c r="D9" s="71">
        <f>C9/B7</f>
        <v>0.15466666666666667</v>
      </c>
      <c r="E9" s="107"/>
      <c r="G9" s="84" t="s">
        <v>543</v>
      </c>
      <c r="H9" s="85" t="s">
        <v>544</v>
      </c>
      <c r="I9" s="85" t="s">
        <v>19</v>
      </c>
      <c r="J9" s="85" t="s">
        <v>941</v>
      </c>
      <c r="K9" s="86" t="s">
        <v>1145</v>
      </c>
      <c r="L9" s="87" t="s">
        <v>1355</v>
      </c>
      <c r="M9" s="104"/>
    </row>
    <row r="10" spans="1:13" x14ac:dyDescent="0.25">
      <c r="A10" s="67" t="s">
        <v>1347</v>
      </c>
      <c r="B10" s="78">
        <v>3</v>
      </c>
      <c r="C10" s="74">
        <f>C9-B10</f>
        <v>55</v>
      </c>
      <c r="D10" s="71">
        <f>C10/B7</f>
        <v>0.14666666666666667</v>
      </c>
      <c r="E10" s="107"/>
      <c r="G10" s="84" t="s">
        <v>550</v>
      </c>
      <c r="H10" s="85" t="s">
        <v>551</v>
      </c>
      <c r="I10" s="85" t="s">
        <v>19</v>
      </c>
      <c r="J10" s="85" t="s">
        <v>36</v>
      </c>
      <c r="K10" s="86" t="s">
        <v>1148</v>
      </c>
      <c r="L10" s="87" t="s">
        <v>1355</v>
      </c>
      <c r="M10" s="104"/>
    </row>
    <row r="11" spans="1:13" ht="15.75" thickBot="1" x14ac:dyDescent="0.3">
      <c r="A11" s="68" t="s">
        <v>20</v>
      </c>
      <c r="B11" s="79">
        <v>9</v>
      </c>
      <c r="C11" s="75">
        <f>C10-B11</f>
        <v>46</v>
      </c>
      <c r="D11" s="72">
        <f>C11/B7</f>
        <v>0.12266666666666666</v>
      </c>
      <c r="E11" s="108"/>
      <c r="G11" s="84" t="s">
        <v>552</v>
      </c>
      <c r="H11" s="85" t="s">
        <v>551</v>
      </c>
      <c r="I11" s="85" t="s">
        <v>113</v>
      </c>
      <c r="J11" s="85" t="s">
        <v>36</v>
      </c>
      <c r="K11" s="86" t="s">
        <v>1147</v>
      </c>
      <c r="L11" s="87" t="s">
        <v>1355</v>
      </c>
      <c r="M11" s="104"/>
    </row>
    <row r="12" spans="1:13" ht="15.75" thickTop="1" x14ac:dyDescent="0.25">
      <c r="A12" s="66" t="s">
        <v>1346</v>
      </c>
      <c r="B12" s="77">
        <v>375</v>
      </c>
      <c r="C12" s="73"/>
      <c r="D12" s="70"/>
      <c r="E12" s="106">
        <v>44719</v>
      </c>
      <c r="G12" s="84" t="s">
        <v>517</v>
      </c>
      <c r="H12" s="85" t="s">
        <v>516</v>
      </c>
      <c r="I12" s="85" t="s">
        <v>113</v>
      </c>
      <c r="J12" s="85" t="s">
        <v>36</v>
      </c>
      <c r="K12" s="86" t="s">
        <v>1133</v>
      </c>
      <c r="L12" s="87" t="s">
        <v>1356</v>
      </c>
      <c r="M12" s="104"/>
    </row>
    <row r="13" spans="1:13" ht="15.75" thickBot="1" x14ac:dyDescent="0.3">
      <c r="A13" s="67" t="s">
        <v>6</v>
      </c>
      <c r="B13" s="78">
        <v>62</v>
      </c>
      <c r="C13" s="74">
        <v>62</v>
      </c>
      <c r="D13" s="71">
        <f>C13/B12</f>
        <v>0.16533333333333333</v>
      </c>
      <c r="E13" s="107"/>
      <c r="G13" s="94"/>
      <c r="H13" s="95"/>
      <c r="I13" s="95"/>
      <c r="J13" s="95"/>
      <c r="K13" s="95"/>
      <c r="L13" s="96"/>
      <c r="M13" s="93"/>
    </row>
    <row r="14" spans="1:13" ht="15.75" thickTop="1" x14ac:dyDescent="0.25">
      <c r="A14" s="67" t="s">
        <v>1348</v>
      </c>
      <c r="B14" s="78">
        <v>6</v>
      </c>
      <c r="C14" s="74">
        <f>B13-B14</f>
        <v>56</v>
      </c>
      <c r="D14" s="71">
        <f>C14/B12</f>
        <v>0.14933333333333335</v>
      </c>
      <c r="E14" s="107"/>
    </row>
    <row r="15" spans="1:13" ht="15" customHeight="1" thickBot="1" x14ac:dyDescent="0.3">
      <c r="A15" s="67" t="s">
        <v>1347</v>
      </c>
      <c r="B15" s="78">
        <v>3</v>
      </c>
      <c r="C15" s="74">
        <f>C14-B15</f>
        <v>53</v>
      </c>
      <c r="D15" s="71">
        <f>C15/B12</f>
        <v>0.14133333333333334</v>
      </c>
      <c r="E15" s="107"/>
    </row>
    <row r="16" spans="1:13" ht="16.5" thickTop="1" thickBot="1" x14ac:dyDescent="0.3">
      <c r="A16" s="68" t="s">
        <v>20</v>
      </c>
      <c r="B16" s="79">
        <v>9</v>
      </c>
      <c r="C16" s="75">
        <f>C15-B16</f>
        <v>44</v>
      </c>
      <c r="D16" s="72">
        <f>C16/B12</f>
        <v>0.11733333333333333</v>
      </c>
      <c r="E16" s="108"/>
      <c r="G16" s="80" t="s">
        <v>151</v>
      </c>
      <c r="H16" s="81" t="s">
        <v>152</v>
      </c>
      <c r="I16" s="81" t="s">
        <v>24</v>
      </c>
      <c r="J16" s="81" t="s">
        <v>36</v>
      </c>
      <c r="K16" s="82" t="s">
        <v>969</v>
      </c>
      <c r="L16" s="83" t="s">
        <v>1354</v>
      </c>
      <c r="M16" s="100">
        <v>44719</v>
      </c>
    </row>
    <row r="17" spans="1:13" ht="15.75" thickTop="1" x14ac:dyDescent="0.25">
      <c r="A17" s="66" t="s">
        <v>1346</v>
      </c>
      <c r="B17" s="77">
        <v>375</v>
      </c>
      <c r="C17" s="73"/>
      <c r="D17" s="70"/>
      <c r="E17" s="106">
        <v>44720</v>
      </c>
      <c r="G17" s="84" t="s">
        <v>543</v>
      </c>
      <c r="H17" s="85" t="s">
        <v>544</v>
      </c>
      <c r="I17" s="85" t="s">
        <v>19</v>
      </c>
      <c r="J17" s="85" t="s">
        <v>941</v>
      </c>
      <c r="K17" s="86" t="s">
        <v>1145</v>
      </c>
      <c r="L17" s="87" t="s">
        <v>1355</v>
      </c>
      <c r="M17" s="101"/>
    </row>
    <row r="18" spans="1:13" x14ac:dyDescent="0.25">
      <c r="A18" s="67" t="s">
        <v>6</v>
      </c>
      <c r="B18" s="78">
        <v>44</v>
      </c>
      <c r="C18" s="74">
        <v>44</v>
      </c>
      <c r="D18" s="71">
        <f>C18/B17</f>
        <v>0.11733333333333333</v>
      </c>
      <c r="E18" s="107"/>
      <c r="G18" s="84" t="s">
        <v>550</v>
      </c>
      <c r="H18" s="85" t="s">
        <v>551</v>
      </c>
      <c r="I18" s="85" t="s">
        <v>19</v>
      </c>
      <c r="J18" s="85" t="s">
        <v>36</v>
      </c>
      <c r="K18" s="86" t="s">
        <v>1148</v>
      </c>
      <c r="L18" s="87" t="s">
        <v>1355</v>
      </c>
      <c r="M18" s="101"/>
    </row>
    <row r="19" spans="1:13" x14ac:dyDescent="0.25">
      <c r="A19" s="67" t="s">
        <v>1348</v>
      </c>
      <c r="B19" s="78">
        <v>6</v>
      </c>
      <c r="C19" s="74">
        <f>B18-B19</f>
        <v>38</v>
      </c>
      <c r="D19" s="71">
        <f>C19/B17</f>
        <v>0.10133333333333333</v>
      </c>
      <c r="E19" s="107"/>
      <c r="G19" s="84" t="s">
        <v>552</v>
      </c>
      <c r="H19" s="85" t="s">
        <v>551</v>
      </c>
      <c r="I19" s="85" t="s">
        <v>113</v>
      </c>
      <c r="J19" s="85" t="s">
        <v>36</v>
      </c>
      <c r="K19" s="86" t="s">
        <v>1147</v>
      </c>
      <c r="L19" s="87" t="s">
        <v>1355</v>
      </c>
      <c r="M19" s="101"/>
    </row>
    <row r="20" spans="1:13" x14ac:dyDescent="0.25">
      <c r="A20" s="67" t="s">
        <v>1347</v>
      </c>
      <c r="B20" s="78">
        <v>3</v>
      </c>
      <c r="C20" s="74">
        <f>C19-B20</f>
        <v>35</v>
      </c>
      <c r="D20" s="71">
        <f>C20/B17</f>
        <v>9.3333333333333338E-2</v>
      </c>
      <c r="E20" s="107"/>
      <c r="G20" s="84" t="s">
        <v>517</v>
      </c>
      <c r="H20" s="85" t="s">
        <v>516</v>
      </c>
      <c r="I20" s="85" t="s">
        <v>113</v>
      </c>
      <c r="J20" s="85" t="s">
        <v>36</v>
      </c>
      <c r="K20" s="86" t="s">
        <v>1133</v>
      </c>
      <c r="L20" s="87" t="s">
        <v>1356</v>
      </c>
      <c r="M20" s="101"/>
    </row>
    <row r="21" spans="1:13" ht="15.75" thickBot="1" x14ac:dyDescent="0.3">
      <c r="A21" s="68" t="s">
        <v>20</v>
      </c>
      <c r="B21" s="79">
        <v>7</v>
      </c>
      <c r="C21" s="75">
        <f>C20-B21</f>
        <v>28</v>
      </c>
      <c r="D21" s="72">
        <f>C21/B17</f>
        <v>7.4666666666666673E-2</v>
      </c>
      <c r="E21" s="108"/>
      <c r="G21" s="94" t="s">
        <v>242</v>
      </c>
      <c r="H21" s="95" t="s">
        <v>243</v>
      </c>
      <c r="I21" s="95" t="s">
        <v>73</v>
      </c>
      <c r="J21" s="95" t="s">
        <v>36</v>
      </c>
      <c r="K21" s="95" t="s">
        <v>1339</v>
      </c>
      <c r="L21" s="96" t="s">
        <v>1356</v>
      </c>
      <c r="M21" s="102"/>
    </row>
    <row r="22" spans="1:13" ht="15.75" thickTop="1" x14ac:dyDescent="0.25">
      <c r="A22" s="66" t="s">
        <v>1346</v>
      </c>
      <c r="B22" s="77">
        <v>375</v>
      </c>
      <c r="C22" s="73"/>
      <c r="D22" s="70"/>
      <c r="E22" s="106">
        <v>44722</v>
      </c>
    </row>
    <row r="23" spans="1:13" ht="15.75" thickBot="1" x14ac:dyDescent="0.3">
      <c r="A23" s="67" t="s">
        <v>6</v>
      </c>
      <c r="B23" s="78">
        <v>51</v>
      </c>
      <c r="C23" s="74">
        <v>51</v>
      </c>
      <c r="D23" s="71">
        <f>C23/B22</f>
        <v>0.13600000000000001</v>
      </c>
      <c r="E23" s="107"/>
    </row>
    <row r="24" spans="1:13" ht="15.75" thickTop="1" x14ac:dyDescent="0.25">
      <c r="A24" s="67" t="s">
        <v>1348</v>
      </c>
      <c r="B24" s="78">
        <v>7</v>
      </c>
      <c r="C24" s="74">
        <f>B23-B24</f>
        <v>44</v>
      </c>
      <c r="D24" s="71">
        <f>C24/B22</f>
        <v>0.11733333333333333</v>
      </c>
      <c r="E24" s="107"/>
      <c r="G24" s="80" t="s">
        <v>151</v>
      </c>
      <c r="H24" s="81" t="s">
        <v>152</v>
      </c>
      <c r="I24" s="81" t="s">
        <v>24</v>
      </c>
      <c r="J24" s="81" t="s">
        <v>36</v>
      </c>
      <c r="K24" s="82" t="s">
        <v>969</v>
      </c>
      <c r="L24" s="83" t="s">
        <v>1354</v>
      </c>
      <c r="M24" s="100">
        <v>44720</v>
      </c>
    </row>
    <row r="25" spans="1:13" x14ac:dyDescent="0.25">
      <c r="A25" s="67" t="s">
        <v>1347</v>
      </c>
      <c r="B25" s="78">
        <v>3</v>
      </c>
      <c r="C25" s="74">
        <f>C24-B25</f>
        <v>41</v>
      </c>
      <c r="D25" s="71">
        <f>C25/B22</f>
        <v>0.10933333333333334</v>
      </c>
      <c r="E25" s="107"/>
      <c r="G25" s="84" t="s">
        <v>242</v>
      </c>
      <c r="H25" s="85" t="s">
        <v>243</v>
      </c>
      <c r="I25" s="85" t="s">
        <v>73</v>
      </c>
      <c r="J25" s="85" t="s">
        <v>36</v>
      </c>
      <c r="K25" s="86" t="s">
        <v>1339</v>
      </c>
      <c r="L25" s="87" t="s">
        <v>1360</v>
      </c>
      <c r="M25" s="101"/>
    </row>
    <row r="26" spans="1:13" ht="15.75" thickBot="1" x14ac:dyDescent="0.3">
      <c r="A26" s="68" t="s">
        <v>20</v>
      </c>
      <c r="B26" s="79">
        <v>7</v>
      </c>
      <c r="C26" s="75">
        <f>C25-B26</f>
        <v>34</v>
      </c>
      <c r="D26" s="72">
        <f>C26/B22</f>
        <v>9.0666666666666673E-2</v>
      </c>
      <c r="E26" s="108"/>
      <c r="G26" s="84" t="s">
        <v>543</v>
      </c>
      <c r="H26" s="85" t="s">
        <v>544</v>
      </c>
      <c r="I26" s="85" t="s">
        <v>19</v>
      </c>
      <c r="J26" s="85" t="s">
        <v>941</v>
      </c>
      <c r="K26" s="86" t="s">
        <v>1145</v>
      </c>
      <c r="L26" s="87" t="s">
        <v>1355</v>
      </c>
      <c r="M26" s="101"/>
    </row>
    <row r="27" spans="1:13" ht="15.75" thickTop="1" x14ac:dyDescent="0.25">
      <c r="A27" s="66" t="s">
        <v>1346</v>
      </c>
      <c r="B27" s="77">
        <v>375</v>
      </c>
      <c r="C27" s="73"/>
      <c r="D27" s="70"/>
      <c r="E27" s="106">
        <v>44733</v>
      </c>
      <c r="G27" s="84" t="s">
        <v>550</v>
      </c>
      <c r="H27" s="85" t="s">
        <v>551</v>
      </c>
      <c r="I27" s="85" t="s">
        <v>19</v>
      </c>
      <c r="J27" s="85" t="s">
        <v>36</v>
      </c>
      <c r="K27" s="86" t="s">
        <v>1148</v>
      </c>
      <c r="L27" s="87" t="s">
        <v>1355</v>
      </c>
      <c r="M27" s="101"/>
    </row>
    <row r="28" spans="1:13" x14ac:dyDescent="0.25">
      <c r="A28" s="67" t="s">
        <v>6</v>
      </c>
      <c r="B28" s="78">
        <v>33</v>
      </c>
      <c r="C28" s="74">
        <v>51</v>
      </c>
      <c r="D28" s="71">
        <f>C28/B27</f>
        <v>0.13600000000000001</v>
      </c>
      <c r="E28" s="107"/>
      <c r="G28" s="84" t="s">
        <v>552</v>
      </c>
      <c r="H28" s="85" t="s">
        <v>551</v>
      </c>
      <c r="I28" s="85" t="s">
        <v>113</v>
      </c>
      <c r="J28" s="85" t="s">
        <v>36</v>
      </c>
      <c r="K28" s="86" t="s">
        <v>1147</v>
      </c>
      <c r="L28" s="87" t="s">
        <v>1355</v>
      </c>
      <c r="M28" s="101"/>
    </row>
    <row r="29" spans="1:13" ht="15.75" thickBot="1" x14ac:dyDescent="0.3">
      <c r="A29" s="67" t="s">
        <v>1348</v>
      </c>
      <c r="B29" s="78">
        <v>6</v>
      </c>
      <c r="C29" s="74">
        <f>B28-B29</f>
        <v>27</v>
      </c>
      <c r="D29" s="71">
        <f>C29/B27</f>
        <v>7.1999999999999995E-2</v>
      </c>
      <c r="E29" s="107"/>
      <c r="G29" s="94" t="s">
        <v>517</v>
      </c>
      <c r="H29" s="95" t="s">
        <v>516</v>
      </c>
      <c r="I29" s="95" t="s">
        <v>113</v>
      </c>
      <c r="J29" s="95" t="s">
        <v>36</v>
      </c>
      <c r="K29" s="95" t="s">
        <v>1133</v>
      </c>
      <c r="L29" s="96" t="s">
        <v>1356</v>
      </c>
      <c r="M29" s="102"/>
    </row>
    <row r="30" spans="1:13" ht="15.75" thickTop="1" x14ac:dyDescent="0.25">
      <c r="A30" s="67" t="s">
        <v>1347</v>
      </c>
      <c r="B30" s="78">
        <v>3</v>
      </c>
      <c r="C30" s="74">
        <f>C29-B30</f>
        <v>24</v>
      </c>
      <c r="D30" s="71">
        <f>C30/B27</f>
        <v>6.4000000000000001E-2</v>
      </c>
      <c r="E30" s="107"/>
    </row>
    <row r="31" spans="1:13" ht="15.75" thickBot="1" x14ac:dyDescent="0.3">
      <c r="A31" s="68" t="s">
        <v>20</v>
      </c>
      <c r="B31" s="79">
        <v>5</v>
      </c>
      <c r="C31" s="75">
        <f>C30-B31</f>
        <v>19</v>
      </c>
      <c r="D31" s="72">
        <f>C31/B27</f>
        <v>5.0666666666666665E-2</v>
      </c>
      <c r="E31" s="108"/>
    </row>
    <row r="32" spans="1:13" ht="15.75" thickTop="1" x14ac:dyDescent="0.25">
      <c r="A32" s="66" t="s">
        <v>1346</v>
      </c>
      <c r="B32" s="77">
        <v>375</v>
      </c>
      <c r="C32" s="73"/>
      <c r="D32" s="70"/>
      <c r="E32" s="106">
        <v>44734</v>
      </c>
      <c r="G32" s="55" t="s">
        <v>44</v>
      </c>
      <c r="H32" s="54" t="s">
        <v>45</v>
      </c>
      <c r="I32" s="54" t="s">
        <v>24</v>
      </c>
      <c r="J32" s="54" t="s">
        <v>36</v>
      </c>
      <c r="K32" s="16" t="s">
        <v>943</v>
      </c>
      <c r="L32" s="97" t="s">
        <v>1361</v>
      </c>
    </row>
    <row r="33" spans="1:13" x14ac:dyDescent="0.25">
      <c r="A33" s="67" t="s">
        <v>6</v>
      </c>
      <c r="B33" s="78">
        <v>35</v>
      </c>
      <c r="C33" s="74">
        <v>35</v>
      </c>
      <c r="D33" s="71">
        <f>C33/B32</f>
        <v>9.3333333333333338E-2</v>
      </c>
      <c r="E33" s="107"/>
      <c r="G33" s="55" t="s">
        <v>242</v>
      </c>
      <c r="H33" s="54" t="s">
        <v>243</v>
      </c>
      <c r="I33" s="54" t="s">
        <v>73</v>
      </c>
      <c r="J33" s="54" t="s">
        <v>36</v>
      </c>
      <c r="K33" s="16" t="s">
        <v>1339</v>
      </c>
      <c r="L33" s="97" t="s">
        <v>1360</v>
      </c>
    </row>
    <row r="34" spans="1:13" x14ac:dyDescent="0.25">
      <c r="A34" s="67" t="s">
        <v>1348</v>
      </c>
      <c r="B34" s="78">
        <v>4</v>
      </c>
      <c r="C34" s="74">
        <f>B33-B34</f>
        <v>31</v>
      </c>
      <c r="D34" s="71">
        <f>C34/B32</f>
        <v>8.2666666666666666E-2</v>
      </c>
      <c r="E34" s="107"/>
      <c r="G34" s="55" t="s">
        <v>317</v>
      </c>
      <c r="H34" s="54" t="s">
        <v>318</v>
      </c>
      <c r="I34" s="54" t="s">
        <v>24</v>
      </c>
      <c r="J34" s="54" t="s">
        <v>36</v>
      </c>
      <c r="K34" s="16" t="s">
        <v>1051</v>
      </c>
      <c r="L34" s="97" t="s">
        <v>1362</v>
      </c>
    </row>
    <row r="35" spans="1:13" x14ac:dyDescent="0.25">
      <c r="A35" s="67" t="s">
        <v>1347</v>
      </c>
      <c r="B35" s="78">
        <v>3</v>
      </c>
      <c r="C35" s="74">
        <f>C34-B35</f>
        <v>28</v>
      </c>
      <c r="D35" s="71">
        <f>C35/B32</f>
        <v>7.4666666666666673E-2</v>
      </c>
      <c r="E35" s="107"/>
      <c r="G35" s="55" t="s">
        <v>543</v>
      </c>
      <c r="H35" s="54" t="s">
        <v>544</v>
      </c>
      <c r="I35" s="54" t="s">
        <v>19</v>
      </c>
      <c r="J35" s="54" t="s">
        <v>941</v>
      </c>
      <c r="K35" s="16" t="s">
        <v>1145</v>
      </c>
      <c r="L35" s="97" t="s">
        <v>1355</v>
      </c>
    </row>
    <row r="36" spans="1:13" ht="15.75" thickBot="1" x14ac:dyDescent="0.3">
      <c r="A36" s="68" t="s">
        <v>20</v>
      </c>
      <c r="B36" s="79">
        <v>4</v>
      </c>
      <c r="C36" s="75">
        <f>C35-B36</f>
        <v>24</v>
      </c>
      <c r="D36" s="72">
        <f>C36/B32</f>
        <v>6.4000000000000001E-2</v>
      </c>
      <c r="E36" s="108"/>
      <c r="G36" s="55" t="s">
        <v>550</v>
      </c>
      <c r="H36" s="54" t="s">
        <v>551</v>
      </c>
      <c r="I36" s="54" t="s">
        <v>19</v>
      </c>
      <c r="J36" s="54" t="s">
        <v>36</v>
      </c>
      <c r="K36" s="16" t="s">
        <v>1148</v>
      </c>
      <c r="L36" s="97" t="s">
        <v>1355</v>
      </c>
    </row>
    <row r="37" spans="1:13" ht="15.75" thickTop="1" x14ac:dyDescent="0.25">
      <c r="A37" s="66" t="s">
        <v>1346</v>
      </c>
      <c r="B37" s="77">
        <v>375</v>
      </c>
      <c r="C37" s="73"/>
      <c r="D37" s="70"/>
      <c r="E37" s="106">
        <v>44735</v>
      </c>
      <c r="G37" s="55" t="s">
        <v>552</v>
      </c>
      <c r="H37" s="54" t="s">
        <v>551</v>
      </c>
      <c r="I37" s="54" t="s">
        <v>113</v>
      </c>
      <c r="J37" s="54" t="s">
        <v>36</v>
      </c>
      <c r="K37" s="16" t="s">
        <v>1147</v>
      </c>
      <c r="L37" s="97" t="s">
        <v>1355</v>
      </c>
    </row>
    <row r="38" spans="1:13" x14ac:dyDescent="0.25">
      <c r="A38" s="67" t="s">
        <v>6</v>
      </c>
      <c r="B38" s="78">
        <v>38</v>
      </c>
      <c r="C38" s="74">
        <v>38</v>
      </c>
      <c r="D38" s="71">
        <f>C38/B37</f>
        <v>0.10133333333333333</v>
      </c>
      <c r="E38" s="107"/>
      <c r="G38" s="55" t="s">
        <v>517</v>
      </c>
      <c r="H38" s="54" t="s">
        <v>516</v>
      </c>
      <c r="I38" s="54" t="s">
        <v>113</v>
      </c>
      <c r="J38" s="54" t="s">
        <v>36</v>
      </c>
      <c r="K38" s="16" t="s">
        <v>1133</v>
      </c>
      <c r="L38" s="98" t="s">
        <v>1356</v>
      </c>
    </row>
    <row r="39" spans="1:13" ht="15.75" thickBot="1" x14ac:dyDescent="0.3">
      <c r="A39" s="67" t="s">
        <v>1348</v>
      </c>
      <c r="B39" s="78">
        <v>7</v>
      </c>
      <c r="C39" s="74">
        <f>B38-B39</f>
        <v>31</v>
      </c>
      <c r="D39" s="71">
        <f>C39/B37</f>
        <v>8.2666666666666666E-2</v>
      </c>
      <c r="E39" s="107"/>
    </row>
    <row r="40" spans="1:13" ht="15.75" thickTop="1" x14ac:dyDescent="0.25">
      <c r="A40" s="67" t="s">
        <v>1347</v>
      </c>
      <c r="B40" s="78">
        <v>3</v>
      </c>
      <c r="C40" s="74">
        <f>C39-B40</f>
        <v>28</v>
      </c>
      <c r="D40" s="71">
        <f>C40/B37</f>
        <v>7.4666666666666673E-2</v>
      </c>
      <c r="E40" s="107"/>
      <c r="G40" s="80" t="s">
        <v>371</v>
      </c>
      <c r="H40" s="81" t="s">
        <v>372</v>
      </c>
      <c r="I40" s="81" t="s">
        <v>19</v>
      </c>
      <c r="J40" s="81" t="s">
        <v>25</v>
      </c>
      <c r="K40" s="82" t="s">
        <v>1066</v>
      </c>
      <c r="L40" s="83" t="s">
        <v>1364</v>
      </c>
      <c r="M40" s="100">
        <v>44733</v>
      </c>
    </row>
    <row r="41" spans="1:13" ht="15.75" thickBot="1" x14ac:dyDescent="0.3">
      <c r="A41" s="68" t="s">
        <v>20</v>
      </c>
      <c r="B41" s="79">
        <v>6</v>
      </c>
      <c r="C41" s="75">
        <f>C40-B41</f>
        <v>22</v>
      </c>
      <c r="D41" s="72">
        <f>C41/B37</f>
        <v>5.8666666666666666E-2</v>
      </c>
      <c r="E41" s="108"/>
      <c r="G41" s="84" t="s">
        <v>517</v>
      </c>
      <c r="H41" s="85" t="s">
        <v>516</v>
      </c>
      <c r="I41" s="85" t="s">
        <v>113</v>
      </c>
      <c r="J41" s="85" t="s">
        <v>36</v>
      </c>
      <c r="K41" s="86" t="s">
        <v>1133</v>
      </c>
      <c r="L41" s="87" t="s">
        <v>1365</v>
      </c>
      <c r="M41" s="101"/>
    </row>
    <row r="42" spans="1:13" ht="15.75" thickTop="1" x14ac:dyDescent="0.25">
      <c r="G42" s="84" t="s">
        <v>825</v>
      </c>
      <c r="H42" s="85" t="s">
        <v>826</v>
      </c>
      <c r="I42" s="85" t="s">
        <v>24</v>
      </c>
      <c r="J42" s="85" t="s">
        <v>36</v>
      </c>
      <c r="K42" s="86" t="s">
        <v>1271</v>
      </c>
      <c r="L42" s="87" t="s">
        <v>1365</v>
      </c>
      <c r="M42" s="101"/>
    </row>
    <row r="43" spans="1:13" x14ac:dyDescent="0.25">
      <c r="G43" s="84" t="s">
        <v>543</v>
      </c>
      <c r="H43" s="85" t="s">
        <v>544</v>
      </c>
      <c r="I43" s="85" t="s">
        <v>19</v>
      </c>
      <c r="J43" s="85" t="s">
        <v>941</v>
      </c>
      <c r="K43" s="86" t="s">
        <v>1145</v>
      </c>
      <c r="L43" s="87" t="s">
        <v>1355</v>
      </c>
      <c r="M43" s="101"/>
    </row>
    <row r="44" spans="1:13" x14ac:dyDescent="0.25">
      <c r="G44" s="84" t="s">
        <v>550</v>
      </c>
      <c r="H44" s="85" t="s">
        <v>551</v>
      </c>
      <c r="I44" s="85" t="s">
        <v>19</v>
      </c>
      <c r="J44" s="85" t="s">
        <v>36</v>
      </c>
      <c r="K44" s="86" t="s">
        <v>1148</v>
      </c>
      <c r="L44" s="87" t="s">
        <v>1355</v>
      </c>
      <c r="M44" s="101"/>
    </row>
    <row r="45" spans="1:13" ht="15.75" thickBot="1" x14ac:dyDescent="0.3">
      <c r="G45" s="94" t="s">
        <v>552</v>
      </c>
      <c r="H45" s="95" t="s">
        <v>551</v>
      </c>
      <c r="I45" s="95" t="s">
        <v>113</v>
      </c>
      <c r="J45" s="95" t="s">
        <v>36</v>
      </c>
      <c r="K45" s="95" t="s">
        <v>1147</v>
      </c>
      <c r="L45" s="96" t="s">
        <v>1355</v>
      </c>
      <c r="M45" s="102"/>
    </row>
    <row r="46" spans="1:13" ht="15.75" thickTop="1" x14ac:dyDescent="0.25"/>
    <row r="47" spans="1:13" x14ac:dyDescent="0.25">
      <c r="G47" s="55" t="s">
        <v>277</v>
      </c>
      <c r="H47" s="54" t="s">
        <v>278</v>
      </c>
      <c r="I47" s="54" t="s">
        <v>19</v>
      </c>
      <c r="J47" s="54" t="s">
        <v>25</v>
      </c>
      <c r="K47" s="16" t="s">
        <v>1039</v>
      </c>
      <c r="L47" s="97" t="s">
        <v>1366</v>
      </c>
    </row>
    <row r="48" spans="1:13" x14ac:dyDescent="0.25">
      <c r="G48" s="55" t="s">
        <v>371</v>
      </c>
      <c r="H48" s="54" t="s">
        <v>372</v>
      </c>
      <c r="I48" s="54" t="s">
        <v>19</v>
      </c>
      <c r="J48" s="54" t="s">
        <v>25</v>
      </c>
      <c r="K48" s="16" t="s">
        <v>1066</v>
      </c>
      <c r="L48" s="97" t="s">
        <v>1367</v>
      </c>
    </row>
    <row r="49" spans="7:12" x14ac:dyDescent="0.25">
      <c r="G49" s="55" t="s">
        <v>766</v>
      </c>
      <c r="H49" s="54" t="s">
        <v>767</v>
      </c>
      <c r="I49" s="54" t="s">
        <v>19</v>
      </c>
      <c r="J49" s="54" t="s">
        <v>941</v>
      </c>
      <c r="K49" s="16" t="s">
        <v>1257</v>
      </c>
      <c r="L49" s="97" t="s">
        <v>1368</v>
      </c>
    </row>
    <row r="50" spans="7:12" x14ac:dyDescent="0.25">
      <c r="G50" s="55" t="s">
        <v>825</v>
      </c>
      <c r="H50" s="54" t="s">
        <v>826</v>
      </c>
      <c r="I50" s="54" t="s">
        <v>24</v>
      </c>
      <c r="J50" s="54" t="s">
        <v>36</v>
      </c>
      <c r="K50" s="16" t="s">
        <v>1271</v>
      </c>
      <c r="L50" s="97" t="s">
        <v>1365</v>
      </c>
    </row>
    <row r="51" spans="7:12" x14ac:dyDescent="0.25">
      <c r="G51" s="55" t="s">
        <v>543</v>
      </c>
      <c r="H51" s="54" t="s">
        <v>544</v>
      </c>
      <c r="I51" s="54" t="s">
        <v>19</v>
      </c>
      <c r="J51" s="54" t="s">
        <v>941</v>
      </c>
      <c r="K51" s="16" t="s">
        <v>1145</v>
      </c>
      <c r="L51" s="97" t="s">
        <v>1355</v>
      </c>
    </row>
    <row r="52" spans="7:12" x14ac:dyDescent="0.25">
      <c r="G52" s="55" t="s">
        <v>550</v>
      </c>
      <c r="H52" s="54" t="s">
        <v>551</v>
      </c>
      <c r="I52" s="54" t="s">
        <v>19</v>
      </c>
      <c r="J52" s="54" t="s">
        <v>36</v>
      </c>
      <c r="K52" s="16" t="s">
        <v>1148</v>
      </c>
      <c r="L52" s="97" t="s">
        <v>1355</v>
      </c>
    </row>
    <row r="53" spans="7:12" x14ac:dyDescent="0.25">
      <c r="G53" s="55" t="s">
        <v>552</v>
      </c>
      <c r="H53" s="54" t="s">
        <v>551</v>
      </c>
      <c r="I53" s="54" t="s">
        <v>113</v>
      </c>
      <c r="J53" s="54" t="s">
        <v>36</v>
      </c>
      <c r="K53" s="16" t="s">
        <v>1147</v>
      </c>
      <c r="L53" s="97" t="s">
        <v>1355</v>
      </c>
    </row>
  </sheetData>
  <mergeCells count="13">
    <mergeCell ref="M40:M45"/>
    <mergeCell ref="M3:M6"/>
    <mergeCell ref="M8:M12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</mergeCells>
  <conditionalFormatting sqref="I3:L6">
    <cfRule type="containsText" dxfId="111" priority="229" operator="containsText" text="Radio">
      <formula>NOT(ISERROR(SEARCH("Radio",I3)))</formula>
    </cfRule>
  </conditionalFormatting>
  <conditionalFormatting sqref="I6">
    <cfRule type="containsText" dxfId="110" priority="227" operator="containsText" text="fija">
      <formula>NOT(ISERROR(SEARCH("fija",I6)))</formula>
    </cfRule>
    <cfRule type="containsText" dxfId="109" priority="228" operator="containsText" text="domo">
      <formula>NOT(ISERROR(SEARCH("domo",I6)))</formula>
    </cfRule>
  </conditionalFormatting>
  <conditionalFormatting sqref="J6">
    <cfRule type="cellIs" dxfId="108" priority="226" operator="equal">
      <formula>"PTP A FO"</formula>
    </cfRule>
  </conditionalFormatting>
  <conditionalFormatting sqref="I3">
    <cfRule type="containsText" dxfId="107" priority="224" operator="containsText" text="fija">
      <formula>NOT(ISERROR(SEARCH("fija",I3)))</formula>
    </cfRule>
    <cfRule type="containsText" dxfId="106" priority="225" operator="containsText" text="domo">
      <formula>NOT(ISERROR(SEARCH("domo",I3)))</formula>
    </cfRule>
  </conditionalFormatting>
  <conditionalFormatting sqref="J3">
    <cfRule type="cellIs" dxfId="105" priority="223" operator="equal">
      <formula>"PTP A FO"</formula>
    </cfRule>
  </conditionalFormatting>
  <conditionalFormatting sqref="I4:I5">
    <cfRule type="containsText" dxfId="104" priority="221" operator="containsText" text="fija">
      <formula>NOT(ISERROR(SEARCH("fija",I4)))</formula>
    </cfRule>
    <cfRule type="containsText" dxfId="103" priority="222" operator="containsText" text="domo">
      <formula>NOT(ISERROR(SEARCH("domo",I4)))</formula>
    </cfRule>
  </conditionalFormatting>
  <conditionalFormatting sqref="J4:J5">
    <cfRule type="cellIs" dxfId="102" priority="220" operator="equal">
      <formula>"PTP A FO"</formula>
    </cfRule>
  </conditionalFormatting>
  <conditionalFormatting sqref="I8:L11 L12">
    <cfRule type="containsText" dxfId="101" priority="184" operator="containsText" text="Radio">
      <formula>NOT(ISERROR(SEARCH("Radio",I8)))</formula>
    </cfRule>
  </conditionalFormatting>
  <conditionalFormatting sqref="I11">
    <cfRule type="containsText" dxfId="100" priority="182" operator="containsText" text="fija">
      <formula>NOT(ISERROR(SEARCH("fija",I11)))</formula>
    </cfRule>
    <cfRule type="containsText" dxfId="99" priority="183" operator="containsText" text="domo">
      <formula>NOT(ISERROR(SEARCH("domo",I11)))</formula>
    </cfRule>
  </conditionalFormatting>
  <conditionalFormatting sqref="J11">
    <cfRule type="cellIs" dxfId="98" priority="181" operator="equal">
      <formula>"PTP A FO"</formula>
    </cfRule>
  </conditionalFormatting>
  <conditionalFormatting sqref="I8">
    <cfRule type="containsText" dxfId="97" priority="179" operator="containsText" text="fija">
      <formula>NOT(ISERROR(SEARCH("fija",I8)))</formula>
    </cfRule>
    <cfRule type="containsText" dxfId="96" priority="180" operator="containsText" text="domo">
      <formula>NOT(ISERROR(SEARCH("domo",I8)))</formula>
    </cfRule>
  </conditionalFormatting>
  <conditionalFormatting sqref="J8">
    <cfRule type="cellIs" dxfId="95" priority="178" operator="equal">
      <formula>"PTP A FO"</formula>
    </cfRule>
  </conditionalFormatting>
  <conditionalFormatting sqref="I9:I10">
    <cfRule type="containsText" dxfId="94" priority="176" operator="containsText" text="fija">
      <formula>NOT(ISERROR(SEARCH("fija",I9)))</formula>
    </cfRule>
    <cfRule type="containsText" dxfId="93" priority="177" operator="containsText" text="domo">
      <formula>NOT(ISERROR(SEARCH("domo",I9)))</formula>
    </cfRule>
  </conditionalFormatting>
  <conditionalFormatting sqref="J9:J10">
    <cfRule type="cellIs" dxfId="92" priority="175" operator="equal">
      <formula>"PTP A FO"</formula>
    </cfRule>
  </conditionalFormatting>
  <conditionalFormatting sqref="I12:K12">
    <cfRule type="containsText" dxfId="91" priority="174" operator="containsText" text="Radio">
      <formula>NOT(ISERROR(SEARCH("Radio",I12)))</formula>
    </cfRule>
  </conditionalFormatting>
  <conditionalFormatting sqref="I12">
    <cfRule type="containsText" dxfId="90" priority="172" operator="containsText" text="fija">
      <formula>NOT(ISERROR(SEARCH("fija",I12)))</formula>
    </cfRule>
    <cfRule type="containsText" dxfId="89" priority="173" operator="containsText" text="domo">
      <formula>NOT(ISERROR(SEARCH("domo",I12)))</formula>
    </cfRule>
  </conditionalFormatting>
  <conditionalFormatting sqref="J12">
    <cfRule type="cellIs" dxfId="88" priority="171" operator="equal">
      <formula>"PTP A FO"</formula>
    </cfRule>
  </conditionalFormatting>
  <conditionalFormatting sqref="I16:L19 L20">
    <cfRule type="containsText" dxfId="87" priority="142" operator="containsText" text="Radio">
      <formula>NOT(ISERROR(SEARCH("Radio",I16)))</formula>
    </cfRule>
  </conditionalFormatting>
  <conditionalFormatting sqref="I19">
    <cfRule type="containsText" dxfId="86" priority="140" operator="containsText" text="fija">
      <formula>NOT(ISERROR(SEARCH("fija",I19)))</formula>
    </cfRule>
    <cfRule type="containsText" dxfId="85" priority="141" operator="containsText" text="domo">
      <formula>NOT(ISERROR(SEARCH("domo",I19)))</formula>
    </cfRule>
  </conditionalFormatting>
  <conditionalFormatting sqref="J19">
    <cfRule type="cellIs" dxfId="84" priority="139" operator="equal">
      <formula>"PTP A FO"</formula>
    </cfRule>
  </conditionalFormatting>
  <conditionalFormatting sqref="I16">
    <cfRule type="containsText" dxfId="83" priority="137" operator="containsText" text="fija">
      <formula>NOT(ISERROR(SEARCH("fija",I16)))</formula>
    </cfRule>
    <cfRule type="containsText" dxfId="82" priority="138" operator="containsText" text="domo">
      <formula>NOT(ISERROR(SEARCH("domo",I16)))</formula>
    </cfRule>
  </conditionalFormatting>
  <conditionalFormatting sqref="J16">
    <cfRule type="cellIs" dxfId="81" priority="136" operator="equal">
      <formula>"PTP A FO"</formula>
    </cfRule>
  </conditionalFormatting>
  <conditionalFormatting sqref="I17:I18">
    <cfRule type="containsText" dxfId="80" priority="134" operator="containsText" text="fija">
      <formula>NOT(ISERROR(SEARCH("fija",I17)))</formula>
    </cfRule>
    <cfRule type="containsText" dxfId="79" priority="135" operator="containsText" text="domo">
      <formula>NOT(ISERROR(SEARCH("domo",I17)))</formula>
    </cfRule>
  </conditionalFormatting>
  <conditionalFormatting sqref="J17:J18">
    <cfRule type="cellIs" dxfId="78" priority="133" operator="equal">
      <formula>"PTP A FO"</formula>
    </cfRule>
  </conditionalFormatting>
  <conditionalFormatting sqref="I20:K20">
    <cfRule type="containsText" dxfId="77" priority="132" operator="containsText" text="Radio">
      <formula>NOT(ISERROR(SEARCH("Radio",I20)))</formula>
    </cfRule>
  </conditionalFormatting>
  <conditionalFormatting sqref="I20">
    <cfRule type="containsText" dxfId="76" priority="130" operator="containsText" text="fija">
      <formula>NOT(ISERROR(SEARCH("fija",I20)))</formula>
    </cfRule>
    <cfRule type="containsText" dxfId="75" priority="131" operator="containsText" text="domo">
      <formula>NOT(ISERROR(SEARCH("domo",I20)))</formula>
    </cfRule>
  </conditionalFormatting>
  <conditionalFormatting sqref="J20">
    <cfRule type="cellIs" dxfId="74" priority="129" operator="equal">
      <formula>"PTP A FO"</formula>
    </cfRule>
  </conditionalFormatting>
  <conditionalFormatting sqref="I24:L27 L28">
    <cfRule type="containsText" dxfId="73" priority="104" operator="containsText" text="Radio">
      <formula>NOT(ISERROR(SEARCH("Radio",I24)))</formula>
    </cfRule>
  </conditionalFormatting>
  <conditionalFormatting sqref="I27">
    <cfRule type="containsText" dxfId="72" priority="102" operator="containsText" text="fija">
      <formula>NOT(ISERROR(SEARCH("fija",I27)))</formula>
    </cfRule>
    <cfRule type="containsText" dxfId="71" priority="103" operator="containsText" text="domo">
      <formula>NOT(ISERROR(SEARCH("domo",I27)))</formula>
    </cfRule>
  </conditionalFormatting>
  <conditionalFormatting sqref="J27">
    <cfRule type="cellIs" dxfId="70" priority="101" operator="equal">
      <formula>"PTP A FO"</formula>
    </cfRule>
  </conditionalFormatting>
  <conditionalFormatting sqref="I24">
    <cfRule type="containsText" dxfId="69" priority="99" operator="containsText" text="fija">
      <formula>NOT(ISERROR(SEARCH("fija",I24)))</formula>
    </cfRule>
    <cfRule type="containsText" dxfId="68" priority="100" operator="containsText" text="domo">
      <formula>NOT(ISERROR(SEARCH("domo",I24)))</formula>
    </cfRule>
  </conditionalFormatting>
  <conditionalFormatting sqref="J24">
    <cfRule type="cellIs" dxfId="67" priority="98" operator="equal">
      <formula>"PTP A FO"</formula>
    </cfRule>
  </conditionalFormatting>
  <conditionalFormatting sqref="I25:I26">
    <cfRule type="containsText" dxfId="66" priority="96" operator="containsText" text="fija">
      <formula>NOT(ISERROR(SEARCH("fija",I25)))</formula>
    </cfRule>
    <cfRule type="containsText" dxfId="65" priority="97" operator="containsText" text="domo">
      <formula>NOT(ISERROR(SEARCH("domo",I25)))</formula>
    </cfRule>
  </conditionalFormatting>
  <conditionalFormatting sqref="J25:J26">
    <cfRule type="cellIs" dxfId="64" priority="95" operator="equal">
      <formula>"PTP A FO"</formula>
    </cfRule>
  </conditionalFormatting>
  <conditionalFormatting sqref="I28:K28">
    <cfRule type="containsText" dxfId="63" priority="94" operator="containsText" text="Radio">
      <formula>NOT(ISERROR(SEARCH("Radio",I28)))</formula>
    </cfRule>
  </conditionalFormatting>
  <conditionalFormatting sqref="I28">
    <cfRule type="containsText" dxfId="62" priority="92" operator="containsText" text="fija">
      <formula>NOT(ISERROR(SEARCH("fija",I28)))</formula>
    </cfRule>
    <cfRule type="containsText" dxfId="61" priority="93" operator="containsText" text="domo">
      <formula>NOT(ISERROR(SEARCH("domo",I28)))</formula>
    </cfRule>
  </conditionalFormatting>
  <conditionalFormatting sqref="J28">
    <cfRule type="cellIs" dxfId="60" priority="91" operator="equal">
      <formula>"PTP A FO"</formula>
    </cfRule>
  </conditionalFormatting>
  <conditionalFormatting sqref="I32:L32 I34:L34">
    <cfRule type="containsText" dxfId="59" priority="90" operator="containsText" text="Radio">
      <formula>NOT(ISERROR(SEARCH("Radio",I32)))</formula>
    </cfRule>
  </conditionalFormatting>
  <conditionalFormatting sqref="I32 I34">
    <cfRule type="containsText" dxfId="58" priority="88" operator="containsText" text="fija">
      <formula>NOT(ISERROR(SEARCH("fija",I32)))</formula>
    </cfRule>
    <cfRule type="containsText" dxfId="57" priority="89" operator="containsText" text="domo">
      <formula>NOT(ISERROR(SEARCH("domo",I32)))</formula>
    </cfRule>
  </conditionalFormatting>
  <conditionalFormatting sqref="J32 L34 J34">
    <cfRule type="cellIs" dxfId="56" priority="87" operator="equal">
      <formula>"PTP A FO"</formula>
    </cfRule>
  </conditionalFormatting>
  <conditionalFormatting sqref="I33:L33">
    <cfRule type="containsText" dxfId="55" priority="86" operator="containsText" text="Radio">
      <formula>NOT(ISERROR(SEARCH("Radio",I33)))</formula>
    </cfRule>
  </conditionalFormatting>
  <conditionalFormatting sqref="I33">
    <cfRule type="containsText" dxfId="54" priority="84" operator="containsText" text="fija">
      <formula>NOT(ISERROR(SEARCH("fija",I33)))</formula>
    </cfRule>
    <cfRule type="containsText" dxfId="53" priority="85" operator="containsText" text="domo">
      <formula>NOT(ISERROR(SEARCH("domo",I33)))</formula>
    </cfRule>
  </conditionalFormatting>
  <conditionalFormatting sqref="J33">
    <cfRule type="cellIs" dxfId="52" priority="83" operator="equal">
      <formula>"PTP A FO"</formula>
    </cfRule>
  </conditionalFormatting>
  <conditionalFormatting sqref="L35">
    <cfRule type="containsText" dxfId="51" priority="82" operator="containsText" text="Radio">
      <formula>NOT(ISERROR(SEARCH("Radio",L35)))</formula>
    </cfRule>
  </conditionalFormatting>
  <conditionalFormatting sqref="L35">
    <cfRule type="cellIs" dxfId="50" priority="81" operator="equal">
      <formula>"PTP A FO"</formula>
    </cfRule>
  </conditionalFormatting>
  <conditionalFormatting sqref="I35:K35">
    <cfRule type="containsText" dxfId="49" priority="80" operator="containsText" text="Radio">
      <formula>NOT(ISERROR(SEARCH("Radio",I35)))</formula>
    </cfRule>
  </conditionalFormatting>
  <conditionalFormatting sqref="I35">
    <cfRule type="containsText" dxfId="48" priority="78" operator="containsText" text="fija">
      <formula>NOT(ISERROR(SEARCH("fija",I35)))</formula>
    </cfRule>
    <cfRule type="containsText" dxfId="47" priority="79" operator="containsText" text="domo">
      <formula>NOT(ISERROR(SEARCH("domo",I35)))</formula>
    </cfRule>
  </conditionalFormatting>
  <conditionalFormatting sqref="J35">
    <cfRule type="cellIs" dxfId="46" priority="77" operator="equal">
      <formula>"PTP A FO"</formula>
    </cfRule>
  </conditionalFormatting>
  <conditionalFormatting sqref="I36:L37">
    <cfRule type="containsText" dxfId="45" priority="76" operator="containsText" text="Radio">
      <formula>NOT(ISERROR(SEARCH("Radio",I36)))</formula>
    </cfRule>
  </conditionalFormatting>
  <conditionalFormatting sqref="I36:I37">
    <cfRule type="containsText" dxfId="44" priority="74" operator="containsText" text="fija">
      <formula>NOT(ISERROR(SEARCH("fija",I36)))</formula>
    </cfRule>
    <cfRule type="containsText" dxfId="43" priority="75" operator="containsText" text="domo">
      <formula>NOT(ISERROR(SEARCH("domo",I36)))</formula>
    </cfRule>
  </conditionalFormatting>
  <conditionalFormatting sqref="J36:J37">
    <cfRule type="cellIs" dxfId="42" priority="73" operator="equal">
      <formula>"PTP A FO"</formula>
    </cfRule>
  </conditionalFormatting>
  <conditionalFormatting sqref="I38:L38">
    <cfRule type="containsText" dxfId="41" priority="72" operator="containsText" text="Radio">
      <formula>NOT(ISERROR(SEARCH("Radio",I38)))</formula>
    </cfRule>
  </conditionalFormatting>
  <conditionalFormatting sqref="I38">
    <cfRule type="containsText" dxfId="40" priority="70" operator="containsText" text="fija">
      <formula>NOT(ISERROR(SEARCH("fija",I38)))</formula>
    </cfRule>
    <cfRule type="containsText" dxfId="39" priority="71" operator="containsText" text="domo">
      <formula>NOT(ISERROR(SEARCH("domo",I38)))</formula>
    </cfRule>
  </conditionalFormatting>
  <conditionalFormatting sqref="J38">
    <cfRule type="cellIs" dxfId="38" priority="69" operator="equal">
      <formula>"PTP A FO"</formula>
    </cfRule>
  </conditionalFormatting>
  <conditionalFormatting sqref="I40:L43 L44">
    <cfRule type="containsText" dxfId="37" priority="38" operator="containsText" text="Radio">
      <formula>NOT(ISERROR(SEARCH("Radio",I40)))</formula>
    </cfRule>
  </conditionalFormatting>
  <conditionalFormatting sqref="I43">
    <cfRule type="containsText" dxfId="36" priority="36" operator="containsText" text="fija">
      <formula>NOT(ISERROR(SEARCH("fija",I43)))</formula>
    </cfRule>
    <cfRule type="containsText" dxfId="35" priority="37" operator="containsText" text="domo">
      <formula>NOT(ISERROR(SEARCH("domo",I43)))</formula>
    </cfRule>
  </conditionalFormatting>
  <conditionalFormatting sqref="J43">
    <cfRule type="cellIs" dxfId="34" priority="35" operator="equal">
      <formula>"PTP A FO"</formula>
    </cfRule>
  </conditionalFormatting>
  <conditionalFormatting sqref="I40">
    <cfRule type="containsText" dxfId="33" priority="33" operator="containsText" text="fija">
      <formula>NOT(ISERROR(SEARCH("fija",I40)))</formula>
    </cfRule>
    <cfRule type="containsText" dxfId="32" priority="34" operator="containsText" text="domo">
      <formula>NOT(ISERROR(SEARCH("domo",I40)))</formula>
    </cfRule>
  </conditionalFormatting>
  <conditionalFormatting sqref="J40">
    <cfRule type="cellIs" dxfId="31" priority="32" operator="equal">
      <formula>"PTP A FO"</formula>
    </cfRule>
  </conditionalFormatting>
  <conditionalFormatting sqref="I41:I42">
    <cfRule type="containsText" dxfId="30" priority="30" operator="containsText" text="fija">
      <formula>NOT(ISERROR(SEARCH("fija",I41)))</formula>
    </cfRule>
    <cfRule type="containsText" dxfId="29" priority="31" operator="containsText" text="domo">
      <formula>NOT(ISERROR(SEARCH("domo",I41)))</formula>
    </cfRule>
  </conditionalFormatting>
  <conditionalFormatting sqref="J41:J42">
    <cfRule type="cellIs" dxfId="28" priority="29" operator="equal">
      <formula>"PTP A FO"</formula>
    </cfRule>
  </conditionalFormatting>
  <conditionalFormatting sqref="I44:K44">
    <cfRule type="containsText" dxfId="27" priority="28" operator="containsText" text="Radio">
      <formula>NOT(ISERROR(SEARCH("Radio",I44)))</formula>
    </cfRule>
  </conditionalFormatting>
  <conditionalFormatting sqref="I44">
    <cfRule type="containsText" dxfId="26" priority="26" operator="containsText" text="fija">
      <formula>NOT(ISERROR(SEARCH("fija",I44)))</formula>
    </cfRule>
    <cfRule type="containsText" dxfId="25" priority="27" operator="containsText" text="domo">
      <formula>NOT(ISERROR(SEARCH("domo",I44)))</formula>
    </cfRule>
  </conditionalFormatting>
  <conditionalFormatting sqref="J44">
    <cfRule type="cellIs" dxfId="24" priority="25" operator="equal">
      <formula>"PTP A FO"</formula>
    </cfRule>
  </conditionalFormatting>
  <conditionalFormatting sqref="I47:L49">
    <cfRule type="containsText" dxfId="23" priority="24" operator="containsText" text="Radio">
      <formula>NOT(ISERROR(SEARCH("Radio",I47)))</formula>
    </cfRule>
  </conditionalFormatting>
  <conditionalFormatting sqref="I47">
    <cfRule type="containsText" dxfId="22" priority="22" operator="containsText" text="fija">
      <formula>NOT(ISERROR(SEARCH("fija",I47)))</formula>
    </cfRule>
    <cfRule type="containsText" dxfId="21" priority="23" operator="containsText" text="domo">
      <formula>NOT(ISERROR(SEARCH("domo",I47)))</formula>
    </cfRule>
  </conditionalFormatting>
  <conditionalFormatting sqref="J47">
    <cfRule type="cellIs" dxfId="20" priority="21" operator="equal">
      <formula>"PTP A FO"</formula>
    </cfRule>
  </conditionalFormatting>
  <conditionalFormatting sqref="I48">
    <cfRule type="containsText" dxfId="19" priority="19" operator="containsText" text="fija">
      <formula>NOT(ISERROR(SEARCH("fija",I48)))</formula>
    </cfRule>
    <cfRule type="containsText" dxfId="18" priority="20" operator="containsText" text="domo">
      <formula>NOT(ISERROR(SEARCH("domo",I48)))</formula>
    </cfRule>
  </conditionalFormatting>
  <conditionalFormatting sqref="J48">
    <cfRule type="cellIs" dxfId="17" priority="18" operator="equal">
      <formula>"PTP A FO"</formula>
    </cfRule>
  </conditionalFormatting>
  <conditionalFormatting sqref="I49">
    <cfRule type="containsText" dxfId="16" priority="16" operator="containsText" text="fija">
      <formula>NOT(ISERROR(SEARCH("fija",I49)))</formula>
    </cfRule>
    <cfRule type="containsText" dxfId="15" priority="17" operator="containsText" text="domo">
      <formula>NOT(ISERROR(SEARCH("domo",I49)))</formula>
    </cfRule>
  </conditionalFormatting>
  <conditionalFormatting sqref="J49">
    <cfRule type="cellIs" dxfId="14" priority="15" operator="equal">
      <formula>"PTP A FO"</formula>
    </cfRule>
  </conditionalFormatting>
  <conditionalFormatting sqref="I50:L50">
    <cfRule type="containsText" dxfId="13" priority="14" operator="containsText" text="Radio">
      <formula>NOT(ISERROR(SEARCH("Radio",I50)))</formula>
    </cfRule>
  </conditionalFormatting>
  <conditionalFormatting sqref="I50">
    <cfRule type="containsText" dxfId="12" priority="12" operator="containsText" text="fija">
      <formula>NOT(ISERROR(SEARCH("fija",I50)))</formula>
    </cfRule>
    <cfRule type="containsText" dxfId="11" priority="13" operator="containsText" text="domo">
      <formula>NOT(ISERROR(SEARCH("domo",I50)))</formula>
    </cfRule>
  </conditionalFormatting>
  <conditionalFormatting sqref="J50">
    <cfRule type="cellIs" dxfId="10" priority="11" operator="equal">
      <formula>"PTP A FO"</formula>
    </cfRule>
  </conditionalFormatting>
  <conditionalFormatting sqref="L51">
    <cfRule type="containsText" dxfId="9" priority="10" operator="containsText" text="Radio">
      <formula>NOT(ISERROR(SEARCH("Radio",L51)))</formula>
    </cfRule>
  </conditionalFormatting>
  <conditionalFormatting sqref="L51">
    <cfRule type="cellIs" dxfId="8" priority="9" operator="equal">
      <formula>"PTP A FO"</formula>
    </cfRule>
  </conditionalFormatting>
  <conditionalFormatting sqref="I51:K51">
    <cfRule type="containsText" dxfId="7" priority="8" operator="containsText" text="Radio">
      <formula>NOT(ISERROR(SEARCH("Radio",I51)))</formula>
    </cfRule>
  </conditionalFormatting>
  <conditionalFormatting sqref="I51">
    <cfRule type="containsText" dxfId="6" priority="6" operator="containsText" text="fija">
      <formula>NOT(ISERROR(SEARCH("fija",I51)))</formula>
    </cfRule>
    <cfRule type="containsText" dxfId="5" priority="7" operator="containsText" text="domo">
      <formula>NOT(ISERROR(SEARCH("domo",I51)))</formula>
    </cfRule>
  </conditionalFormatting>
  <conditionalFormatting sqref="J51">
    <cfRule type="cellIs" dxfId="4" priority="5" operator="equal">
      <formula>"PTP A FO"</formula>
    </cfRule>
  </conditionalFormatting>
  <conditionalFormatting sqref="I52:L53">
    <cfRule type="containsText" dxfId="3" priority="4" operator="containsText" text="Radio">
      <formula>NOT(ISERROR(SEARCH("Radio",I52)))</formula>
    </cfRule>
  </conditionalFormatting>
  <conditionalFormatting sqref="I52:I53">
    <cfRule type="containsText" dxfId="2" priority="2" operator="containsText" text="fija">
      <formula>NOT(ISERROR(SEARCH("fija",I52)))</formula>
    </cfRule>
    <cfRule type="containsText" dxfId="1" priority="3" operator="containsText" text="domo">
      <formula>NOT(ISERROR(SEARCH("domo",I52)))</formula>
    </cfRule>
  </conditionalFormatting>
  <conditionalFormatting sqref="J52:J53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2022-07-05T10:25:35Z</dcterms:modified>
</cp:coreProperties>
</file>