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620EA465-AE88-4AE0-AD15-A9CB3D64B9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25" i="24" s="1"/>
  <c r="AJ3" i="25"/>
  <c r="AJ5" i="25"/>
  <c r="D18" i="24"/>
  <c r="C19" i="24"/>
  <c r="C20" i="24" s="1"/>
  <c r="D24" i="24" l="1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4" i="14" l="1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D13" i="14" s="1"/>
  <c r="S2" i="2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R2" i="11" l="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<sst xmlns="http://schemas.openxmlformats.org/spreadsheetml/2006/main" count="5140" uniqueCount="1310">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</sst>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Z292" activePane="bottomRight" state="frozen"/>
      <selection pane="topRight" activeCell="M1" sqref="M1"/>
      <selection pane="bottomLeft" activeCell="A5" sqref="A5"/>
      <selection pane="bottomRight" activeCell="B371" sqref="B371:G371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16</v>
      </c>
      <c r="I16" s="40">
        <f t="shared" si="4"/>
        <v>14</v>
      </c>
      <c r="J16" s="41">
        <f t="shared" si="5"/>
        <v>0.53333333333333333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24</v>
      </c>
      <c r="I17" s="40">
        <f>COUNTIF(K17:AL17,"APAGADO")</f>
        <v>7</v>
      </c>
      <c r="J17" s="41">
        <f>(H17)/(I17+H17)</f>
        <v>0.77419354838709675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24</v>
      </c>
      <c r="I18" s="40">
        <f>COUNTIF(K18:AL18,"APAGADO")</f>
        <v>7</v>
      </c>
      <c r="J18" s="41">
        <f>(H18)/(I18+H18)</f>
        <v>0.77419354838709675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24</v>
      </c>
      <c r="I19" s="40">
        <f t="shared" ref="I19:I22" si="6">COUNTIF(K19:AL19,"APAGADO")</f>
        <v>7</v>
      </c>
      <c r="J19" s="41">
        <f t="shared" ref="J19:J22" si="7">(H19)/(I19+H19)</f>
        <v>0.77419354838709675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24</v>
      </c>
      <c r="I20" s="40">
        <f t="shared" si="6"/>
        <v>7</v>
      </c>
      <c r="J20" s="41">
        <f t="shared" si="7"/>
        <v>0.77419354838709675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15</v>
      </c>
      <c r="I34" s="40">
        <f>COUNTIF(K34:AL34,"APAGADO")</f>
        <v>16</v>
      </c>
      <c r="J34" s="41">
        <f>(H34)/(I34+H34)</f>
        <v>0.4838709677419355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15</v>
      </c>
      <c r="I40" s="40">
        <f t="shared" si="4"/>
        <v>16</v>
      </c>
      <c r="J40" s="41">
        <f t="shared" si="5"/>
        <v>0.4838709677419355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15</v>
      </c>
      <c r="I48" s="40">
        <f t="shared" si="4"/>
        <v>16</v>
      </c>
      <c r="J48" s="41">
        <f t="shared" si="5"/>
        <v>0.4838709677419355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16</v>
      </c>
      <c r="I50" s="40">
        <f t="shared" si="4"/>
        <v>15</v>
      </c>
      <c r="J50" s="41">
        <f t="shared" si="5"/>
        <v>0.5161290322580645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15</v>
      </c>
      <c r="I52" s="40">
        <f t="shared" si="4"/>
        <v>16</v>
      </c>
      <c r="J52" s="41">
        <f t="shared" si="5"/>
        <v>0.4838709677419355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15</v>
      </c>
      <c r="I53" s="40">
        <f t="shared" si="4"/>
        <v>16</v>
      </c>
      <c r="J53" s="41">
        <f t="shared" si="5"/>
        <v>0.4838709677419355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15</v>
      </c>
      <c r="I75" s="40">
        <f t="shared" si="4"/>
        <v>16</v>
      </c>
      <c r="J75" s="41">
        <f t="shared" si="5"/>
        <v>0.4838709677419355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16</v>
      </c>
      <c r="I84" s="40">
        <f t="shared" si="9"/>
        <v>15</v>
      </c>
      <c r="J84" s="41">
        <f t="shared" si="10"/>
        <v>0.5161290322580645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25</v>
      </c>
      <c r="I87" s="40">
        <f>COUNTIF(K87:AL87,"APAGADO")</f>
        <v>6</v>
      </c>
      <c r="J87" s="41">
        <f>(H87)/(I87+H87)</f>
        <v>0.80645161290322576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27</v>
      </c>
      <c r="I88" s="40">
        <f t="shared" si="9"/>
        <v>4</v>
      </c>
      <c r="J88" s="41">
        <f t="shared" si="10"/>
        <v>0.87096774193548387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15</v>
      </c>
      <c r="I94" s="40">
        <f>COUNTIF(K94:AL94,"APAGADO")</f>
        <v>16</v>
      </c>
      <c r="J94" s="41">
        <f>(H94)/(I94+H94)</f>
        <v>0.4838709677419355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15</v>
      </c>
      <c r="I100" s="40">
        <f t="shared" si="9"/>
        <v>16</v>
      </c>
      <c r="J100" s="41">
        <f t="shared" si="10"/>
        <v>0.4838709677419355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19</v>
      </c>
      <c r="I107" s="40">
        <f t="shared" si="9"/>
        <v>12</v>
      </c>
      <c r="J107" s="41">
        <f t="shared" si="10"/>
        <v>0.61290322580645162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16</v>
      </c>
      <c r="I124" s="40">
        <f t="shared" si="9"/>
        <v>15</v>
      </c>
      <c r="J124" s="41">
        <f t="shared" si="10"/>
        <v>0.5161290322580645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16</v>
      </c>
      <c r="I177" s="40">
        <f t="shared" si="18"/>
        <v>15</v>
      </c>
      <c r="J177" s="41">
        <f t="shared" si="19"/>
        <v>0.5161290322580645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20</v>
      </c>
      <c r="I178" s="40">
        <f t="shared" si="18"/>
        <v>11</v>
      </c>
      <c r="J178" s="41">
        <f t="shared" si="19"/>
        <v>0.64516129032258063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17</v>
      </c>
      <c r="I179" s="40">
        <f t="shared" si="18"/>
        <v>14</v>
      </c>
      <c r="J179" s="41">
        <f t="shared" si="19"/>
        <v>0.54838709677419351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15</v>
      </c>
      <c r="I184" s="40">
        <f t="shared" si="18"/>
        <v>16</v>
      </c>
      <c r="J184" s="41">
        <f t="shared" si="19"/>
        <v>0.4838709677419355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15</v>
      </c>
      <c r="I187" s="40">
        <f t="shared" si="18"/>
        <v>16</v>
      </c>
      <c r="J187" s="41">
        <f t="shared" si="19"/>
        <v>0.4838709677419355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15</v>
      </c>
      <c r="I189" s="40">
        <f t="shared" si="18"/>
        <v>16</v>
      </c>
      <c r="J189" s="41">
        <f t="shared" si="19"/>
        <v>0.4838709677419355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15</v>
      </c>
      <c r="I195" s="40">
        <f t="shared" si="18"/>
        <v>16</v>
      </c>
      <c r="J195" s="41">
        <f t="shared" si="19"/>
        <v>0.4838709677419355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15</v>
      </c>
      <c r="I200" s="40">
        <f>COUNTIF(K200:AL200,"APAGADO")</f>
        <v>16</v>
      </c>
      <c r="J200" s="41">
        <f>(H200)/(I200+H200)</f>
        <v>0.4838709677419355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15</v>
      </c>
      <c r="I214" s="40">
        <f t="shared" si="18"/>
        <v>16</v>
      </c>
      <c r="J214" s="41">
        <f t="shared" si="19"/>
        <v>0.4838709677419355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15</v>
      </c>
      <c r="I231" s="40">
        <f t="shared" si="18"/>
        <v>16</v>
      </c>
      <c r="J231" s="41">
        <f t="shared" si="19"/>
        <v>0.4838709677419355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22</v>
      </c>
      <c r="I234" s="40">
        <f t="shared" si="18"/>
        <v>9</v>
      </c>
      <c r="J234" s="41">
        <f t="shared" si="19"/>
        <v>0.70967741935483875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22</v>
      </c>
      <c r="I235" s="40">
        <f t="shared" si="18"/>
        <v>9</v>
      </c>
      <c r="J235" s="41">
        <f t="shared" si="19"/>
        <v>0.70967741935483875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15</v>
      </c>
      <c r="I238" s="40">
        <f t="shared" si="23"/>
        <v>16</v>
      </c>
      <c r="J238" s="41">
        <f t="shared" si="24"/>
        <v>0.4838709677419355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24</v>
      </c>
      <c r="I243" s="40">
        <f t="shared" si="23"/>
        <v>7</v>
      </c>
      <c r="J243" s="41">
        <f t="shared" si="24"/>
        <v>0.77419354838709675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22</v>
      </c>
      <c r="I245" s="40">
        <f t="shared" si="23"/>
        <v>9</v>
      </c>
      <c r="J245" s="41">
        <f t="shared" si="24"/>
        <v>0.70967741935483875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26</v>
      </c>
      <c r="I252" s="40">
        <f t="shared" si="23"/>
        <v>5</v>
      </c>
      <c r="J252" s="41">
        <f t="shared" si="24"/>
        <v>0.83870967741935487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26</v>
      </c>
      <c r="I253" s="40">
        <f t="shared" si="23"/>
        <v>5</v>
      </c>
      <c r="J253" s="41">
        <f t="shared" si="24"/>
        <v>0.83870967741935487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16</v>
      </c>
      <c r="I258" s="40">
        <f t="shared" si="23"/>
        <v>15</v>
      </c>
      <c r="J258" s="41">
        <f t="shared" si="24"/>
        <v>0.5161290322580645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26</v>
      </c>
      <c r="I259" s="40">
        <f t="shared" si="23"/>
        <v>5</v>
      </c>
      <c r="J259" s="41">
        <f t="shared" si="24"/>
        <v>0.83870967741935487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15</v>
      </c>
      <c r="I269" s="40">
        <f t="shared" si="23"/>
        <v>16</v>
      </c>
      <c r="J269" s="41">
        <f t="shared" si="24"/>
        <v>0.4838709677419355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15</v>
      </c>
      <c r="I270" s="40">
        <f t="shared" si="23"/>
        <v>16</v>
      </c>
      <c r="J270" s="41">
        <f t="shared" si="24"/>
        <v>0.4838709677419355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17</v>
      </c>
      <c r="I342" s="40">
        <f t="shared" si="26"/>
        <v>14</v>
      </c>
      <c r="J342" s="41">
        <f t="shared" si="27"/>
        <v>0.54838709677419351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17</v>
      </c>
      <c r="I343" s="40">
        <f t="shared" si="26"/>
        <v>14</v>
      </c>
      <c r="J343" s="41">
        <f t="shared" si="27"/>
        <v>0.54838709677419351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17</v>
      </c>
      <c r="I344" s="40">
        <f t="shared" si="26"/>
        <v>14</v>
      </c>
      <c r="J344" s="41">
        <f t="shared" si="27"/>
        <v>0.54838709677419351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28</v>
      </c>
      <c r="I347" s="40">
        <f t="shared" si="26"/>
        <v>3</v>
      </c>
      <c r="J347" s="41">
        <f t="shared" si="27"/>
        <v>0.90322580645161288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29</v>
      </c>
      <c r="I371" s="40">
        <f t="shared" si="26"/>
        <v>2</v>
      </c>
      <c r="J371" s="41">
        <f t="shared" si="27"/>
        <v>0.93548387096774188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24</v>
      </c>
      <c r="I392" s="40">
        <f t="shared" si="31"/>
        <v>7</v>
      </c>
      <c r="J392" s="41">
        <f t="shared" si="32"/>
        <v>0.77419354838709675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24</v>
      </c>
      <c r="I393" s="40">
        <f t="shared" si="31"/>
        <v>7</v>
      </c>
      <c r="J393" s="41">
        <f t="shared" si="32"/>
        <v>0.77419354838709675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27</v>
      </c>
      <c r="I408" s="40">
        <f t="shared" si="31"/>
        <v>4</v>
      </c>
      <c r="J408" s="41">
        <f t="shared" si="32"/>
        <v>0.87096774193548387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15</v>
      </c>
      <c r="I423" s="40">
        <f t="shared" si="31"/>
        <v>16</v>
      </c>
      <c r="J423" s="41">
        <f t="shared" si="32"/>
        <v>0.4838709677419355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18</v>
      </c>
      <c r="I438" s="40">
        <f>COUNTIF(K438:AL438,"APAGADO")</f>
        <v>13</v>
      </c>
      <c r="J438" s="41">
        <f>(H438)/(I438+H438)</f>
        <v>0.58064516129032262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" workbookViewId="0">
      <selection activeCell="A22" sqref="A2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29">
        <v>44896</v>
      </c>
      <c r="F2" s="138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0"/>
      <c r="F3" s="139"/>
      <c r="G3" s="78"/>
      <c r="H3" s="79"/>
      <c r="I3" s="79"/>
      <c r="J3" s="79"/>
      <c r="K3" s="80"/>
      <c r="L3" s="81"/>
      <c r="M3" s="134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0"/>
      <c r="F4" s="139"/>
      <c r="G4" s="82"/>
      <c r="H4" s="83"/>
      <c r="I4" s="83"/>
      <c r="J4" s="83"/>
      <c r="K4" s="84"/>
      <c r="L4" s="85"/>
      <c r="M4" s="135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0"/>
      <c r="F5" s="139"/>
      <c r="G5" s="82"/>
      <c r="H5" s="83"/>
      <c r="I5" s="83"/>
      <c r="J5" s="83"/>
      <c r="K5" s="84"/>
      <c r="L5" s="85"/>
      <c r="M5" s="135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1"/>
      <c r="F6" s="140"/>
      <c r="G6" s="82"/>
      <c r="H6" s="83"/>
      <c r="I6" s="83"/>
      <c r="J6" s="83"/>
      <c r="K6" s="84"/>
      <c r="L6" s="85"/>
      <c r="M6" s="135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29">
        <v>44897</v>
      </c>
      <c r="F7" s="47"/>
      <c r="G7" s="82"/>
      <c r="H7" s="83"/>
      <c r="I7" s="83"/>
      <c r="J7" s="83"/>
      <c r="K7" s="84"/>
      <c r="L7" s="85"/>
      <c r="M7" s="135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0"/>
      <c r="G8" s="90"/>
      <c r="H8" s="91"/>
      <c r="I8" s="91"/>
      <c r="J8" s="91"/>
      <c r="K8" s="92"/>
      <c r="L8" s="93"/>
      <c r="M8" s="137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0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0"/>
      <c r="G10" s="96"/>
      <c r="H10" s="97"/>
      <c r="I10" s="97"/>
      <c r="J10" s="97"/>
      <c r="K10" s="98"/>
      <c r="L10" s="99"/>
      <c r="M10" s="134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1"/>
      <c r="G11" s="100"/>
      <c r="K11" s="94"/>
      <c r="L11" s="101"/>
      <c r="M11" s="135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29">
        <v>44900</v>
      </c>
      <c r="G12" s="100"/>
      <c r="K12" s="94"/>
      <c r="L12" s="101"/>
      <c r="M12" s="135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0"/>
      <c r="G13" s="100"/>
      <c r="K13" s="94"/>
      <c r="L13" s="101"/>
      <c r="M13" s="135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0"/>
      <c r="G14" s="100"/>
      <c r="K14" s="94"/>
      <c r="L14" s="101"/>
      <c r="M14" s="135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0"/>
      <c r="G15" s="102"/>
      <c r="H15" s="103"/>
      <c r="I15" s="103"/>
      <c r="J15" s="103"/>
      <c r="K15" s="103"/>
      <c r="L15" s="104"/>
      <c r="M15" s="136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1"/>
      <c r="G16" s="105"/>
      <c r="H16" s="106"/>
      <c r="I16" s="106"/>
      <c r="J16" s="106"/>
      <c r="K16" s="107"/>
      <c r="L16" s="108"/>
      <c r="M16" s="134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29">
        <v>44901</v>
      </c>
      <c r="G17" s="109"/>
      <c r="K17" s="94"/>
      <c r="L17" s="110"/>
      <c r="M17" s="135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0"/>
      <c r="G18" s="109"/>
      <c r="K18" s="94"/>
      <c r="L18" s="110"/>
      <c r="M18" s="135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0"/>
      <c r="G19" s="109"/>
      <c r="K19" s="94"/>
      <c r="L19" s="110"/>
      <c r="M19" s="135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0"/>
      <c r="G20" s="109"/>
      <c r="K20" s="94"/>
      <c r="L20" s="110"/>
      <c r="M20" s="135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1"/>
      <c r="G21" s="102"/>
      <c r="H21" s="103"/>
      <c r="I21" s="103"/>
      <c r="J21" s="103"/>
      <c r="K21" s="103"/>
      <c r="L21" s="104"/>
      <c r="M21" s="136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29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0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0"/>
      <c r="G24" s="96"/>
      <c r="H24" s="97"/>
      <c r="I24" s="97"/>
      <c r="J24" s="97"/>
      <c r="K24" s="98"/>
      <c r="L24" s="99"/>
      <c r="M24" s="134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0"/>
      <c r="G25" s="100"/>
      <c r="K25" s="94"/>
      <c r="L25" s="101"/>
      <c r="M25" s="135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1"/>
      <c r="G26" s="100"/>
      <c r="K26" s="94"/>
      <c r="L26" s="101"/>
      <c r="M26" s="135"/>
    </row>
    <row r="27" spans="1:14" ht="15.75" thickTop="1" x14ac:dyDescent="0.25">
      <c r="A27" s="70" t="s">
        <v>998</v>
      </c>
      <c r="B27" s="71"/>
      <c r="C27" s="72"/>
      <c r="D27" s="73"/>
      <c r="E27" s="129"/>
      <c r="G27" s="100"/>
      <c r="K27" s="94"/>
      <c r="L27" s="101"/>
      <c r="M27" s="135"/>
    </row>
    <row r="28" spans="1:14" x14ac:dyDescent="0.25">
      <c r="A28" s="74" t="s">
        <v>6</v>
      </c>
      <c r="B28" s="75"/>
      <c r="C28" s="76"/>
      <c r="D28" s="77"/>
      <c r="E28" s="130"/>
      <c r="G28" s="100"/>
      <c r="K28" s="94"/>
      <c r="L28" s="101"/>
      <c r="M28" s="135"/>
    </row>
    <row r="29" spans="1:14" ht="15.75" thickBot="1" x14ac:dyDescent="0.3">
      <c r="A29" s="74" t="s">
        <v>1000</v>
      </c>
      <c r="B29" s="75"/>
      <c r="C29" s="76"/>
      <c r="D29" s="77"/>
      <c r="E29" s="130"/>
      <c r="G29" s="102"/>
      <c r="H29" s="103"/>
      <c r="I29" s="103"/>
      <c r="J29" s="103"/>
      <c r="K29" s="103"/>
      <c r="L29" s="104"/>
      <c r="M29" s="136"/>
    </row>
    <row r="30" spans="1:14" ht="16.5" thickTop="1" thickBot="1" x14ac:dyDescent="0.3">
      <c r="A30" s="74" t="s">
        <v>999</v>
      </c>
      <c r="B30" s="75"/>
      <c r="C30" s="76"/>
      <c r="D30" s="77"/>
      <c r="E30" s="130"/>
    </row>
    <row r="31" spans="1:14" ht="16.5" thickTop="1" thickBot="1" x14ac:dyDescent="0.3">
      <c r="A31" s="86" t="s">
        <v>16</v>
      </c>
      <c r="B31" s="87"/>
      <c r="C31" s="88"/>
      <c r="D31" s="77"/>
      <c r="E31" s="131"/>
      <c r="G31" s="105"/>
      <c r="H31" s="111"/>
      <c r="I31" s="106"/>
      <c r="J31" s="106"/>
      <c r="K31" s="106"/>
      <c r="L31" s="107"/>
      <c r="M31" s="108"/>
      <c r="N31" s="132"/>
    </row>
    <row r="32" spans="1:14" ht="15.75" thickTop="1" x14ac:dyDescent="0.25">
      <c r="A32" s="70" t="s">
        <v>998</v>
      </c>
      <c r="B32" s="71"/>
      <c r="C32" s="72"/>
      <c r="D32" s="73"/>
      <c r="E32" s="129"/>
      <c r="G32" s="109"/>
      <c r="H32" s="39"/>
      <c r="L32" s="94"/>
      <c r="M32" s="110"/>
      <c r="N32" s="133"/>
    </row>
    <row r="33" spans="1:14" ht="15.75" thickBot="1" x14ac:dyDescent="0.3">
      <c r="A33" s="74" t="s">
        <v>6</v>
      </c>
      <c r="B33" s="75"/>
      <c r="C33" s="76"/>
      <c r="D33" s="77"/>
      <c r="E33" s="130"/>
      <c r="G33" s="112"/>
      <c r="H33" s="113"/>
      <c r="I33" s="103"/>
      <c r="J33" s="103"/>
      <c r="K33" s="103"/>
      <c r="L33" s="114"/>
      <c r="M33" s="104"/>
      <c r="N33" s="133"/>
    </row>
    <row r="34" spans="1:14" ht="15.75" thickTop="1" x14ac:dyDescent="0.25">
      <c r="A34" s="74" t="s">
        <v>1000</v>
      </c>
      <c r="B34" s="75"/>
      <c r="C34" s="76"/>
      <c r="D34" s="77"/>
      <c r="E34" s="130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0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1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29"/>
      <c r="G37" s="39"/>
      <c r="K37" s="94"/>
    </row>
    <row r="38" spans="1:14" x14ac:dyDescent="0.25">
      <c r="A38" s="74" t="s">
        <v>6</v>
      </c>
      <c r="B38" s="75"/>
      <c r="C38" s="76"/>
      <c r="D38" s="77"/>
      <c r="E38" s="130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0"/>
    </row>
    <row r="40" spans="1:14" ht="15.75" thickTop="1" x14ac:dyDescent="0.25">
      <c r="A40" s="74" t="s">
        <v>999</v>
      </c>
      <c r="B40" s="75"/>
      <c r="C40" s="76"/>
      <c r="D40" s="77"/>
      <c r="E40" s="130"/>
      <c r="G40" s="96"/>
      <c r="H40" s="97"/>
      <c r="I40" s="97"/>
      <c r="J40" s="97"/>
      <c r="K40" s="98"/>
      <c r="L40" s="99"/>
      <c r="M40" s="134"/>
    </row>
    <row r="41" spans="1:14" ht="15.75" thickBot="1" x14ac:dyDescent="0.3">
      <c r="A41" s="86" t="s">
        <v>16</v>
      </c>
      <c r="B41" s="87"/>
      <c r="C41" s="88"/>
      <c r="D41" s="77"/>
      <c r="E41" s="131"/>
      <c r="G41" s="100"/>
      <c r="K41" s="94"/>
      <c r="L41" s="101"/>
      <c r="M41" s="135"/>
    </row>
    <row r="42" spans="1:14" ht="15" customHeight="1" thickTop="1" x14ac:dyDescent="0.25">
      <c r="A42" s="70" t="s">
        <v>998</v>
      </c>
      <c r="B42" s="71"/>
      <c r="C42" s="72"/>
      <c r="D42" s="73"/>
      <c r="E42" s="129"/>
      <c r="G42" s="100"/>
      <c r="K42" s="94"/>
      <c r="L42" s="101"/>
      <c r="M42" s="135"/>
    </row>
    <row r="43" spans="1:14" x14ac:dyDescent="0.25">
      <c r="A43" s="74" t="s">
        <v>6</v>
      </c>
      <c r="B43" s="75"/>
      <c r="C43" s="76"/>
      <c r="D43" s="77"/>
      <c r="E43" s="130"/>
      <c r="G43" s="100"/>
      <c r="K43" s="94"/>
      <c r="L43" s="101"/>
      <c r="M43" s="135"/>
    </row>
    <row r="44" spans="1:14" x14ac:dyDescent="0.25">
      <c r="A44" s="74" t="s">
        <v>1000</v>
      </c>
      <c r="B44" s="75"/>
      <c r="C44" s="76"/>
      <c r="D44" s="77"/>
      <c r="E44" s="130"/>
      <c r="G44" s="100"/>
      <c r="K44" s="94"/>
      <c r="L44" s="101"/>
      <c r="M44" s="135"/>
    </row>
    <row r="45" spans="1:14" ht="15.75" thickBot="1" x14ac:dyDescent="0.3">
      <c r="A45" s="74" t="s">
        <v>999</v>
      </c>
      <c r="B45" s="75"/>
      <c r="C45" s="76"/>
      <c r="D45" s="77"/>
      <c r="E45" s="130"/>
      <c r="G45" s="102"/>
      <c r="H45" s="103"/>
      <c r="I45" s="103"/>
      <c r="J45" s="103"/>
      <c r="K45" s="103"/>
      <c r="L45" s="104"/>
      <c r="M45" s="136"/>
    </row>
    <row r="46" spans="1:14" ht="16.5" thickTop="1" thickBot="1" x14ac:dyDescent="0.3">
      <c r="A46" s="86" t="s">
        <v>16</v>
      </c>
      <c r="B46" s="87"/>
      <c r="C46" s="88"/>
      <c r="D46" s="77"/>
      <c r="E46" s="131"/>
    </row>
    <row r="47" spans="1:14" ht="15.75" thickTop="1" x14ac:dyDescent="0.25">
      <c r="A47" s="70" t="s">
        <v>998</v>
      </c>
      <c r="B47" s="71"/>
      <c r="C47" s="72"/>
      <c r="D47" s="73"/>
      <c r="E47" s="129"/>
      <c r="G47" s="39"/>
      <c r="K47" s="94"/>
    </row>
    <row r="48" spans="1:14" x14ac:dyDescent="0.25">
      <c r="A48" s="74" t="s">
        <v>6</v>
      </c>
      <c r="B48" s="75"/>
      <c r="C48" s="76"/>
      <c r="D48" s="77"/>
      <c r="E48" s="130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0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0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1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29"/>
      <c r="G52" s="39"/>
      <c r="K52" s="94"/>
    </row>
    <row r="53" spans="1:11" x14ac:dyDescent="0.25">
      <c r="A53" s="74" t="s">
        <v>6</v>
      </c>
      <c r="B53" s="75"/>
      <c r="C53" s="76"/>
      <c r="D53" s="77"/>
      <c r="E53" s="130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0"/>
    </row>
    <row r="55" spans="1:11" x14ac:dyDescent="0.25">
      <c r="A55" s="74" t="s">
        <v>999</v>
      </c>
      <c r="B55" s="75"/>
      <c r="C55" s="76"/>
      <c r="D55" s="77"/>
      <c r="E55" s="130"/>
    </row>
    <row r="56" spans="1:11" ht="15.75" thickBot="1" x14ac:dyDescent="0.3">
      <c r="A56" s="86" t="s">
        <v>16</v>
      </c>
      <c r="B56" s="87"/>
      <c r="C56" s="88"/>
      <c r="D56" s="89"/>
      <c r="E56" s="131"/>
    </row>
    <row r="57" spans="1:11" ht="15.75" thickTop="1" x14ac:dyDescent="0.25">
      <c r="A57" s="70" t="s">
        <v>998</v>
      </c>
      <c r="B57" s="71"/>
      <c r="C57" s="72"/>
      <c r="D57" s="73"/>
      <c r="E57" s="129"/>
    </row>
    <row r="58" spans="1:11" x14ac:dyDescent="0.25">
      <c r="A58" s="74" t="s">
        <v>6</v>
      </c>
      <c r="B58" s="75"/>
      <c r="C58" s="76"/>
      <c r="D58" s="77"/>
      <c r="E58" s="130"/>
    </row>
    <row r="59" spans="1:11" x14ac:dyDescent="0.25">
      <c r="A59" s="74" t="s">
        <v>1000</v>
      </c>
      <c r="B59" s="75"/>
      <c r="C59" s="76"/>
      <c r="D59" s="77"/>
      <c r="E59" s="130"/>
    </row>
    <row r="60" spans="1:11" x14ac:dyDescent="0.25">
      <c r="A60" s="74" t="s">
        <v>999</v>
      </c>
      <c r="B60" s="75"/>
      <c r="C60" s="76"/>
      <c r="D60" s="77"/>
      <c r="E60" s="130"/>
    </row>
    <row r="61" spans="1:11" ht="15.75" thickBot="1" x14ac:dyDescent="0.3">
      <c r="A61" s="86" t="s">
        <v>16</v>
      </c>
      <c r="B61" s="87"/>
      <c r="C61" s="88"/>
      <c r="D61" s="89"/>
      <c r="E61" s="131"/>
    </row>
    <row r="62" spans="1:11" ht="15.75" thickTop="1" x14ac:dyDescent="0.25">
      <c r="A62" s="70" t="s">
        <v>998</v>
      </c>
      <c r="B62" s="71"/>
      <c r="C62" s="72"/>
      <c r="D62" s="73"/>
      <c r="E62" s="129"/>
    </row>
    <row r="63" spans="1:11" x14ac:dyDescent="0.25">
      <c r="A63" s="74" t="s">
        <v>6</v>
      </c>
      <c r="B63" s="75"/>
      <c r="C63" s="76"/>
      <c r="D63" s="77"/>
      <c r="E63" s="130"/>
    </row>
    <row r="64" spans="1:11" x14ac:dyDescent="0.25">
      <c r="A64" s="74" t="s">
        <v>1000</v>
      </c>
      <c r="B64" s="75"/>
      <c r="C64" s="76"/>
      <c r="D64" s="77"/>
      <c r="E64" s="130"/>
    </row>
    <row r="65" spans="1:5" x14ac:dyDescent="0.25">
      <c r="A65" s="74" t="s">
        <v>999</v>
      </c>
      <c r="B65" s="75"/>
      <c r="C65" s="76"/>
      <c r="D65" s="77"/>
      <c r="E65" s="130"/>
    </row>
    <row r="66" spans="1:5" ht="15.75" thickBot="1" x14ac:dyDescent="0.3">
      <c r="A66" s="86" t="s">
        <v>16</v>
      </c>
      <c r="B66" s="87"/>
      <c r="C66" s="88"/>
      <c r="D66" s="89"/>
      <c r="E66" s="131"/>
    </row>
    <row r="67" spans="1:5" ht="15.75" thickTop="1" x14ac:dyDescent="0.25">
      <c r="A67" s="70" t="s">
        <v>998</v>
      </c>
      <c r="B67" s="71"/>
      <c r="C67" s="72"/>
      <c r="D67" s="73"/>
      <c r="E67" s="129"/>
    </row>
    <row r="68" spans="1:5" x14ac:dyDescent="0.25">
      <c r="A68" s="74" t="s">
        <v>6</v>
      </c>
      <c r="B68" s="75"/>
      <c r="C68" s="76"/>
      <c r="D68" s="77"/>
      <c r="E68" s="130"/>
    </row>
    <row r="69" spans="1:5" x14ac:dyDescent="0.25">
      <c r="A69" s="74" t="s">
        <v>1000</v>
      </c>
      <c r="B69" s="75"/>
      <c r="C69" s="76"/>
      <c r="D69" s="77"/>
      <c r="E69" s="130"/>
    </row>
    <row r="70" spans="1:5" x14ac:dyDescent="0.25">
      <c r="A70" s="74" t="s">
        <v>999</v>
      </c>
      <c r="B70" s="75"/>
      <c r="C70" s="76"/>
      <c r="D70" s="77"/>
      <c r="E70" s="130"/>
    </row>
    <row r="71" spans="1:5" ht="15.75" thickBot="1" x14ac:dyDescent="0.3">
      <c r="A71" s="86" t="s">
        <v>16</v>
      </c>
      <c r="B71" s="87"/>
      <c r="C71" s="88"/>
      <c r="D71" s="89"/>
      <c r="E71" s="131"/>
    </row>
    <row r="72" spans="1:5" ht="15.75" thickTop="1" x14ac:dyDescent="0.25">
      <c r="A72" s="70" t="s">
        <v>998</v>
      </c>
      <c r="B72" s="71"/>
      <c r="C72" s="72"/>
      <c r="D72" s="73"/>
      <c r="E72" s="129"/>
    </row>
    <row r="73" spans="1:5" x14ac:dyDescent="0.25">
      <c r="A73" s="74" t="s">
        <v>6</v>
      </c>
      <c r="B73" s="75"/>
      <c r="C73" s="76"/>
      <c r="D73" s="77"/>
      <c r="E73" s="130"/>
    </row>
    <row r="74" spans="1:5" x14ac:dyDescent="0.25">
      <c r="A74" s="74" t="s">
        <v>1000</v>
      </c>
      <c r="B74" s="75"/>
      <c r="C74" s="76"/>
      <c r="D74" s="77"/>
      <c r="E74" s="130"/>
    </row>
    <row r="75" spans="1:5" x14ac:dyDescent="0.25">
      <c r="A75" s="74" t="s">
        <v>999</v>
      </c>
      <c r="B75" s="75"/>
      <c r="C75" s="76"/>
      <c r="D75" s="77"/>
      <c r="E75" s="130"/>
    </row>
    <row r="76" spans="1:5" ht="15.75" thickBot="1" x14ac:dyDescent="0.3">
      <c r="A76" s="86" t="s">
        <v>16</v>
      </c>
      <c r="B76" s="87"/>
      <c r="C76" s="88"/>
      <c r="D76" s="89"/>
      <c r="E76" s="131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44908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58</v>
      </c>
    </row>
    <row r="5" spans="2:4" ht="15.75" thickBot="1" x14ac:dyDescent="0.3">
      <c r="B5" s="55"/>
      <c r="C5" s="56"/>
      <c r="D5" s="68">
        <v>0.25438596491228072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17</v>
      </c>
    </row>
    <row r="7" spans="2:4" ht="15.75" thickBot="1" x14ac:dyDescent="0.3">
      <c r="B7" s="55"/>
      <c r="C7" s="56"/>
      <c r="D7" s="67">
        <v>8.2125603864734303E-2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0.1111111111111111</v>
      </c>
      <c r="V6" s="67">
        <f t="shared" ref="V6" si="10">V5/COSEIDIcam</f>
        <v>0</v>
      </c>
      <c r="W6" s="67">
        <f t="shared" si="6"/>
        <v>0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2022-12-16T11:47:10Z</dcterms:modified>
</cp:coreProperties>
</file>