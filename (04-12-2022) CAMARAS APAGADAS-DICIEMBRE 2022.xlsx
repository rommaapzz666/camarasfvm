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FB9FFC6C-9CD8-4652-95BD-7F03D2B161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3" i="14" s="1"/>
  <c r="D3" i="24"/>
  <c r="C4" i="24"/>
  <c r="D4" i="24" s="1"/>
  <c r="C10" i="24" l="1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N2" i="21"/>
  <c r="J2" i="21"/>
  <c r="I2" i="21"/>
  <c r="H2" i="2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2" i="10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G2" i="10" l="1"/>
  <c r="C3" i="14" s="1"/>
  <c r="F2" i="10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E3" i="14" s="1"/>
  <c r="G3" i="14" s="1"/>
  <c r="L2" i="11"/>
  <c r="F2" i="11"/>
  <c r="M2" i="11"/>
  <c r="H2" i="1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<sst xmlns="http://schemas.openxmlformats.org/spreadsheetml/2006/main" count="3577" uniqueCount="1310">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</sst>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wrapText="1"/>
    </xf>
    <xf numFmtId="16" fontId="0" fillId="0" borderId="16" xfId="0" applyNumberForma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N227" activePane="bottomRight" state="frozen"/>
      <selection pane="topRight" activeCell="M1" sqref="M1"/>
      <selection pane="bottomLeft" activeCell="A5" sqref="A5"/>
      <selection pane="bottomRight" activeCell="N232" sqref="N232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300</v>
      </c>
      <c r="L2" s="127">
        <f t="shared" ref="L2:AN2" si="1">CANTIDAD_DE_CAMARAS-L3</f>
        <v>322</v>
      </c>
      <c r="M2" s="127">
        <f t="shared" si="1"/>
        <v>338</v>
      </c>
      <c r="N2" s="127">
        <f t="shared" si="1"/>
        <v>340</v>
      </c>
      <c r="O2" s="127">
        <f t="shared" si="1"/>
        <v>435</v>
      </c>
      <c r="P2" s="127">
        <f t="shared" si="1"/>
        <v>435</v>
      </c>
      <c r="Q2" s="127">
        <f t="shared" si="1"/>
        <v>435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27</v>
      </c>
      <c r="I5" s="42">
        <f>COUNTIF(K5:AL5,"APAGADO")</f>
        <v>4</v>
      </c>
      <c r="J5" s="43">
        <f>(H5)/(I5+H5)</f>
        <v>0.87096774193548387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3">COUNTIF(K6:AO6,"")</f>
        <v>27</v>
      </c>
      <c r="I6" s="42">
        <f>COUNTIF(K6:AL6,"APAGADO")</f>
        <v>4</v>
      </c>
      <c r="J6" s="43">
        <f>(H6)/(I6+H6)</f>
        <v>0.87096774193548387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3"/>
        <v>27</v>
      </c>
      <c r="I7" s="42">
        <f t="shared" ref="I7:I76" si="4">COUNTIF(K7:AL7,"APAGADO")</f>
        <v>4</v>
      </c>
      <c r="J7" s="43">
        <f t="shared" ref="J7:J76" si="5">(H7)/(I7+H7)</f>
        <v>0.87096774193548387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3"/>
        <v>27</v>
      </c>
      <c r="I8" s="42">
        <f t="shared" si="4"/>
        <v>4</v>
      </c>
      <c r="J8" s="43">
        <f t="shared" si="5"/>
        <v>0.87096774193548387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3"/>
        <v>27</v>
      </c>
      <c r="I9" s="42">
        <f>COUNTIF(K9:AL9,"APAGADO")</f>
        <v>4</v>
      </c>
      <c r="J9" s="43">
        <f>(H9)/(I9+H9)</f>
        <v>0.87096774193548387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3"/>
        <v>27</v>
      </c>
      <c r="I10" s="42">
        <f t="shared" si="4"/>
        <v>4</v>
      </c>
      <c r="J10" s="43">
        <f t="shared" si="5"/>
        <v>0.87096774193548387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3"/>
        <v>27</v>
      </c>
      <c r="I11" s="42">
        <f>COUNTIF(K11:AL11,"APAGADO")</f>
        <v>4</v>
      </c>
      <c r="J11" s="43">
        <f>(H11)/(I11+H11)</f>
        <v>0.87096774193548387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3"/>
        <v>27</v>
      </c>
      <c r="I12" s="42">
        <f t="shared" si="4"/>
        <v>4</v>
      </c>
      <c r="J12" s="43">
        <f t="shared" si="5"/>
        <v>0.87096774193548387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3"/>
        <v>27</v>
      </c>
      <c r="I13" s="42">
        <f t="shared" si="4"/>
        <v>4</v>
      </c>
      <c r="J13" s="43">
        <f t="shared" si="5"/>
        <v>0.87096774193548387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3"/>
        <v>27</v>
      </c>
      <c r="I14" s="42">
        <f t="shared" si="4"/>
        <v>4</v>
      </c>
      <c r="J14" s="43">
        <f t="shared" si="5"/>
        <v>0.87096774193548387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3"/>
        <v>31</v>
      </c>
      <c r="I15" s="42">
        <f t="shared" si="4"/>
        <v>0</v>
      </c>
      <c r="J15" s="43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3"/>
        <v>28</v>
      </c>
      <c r="I16" s="42">
        <f t="shared" si="4"/>
        <v>3</v>
      </c>
      <c r="J16" s="43">
        <f t="shared" si="5"/>
        <v>0.90322580645161288</v>
      </c>
      <c r="K16" s="20" t="s">
        <v>1308</v>
      </c>
      <c r="L16" s="20" t="s">
        <v>1308</v>
      </c>
      <c r="M16" s="20" t="s">
        <v>1308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3"/>
        <v>27</v>
      </c>
      <c r="I17" s="42">
        <f>COUNTIF(K17:AL17,"APAGADO")</f>
        <v>4</v>
      </c>
      <c r="J17" s="43">
        <f>(H17)/(I17+H17)</f>
        <v>0.87096774193548387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3"/>
        <v>27</v>
      </c>
      <c r="I18" s="42">
        <f>COUNTIF(K18:AL18,"APAGADO")</f>
        <v>4</v>
      </c>
      <c r="J18" s="43">
        <f>(H18)/(I18+H18)</f>
        <v>0.87096774193548387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3"/>
        <v>27</v>
      </c>
      <c r="I19" s="42">
        <f t="shared" ref="I19:I22" si="6">COUNTIF(K19:AL19,"APAGADO")</f>
        <v>4</v>
      </c>
      <c r="J19" s="43">
        <f t="shared" ref="J19:J22" si="7">(H19)/(I19+H19)</f>
        <v>0.87096774193548387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3"/>
        <v>27</v>
      </c>
      <c r="I20" s="42">
        <f t="shared" si="6"/>
        <v>4</v>
      </c>
      <c r="J20" s="43">
        <f t="shared" si="7"/>
        <v>0.87096774193548387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3"/>
        <v>27</v>
      </c>
      <c r="I21" s="42">
        <f t="shared" si="6"/>
        <v>4</v>
      </c>
      <c r="J21" s="43">
        <f t="shared" si="7"/>
        <v>0.87096774193548387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3"/>
        <v>27</v>
      </c>
      <c r="I22" s="42">
        <f t="shared" si="6"/>
        <v>4</v>
      </c>
      <c r="J22" s="43">
        <f t="shared" si="7"/>
        <v>0.87096774193548387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3"/>
        <v>31</v>
      </c>
      <c r="I23" s="42">
        <f t="shared" si="4"/>
        <v>0</v>
      </c>
      <c r="J23" s="43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3"/>
        <v>31</v>
      </c>
      <c r="I24" s="42">
        <f t="shared" si="4"/>
        <v>0</v>
      </c>
      <c r="J24" s="43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3"/>
        <v>31</v>
      </c>
      <c r="I25" s="42">
        <f t="shared" si="4"/>
        <v>0</v>
      </c>
      <c r="J25" s="43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3"/>
        <v>31</v>
      </c>
      <c r="I26" s="42">
        <f t="shared" si="4"/>
        <v>0</v>
      </c>
      <c r="J26" s="43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3"/>
        <v>29</v>
      </c>
      <c r="I27" s="42">
        <f>COUNTIF(K27:AL27,"APAGADO")</f>
        <v>2</v>
      </c>
      <c r="J27" s="43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3"/>
        <v>31</v>
      </c>
      <c r="I28" s="42">
        <f t="shared" si="4"/>
        <v>0</v>
      </c>
      <c r="J28" s="43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3"/>
        <v>31</v>
      </c>
      <c r="I29" s="42">
        <f t="shared" si="4"/>
        <v>0</v>
      </c>
      <c r="J29" s="43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3"/>
        <v>31</v>
      </c>
      <c r="I30" s="42">
        <f t="shared" si="4"/>
        <v>0</v>
      </c>
      <c r="J30" s="43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3"/>
        <v>31</v>
      </c>
      <c r="I31" s="42">
        <f t="shared" si="4"/>
        <v>0</v>
      </c>
      <c r="J31" s="43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3"/>
        <v>31</v>
      </c>
      <c r="I32" s="42">
        <f t="shared" si="4"/>
        <v>0</v>
      </c>
      <c r="J32" s="43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3"/>
        <v>31</v>
      </c>
      <c r="I33" s="42">
        <f t="shared" si="4"/>
        <v>0</v>
      </c>
      <c r="J33" s="43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3"/>
        <v>27</v>
      </c>
      <c r="I34" s="42">
        <f>COUNTIF(K34:AL34,"APAGADO")</f>
        <v>4</v>
      </c>
      <c r="J34" s="43">
        <f>(H34)/(I34+H34)</f>
        <v>0.87096774193548387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3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3"/>
        <v>31</v>
      </c>
      <c r="I36" s="42">
        <f t="shared" si="4"/>
        <v>0</v>
      </c>
      <c r="J36" s="43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3"/>
        <v>31</v>
      </c>
      <c r="I37" s="42">
        <f t="shared" si="4"/>
        <v>0</v>
      </c>
      <c r="J37" s="43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3"/>
        <v>31</v>
      </c>
      <c r="I38" s="42">
        <f t="shared" si="4"/>
        <v>0</v>
      </c>
      <c r="J38" s="43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3"/>
        <v>31</v>
      </c>
      <c r="I39" s="42">
        <f t="shared" si="4"/>
        <v>0</v>
      </c>
      <c r="J39" s="43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3"/>
        <v>27</v>
      </c>
      <c r="I40" s="42">
        <f t="shared" si="4"/>
        <v>4</v>
      </c>
      <c r="J40" s="43">
        <f t="shared" si="5"/>
        <v>0.87096774193548387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3"/>
        <v>31</v>
      </c>
      <c r="I41" s="42">
        <f t="shared" si="4"/>
        <v>0</v>
      </c>
      <c r="J41" s="43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3"/>
        <v>31</v>
      </c>
      <c r="I42" s="42">
        <f t="shared" si="4"/>
        <v>0</v>
      </c>
      <c r="J42" s="43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3"/>
        <v>31</v>
      </c>
      <c r="I43" s="42">
        <f t="shared" si="4"/>
        <v>0</v>
      </c>
      <c r="J43" s="43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3"/>
        <v>31</v>
      </c>
      <c r="I44" s="42">
        <f t="shared" si="4"/>
        <v>0</v>
      </c>
      <c r="J44" s="43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3"/>
        <v>31</v>
      </c>
      <c r="I45" s="42">
        <f t="shared" si="4"/>
        <v>0</v>
      </c>
      <c r="J45" s="43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3"/>
        <v>31</v>
      </c>
      <c r="I46" s="42">
        <f t="shared" si="4"/>
        <v>0</v>
      </c>
      <c r="J46" s="43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3"/>
        <v>31</v>
      </c>
      <c r="I47" s="42">
        <f t="shared" si="4"/>
        <v>0</v>
      </c>
      <c r="J47" s="43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3"/>
        <v>27</v>
      </c>
      <c r="I48" s="42">
        <f t="shared" si="4"/>
        <v>4</v>
      </c>
      <c r="J48" s="43">
        <f t="shared" si="5"/>
        <v>0.87096774193548387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3"/>
        <v>31</v>
      </c>
      <c r="I49" s="42">
        <f t="shared" si="4"/>
        <v>0</v>
      </c>
      <c r="J49" s="43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3"/>
        <v>27</v>
      </c>
      <c r="I50" s="42">
        <f t="shared" si="4"/>
        <v>4</v>
      </c>
      <c r="J50" s="43">
        <f t="shared" si="5"/>
        <v>0.87096774193548387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3"/>
        <v>31</v>
      </c>
      <c r="I51" s="42">
        <f t="shared" si="4"/>
        <v>0</v>
      </c>
      <c r="J51" s="43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3"/>
        <v>27</v>
      </c>
      <c r="I52" s="42">
        <f t="shared" si="4"/>
        <v>4</v>
      </c>
      <c r="J52" s="43">
        <f t="shared" si="5"/>
        <v>0.87096774193548387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3"/>
        <v>27</v>
      </c>
      <c r="I53" s="42">
        <f t="shared" si="4"/>
        <v>4</v>
      </c>
      <c r="J53" s="43">
        <f t="shared" si="5"/>
        <v>0.87096774193548387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3"/>
        <v>31</v>
      </c>
      <c r="I54" s="42">
        <f t="shared" si="4"/>
        <v>0</v>
      </c>
      <c r="J54" s="43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3"/>
        <v>31</v>
      </c>
      <c r="I55" s="42">
        <f t="shared" si="4"/>
        <v>0</v>
      </c>
      <c r="J55" s="43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3"/>
        <v>27</v>
      </c>
      <c r="I56" s="42">
        <f t="shared" si="4"/>
        <v>4</v>
      </c>
      <c r="J56" s="43">
        <f t="shared" si="5"/>
        <v>0.87096774193548387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3"/>
        <v>31</v>
      </c>
      <c r="I57" s="42">
        <f t="shared" si="4"/>
        <v>0</v>
      </c>
      <c r="J57" s="43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3"/>
        <v>31</v>
      </c>
      <c r="I58" s="42">
        <f t="shared" si="4"/>
        <v>0</v>
      </c>
      <c r="J58" s="43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3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3"/>
        <v>31</v>
      </c>
      <c r="I60" s="42">
        <f t="shared" si="4"/>
        <v>0</v>
      </c>
      <c r="J60" s="43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3"/>
        <v>27</v>
      </c>
      <c r="I61" s="42">
        <f t="shared" si="4"/>
        <v>4</v>
      </c>
      <c r="J61" s="43">
        <f t="shared" si="5"/>
        <v>0.87096774193548387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3"/>
        <v>31</v>
      </c>
      <c r="I62" s="42">
        <f t="shared" si="4"/>
        <v>0</v>
      </c>
      <c r="J62" s="43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3"/>
        <v>31</v>
      </c>
      <c r="I63" s="42">
        <f t="shared" si="4"/>
        <v>0</v>
      </c>
      <c r="J63" s="43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3"/>
        <v>31</v>
      </c>
      <c r="I64" s="42">
        <f t="shared" si="4"/>
        <v>0</v>
      </c>
      <c r="J64" s="43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3"/>
        <v>31</v>
      </c>
      <c r="I65" s="42">
        <f t="shared" si="4"/>
        <v>0</v>
      </c>
      <c r="J65" s="43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3"/>
        <v>31</v>
      </c>
      <c r="I66" s="42">
        <f t="shared" si="4"/>
        <v>0</v>
      </c>
      <c r="J66" s="43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3"/>
        <v>31</v>
      </c>
      <c r="I67" s="42">
        <f t="shared" si="4"/>
        <v>0</v>
      </c>
      <c r="J67" s="43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3"/>
        <v>31</v>
      </c>
      <c r="I68" s="42">
        <f t="shared" si="4"/>
        <v>0</v>
      </c>
      <c r="J68" s="43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3"/>
        <v>31</v>
      </c>
      <c r="I69" s="42">
        <f t="shared" si="4"/>
        <v>0</v>
      </c>
      <c r="J69" s="43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8">COUNTIF(K70:AO70,"")</f>
        <v>31</v>
      </c>
      <c r="I70" s="42">
        <f t="shared" si="4"/>
        <v>0</v>
      </c>
      <c r="J70" s="43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8"/>
        <v>31</v>
      </c>
      <c r="I71" s="42">
        <f t="shared" si="4"/>
        <v>0</v>
      </c>
      <c r="J71" s="43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8"/>
        <v>30</v>
      </c>
      <c r="I72" s="42">
        <f>COUNTIF(K72:AL72,"APAGADO")</f>
        <v>1</v>
      </c>
      <c r="J72" s="43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8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8"/>
        <v>31</v>
      </c>
      <c r="I74" s="42">
        <f t="shared" si="4"/>
        <v>0</v>
      </c>
      <c r="J74" s="43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8"/>
        <v>27</v>
      </c>
      <c r="I75" s="42">
        <f t="shared" si="4"/>
        <v>4</v>
      </c>
      <c r="J75" s="43">
        <f t="shared" si="5"/>
        <v>0.87096774193548387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8"/>
        <v>30</v>
      </c>
      <c r="I76" s="42">
        <f t="shared" si="4"/>
        <v>1</v>
      </c>
      <c r="J76" s="43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8"/>
        <v>27</v>
      </c>
      <c r="I77" s="42">
        <f t="shared" ref="I77:I142" si="9">COUNTIF(K77:AL77,"APAGADO")</f>
        <v>4</v>
      </c>
      <c r="J77" s="43">
        <f t="shared" ref="J77:J142" si="10">(H77)/(I77+H77)</f>
        <v>0.87096774193548387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8"/>
        <v>31</v>
      </c>
      <c r="I78" s="42">
        <f t="shared" si="9"/>
        <v>0</v>
      </c>
      <c r="J78" s="43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8"/>
        <v>31</v>
      </c>
      <c r="I79" s="42">
        <f t="shared" si="9"/>
        <v>0</v>
      </c>
      <c r="J79" s="43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8"/>
        <v>31</v>
      </c>
      <c r="I80" s="42">
        <f t="shared" si="9"/>
        <v>0</v>
      </c>
      <c r="J80" s="43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8"/>
        <v>31</v>
      </c>
      <c r="I81" s="42">
        <f t="shared" si="9"/>
        <v>0</v>
      </c>
      <c r="J81" s="43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8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8"/>
        <v>27</v>
      </c>
      <c r="I83" s="42">
        <f>COUNTIF(K83:AL83,"APAGADO")</f>
        <v>4</v>
      </c>
      <c r="J83" s="43">
        <f>(H83)/(I83+H83)</f>
        <v>0.87096774193548387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8"/>
        <v>27</v>
      </c>
      <c r="I84" s="42">
        <f t="shared" si="9"/>
        <v>4</v>
      </c>
      <c r="J84" s="43">
        <f t="shared" si="10"/>
        <v>0.87096774193548387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8"/>
        <v>31</v>
      </c>
      <c r="I85" s="42">
        <f t="shared" si="9"/>
        <v>0</v>
      </c>
      <c r="J85" s="43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8"/>
        <v>29</v>
      </c>
      <c r="I86" s="42">
        <f t="shared" si="9"/>
        <v>2</v>
      </c>
      <c r="J86" s="43">
        <f t="shared" si="10"/>
        <v>0.93548387096774188</v>
      </c>
      <c r="K86" s="20" t="s">
        <v>1308</v>
      </c>
      <c r="L86" s="20" t="s">
        <v>1308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8"/>
        <v>31</v>
      </c>
      <c r="I87" s="42">
        <f>COUNTIF(K87:AL87,"APAGADO")</f>
        <v>0</v>
      </c>
      <c r="J87" s="43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8"/>
        <v>31</v>
      </c>
      <c r="I88" s="42">
        <f t="shared" si="9"/>
        <v>0</v>
      </c>
      <c r="J88" s="43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8"/>
        <v>31</v>
      </c>
      <c r="I89" s="42">
        <f t="shared" si="9"/>
        <v>0</v>
      </c>
      <c r="J89" s="43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8"/>
        <v>31</v>
      </c>
      <c r="I90" s="42">
        <f t="shared" si="9"/>
        <v>0</v>
      </c>
      <c r="J90" s="43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8"/>
        <v>31</v>
      </c>
      <c r="I91" s="42">
        <f t="shared" si="9"/>
        <v>0</v>
      </c>
      <c r="J91" s="43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8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8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8"/>
        <v>27</v>
      </c>
      <c r="I94" s="42">
        <f>COUNTIF(K94:AL94,"APAGADO")</f>
        <v>4</v>
      </c>
      <c r="J94" s="43">
        <f>(H94)/(I94+H94)</f>
        <v>0.87096774193548387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8"/>
        <v>31</v>
      </c>
      <c r="I95" s="42">
        <f t="shared" si="9"/>
        <v>0</v>
      </c>
      <c r="J95" s="43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8"/>
        <v>31</v>
      </c>
      <c r="I96" s="42">
        <f t="shared" si="9"/>
        <v>0</v>
      </c>
      <c r="J96" s="43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8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8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8"/>
        <v>31</v>
      </c>
      <c r="I99" s="42">
        <f t="shared" si="9"/>
        <v>0</v>
      </c>
      <c r="J99" s="43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8"/>
        <v>27</v>
      </c>
      <c r="I100" s="42">
        <f t="shared" si="9"/>
        <v>4</v>
      </c>
      <c r="J100" s="43">
        <f t="shared" si="10"/>
        <v>0.87096774193548387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8"/>
        <v>29</v>
      </c>
      <c r="I101" s="42">
        <f t="shared" si="9"/>
        <v>2</v>
      </c>
      <c r="J101" s="43">
        <f t="shared" si="10"/>
        <v>0.93548387096774188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8"/>
        <v>29</v>
      </c>
      <c r="I102" s="42">
        <f t="shared" si="9"/>
        <v>2</v>
      </c>
      <c r="J102" s="43">
        <f t="shared" si="10"/>
        <v>0.93548387096774188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8"/>
        <v>31</v>
      </c>
      <c r="I103" s="42">
        <f t="shared" si="9"/>
        <v>0</v>
      </c>
      <c r="J103" s="43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1">COUNTIF(K104:AO104,"")</f>
        <v>31</v>
      </c>
      <c r="I104" s="42">
        <f t="shared" ref="I104" si="12">COUNTIF(K104:AL104,"APAGADO")</f>
        <v>0</v>
      </c>
      <c r="J104" s="43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4">COUNTIF(K105:AO105,"")</f>
        <v>31</v>
      </c>
      <c r="I105" s="42">
        <f t="shared" ref="I105" si="15">COUNTIF(K105:AL105,"APAGADO")</f>
        <v>0</v>
      </c>
      <c r="J105" s="43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8"/>
        <v>31</v>
      </c>
      <c r="I106" s="42">
        <f t="shared" si="9"/>
        <v>0</v>
      </c>
      <c r="J106" s="43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8"/>
        <v>29</v>
      </c>
      <c r="I107" s="42">
        <f t="shared" si="9"/>
        <v>2</v>
      </c>
      <c r="J107" s="43">
        <f t="shared" si="10"/>
        <v>0.93548387096774188</v>
      </c>
      <c r="K107" s="20"/>
      <c r="L107" s="20"/>
      <c r="M107" s="20" t="s">
        <v>1308</v>
      </c>
      <c r="N107" s="20" t="s">
        <v>1308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8"/>
        <v>31</v>
      </c>
      <c r="I108" s="42">
        <f t="shared" si="9"/>
        <v>0</v>
      </c>
      <c r="J108" s="43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8"/>
        <v>31</v>
      </c>
      <c r="I109" s="42">
        <f t="shared" si="9"/>
        <v>0</v>
      </c>
      <c r="J109" s="43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8"/>
        <v>31</v>
      </c>
      <c r="I110" s="42">
        <f t="shared" si="9"/>
        <v>0</v>
      </c>
      <c r="J110" s="43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8"/>
        <v>31</v>
      </c>
      <c r="I111" s="42">
        <f t="shared" si="9"/>
        <v>0</v>
      </c>
      <c r="J111" s="43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8"/>
        <v>31</v>
      </c>
      <c r="I112" s="42">
        <f t="shared" si="9"/>
        <v>0</v>
      </c>
      <c r="J112" s="43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8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8"/>
        <v>31</v>
      </c>
      <c r="I114" s="42">
        <f t="shared" si="9"/>
        <v>0</v>
      </c>
      <c r="J114" s="43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8"/>
        <v>31</v>
      </c>
      <c r="I115" s="42">
        <f t="shared" si="9"/>
        <v>0</v>
      </c>
      <c r="J115" s="43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8"/>
        <v>29</v>
      </c>
      <c r="I116" s="42">
        <f t="shared" si="9"/>
        <v>2</v>
      </c>
      <c r="J116" s="43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8"/>
        <v>28</v>
      </c>
      <c r="I117" s="42">
        <f t="shared" si="9"/>
        <v>3</v>
      </c>
      <c r="J117" s="43">
        <f t="shared" si="10"/>
        <v>0.90322580645161288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8"/>
        <v>31</v>
      </c>
      <c r="I118" s="42">
        <f t="shared" si="9"/>
        <v>0</v>
      </c>
      <c r="J118" s="43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8"/>
        <v>31</v>
      </c>
      <c r="I119" s="42">
        <f t="shared" si="9"/>
        <v>0</v>
      </c>
      <c r="J119" s="43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8"/>
        <v>30</v>
      </c>
      <c r="I120" s="42">
        <f t="shared" si="9"/>
        <v>1</v>
      </c>
      <c r="J120" s="43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8"/>
        <v>30</v>
      </c>
      <c r="I121" s="42">
        <f t="shared" si="9"/>
        <v>1</v>
      </c>
      <c r="J121" s="43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8"/>
        <v>29</v>
      </c>
      <c r="I122" s="42">
        <f t="shared" si="9"/>
        <v>2</v>
      </c>
      <c r="J122" s="43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8"/>
        <v>30</v>
      </c>
      <c r="I123" s="42">
        <f t="shared" si="9"/>
        <v>1</v>
      </c>
      <c r="J123" s="43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8"/>
        <v>27</v>
      </c>
      <c r="I124" s="42">
        <f t="shared" si="9"/>
        <v>4</v>
      </c>
      <c r="J124" s="43">
        <f t="shared" si="10"/>
        <v>0.87096774193548387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8"/>
        <v>31</v>
      </c>
      <c r="I125" s="42">
        <f t="shared" si="9"/>
        <v>0</v>
      </c>
      <c r="J125" s="43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8"/>
        <v>31</v>
      </c>
      <c r="I126" s="42">
        <f t="shared" si="9"/>
        <v>0</v>
      </c>
      <c r="J126" s="43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8"/>
        <v>31</v>
      </c>
      <c r="I127" s="42">
        <f t="shared" si="9"/>
        <v>0</v>
      </c>
      <c r="J127" s="43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8"/>
        <v>31</v>
      </c>
      <c r="I128" s="42">
        <f t="shared" si="9"/>
        <v>0</v>
      </c>
      <c r="J128" s="43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8"/>
        <v>31</v>
      </c>
      <c r="I129" s="42">
        <f t="shared" si="9"/>
        <v>0</v>
      </c>
      <c r="J129" s="43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8"/>
        <v>31</v>
      </c>
      <c r="I130" s="42">
        <f t="shared" si="9"/>
        <v>0</v>
      </c>
      <c r="J130" s="43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8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8"/>
        <v>31</v>
      </c>
      <c r="I132" s="42">
        <f t="shared" si="9"/>
        <v>0</v>
      </c>
      <c r="J132" s="43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8"/>
        <v>31</v>
      </c>
      <c r="I133" s="42">
        <f t="shared" si="9"/>
        <v>0</v>
      </c>
      <c r="J133" s="43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8"/>
        <v>31</v>
      </c>
      <c r="I134" s="42">
        <f t="shared" si="9"/>
        <v>0</v>
      </c>
      <c r="J134" s="43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8"/>
        <v>31</v>
      </c>
      <c r="I135" s="42">
        <f t="shared" si="9"/>
        <v>0</v>
      </c>
      <c r="J135" s="43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7">COUNTIF(K136:AO136,"")</f>
        <v>31</v>
      </c>
      <c r="I136" s="42">
        <f>COUNTIF(K136:AL136,"APAGADO")</f>
        <v>0</v>
      </c>
      <c r="J136" s="43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7"/>
        <v>31</v>
      </c>
      <c r="I137" s="42">
        <f>COUNTIF(K137:AL137,"APAGADO")</f>
        <v>0</v>
      </c>
      <c r="J137" s="43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7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7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7"/>
        <v>30</v>
      </c>
      <c r="I140" s="42">
        <f t="shared" si="9"/>
        <v>1</v>
      </c>
      <c r="J140" s="43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7"/>
        <v>30</v>
      </c>
      <c r="I141" s="42">
        <f t="shared" si="9"/>
        <v>1</v>
      </c>
      <c r="J141" s="43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7"/>
        <v>31</v>
      </c>
      <c r="I142" s="42">
        <f t="shared" si="9"/>
        <v>0</v>
      </c>
      <c r="J142" s="43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7"/>
        <v>29</v>
      </c>
      <c r="I143" s="42">
        <f t="shared" ref="I143:I236" si="18">COUNTIF(K143:AL143,"APAGADO")</f>
        <v>2</v>
      </c>
      <c r="J143" s="43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7"/>
        <v>31</v>
      </c>
      <c r="I144" s="42">
        <f t="shared" si="18"/>
        <v>0</v>
      </c>
      <c r="J144" s="43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7"/>
        <v>31</v>
      </c>
      <c r="I145" s="42">
        <f t="shared" si="18"/>
        <v>0</v>
      </c>
      <c r="J145" s="43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7"/>
        <v>31</v>
      </c>
      <c r="I146" s="42">
        <f t="shared" si="18"/>
        <v>0</v>
      </c>
      <c r="J146" s="43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7"/>
        <v>31</v>
      </c>
      <c r="I147" s="42">
        <f t="shared" si="18"/>
        <v>0</v>
      </c>
      <c r="J147" s="43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7"/>
        <v>31</v>
      </c>
      <c r="I148" s="42">
        <f t="shared" si="18"/>
        <v>0</v>
      </c>
      <c r="J148" s="43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7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7"/>
        <v>31</v>
      </c>
      <c r="I150" s="42">
        <f t="shared" si="18"/>
        <v>0</v>
      </c>
      <c r="J150" s="43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7"/>
        <v>31</v>
      </c>
      <c r="I151" s="42">
        <f t="shared" si="18"/>
        <v>0</v>
      </c>
      <c r="J151" s="43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7"/>
        <v>31</v>
      </c>
      <c r="I152" s="42">
        <f t="shared" ref="I152:I159" si="20">COUNTIF(K152:AL152,"APAGADO")</f>
        <v>0</v>
      </c>
      <c r="J152" s="43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7"/>
        <v>31</v>
      </c>
      <c r="I153" s="42">
        <f t="shared" si="20"/>
        <v>0</v>
      </c>
      <c r="J153" s="43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7"/>
        <v>31</v>
      </c>
      <c r="I154" s="42">
        <f t="shared" si="20"/>
        <v>0</v>
      </c>
      <c r="J154" s="43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7"/>
        <v>31</v>
      </c>
      <c r="I155" s="42">
        <f t="shared" si="20"/>
        <v>0</v>
      </c>
      <c r="J155" s="43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7"/>
        <v>31</v>
      </c>
      <c r="I156" s="42">
        <f t="shared" si="20"/>
        <v>0</v>
      </c>
      <c r="J156" s="43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7"/>
        <v>31</v>
      </c>
      <c r="I157" s="42">
        <f t="shared" si="20"/>
        <v>0</v>
      </c>
      <c r="J157" s="43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7"/>
        <v>31</v>
      </c>
      <c r="I158" s="42">
        <f t="shared" si="20"/>
        <v>0</v>
      </c>
      <c r="J158" s="43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7"/>
        <v>31</v>
      </c>
      <c r="I159" s="42">
        <f t="shared" si="20"/>
        <v>0</v>
      </c>
      <c r="J159" s="43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7"/>
        <v>31</v>
      </c>
      <c r="I160" s="42">
        <f t="shared" si="18"/>
        <v>0</v>
      </c>
      <c r="J160" s="43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7"/>
        <v>28</v>
      </c>
      <c r="I161" s="42">
        <f t="shared" si="18"/>
        <v>3</v>
      </c>
      <c r="J161" s="43">
        <f t="shared" si="19"/>
        <v>0.90322580645161288</v>
      </c>
      <c r="K161" s="20"/>
      <c r="L161" s="20" t="s">
        <v>1308</v>
      </c>
      <c r="M161" s="20" t="s">
        <v>1308</v>
      </c>
      <c r="N161" s="20" t="s">
        <v>1308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7"/>
        <v>30</v>
      </c>
      <c r="I162" s="42">
        <f t="shared" si="18"/>
        <v>1</v>
      </c>
      <c r="J162" s="43">
        <f t="shared" si="19"/>
        <v>0.967741935483871</v>
      </c>
      <c r="K162" s="20" t="s">
        <v>1308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7"/>
        <v>31</v>
      </c>
      <c r="I163" s="42">
        <f t="shared" si="18"/>
        <v>0</v>
      </c>
      <c r="J163" s="43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7"/>
        <v>31</v>
      </c>
      <c r="I164" s="42">
        <f t="shared" si="18"/>
        <v>0</v>
      </c>
      <c r="J164" s="43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7"/>
        <v>31</v>
      </c>
      <c r="I165" s="42">
        <f t="shared" si="18"/>
        <v>0</v>
      </c>
      <c r="J165" s="43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7"/>
        <v>31</v>
      </c>
      <c r="I166" s="42">
        <f t="shared" si="18"/>
        <v>0</v>
      </c>
      <c r="J166" s="43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7"/>
        <v>31</v>
      </c>
      <c r="I167" s="42">
        <f t="shared" si="18"/>
        <v>0</v>
      </c>
      <c r="J167" s="43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7"/>
        <v>31</v>
      </c>
      <c r="I168" s="42">
        <f t="shared" si="18"/>
        <v>0</v>
      </c>
      <c r="J168" s="43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7"/>
        <v>31</v>
      </c>
      <c r="I169" s="42">
        <f t="shared" si="18"/>
        <v>0</v>
      </c>
      <c r="J169" s="43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7"/>
        <v>31</v>
      </c>
      <c r="I170" s="42">
        <f t="shared" si="18"/>
        <v>0</v>
      </c>
      <c r="J170" s="43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7"/>
        <v>31</v>
      </c>
      <c r="I171" s="42">
        <f t="shared" si="18"/>
        <v>0</v>
      </c>
      <c r="J171" s="43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7"/>
        <v>27</v>
      </c>
      <c r="I172" s="42">
        <f t="shared" si="18"/>
        <v>4</v>
      </c>
      <c r="J172" s="43">
        <f t="shared" si="19"/>
        <v>0.87096774193548387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7"/>
        <v>27</v>
      </c>
      <c r="I173" s="42">
        <f t="shared" si="18"/>
        <v>4</v>
      </c>
      <c r="J173" s="43">
        <f t="shared" si="19"/>
        <v>0.87096774193548387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7"/>
        <v>27</v>
      </c>
      <c r="I174" s="42">
        <f t="shared" si="18"/>
        <v>4</v>
      </c>
      <c r="J174" s="43">
        <f t="shared" si="19"/>
        <v>0.87096774193548387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7"/>
        <v>27</v>
      </c>
      <c r="I175" s="42">
        <f t="shared" si="18"/>
        <v>4</v>
      </c>
      <c r="J175" s="43">
        <f t="shared" si="19"/>
        <v>0.87096774193548387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7"/>
        <v>27</v>
      </c>
      <c r="I176" s="42">
        <f t="shared" si="18"/>
        <v>4</v>
      </c>
      <c r="J176" s="43">
        <f t="shared" si="19"/>
        <v>0.87096774193548387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7"/>
        <v>28</v>
      </c>
      <c r="I177" s="42">
        <f t="shared" si="18"/>
        <v>3</v>
      </c>
      <c r="J177" s="43">
        <f t="shared" si="19"/>
        <v>0.90322580645161288</v>
      </c>
      <c r="K177" s="20" t="s">
        <v>1308</v>
      </c>
      <c r="L177" s="20" t="s">
        <v>1308</v>
      </c>
      <c r="M177" s="20"/>
      <c r="N177" s="20" t="s">
        <v>1308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7"/>
        <v>29</v>
      </c>
      <c r="I178" s="42">
        <f t="shared" si="18"/>
        <v>2</v>
      </c>
      <c r="J178" s="43">
        <f t="shared" si="19"/>
        <v>0.93548387096774188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7"/>
        <v>29</v>
      </c>
      <c r="I179" s="42">
        <f t="shared" si="18"/>
        <v>2</v>
      </c>
      <c r="J179" s="43">
        <f t="shared" si="19"/>
        <v>0.93548387096774188</v>
      </c>
      <c r="K179" s="20" t="s">
        <v>1308</v>
      </c>
      <c r="L179" s="20" t="s">
        <v>1308</v>
      </c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7"/>
        <v>31</v>
      </c>
      <c r="I180" s="42">
        <f t="shared" si="18"/>
        <v>0</v>
      </c>
      <c r="J180" s="43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7"/>
        <v>27</v>
      </c>
      <c r="I181" s="42">
        <f t="shared" si="18"/>
        <v>4</v>
      </c>
      <c r="J181" s="43">
        <f t="shared" si="19"/>
        <v>0.87096774193548387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7"/>
        <v>27</v>
      </c>
      <c r="I182" s="42">
        <f t="shared" si="18"/>
        <v>4</v>
      </c>
      <c r="J182" s="43">
        <f t="shared" si="19"/>
        <v>0.87096774193548387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7"/>
        <v>27</v>
      </c>
      <c r="I183" s="42">
        <f t="shared" si="18"/>
        <v>4</v>
      </c>
      <c r="J183" s="43">
        <f t="shared" si="19"/>
        <v>0.87096774193548387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7"/>
        <v>27</v>
      </c>
      <c r="I184" s="42">
        <f t="shared" si="18"/>
        <v>4</v>
      </c>
      <c r="J184" s="43">
        <f t="shared" si="19"/>
        <v>0.87096774193548387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7"/>
        <v>28</v>
      </c>
      <c r="I185" s="42">
        <f t="shared" si="18"/>
        <v>3</v>
      </c>
      <c r="J185" s="43">
        <f t="shared" si="19"/>
        <v>0.90322580645161288</v>
      </c>
      <c r="K185" s="20" t="s">
        <v>1308</v>
      </c>
      <c r="L185" s="20"/>
      <c r="M185" s="20" t="s">
        <v>1308</v>
      </c>
      <c r="N185" s="20" t="s">
        <v>1308</v>
      </c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7"/>
        <v>28</v>
      </c>
      <c r="I186" s="42">
        <f t="shared" si="18"/>
        <v>3</v>
      </c>
      <c r="J186" s="43">
        <f t="shared" si="19"/>
        <v>0.90322580645161288</v>
      </c>
      <c r="K186" s="20" t="s">
        <v>1308</v>
      </c>
      <c r="L186" s="20"/>
      <c r="M186" s="20" t="s">
        <v>1308</v>
      </c>
      <c r="N186" s="20" t="s">
        <v>1308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7"/>
        <v>27</v>
      </c>
      <c r="I187" s="42">
        <f t="shared" si="18"/>
        <v>4</v>
      </c>
      <c r="J187" s="43">
        <f t="shared" si="19"/>
        <v>0.87096774193548387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7"/>
        <v>31</v>
      </c>
      <c r="I188" s="42">
        <f t="shared" si="18"/>
        <v>0</v>
      </c>
      <c r="J188" s="43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7"/>
        <v>27</v>
      </c>
      <c r="I189" s="42">
        <f t="shared" si="18"/>
        <v>4</v>
      </c>
      <c r="J189" s="43">
        <f t="shared" si="19"/>
        <v>0.87096774193548387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7"/>
        <v>27</v>
      </c>
      <c r="I190" s="42">
        <f t="shared" si="18"/>
        <v>4</v>
      </c>
      <c r="J190" s="43">
        <f t="shared" si="19"/>
        <v>0.87096774193548387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7"/>
        <v>27</v>
      </c>
      <c r="I191" s="42">
        <f t="shared" si="18"/>
        <v>4</v>
      </c>
      <c r="J191" s="43">
        <f t="shared" si="19"/>
        <v>0.87096774193548387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7"/>
        <v>31</v>
      </c>
      <c r="I192" s="42">
        <f t="shared" si="18"/>
        <v>0</v>
      </c>
      <c r="J192" s="43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7"/>
        <v>31</v>
      </c>
      <c r="I193" s="42">
        <f t="shared" si="18"/>
        <v>0</v>
      </c>
      <c r="J193" s="43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7"/>
        <v>30</v>
      </c>
      <c r="I194" s="42">
        <f t="shared" si="18"/>
        <v>1</v>
      </c>
      <c r="J194" s="43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7"/>
        <v>27</v>
      </c>
      <c r="I195" s="42">
        <f t="shared" si="18"/>
        <v>4</v>
      </c>
      <c r="J195" s="43">
        <f t="shared" si="19"/>
        <v>0.87096774193548387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7"/>
        <v>27</v>
      </c>
      <c r="I196" s="42">
        <f t="shared" si="18"/>
        <v>4</v>
      </c>
      <c r="J196" s="43">
        <f t="shared" si="19"/>
        <v>0.87096774193548387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7"/>
        <v>27</v>
      </c>
      <c r="I197" s="42">
        <f t="shared" si="18"/>
        <v>4</v>
      </c>
      <c r="J197" s="43">
        <f t="shared" si="19"/>
        <v>0.87096774193548387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7"/>
        <v>27</v>
      </c>
      <c r="I198" s="42">
        <f>COUNTIF(K198:AL198,"APAGADO")</f>
        <v>4</v>
      </c>
      <c r="J198" s="43">
        <f>(H198)/(I198+H198)</f>
        <v>0.87096774193548387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7"/>
        <v>27</v>
      </c>
      <c r="I199" s="42">
        <f t="shared" si="18"/>
        <v>4</v>
      </c>
      <c r="J199" s="43">
        <f t="shared" si="19"/>
        <v>0.87096774193548387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2">COUNTIF(K200:AO200,"")</f>
        <v>27</v>
      </c>
      <c r="I200" s="42">
        <f>COUNTIF(K200:AL200,"APAGADO")</f>
        <v>4</v>
      </c>
      <c r="J200" s="43">
        <f>(H200)/(I200+H200)</f>
        <v>0.87096774193548387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2"/>
        <v>27</v>
      </c>
      <c r="I201" s="42">
        <f t="shared" si="18"/>
        <v>4</v>
      </c>
      <c r="J201" s="43">
        <f t="shared" si="19"/>
        <v>0.87096774193548387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2"/>
        <v>31</v>
      </c>
      <c r="I202" s="42">
        <f t="shared" si="18"/>
        <v>0</v>
      </c>
      <c r="J202" s="43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2"/>
        <v>27</v>
      </c>
      <c r="I203" s="42">
        <f t="shared" si="18"/>
        <v>4</v>
      </c>
      <c r="J203" s="43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2"/>
        <v>31</v>
      </c>
      <c r="I204" s="42">
        <f t="shared" si="18"/>
        <v>0</v>
      </c>
      <c r="J204" s="43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2"/>
        <v>31</v>
      </c>
      <c r="I205" s="42">
        <f t="shared" si="18"/>
        <v>0</v>
      </c>
      <c r="J205" s="43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2"/>
        <v>31</v>
      </c>
      <c r="I206" s="42">
        <f t="shared" si="18"/>
        <v>0</v>
      </c>
      <c r="J206" s="43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2"/>
        <v>31</v>
      </c>
      <c r="I207" s="42">
        <f t="shared" si="18"/>
        <v>0</v>
      </c>
      <c r="J207" s="43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2"/>
        <v>31</v>
      </c>
      <c r="I208" s="42">
        <f t="shared" si="18"/>
        <v>0</v>
      </c>
      <c r="J208" s="43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2"/>
        <v>30</v>
      </c>
      <c r="I209" s="42">
        <f t="shared" si="18"/>
        <v>1</v>
      </c>
      <c r="J209" s="43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2"/>
        <v>28</v>
      </c>
      <c r="I210" s="42">
        <f t="shared" si="18"/>
        <v>3</v>
      </c>
      <c r="J210" s="43">
        <f t="shared" si="19"/>
        <v>0.90322580645161288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2"/>
        <v>31</v>
      </c>
      <c r="I211" s="42">
        <f t="shared" si="18"/>
        <v>0</v>
      </c>
      <c r="J211" s="43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2"/>
        <v>31</v>
      </c>
      <c r="I212" s="42">
        <f t="shared" si="18"/>
        <v>0</v>
      </c>
      <c r="J212" s="43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2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2"/>
        <v>27</v>
      </c>
      <c r="I214" s="42">
        <f t="shared" si="18"/>
        <v>4</v>
      </c>
      <c r="J214" s="43">
        <f t="shared" si="19"/>
        <v>0.87096774193548387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2"/>
        <v>29</v>
      </c>
      <c r="I215" s="42">
        <f t="shared" si="18"/>
        <v>2</v>
      </c>
      <c r="J215" s="43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2"/>
        <v>31</v>
      </c>
      <c r="I216" s="42">
        <f t="shared" si="18"/>
        <v>0</v>
      </c>
      <c r="J216" s="43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2"/>
        <v>31</v>
      </c>
      <c r="I217" s="42">
        <f t="shared" si="18"/>
        <v>0</v>
      </c>
      <c r="J217" s="43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2"/>
        <v>31</v>
      </c>
      <c r="I218" s="42">
        <f t="shared" si="18"/>
        <v>0</v>
      </c>
      <c r="J218" s="43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2"/>
        <v>31</v>
      </c>
      <c r="I219" s="42">
        <f t="shared" si="18"/>
        <v>0</v>
      </c>
      <c r="J219" s="43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2"/>
        <v>31</v>
      </c>
      <c r="I220" s="42">
        <f t="shared" si="18"/>
        <v>0</v>
      </c>
      <c r="J220" s="43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2"/>
        <v>30</v>
      </c>
      <c r="I221" s="42">
        <f t="shared" si="18"/>
        <v>1</v>
      </c>
      <c r="J221" s="43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2"/>
        <v>30</v>
      </c>
      <c r="I222" s="42">
        <f t="shared" si="18"/>
        <v>1</v>
      </c>
      <c r="J222" s="43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2"/>
        <v>30</v>
      </c>
      <c r="I223" s="42">
        <f t="shared" si="18"/>
        <v>1</v>
      </c>
      <c r="J223" s="43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2"/>
        <v>30</v>
      </c>
      <c r="I224" s="42">
        <f t="shared" si="18"/>
        <v>1</v>
      </c>
      <c r="J224" s="43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2"/>
        <v>30</v>
      </c>
      <c r="I225" s="42">
        <f t="shared" si="18"/>
        <v>1</v>
      </c>
      <c r="J225" s="43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2"/>
        <v>30</v>
      </c>
      <c r="I226" s="42">
        <f t="shared" si="18"/>
        <v>1</v>
      </c>
      <c r="J226" s="43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2"/>
        <v>31</v>
      </c>
      <c r="I227" s="42">
        <f t="shared" si="18"/>
        <v>0</v>
      </c>
      <c r="J227" s="43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2"/>
        <v>31</v>
      </c>
      <c r="I228" s="42">
        <f t="shared" si="18"/>
        <v>0</v>
      </c>
      <c r="J228" s="43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2"/>
        <v>29</v>
      </c>
      <c r="I229" s="42">
        <f t="shared" si="18"/>
        <v>2</v>
      </c>
      <c r="J229" s="43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2"/>
        <v>29</v>
      </c>
      <c r="I230" s="42">
        <f t="shared" si="18"/>
        <v>2</v>
      </c>
      <c r="J230" s="43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2"/>
        <v>27</v>
      </c>
      <c r="I231" s="42">
        <f t="shared" si="18"/>
        <v>4</v>
      </c>
      <c r="J231" s="43">
        <f t="shared" si="19"/>
        <v>0.87096774193548387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2"/>
        <v>31</v>
      </c>
      <c r="I232" s="42">
        <f t="shared" si="18"/>
        <v>0</v>
      </c>
      <c r="J232" s="43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2"/>
        <v>31</v>
      </c>
      <c r="I233" s="42">
        <f t="shared" si="18"/>
        <v>0</v>
      </c>
      <c r="J233" s="43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2"/>
        <v>31</v>
      </c>
      <c r="I234" s="42">
        <f t="shared" si="18"/>
        <v>0</v>
      </c>
      <c r="J234" s="43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2"/>
        <v>31</v>
      </c>
      <c r="I235" s="42">
        <f t="shared" si="18"/>
        <v>0</v>
      </c>
      <c r="J235" s="43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2"/>
        <v>31</v>
      </c>
      <c r="I236" s="42">
        <f t="shared" si="18"/>
        <v>0</v>
      </c>
      <c r="J236" s="43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2"/>
        <v>31</v>
      </c>
      <c r="I237" s="42">
        <f t="shared" ref="I237:I302" si="23">COUNTIF(K237:AL237,"APAGADO")</f>
        <v>0</v>
      </c>
      <c r="J237" s="43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2"/>
        <v>27</v>
      </c>
      <c r="I238" s="42">
        <f t="shared" si="23"/>
        <v>4</v>
      </c>
      <c r="J238" s="43">
        <f t="shared" si="24"/>
        <v>0.87096774193548387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2"/>
        <v>30</v>
      </c>
      <c r="I239" s="42">
        <f t="shared" si="23"/>
        <v>1</v>
      </c>
      <c r="J239" s="43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2"/>
        <v>30</v>
      </c>
      <c r="I240" s="42">
        <f t="shared" si="23"/>
        <v>1</v>
      </c>
      <c r="J240" s="43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2"/>
        <v>31</v>
      </c>
      <c r="I241" s="42">
        <f t="shared" si="23"/>
        <v>0</v>
      </c>
      <c r="J241" s="43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2"/>
        <v>31</v>
      </c>
      <c r="I242" s="42">
        <f t="shared" si="23"/>
        <v>0</v>
      </c>
      <c r="J242" s="43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2"/>
        <v>29</v>
      </c>
      <c r="I243" s="42">
        <f t="shared" si="23"/>
        <v>2</v>
      </c>
      <c r="J243" s="43">
        <f t="shared" si="24"/>
        <v>0.93548387096774188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2"/>
        <v>31</v>
      </c>
      <c r="I244" s="42">
        <f t="shared" si="23"/>
        <v>0</v>
      </c>
      <c r="J244" s="43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2"/>
        <v>31</v>
      </c>
      <c r="I245" s="42">
        <f t="shared" si="23"/>
        <v>0</v>
      </c>
      <c r="J245" s="43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2"/>
        <v>31</v>
      </c>
      <c r="I246" s="42">
        <f t="shared" si="23"/>
        <v>0</v>
      </c>
      <c r="J246" s="43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2"/>
        <v>31</v>
      </c>
      <c r="I247" s="42">
        <f t="shared" si="23"/>
        <v>0</v>
      </c>
      <c r="J247" s="43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2"/>
        <v>29</v>
      </c>
      <c r="I248" s="42">
        <f t="shared" si="23"/>
        <v>2</v>
      </c>
      <c r="J248" s="43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2"/>
        <v>29</v>
      </c>
      <c r="I249" s="42">
        <f t="shared" si="23"/>
        <v>2</v>
      </c>
      <c r="J249" s="43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2"/>
        <v>30</v>
      </c>
      <c r="I250" s="42">
        <f t="shared" si="23"/>
        <v>1</v>
      </c>
      <c r="J250" s="43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2"/>
        <v>30</v>
      </c>
      <c r="I251" s="42">
        <f t="shared" si="23"/>
        <v>1</v>
      </c>
      <c r="J251" s="43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2"/>
        <v>31</v>
      </c>
      <c r="I252" s="42">
        <f t="shared" si="23"/>
        <v>0</v>
      </c>
      <c r="J252" s="43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2"/>
        <v>31</v>
      </c>
      <c r="I253" s="42">
        <f t="shared" si="23"/>
        <v>0</v>
      </c>
      <c r="J253" s="43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2"/>
        <v>27</v>
      </c>
      <c r="I254" s="42">
        <f>COUNTIF(K254:AL254,"APAGADO")</f>
        <v>4</v>
      </c>
      <c r="J254" s="43">
        <f>(H254)/(I254+H254)</f>
        <v>0.87096774193548387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2"/>
        <v>27</v>
      </c>
      <c r="I255" s="42">
        <f>COUNTIF(K255:AL255,"APAGADO")</f>
        <v>4</v>
      </c>
      <c r="J255" s="43">
        <f>(H255)/(I255+H255)</f>
        <v>0.87096774193548387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2"/>
        <v>27</v>
      </c>
      <c r="I256" s="42">
        <f>COUNTIF(K256:AL256,"APAGADO")</f>
        <v>4</v>
      </c>
      <c r="J256" s="43">
        <f>(H256)/(I256+H256)</f>
        <v>0.87096774193548387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2"/>
        <v>27</v>
      </c>
      <c r="I257" s="42">
        <f>COUNTIF(K257:AL257,"APAGADO")</f>
        <v>4</v>
      </c>
      <c r="J257" s="43">
        <f>(H257)/(I257+H257)</f>
        <v>0.87096774193548387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2"/>
        <v>27</v>
      </c>
      <c r="I258" s="42">
        <f t="shared" si="23"/>
        <v>4</v>
      </c>
      <c r="J258" s="43">
        <f t="shared" si="24"/>
        <v>0.87096774193548387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2"/>
        <v>28</v>
      </c>
      <c r="I259" s="42">
        <f t="shared" si="23"/>
        <v>3</v>
      </c>
      <c r="J259" s="43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2"/>
        <v>27</v>
      </c>
      <c r="I260" s="42">
        <f t="shared" si="23"/>
        <v>4</v>
      </c>
      <c r="J260" s="43">
        <f t="shared" si="24"/>
        <v>0.87096774193548387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2"/>
        <v>27</v>
      </c>
      <c r="I261" s="42">
        <f t="shared" si="23"/>
        <v>4</v>
      </c>
      <c r="J261" s="43">
        <f t="shared" si="24"/>
        <v>0.87096774193548387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2"/>
        <v>27</v>
      </c>
      <c r="I262" s="42">
        <f t="shared" si="23"/>
        <v>4</v>
      </c>
      <c r="J262" s="43">
        <f t="shared" si="24"/>
        <v>0.87096774193548387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2"/>
        <v>27</v>
      </c>
      <c r="I263" s="42">
        <f>COUNTIF(K263:AL263,"APAGADO")</f>
        <v>4</v>
      </c>
      <c r="J263" s="43">
        <f>(H263)/(I263+H263)</f>
        <v>0.87096774193548387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5">COUNTIF(K264:AO264,"")</f>
        <v>27</v>
      </c>
      <c r="I264" s="42">
        <f>COUNTIF(K264:AL264,"APAGADO")</f>
        <v>4</v>
      </c>
      <c r="J264" s="43">
        <f>(H264)/(I264+H264)</f>
        <v>0.87096774193548387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5"/>
        <v>27</v>
      </c>
      <c r="I265" s="42">
        <f>COUNTIF(K265:AL265,"APAGADO")</f>
        <v>4</v>
      </c>
      <c r="J265" s="43">
        <f>(H265)/(I265+H265)</f>
        <v>0.87096774193548387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5"/>
        <v>31</v>
      </c>
      <c r="I266" s="42">
        <f t="shared" si="23"/>
        <v>0</v>
      </c>
      <c r="J266" s="43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5"/>
        <v>31</v>
      </c>
      <c r="I267" s="42">
        <f t="shared" si="23"/>
        <v>0</v>
      </c>
      <c r="J267" s="43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5"/>
        <v>27</v>
      </c>
      <c r="I268" s="42">
        <f>COUNTIF(K268:AL268,"APAGADO")</f>
        <v>4</v>
      </c>
      <c r="J268" s="43">
        <f>(H268)/(I268+H268)</f>
        <v>0.87096774193548387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5"/>
        <v>27</v>
      </c>
      <c r="I269" s="42">
        <f t="shared" si="23"/>
        <v>4</v>
      </c>
      <c r="J269" s="43">
        <f t="shared" si="24"/>
        <v>0.87096774193548387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5"/>
        <v>27</v>
      </c>
      <c r="I270" s="42">
        <f t="shared" si="23"/>
        <v>4</v>
      </c>
      <c r="J270" s="43">
        <f t="shared" si="24"/>
        <v>0.87096774193548387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5"/>
        <v>31</v>
      </c>
      <c r="I271" s="42">
        <f t="shared" si="23"/>
        <v>0</v>
      </c>
      <c r="J271" s="43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5"/>
        <v>31</v>
      </c>
      <c r="I272" s="42">
        <f t="shared" si="23"/>
        <v>0</v>
      </c>
      <c r="J272" s="43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5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5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5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5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5"/>
        <v>27</v>
      </c>
      <c r="I277" s="42">
        <f t="shared" si="23"/>
        <v>4</v>
      </c>
      <c r="J277" s="43">
        <f t="shared" si="24"/>
        <v>0.87096774193548387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5"/>
        <v>30</v>
      </c>
      <c r="I278" s="42">
        <f t="shared" si="23"/>
        <v>1</v>
      </c>
      <c r="J278" s="43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5"/>
        <v>31</v>
      </c>
      <c r="I279" s="42">
        <f t="shared" si="23"/>
        <v>0</v>
      </c>
      <c r="J279" s="43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5"/>
        <v>31</v>
      </c>
      <c r="I280" s="42">
        <f t="shared" si="23"/>
        <v>0</v>
      </c>
      <c r="J280" s="43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5"/>
        <v>28</v>
      </c>
      <c r="I281" s="42">
        <f>COUNTIF(K281:AL281,"APAGADO")</f>
        <v>3</v>
      </c>
      <c r="J281" s="43">
        <f>(H281)/(I281+H281)</f>
        <v>0.90322580645161288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5"/>
        <v>31</v>
      </c>
      <c r="I282" s="42">
        <f t="shared" si="23"/>
        <v>0</v>
      </c>
      <c r="J282" s="43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5"/>
        <v>31</v>
      </c>
      <c r="I283" s="42">
        <f t="shared" si="23"/>
        <v>0</v>
      </c>
      <c r="J283" s="43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5"/>
        <v>31</v>
      </c>
      <c r="I284" s="42">
        <f t="shared" si="23"/>
        <v>0</v>
      </c>
      <c r="J284" s="43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5"/>
        <v>30</v>
      </c>
      <c r="I285" s="42">
        <f>COUNTIF(K285:AL285,"APAGADO")</f>
        <v>1</v>
      </c>
      <c r="J285" s="43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5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5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5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5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5"/>
        <v>31</v>
      </c>
      <c r="I290" s="42">
        <f t="shared" si="23"/>
        <v>0</v>
      </c>
      <c r="J290" s="43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5"/>
        <v>31</v>
      </c>
      <c r="I291" s="42">
        <f t="shared" si="23"/>
        <v>0</v>
      </c>
      <c r="J291" s="43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5"/>
        <v>31</v>
      </c>
      <c r="I292" s="42">
        <f t="shared" si="23"/>
        <v>0</v>
      </c>
      <c r="J292" s="43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5"/>
        <v>31</v>
      </c>
      <c r="I293" s="42">
        <f t="shared" si="23"/>
        <v>0</v>
      </c>
      <c r="J293" s="43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5"/>
        <v>31</v>
      </c>
      <c r="I294" s="42">
        <f t="shared" si="23"/>
        <v>0</v>
      </c>
      <c r="J294" s="43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5"/>
        <v>31</v>
      </c>
      <c r="I295" s="42">
        <f t="shared" si="23"/>
        <v>0</v>
      </c>
      <c r="J295" s="43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5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5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5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5"/>
        <v>31</v>
      </c>
      <c r="I299" s="42">
        <f t="shared" si="23"/>
        <v>0</v>
      </c>
      <c r="J299" s="43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5"/>
        <v>31</v>
      </c>
      <c r="I300" s="42">
        <f t="shared" si="23"/>
        <v>0</v>
      </c>
      <c r="J300" s="43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5"/>
        <v>31</v>
      </c>
      <c r="I301" s="42">
        <f t="shared" si="23"/>
        <v>0</v>
      </c>
      <c r="J301" s="43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5"/>
        <v>31</v>
      </c>
      <c r="I302" s="42">
        <f t="shared" si="23"/>
        <v>0</v>
      </c>
      <c r="J302" s="43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5"/>
        <v>31</v>
      </c>
      <c r="I303" s="42">
        <f t="shared" ref="I303:I376" si="26">COUNTIF(K303:AL303,"APAGADO")</f>
        <v>0</v>
      </c>
      <c r="J303" s="43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5"/>
        <v>31</v>
      </c>
      <c r="I304" s="42">
        <f t="shared" si="26"/>
        <v>0</v>
      </c>
      <c r="J304" s="43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5"/>
        <v>31</v>
      </c>
      <c r="I305" s="42">
        <f t="shared" si="26"/>
        <v>0</v>
      </c>
      <c r="J305" s="43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5"/>
        <v>31</v>
      </c>
      <c r="I306" s="42">
        <f t="shared" si="26"/>
        <v>0</v>
      </c>
      <c r="J306" s="43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5"/>
        <v>31</v>
      </c>
      <c r="I307" s="42">
        <f t="shared" si="26"/>
        <v>0</v>
      </c>
      <c r="J307" s="43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5"/>
        <v>31</v>
      </c>
      <c r="I308" s="42">
        <f t="shared" si="26"/>
        <v>0</v>
      </c>
      <c r="J308" s="43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5"/>
        <v>31</v>
      </c>
      <c r="I309" s="42">
        <f t="shared" si="26"/>
        <v>0</v>
      </c>
      <c r="J309" s="43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5"/>
        <v>27</v>
      </c>
      <c r="I310" s="42">
        <f t="shared" si="26"/>
        <v>4</v>
      </c>
      <c r="J310" s="43">
        <f t="shared" si="27"/>
        <v>0.87096774193548387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5"/>
        <v>30</v>
      </c>
      <c r="I311" s="42">
        <f t="shared" si="26"/>
        <v>1</v>
      </c>
      <c r="J311" s="43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5"/>
        <v>30</v>
      </c>
      <c r="I312" s="42">
        <f t="shared" si="26"/>
        <v>1</v>
      </c>
      <c r="J312" s="43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5"/>
        <v>27</v>
      </c>
      <c r="I313" s="42">
        <f t="shared" si="26"/>
        <v>4</v>
      </c>
      <c r="J313" s="43">
        <f t="shared" si="27"/>
        <v>0.87096774193548387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5"/>
        <v>30</v>
      </c>
      <c r="I314" s="42">
        <f t="shared" si="26"/>
        <v>1</v>
      </c>
      <c r="J314" s="43">
        <f t="shared" si="27"/>
        <v>0.967741935483871</v>
      </c>
      <c r="K314" s="20"/>
      <c r="L314" s="20"/>
      <c r="M314" s="20"/>
      <c r="N314" s="20" t="s">
        <v>1308</v>
      </c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5"/>
        <v>31</v>
      </c>
      <c r="I315" s="42">
        <f t="shared" si="26"/>
        <v>0</v>
      </c>
      <c r="J315" s="43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5"/>
        <v>31</v>
      </c>
      <c r="I316" s="42">
        <f t="shared" si="26"/>
        <v>0</v>
      </c>
      <c r="J316" s="43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5"/>
        <v>31</v>
      </c>
      <c r="I317" s="42">
        <f t="shared" si="26"/>
        <v>0</v>
      </c>
      <c r="J317" s="43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5"/>
        <v>31</v>
      </c>
      <c r="I318" s="42">
        <f t="shared" si="26"/>
        <v>0</v>
      </c>
      <c r="J318" s="43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5"/>
        <v>31</v>
      </c>
      <c r="I319" s="42">
        <f t="shared" si="26"/>
        <v>0</v>
      </c>
      <c r="J319" s="43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5"/>
        <v>31</v>
      </c>
      <c r="I320" s="42">
        <f t="shared" si="26"/>
        <v>0</v>
      </c>
      <c r="J320" s="43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5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5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5"/>
        <v>31</v>
      </c>
      <c r="I323" s="42">
        <f t="shared" si="26"/>
        <v>0</v>
      </c>
      <c r="J323" s="43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5"/>
        <v>31</v>
      </c>
      <c r="I324" s="42">
        <f t="shared" si="26"/>
        <v>0</v>
      </c>
      <c r="J324" s="43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5"/>
        <v>31</v>
      </c>
      <c r="I325" s="42">
        <f t="shared" si="26"/>
        <v>0</v>
      </c>
      <c r="J325" s="43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5"/>
        <v>31</v>
      </c>
      <c r="I326" s="42">
        <f t="shared" si="26"/>
        <v>0</v>
      </c>
      <c r="J326" s="43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5"/>
        <v>31</v>
      </c>
      <c r="I327" s="42">
        <f t="shared" si="26"/>
        <v>0</v>
      </c>
      <c r="J327" s="43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8">COUNTIF(K328:AO328,"")</f>
        <v>31</v>
      </c>
      <c r="I328" s="42">
        <f t="shared" si="26"/>
        <v>0</v>
      </c>
      <c r="J328" s="43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8"/>
        <v>31</v>
      </c>
      <c r="I329" s="42">
        <f t="shared" si="26"/>
        <v>0</v>
      </c>
      <c r="J329" s="43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8"/>
        <v>31</v>
      </c>
      <c r="I330" s="42">
        <f t="shared" si="26"/>
        <v>0</v>
      </c>
      <c r="J330" s="43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8"/>
        <v>31</v>
      </c>
      <c r="I331" s="42">
        <f t="shared" si="26"/>
        <v>0</v>
      </c>
      <c r="J331" s="43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8"/>
        <v>30</v>
      </c>
      <c r="I332" s="42">
        <f t="shared" si="26"/>
        <v>1</v>
      </c>
      <c r="J332" s="43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8"/>
        <v>31</v>
      </c>
      <c r="I333" s="42">
        <f t="shared" si="26"/>
        <v>0</v>
      </c>
      <c r="J333" s="43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8"/>
        <v>31</v>
      </c>
      <c r="I334" s="42">
        <f t="shared" si="26"/>
        <v>0</v>
      </c>
      <c r="J334" s="43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8"/>
        <v>31</v>
      </c>
      <c r="I335" s="42">
        <f t="shared" si="26"/>
        <v>0</v>
      </c>
      <c r="J335" s="43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8"/>
        <v>31</v>
      </c>
      <c r="I336" s="42">
        <f t="shared" si="26"/>
        <v>0</v>
      </c>
      <c r="J336" s="43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8"/>
        <v>31</v>
      </c>
      <c r="I337" s="42">
        <f t="shared" si="26"/>
        <v>0</v>
      </c>
      <c r="J337" s="43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8"/>
        <v>31</v>
      </c>
      <c r="I338" s="42">
        <f t="shared" si="26"/>
        <v>0</v>
      </c>
      <c r="J338" s="43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8"/>
        <v>31</v>
      </c>
      <c r="I339" s="42">
        <f t="shared" si="26"/>
        <v>0</v>
      </c>
      <c r="J339" s="43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8"/>
        <v>31</v>
      </c>
      <c r="I340" s="42">
        <f t="shared" si="26"/>
        <v>0</v>
      </c>
      <c r="J340" s="43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8"/>
        <v>31</v>
      </c>
      <c r="I341" s="42">
        <f t="shared" si="26"/>
        <v>0</v>
      </c>
      <c r="J341" s="43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8"/>
        <v>27</v>
      </c>
      <c r="I342" s="42">
        <f t="shared" si="26"/>
        <v>4</v>
      </c>
      <c r="J342" s="43">
        <f t="shared" si="27"/>
        <v>0.87096774193548387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8"/>
        <v>27</v>
      </c>
      <c r="I343" s="42">
        <f t="shared" si="26"/>
        <v>4</v>
      </c>
      <c r="J343" s="43">
        <f t="shared" si="27"/>
        <v>0.87096774193548387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8"/>
        <v>27</v>
      </c>
      <c r="I344" s="42">
        <f t="shared" si="26"/>
        <v>4</v>
      </c>
      <c r="J344" s="43">
        <f t="shared" si="27"/>
        <v>0.87096774193548387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8"/>
        <v>28</v>
      </c>
      <c r="I345" s="42">
        <f t="shared" si="26"/>
        <v>3</v>
      </c>
      <c r="J345" s="43">
        <f t="shared" si="27"/>
        <v>0.90322580645161288</v>
      </c>
      <c r="K345" s="20"/>
      <c r="L345" s="20" t="s">
        <v>1308</v>
      </c>
      <c r="M345" s="20" t="s">
        <v>1308</v>
      </c>
      <c r="N345" s="20" t="s">
        <v>1308</v>
      </c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8"/>
        <v>27</v>
      </c>
      <c r="I346" s="42">
        <f t="shared" si="26"/>
        <v>4</v>
      </c>
      <c r="J346" s="43">
        <f t="shared" si="27"/>
        <v>0.87096774193548387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8"/>
        <v>30</v>
      </c>
      <c r="I347" s="42">
        <f t="shared" si="26"/>
        <v>1</v>
      </c>
      <c r="J347" s="43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8"/>
        <v>30</v>
      </c>
      <c r="I348" s="42">
        <f t="shared" si="26"/>
        <v>1</v>
      </c>
      <c r="J348" s="43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8"/>
        <v>27</v>
      </c>
      <c r="I349" s="42">
        <f t="shared" si="26"/>
        <v>4</v>
      </c>
      <c r="J349" s="43">
        <f t="shared" si="27"/>
        <v>0.87096774193548387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8"/>
        <v>27</v>
      </c>
      <c r="I350" s="42">
        <f t="shared" si="26"/>
        <v>4</v>
      </c>
      <c r="J350" s="43">
        <f t="shared" si="27"/>
        <v>0.87096774193548387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8"/>
        <v>27</v>
      </c>
      <c r="I351" s="42">
        <f t="shared" si="26"/>
        <v>4</v>
      </c>
      <c r="J351" s="43">
        <f t="shared" si="27"/>
        <v>0.87096774193548387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8"/>
        <v>28</v>
      </c>
      <c r="I352" s="42">
        <f t="shared" si="26"/>
        <v>3</v>
      </c>
      <c r="J352" s="43">
        <f t="shared" si="27"/>
        <v>0.90322580645161288</v>
      </c>
      <c r="K352" s="20" t="s">
        <v>1308</v>
      </c>
      <c r="L352" s="20" t="s">
        <v>1308</v>
      </c>
      <c r="M352" s="20" t="s">
        <v>1308</v>
      </c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8"/>
        <v>28</v>
      </c>
      <c r="I353" s="42">
        <f t="shared" si="26"/>
        <v>3</v>
      </c>
      <c r="J353" s="43">
        <f t="shared" si="27"/>
        <v>0.90322580645161288</v>
      </c>
      <c r="K353" s="20"/>
      <c r="L353" s="20" t="s">
        <v>1308</v>
      </c>
      <c r="M353" s="20" t="s">
        <v>1308</v>
      </c>
      <c r="N353" s="20" t="s">
        <v>1308</v>
      </c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8"/>
        <v>31</v>
      </c>
      <c r="I354" s="42">
        <f t="shared" si="26"/>
        <v>0</v>
      </c>
      <c r="J354" s="43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8"/>
        <v>31</v>
      </c>
      <c r="I355" s="42">
        <f t="shared" si="26"/>
        <v>0</v>
      </c>
      <c r="J355" s="43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8"/>
        <v>29</v>
      </c>
      <c r="I356" s="42">
        <f t="shared" si="26"/>
        <v>2</v>
      </c>
      <c r="J356" s="43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8"/>
        <v>31</v>
      </c>
      <c r="I357" s="42">
        <f t="shared" si="26"/>
        <v>0</v>
      </c>
      <c r="J357" s="43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8"/>
        <v>31</v>
      </c>
      <c r="I358" s="42">
        <f t="shared" si="26"/>
        <v>0</v>
      </c>
      <c r="J358" s="43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8"/>
        <v>30</v>
      </c>
      <c r="I359" s="42">
        <f t="shared" si="26"/>
        <v>1</v>
      </c>
      <c r="J359" s="43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8"/>
        <v>31</v>
      </c>
      <c r="I360" s="42">
        <f t="shared" si="26"/>
        <v>0</v>
      </c>
      <c r="J360" s="43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8"/>
        <v>31</v>
      </c>
      <c r="I361" s="42">
        <f t="shared" si="26"/>
        <v>0</v>
      </c>
      <c r="J361" s="43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8"/>
        <v>29</v>
      </c>
      <c r="I362" s="42">
        <f t="shared" si="26"/>
        <v>2</v>
      </c>
      <c r="J362" s="43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8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8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8"/>
        <v>31</v>
      </c>
      <c r="I365" s="42">
        <f t="shared" si="26"/>
        <v>0</v>
      </c>
      <c r="J365" s="43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8"/>
        <v>31</v>
      </c>
      <c r="I366" s="42">
        <f t="shared" si="26"/>
        <v>0</v>
      </c>
      <c r="J366" s="43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8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8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8"/>
        <v>29</v>
      </c>
      <c r="I369" s="42">
        <f t="shared" ref="I369" si="29">COUNTIF(K369:AL369,"APAGADO")</f>
        <v>2</v>
      </c>
      <c r="J369" s="43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8"/>
        <v>31</v>
      </c>
      <c r="I370" s="42">
        <f t="shared" si="26"/>
        <v>0</v>
      </c>
      <c r="J370" s="43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8"/>
        <v>31</v>
      </c>
      <c r="I371" s="42">
        <f t="shared" si="26"/>
        <v>0</v>
      </c>
      <c r="J371" s="43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8"/>
        <v>31</v>
      </c>
      <c r="I372" s="42">
        <f t="shared" si="26"/>
        <v>0</v>
      </c>
      <c r="J372" s="43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8"/>
        <v>31</v>
      </c>
      <c r="I373" s="42">
        <f t="shared" si="26"/>
        <v>0</v>
      </c>
      <c r="J373" s="43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8"/>
        <v>31</v>
      </c>
      <c r="I374" s="42">
        <f t="shared" si="26"/>
        <v>0</v>
      </c>
      <c r="J374" s="43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8"/>
        <v>31</v>
      </c>
      <c r="I375" s="42">
        <f t="shared" si="26"/>
        <v>0</v>
      </c>
      <c r="J375" s="43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8"/>
        <v>29</v>
      </c>
      <c r="I376" s="42">
        <f t="shared" si="26"/>
        <v>2</v>
      </c>
      <c r="J376" s="43">
        <f t="shared" si="27"/>
        <v>0.93548387096774188</v>
      </c>
      <c r="K376" s="20" t="s">
        <v>1308</v>
      </c>
      <c r="L376" s="20" t="s">
        <v>1308</v>
      </c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8"/>
        <v>30</v>
      </c>
      <c r="I377" s="42">
        <f t="shared" ref="I377:I437" si="31">COUNTIF(K377:AL377,"APAGADO")</f>
        <v>1</v>
      </c>
      <c r="J377" s="43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8"/>
        <v>30</v>
      </c>
      <c r="I378" s="42">
        <f t="shared" si="31"/>
        <v>1</v>
      </c>
      <c r="J378" s="43">
        <f t="shared" si="32"/>
        <v>0.967741935483871</v>
      </c>
      <c r="K378" s="20"/>
      <c r="L378" s="20"/>
      <c r="M378" s="20"/>
      <c r="N378" s="20" t="s">
        <v>1308</v>
      </c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8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8"/>
        <v>30</v>
      </c>
      <c r="I380" s="42">
        <f t="shared" si="31"/>
        <v>1</v>
      </c>
      <c r="J380" s="43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8"/>
        <v>30</v>
      </c>
      <c r="I381" s="42">
        <f t="shared" si="31"/>
        <v>1</v>
      </c>
      <c r="J381" s="43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8"/>
        <v>30</v>
      </c>
      <c r="I382" s="42">
        <f t="shared" si="31"/>
        <v>1</v>
      </c>
      <c r="J382" s="43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8"/>
        <v>30</v>
      </c>
      <c r="I383" s="42">
        <f>COUNTIF(K383:AL383,"APAGADO")</f>
        <v>1</v>
      </c>
      <c r="J383" s="43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8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8"/>
        <v>30</v>
      </c>
      <c r="I385" s="42">
        <f>COUNTIF(K385:AL385,"APAGADO")</f>
        <v>1</v>
      </c>
      <c r="J385" s="43">
        <f>(H385)/(I385+H385)</f>
        <v>0.967741935483871</v>
      </c>
      <c r="K385" s="20"/>
      <c r="L385" s="20"/>
      <c r="M385" s="20"/>
      <c r="N385" s="20" t="s">
        <v>1308</v>
      </c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8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8"/>
        <v>31</v>
      </c>
      <c r="I387" s="42">
        <f t="shared" si="31"/>
        <v>0</v>
      </c>
      <c r="J387" s="43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8"/>
        <v>31</v>
      </c>
      <c r="I388" s="42">
        <f t="shared" si="31"/>
        <v>0</v>
      </c>
      <c r="J388" s="43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8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8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8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3">COUNTIF(K392:AO392,"")</f>
        <v>31</v>
      </c>
      <c r="I392" s="42">
        <f t="shared" si="31"/>
        <v>0</v>
      </c>
      <c r="J392" s="43">
        <f t="shared" si="32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3"/>
        <v>31</v>
      </c>
      <c r="I393" s="42">
        <f t="shared" si="31"/>
        <v>0</v>
      </c>
      <c r="J393" s="43">
        <f t="shared" si="32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3"/>
        <v>30</v>
      </c>
      <c r="I394" s="42">
        <f t="shared" si="31"/>
        <v>1</v>
      </c>
      <c r="J394" s="43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3"/>
        <v>30</v>
      </c>
      <c r="I395" s="42">
        <f t="shared" si="31"/>
        <v>1</v>
      </c>
      <c r="J395" s="43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3"/>
        <v>31</v>
      </c>
      <c r="I397" s="42">
        <f t="shared" si="31"/>
        <v>0</v>
      </c>
      <c r="J397" s="43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3"/>
        <v>31</v>
      </c>
      <c r="I398" s="42">
        <f t="shared" si="31"/>
        <v>0</v>
      </c>
      <c r="J398" s="43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3"/>
        <v>31</v>
      </c>
      <c r="I399" s="42">
        <f t="shared" si="31"/>
        <v>0</v>
      </c>
      <c r="J399" s="43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3"/>
        <v>31</v>
      </c>
      <c r="I400" s="42">
        <f t="shared" si="31"/>
        <v>0</v>
      </c>
      <c r="J400" s="43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3"/>
        <v>31</v>
      </c>
      <c r="I401" s="42">
        <f t="shared" si="31"/>
        <v>0</v>
      </c>
      <c r="J401" s="43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3"/>
        <v>31</v>
      </c>
      <c r="I402" s="42">
        <f t="shared" si="31"/>
        <v>0</v>
      </c>
      <c r="J402" s="43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3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3"/>
        <v>31</v>
      </c>
      <c r="I404" s="42">
        <f t="shared" si="31"/>
        <v>0</v>
      </c>
      <c r="J404" s="43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3"/>
        <v>29</v>
      </c>
      <c r="I405" s="42">
        <f t="shared" si="31"/>
        <v>2</v>
      </c>
      <c r="J405" s="43">
        <f t="shared" si="32"/>
        <v>0.93548387096774188</v>
      </c>
      <c r="K405" s="20" t="s">
        <v>1308</v>
      </c>
      <c r="L405" s="20" t="s">
        <v>1308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3"/>
        <v>31</v>
      </c>
      <c r="I406" s="42">
        <f t="shared" si="31"/>
        <v>0</v>
      </c>
      <c r="J406" s="43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3"/>
        <v>31</v>
      </c>
      <c r="I407" s="42">
        <f t="shared" si="31"/>
        <v>0</v>
      </c>
      <c r="J407" s="43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3"/>
        <v>30</v>
      </c>
      <c r="I408" s="42">
        <f t="shared" si="31"/>
        <v>1</v>
      </c>
      <c r="J408" s="43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3"/>
        <v>31</v>
      </c>
      <c r="I409" s="42">
        <f t="shared" si="31"/>
        <v>0</v>
      </c>
      <c r="J409" s="43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3"/>
        <v>31</v>
      </c>
      <c r="I410" s="42">
        <f t="shared" si="31"/>
        <v>0</v>
      </c>
      <c r="J410" s="43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3"/>
        <v>31</v>
      </c>
      <c r="I411" s="42">
        <f t="shared" si="31"/>
        <v>0</v>
      </c>
      <c r="J411" s="43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3"/>
        <v>31</v>
      </c>
      <c r="I412" s="42">
        <f t="shared" si="31"/>
        <v>0</v>
      </c>
      <c r="J412" s="43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3"/>
        <v>31</v>
      </c>
      <c r="I413" s="42">
        <f t="shared" si="31"/>
        <v>0</v>
      </c>
      <c r="J413" s="43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3"/>
        <v>31</v>
      </c>
      <c r="I414" s="42">
        <f t="shared" si="31"/>
        <v>0</v>
      </c>
      <c r="J414" s="43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3"/>
        <v>31</v>
      </c>
      <c r="I415" s="42">
        <f t="shared" si="31"/>
        <v>0</v>
      </c>
      <c r="J415" s="43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3"/>
        <v>31</v>
      </c>
      <c r="I416" s="42">
        <f t="shared" si="31"/>
        <v>0</v>
      </c>
      <c r="J416" s="43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3"/>
        <v>31</v>
      </c>
      <c r="I417" s="42">
        <f t="shared" si="31"/>
        <v>0</v>
      </c>
      <c r="J417" s="43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3"/>
        <v>31</v>
      </c>
      <c r="I418" s="42">
        <f t="shared" si="31"/>
        <v>0</v>
      </c>
      <c r="J418" s="43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3"/>
        <v>30</v>
      </c>
      <c r="I419" s="42">
        <f t="shared" si="31"/>
        <v>1</v>
      </c>
      <c r="J419" s="43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3"/>
        <v>31</v>
      </c>
      <c r="I420" s="42">
        <f t="shared" si="31"/>
        <v>0</v>
      </c>
      <c r="J420" s="43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3"/>
        <v>31</v>
      </c>
      <c r="I421" s="42">
        <f t="shared" si="31"/>
        <v>0</v>
      </c>
      <c r="J421" s="43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3"/>
        <v>31</v>
      </c>
      <c r="I422" s="42">
        <f t="shared" si="31"/>
        <v>0</v>
      </c>
      <c r="J422" s="43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3"/>
        <v>27</v>
      </c>
      <c r="I423" s="42">
        <f t="shared" si="31"/>
        <v>4</v>
      </c>
      <c r="J423" s="43">
        <f t="shared" si="32"/>
        <v>0.87096774193548387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3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3"/>
        <v>31</v>
      </c>
      <c r="I425" s="42">
        <f t="shared" si="31"/>
        <v>0</v>
      </c>
      <c r="J425" s="43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3"/>
        <v>31</v>
      </c>
      <c r="I426" s="42">
        <f t="shared" si="31"/>
        <v>0</v>
      </c>
      <c r="J426" s="43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3"/>
        <v>31</v>
      </c>
      <c r="I427" s="42">
        <f t="shared" si="31"/>
        <v>0</v>
      </c>
      <c r="J427" s="43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3"/>
        <v>31</v>
      </c>
      <c r="I428" s="42">
        <f t="shared" si="31"/>
        <v>0</v>
      </c>
      <c r="J428" s="43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3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3"/>
        <v>31</v>
      </c>
      <c r="I430" s="42">
        <f t="shared" si="31"/>
        <v>0</v>
      </c>
      <c r="J430" s="43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3"/>
        <v>31</v>
      </c>
      <c r="I431" s="42">
        <f t="shared" si="31"/>
        <v>0</v>
      </c>
      <c r="J431" s="43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3"/>
        <v>31</v>
      </c>
      <c r="I432" s="42">
        <f t="shared" si="31"/>
        <v>0</v>
      </c>
      <c r="J432" s="43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3"/>
        <v>31</v>
      </c>
      <c r="I433" s="42">
        <f t="shared" si="31"/>
        <v>0</v>
      </c>
      <c r="J433" s="43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4">COUNTIF(K434:AO434,"")</f>
        <v>31</v>
      </c>
      <c r="I434" s="42">
        <f t="shared" ref="I434" si="35">COUNTIF(K434:AL434,"APAGADO")</f>
        <v>0</v>
      </c>
      <c r="J434" s="43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3"/>
        <v>31</v>
      </c>
      <c r="I435" s="42">
        <f t="shared" si="31"/>
        <v>0</v>
      </c>
      <c r="J435" s="43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3"/>
        <v>31</v>
      </c>
      <c r="I436" s="42">
        <f t="shared" si="31"/>
        <v>0</v>
      </c>
      <c r="J436" s="43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3"/>
        <v>31</v>
      </c>
      <c r="I437" s="42">
        <f t="shared" si="31"/>
        <v>0</v>
      </c>
      <c r="J437" s="43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3"/>
        <v>29</v>
      </c>
      <c r="I438" s="42">
        <f>COUNTIF(K438:AL438,"APAGADO")</f>
        <v>2</v>
      </c>
      <c r="J438" s="43">
        <f>(H438)/(I438+H438)</f>
        <v>0.93548387096774188</v>
      </c>
      <c r="K438" s="20"/>
      <c r="L438" s="20"/>
      <c r="M438" s="20" t="s">
        <v>1308</v>
      </c>
      <c r="N438" s="20" t="s">
        <v>1308</v>
      </c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36"/>
      <c r="B439" s="137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7">COUNTIF(K439:AO439,"")</f>
        <v>31</v>
      </c>
      <c r="I439" s="42">
        <f t="shared" ref="I439" si="38">COUNTIF(K439:AL439,"APAGADO")</f>
        <v>0</v>
      </c>
      <c r="J439" s="43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41"/>
      <c r="F679" s="41"/>
      <c r="G679" s="21"/>
      <c r="J679" s="15"/>
    </row>
    <row r="680" spans="5:41" x14ac:dyDescent="0.25">
      <c r="E680" s="41"/>
      <c r="F680" s="41"/>
      <c r="G680" s="21"/>
      <c r="J680" s="15"/>
    </row>
    <row r="681" spans="5:41" x14ac:dyDescent="0.25">
      <c r="E681" s="41"/>
      <c r="F681" s="41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9:G429 E431:G1048576 E1:G418">
    <cfRule type="containsText" dxfId="717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4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4">
    <cfRule type="notContainsText" dxfId="712" priority="525" operator="notContains" text="Caida">
      <formula>ISERROR(SEARCH("Caida",L384))</formula>
    </cfRule>
    <cfRule type="containsText" dxfId="711" priority="526" operator="containsText" text="Caida">
      <formula>NOT(ISERROR(SEARCH("Caida",L384)))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2">
    <cfRule type="notContainsText" dxfId="707" priority="561" operator="notContains" text="Caida">
      <formula>ISERROR(SEARCH("Caida",L312))</formula>
    </cfRule>
    <cfRule type="containsText" dxfId="706" priority="562" operator="containsText" text="Caida">
      <formula>NOT(ISERROR(SEARCH("Caida",L312)))</formula>
    </cfRule>
  </conditionalFormatting>
  <conditionalFormatting sqref="L313:L314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3:L314">
    <cfRule type="notContainsText" dxfId="703" priority="557" operator="notContains" text="Caida">
      <formula>ISERROR(SEARCH("Caida",L313))</formula>
    </cfRule>
    <cfRule type="containsText" dxfId="702" priority="558" operator="containsText" text="Caida">
      <formula>NOT(ISERROR(SEARCH("Caida",L313)))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2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2">
    <cfRule type="notContainsText" dxfId="695" priority="549" operator="notContains" text="Caida">
      <formula>ISERROR(SEARCH("Caida",L252))</formula>
    </cfRule>
    <cfRule type="containsText" dxfId="694" priority="550" operator="containsText" text="Caida">
      <formula>NOT(ISERROR(SEARCH("Caida",L252)))</formula>
    </cfRule>
  </conditionalFormatting>
  <conditionalFormatting sqref="L253:L257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3:L257">
    <cfRule type="notContainsText" dxfId="691" priority="545" operator="notContains" text="Caida">
      <formula>ISERROR(SEARCH("Caida",L253))</formula>
    </cfRule>
    <cfRule type="containsText" dxfId="690" priority="546" operator="containsText" text="Caida">
      <formula>NOT(ISERROR(SEARCH("Caida",L253)))</formula>
    </cfRule>
  </conditionalFormatting>
  <conditionalFormatting sqref="L258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8">
    <cfRule type="notContainsText" dxfId="687" priority="541" operator="notContains" text="Caida">
      <formula>ISERROR(SEARCH("Caida",L258))</formula>
    </cfRule>
    <cfRule type="containsText" dxfId="686" priority="542" operator="containsText" text="Caida">
      <formula>NOT(ISERROR(SEARCH("Caida",L258)))</formula>
    </cfRule>
  </conditionalFormatting>
  <conditionalFormatting sqref="L259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9">
    <cfRule type="notContainsText" dxfId="683" priority="537" operator="notContains" text="Caida">
      <formula>ISERROR(SEARCH("Caida",L259))</formula>
    </cfRule>
    <cfRule type="containsText" dxfId="682" priority="538" operator="containsText" text="Caida">
      <formula>NOT(ISERROR(SEARCH("Caida",L259)))</formula>
    </cfRule>
  </conditionalFormatting>
  <conditionalFormatting sqref="L260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60">
    <cfRule type="notContainsText" dxfId="679" priority="533" operator="notContains" text="Caida">
      <formula>ISERROR(SEARCH("Caida",L260))</formula>
    </cfRule>
    <cfRule type="containsText" dxfId="678" priority="534" operator="containsText" text="Caida">
      <formula>NOT(ISERROR(SEARCH("Caida",L260)))</formula>
    </cfRule>
  </conditionalFormatting>
  <conditionalFormatting sqref="L383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3">
    <cfRule type="notContainsText" dxfId="675" priority="529" operator="notContains" text="Caida">
      <formula>ISERROR(SEARCH("Caida",L383))</formula>
    </cfRule>
    <cfRule type="containsText" dxfId="674" priority="530" operator="containsText" text="Caida">
      <formula>NOT(ISERROR(SEARCH("Caida",L383)))</formula>
    </cfRule>
  </conditionalFormatting>
  <conditionalFormatting sqref="M384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4">
    <cfRule type="notContainsText" dxfId="671" priority="484" operator="notContains" text="Caida">
      <formula>ISERROR(SEARCH("Caida",M384))</formula>
    </cfRule>
    <cfRule type="containsText" dxfId="670" priority="485" operator="containsText" text="Caida">
      <formula>NOT(ISERROR(SEARCH("Caida",M384)))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2">
    <cfRule type="notContainsText" dxfId="666" priority="520" operator="notContains" text="Caida">
      <formula>ISERROR(SEARCH("Caida",M312))</formula>
    </cfRule>
    <cfRule type="containsText" dxfId="665" priority="521" operator="containsText" text="Caida">
      <formula>NOT(ISERROR(SEARCH("Caida",M312)))</formula>
    </cfRule>
  </conditionalFormatting>
  <conditionalFormatting sqref="M313:M314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3:M314">
    <cfRule type="notContainsText" dxfId="662" priority="516" operator="notContains" text="Caida">
      <formula>ISERROR(SEARCH("Caida",M313))</formula>
    </cfRule>
    <cfRule type="containsText" dxfId="661" priority="517" operator="containsText" text="Caida">
      <formula>NOT(ISERROR(SEARCH("Caida",M313)))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2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2">
    <cfRule type="notContainsText" dxfId="654" priority="508" operator="notContains" text="Caida">
      <formula>ISERROR(SEARCH("Caida",M252))</formula>
    </cfRule>
    <cfRule type="containsText" dxfId="653" priority="509" operator="containsText" text="Caida">
      <formula>NOT(ISERROR(SEARCH("Caida",M252)))</formula>
    </cfRule>
  </conditionalFormatting>
  <conditionalFormatting sqref="M253:M257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3:M257">
    <cfRule type="notContainsText" dxfId="650" priority="504" operator="notContains" text="Caida">
      <formula>ISERROR(SEARCH("Caida",M253))</formula>
    </cfRule>
    <cfRule type="containsText" dxfId="649" priority="505" operator="containsText" text="Caida">
      <formula>NOT(ISERROR(SEARCH("Caida",M253)))</formula>
    </cfRule>
  </conditionalFormatting>
  <conditionalFormatting sqref="M258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8">
    <cfRule type="notContainsText" dxfId="646" priority="500" operator="notContains" text="Caida">
      <formula>ISERROR(SEARCH("Caida",M258))</formula>
    </cfRule>
    <cfRule type="containsText" dxfId="645" priority="501" operator="containsText" text="Caida">
      <formula>NOT(ISERROR(SEARCH("Caida",M258)))</formula>
    </cfRule>
  </conditionalFormatting>
  <conditionalFormatting sqref="M259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9">
    <cfRule type="notContainsText" dxfId="642" priority="496" operator="notContains" text="Caida">
      <formula>ISERROR(SEARCH("Caida",M259))</formula>
    </cfRule>
    <cfRule type="containsText" dxfId="641" priority="497" operator="containsText" text="Caida">
      <formula>NOT(ISERROR(SEARCH("Caida",M259)))</formula>
    </cfRule>
  </conditionalFormatting>
  <conditionalFormatting sqref="M260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60">
    <cfRule type="notContainsText" dxfId="638" priority="492" operator="notContains" text="Caida">
      <formula>ISERROR(SEARCH("Caida",M260))</formula>
    </cfRule>
    <cfRule type="containsText" dxfId="637" priority="493" operator="containsText" text="Caida">
      <formula>NOT(ISERROR(SEARCH("Caida",M260)))</formula>
    </cfRule>
  </conditionalFormatting>
  <conditionalFormatting sqref="M383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3">
    <cfRule type="notContainsText" dxfId="634" priority="488" operator="notContains" text="Caida">
      <formula>ISERROR(SEARCH("Caida",M383))</formula>
    </cfRule>
    <cfRule type="containsText" dxfId="633" priority="489" operator="containsText" text="Caida">
      <formula>NOT(ISERROR(SEARCH("Caida",M383)))</formula>
    </cfRule>
  </conditionalFormatting>
  <conditionalFormatting sqref="N384:P384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4:P384">
    <cfRule type="notContainsText" dxfId="630" priority="443" operator="notContains" text="Caida">
      <formula>ISERROR(SEARCH("Caida",N384))</formula>
    </cfRule>
    <cfRule type="containsText" dxfId="629" priority="444" operator="containsText" text="Caida">
      <formula>NOT(ISERROR(SEARCH("Caida",N384)))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2:P312">
    <cfRule type="notContainsText" dxfId="625" priority="479" operator="notContains" text="Caida">
      <formula>ISERROR(SEARCH("Caida",N312))</formula>
    </cfRule>
    <cfRule type="containsText" dxfId="624" priority="480" operator="containsText" text="Caida">
      <formula>NOT(ISERROR(SEARCH("Caida",N312)))</formula>
    </cfRule>
  </conditionalFormatting>
  <conditionalFormatting sqref="N313:P314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3:P314">
    <cfRule type="notContainsText" dxfId="621" priority="475" operator="notContains" text="Caida">
      <formula>ISERROR(SEARCH("Caida",N313))</formula>
    </cfRule>
    <cfRule type="containsText" dxfId="620" priority="476" operator="containsText" text="Caida">
      <formula>NOT(ISERROR(SEARCH("Caida",N313)))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2:P252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2:P252">
    <cfRule type="notContainsText" dxfId="613" priority="467" operator="notContains" text="Caida">
      <formula>ISERROR(SEARCH("Caida",N252))</formula>
    </cfRule>
    <cfRule type="containsText" dxfId="612" priority="468" operator="containsText" text="Caida">
      <formula>NOT(ISERROR(SEARCH("Caida",N252)))</formula>
    </cfRule>
  </conditionalFormatting>
  <conditionalFormatting sqref="N253:P257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3:P257">
    <cfRule type="notContainsText" dxfId="609" priority="463" operator="notContains" text="Caida">
      <formula>ISERROR(SEARCH("Caida",N253))</formula>
    </cfRule>
    <cfRule type="containsText" dxfId="608" priority="464" operator="containsText" text="Caida">
      <formula>NOT(ISERROR(SEARCH("Caida",N253)))</formula>
    </cfRule>
  </conditionalFormatting>
  <conditionalFormatting sqref="N258:P258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8:P258">
    <cfRule type="notContainsText" dxfId="605" priority="459" operator="notContains" text="Caida">
      <formula>ISERROR(SEARCH("Caida",N258))</formula>
    </cfRule>
    <cfRule type="containsText" dxfId="604" priority="460" operator="containsText" text="Caida">
      <formula>NOT(ISERROR(SEARCH("Caida",N258)))</formula>
    </cfRule>
  </conditionalFormatting>
  <conditionalFormatting sqref="N259:P259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9:P259">
    <cfRule type="notContainsText" dxfId="601" priority="455" operator="notContains" text="Caida">
      <formula>ISERROR(SEARCH("Caida",N259))</formula>
    </cfRule>
    <cfRule type="containsText" dxfId="600" priority="456" operator="containsText" text="Caida">
      <formula>NOT(ISERROR(SEARCH("Caida",N259)))</formula>
    </cfRule>
  </conditionalFormatting>
  <conditionalFormatting sqref="N260:P260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60:P260">
    <cfRule type="notContainsText" dxfId="597" priority="451" operator="notContains" text="Caida">
      <formula>ISERROR(SEARCH("Caida",N260))</formula>
    </cfRule>
    <cfRule type="containsText" dxfId="596" priority="452" operator="containsText" text="Caida">
      <formula>NOT(ISERROR(SEARCH("Caida",N260)))</formula>
    </cfRule>
  </conditionalFormatting>
  <conditionalFormatting sqref="N383:P383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3:P383">
    <cfRule type="notContainsText" dxfId="593" priority="447" operator="notContains" text="Caida">
      <formula>ISERROR(SEARCH("Caida",N383))</formula>
    </cfRule>
    <cfRule type="containsText" dxfId="592" priority="448" operator="containsText" text="Caida">
      <formula>NOT(ISERROR(SEARCH("Caida",N383)))</formula>
    </cfRule>
  </conditionalFormatting>
  <conditionalFormatting sqref="L106:L108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6:L108">
    <cfRule type="notContainsText" dxfId="589" priority="439" operator="notContains" text="Caida">
      <formula>ISERROR(SEARCH("Caida",L106))</formula>
    </cfRule>
    <cfRule type="containsText" dxfId="588" priority="440" operator="containsText" text="Caida">
      <formula>NOT(ISERROR(SEARCH("Caida",L106)))</formula>
    </cfRule>
  </conditionalFormatting>
  <conditionalFormatting sqref="M106:M108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6:M108">
    <cfRule type="notContainsText" dxfId="585" priority="435" operator="notContains" text="Caida">
      <formula>ISERROR(SEARCH("Caida",M106))</formula>
    </cfRule>
    <cfRule type="containsText" dxfId="584" priority="436" operator="containsText" text="Caida">
      <formula>NOT(ISERROR(SEARCH("Caida",M106)))</formula>
    </cfRule>
  </conditionalFormatting>
  <conditionalFormatting sqref="N106:N108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6:N108">
    <cfRule type="notContainsText" dxfId="581" priority="431" operator="notContains" text="Caida">
      <formula>ISERROR(SEARCH("Caida",N106))</formula>
    </cfRule>
    <cfRule type="containsText" dxfId="580" priority="432" operator="containsText" text="Caida">
      <formula>NOT(ISERROR(SEARCH("Caida",N106)))</formula>
    </cfRule>
  </conditionalFormatting>
  <conditionalFormatting sqref="L406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6">
    <cfRule type="notContainsText" dxfId="577" priority="427" operator="notContains" text="Caida">
      <formula>ISERROR(SEARCH("Caida",L406))</formula>
    </cfRule>
    <cfRule type="containsText" dxfId="576" priority="428" operator="containsText" text="Caida">
      <formula>NOT(ISERROR(SEARCH("Caida",L406)))</formula>
    </cfRule>
  </conditionalFormatting>
  <conditionalFormatting sqref="M406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6">
    <cfRule type="notContainsText" dxfId="573" priority="423" operator="notContains" text="Caida">
      <formula>ISERROR(SEARCH("Caida",M406))</formula>
    </cfRule>
    <cfRule type="containsText" dxfId="572" priority="424" operator="containsText" text="Caida">
      <formula>NOT(ISERROR(SEARCH("Caida",M406)))</formula>
    </cfRule>
  </conditionalFormatting>
  <conditionalFormatting sqref="N406:P406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6:P406">
    <cfRule type="notContainsText" dxfId="569" priority="419" operator="notContains" text="Caida">
      <formula>ISERROR(SEARCH("Caida",N406))</formula>
    </cfRule>
    <cfRule type="containsText" dxfId="568" priority="420" operator="containsText" text="Caida">
      <formula>NOT(ISERROR(SEARCH("Caida",N406)))</formula>
    </cfRule>
  </conditionalFormatting>
  <conditionalFormatting sqref="L407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7">
    <cfRule type="notContainsText" dxfId="565" priority="415" operator="notContains" text="Caida">
      <formula>ISERROR(SEARCH("Caida",L407))</formula>
    </cfRule>
    <cfRule type="containsText" dxfId="564" priority="416" operator="containsText" text="Caida">
      <formula>NOT(ISERROR(SEARCH("Caida",L407)))</formula>
    </cfRule>
  </conditionalFormatting>
  <conditionalFormatting sqref="M407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7">
    <cfRule type="notContainsText" dxfId="561" priority="411" operator="notContains" text="Caida">
      <formula>ISERROR(SEARCH("Caida",M407))</formula>
    </cfRule>
    <cfRule type="containsText" dxfId="560" priority="412" operator="containsText" text="Caida">
      <formula>NOT(ISERROR(SEARCH("Caida",M407)))</formula>
    </cfRule>
  </conditionalFormatting>
  <conditionalFormatting sqref="N407:P407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7:P407">
    <cfRule type="notContainsText" dxfId="557" priority="407" operator="notContains" text="Caida">
      <formula>ISERROR(SEARCH("Caida",N407))</formula>
    </cfRule>
    <cfRule type="containsText" dxfId="556" priority="408" operator="containsText" text="Caida">
      <formula>NOT(ISERROR(SEARCH("Caida",N407)))</formula>
    </cfRule>
  </conditionalFormatting>
  <conditionalFormatting sqref="L408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8">
    <cfRule type="notContainsText" dxfId="553" priority="403" operator="notContains" text="Caida">
      <formula>ISERROR(SEARCH("Caida",L408))</formula>
    </cfRule>
    <cfRule type="containsText" dxfId="552" priority="404" operator="containsText" text="Caida">
      <formula>NOT(ISERROR(SEARCH("Caida",L408)))</formula>
    </cfRule>
  </conditionalFormatting>
  <conditionalFormatting sqref="M408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8">
    <cfRule type="notContainsText" dxfId="549" priority="399" operator="notContains" text="Caida">
      <formula>ISERROR(SEARCH("Caida",M408))</formula>
    </cfRule>
    <cfRule type="containsText" dxfId="548" priority="400" operator="containsText" text="Caida">
      <formula>NOT(ISERROR(SEARCH("Caida",M408)))</formula>
    </cfRule>
  </conditionalFormatting>
  <conditionalFormatting sqref="N408:P408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8:P408">
    <cfRule type="notContainsText" dxfId="545" priority="395" operator="notContains" text="Caida">
      <formula>ISERROR(SEARCH("Caida",N408))</formula>
    </cfRule>
    <cfRule type="containsText" dxfId="544" priority="396" operator="containsText" text="Caida">
      <formula>NOT(ISERROR(SEARCH("Caida",N408)))</formula>
    </cfRule>
  </conditionalFormatting>
  <conditionalFormatting sqref="Q252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2">
    <cfRule type="notContainsText" dxfId="541" priority="366" operator="notContains" text="Caida">
      <formula>ISERROR(SEARCH("Caida",Q252))</formula>
    </cfRule>
    <cfRule type="containsText" dxfId="540" priority="367" operator="containsText" text="Caida">
      <formula>NOT(ISERROR(SEARCH("Caida",Q252)))</formula>
    </cfRule>
  </conditionalFormatting>
  <conditionalFormatting sqref="Q253:Q257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3:Q257">
    <cfRule type="notContainsText" dxfId="537" priority="362" operator="notContains" text="Caida">
      <formula>ISERROR(SEARCH("Caida",Q253))</formula>
    </cfRule>
    <cfRule type="containsText" dxfId="536" priority="363" operator="containsText" text="Caida">
      <formula>NOT(ISERROR(SEARCH("Caida",Q253)))</formula>
    </cfRule>
  </conditionalFormatting>
  <conditionalFormatting sqref="L409:L411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9:L411">
    <cfRule type="notContainsText" dxfId="533" priority="391" operator="notContains" text="Caida">
      <formula>ISERROR(SEARCH("Caida",L409))</formula>
    </cfRule>
    <cfRule type="containsText" dxfId="532" priority="392" operator="containsText" text="Caida">
      <formula>NOT(ISERROR(SEARCH("Caida",L409)))</formula>
    </cfRule>
  </conditionalFormatting>
  <conditionalFormatting sqref="M409:M411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9:M411">
    <cfRule type="notContainsText" dxfId="529" priority="387" operator="notContains" text="Caida">
      <formula>ISERROR(SEARCH("Caida",M409))</formula>
    </cfRule>
    <cfRule type="containsText" dxfId="528" priority="388" operator="containsText" text="Caida">
      <formula>NOT(ISERROR(SEARCH("Caida",M409)))</formula>
    </cfRule>
  </conditionalFormatting>
  <conditionalFormatting sqref="N409:P409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9:P409">
    <cfRule type="notContainsText" dxfId="525" priority="383" operator="notContains" text="Caida">
      <formula>ISERROR(SEARCH("Caida",N409))</formula>
    </cfRule>
    <cfRule type="containsText" dxfId="524" priority="384" operator="containsText" text="Caida">
      <formula>NOT(ISERROR(SEARCH("Caida",N409)))</formula>
    </cfRule>
  </conditionalFormatting>
  <conditionalFormatting sqref="Q407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7">
    <cfRule type="notContainsText" dxfId="521" priority="330" operator="notContains" text="Caida">
      <formula>ISERROR(SEARCH("Caida",Q407))</formula>
    </cfRule>
    <cfRule type="containsText" dxfId="520" priority="331" operator="containsText" text="Caida">
      <formula>NOT(ISERROR(SEARCH("Caida",Q407)))</formula>
    </cfRule>
  </conditionalFormatting>
  <conditionalFormatting sqref="Q408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8">
    <cfRule type="notContainsText" dxfId="517" priority="326" operator="notContains" text="Caida">
      <formula>ISERROR(SEARCH("Caida",Q408))</formula>
    </cfRule>
    <cfRule type="containsText" dxfId="516" priority="327" operator="containsText" text="Caida">
      <formula>NOT(ISERROR(SEARCH("Caida",Q408)))</formula>
    </cfRule>
  </conditionalFormatting>
  <conditionalFormatting sqref="Q409:Q411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9:Q411">
    <cfRule type="notContainsText" dxfId="513" priority="322" operator="notContains" text="Caida">
      <formula>ISERROR(SEARCH("Caida",Q409))</formula>
    </cfRule>
    <cfRule type="containsText" dxfId="512" priority="323" operator="containsText" text="Caida">
      <formula>NOT(ISERROR(SEARCH("Caida",Q409)))</formula>
    </cfRule>
  </conditionalFormatting>
  <conditionalFormatting sqref="Q384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4">
    <cfRule type="notContainsText" dxfId="509" priority="342" operator="notContains" text="Caida">
      <formula>ISERROR(SEARCH("Caida",Q384))</formula>
    </cfRule>
    <cfRule type="containsText" dxfId="508" priority="343" operator="containsText" text="Caida">
      <formula>NOT(ISERROR(SEARCH("Caida",Q384)))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2">
    <cfRule type="notContainsText" dxfId="504" priority="378" operator="notContains" text="Caida">
      <formula>ISERROR(SEARCH("Caida",Q312))</formula>
    </cfRule>
    <cfRule type="containsText" dxfId="503" priority="379" operator="containsText" text="Caida">
      <formula>NOT(ISERROR(SEARCH("Caida",Q312)))</formula>
    </cfRule>
  </conditionalFormatting>
  <conditionalFormatting sqref="Q313:Q314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3:Q314">
    <cfRule type="notContainsText" dxfId="500" priority="374" operator="notContains" text="Caida">
      <formula>ISERROR(SEARCH("Caida",Q313))</formula>
    </cfRule>
    <cfRule type="containsText" dxfId="499" priority="375" operator="containsText" text="Caida">
      <formula>NOT(ISERROR(SEARCH("Caida",Q313)))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8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8">
    <cfRule type="notContainsText" dxfId="492" priority="358" operator="notContains" text="Caida">
      <formula>ISERROR(SEARCH("Caida",Q258))</formula>
    </cfRule>
    <cfRule type="containsText" dxfId="491" priority="359" operator="containsText" text="Caida">
      <formula>NOT(ISERROR(SEARCH("Caida",Q258)))</formula>
    </cfRule>
  </conditionalFormatting>
  <conditionalFormatting sqref="Q259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9">
    <cfRule type="notContainsText" dxfId="488" priority="354" operator="notContains" text="Caida">
      <formula>ISERROR(SEARCH("Caida",Q259))</formula>
    </cfRule>
    <cfRule type="containsText" dxfId="487" priority="355" operator="containsText" text="Caida">
      <formula>NOT(ISERROR(SEARCH("Caida",Q259)))</formula>
    </cfRule>
  </conditionalFormatting>
  <conditionalFormatting sqref="Q260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60">
    <cfRule type="notContainsText" dxfId="484" priority="350" operator="notContains" text="Caida">
      <formula>ISERROR(SEARCH("Caida",Q260))</formula>
    </cfRule>
    <cfRule type="containsText" dxfId="483" priority="351" operator="containsText" text="Caida">
      <formula>NOT(ISERROR(SEARCH("Caida",Q260)))</formula>
    </cfRule>
  </conditionalFormatting>
  <conditionalFormatting sqref="Q383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3">
    <cfRule type="notContainsText" dxfId="480" priority="346" operator="notContains" text="Caida">
      <formula>ISERROR(SEARCH("Caida",Q383))</formula>
    </cfRule>
    <cfRule type="containsText" dxfId="479" priority="347" operator="containsText" text="Caida">
      <formula>NOT(ISERROR(SEARCH("Caida",Q383)))</formula>
    </cfRule>
  </conditionalFormatting>
  <conditionalFormatting sqref="Q106:Q108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6:Q108">
    <cfRule type="notContainsText" dxfId="476" priority="338" operator="notContains" text="Caida">
      <formula>ISERROR(SEARCH("Caida",Q106))</formula>
    </cfRule>
    <cfRule type="containsText" dxfId="475" priority="339" operator="containsText" text="Caida">
      <formula>NOT(ISERROR(SEARCH("Caida",Q106)))</formula>
    </cfRule>
  </conditionalFormatting>
  <conditionalFormatting sqref="Q406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6">
    <cfRule type="notContainsText" dxfId="472" priority="334" operator="notContains" text="Caida">
      <formula>ISERROR(SEARCH("Caida",Q406))</formula>
    </cfRule>
    <cfRule type="containsText" dxfId="471" priority="335" operator="containsText" text="Caida">
      <formula>NOT(ISERROR(SEARCH("Caida",Q406)))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6:T108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6:T108">
    <cfRule type="notContainsText" dxfId="463" priority="313" operator="notContains" text="Caida">
      <formula>ISERROR(SEARCH("Caida",R106))</formula>
    </cfRule>
    <cfRule type="containsText" dxfId="462" priority="314" operator="containsText" text="Caida">
      <formula>NOT(ISERROR(SEARCH("Caida",R106)))</formula>
    </cfRule>
  </conditionalFormatting>
  <conditionalFormatting sqref="E429 E431:E1048576 E1:E411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6:AL107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6:AL107">
    <cfRule type="notContainsText" dxfId="452" priority="302" operator="notContains" text="Caida">
      <formula>ISERROR(SEARCH("Caida",AG106))</formula>
    </cfRule>
    <cfRule type="containsText" dxfId="451" priority="303" operator="containsText" text="Caida">
      <formula>NOT(ISERROR(SEARCH("Caida",AG106)))</formula>
    </cfRule>
  </conditionalFormatting>
  <conditionalFormatting sqref="AG440:AO1048576 K5:AO439">
    <cfRule type="cellIs" dxfId="450" priority="301" operator="equal">
      <formula>"APAGADO"</formula>
    </cfRule>
  </conditionalFormatting>
  <conditionalFormatting sqref="O106:O108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6:O108">
    <cfRule type="notContainsText" dxfId="447" priority="297" operator="notContains" text="Caida">
      <formula>ISERROR(SEARCH("Caida",O106))</formula>
    </cfRule>
    <cfRule type="containsText" dxfId="446" priority="298" operator="containsText" text="Caida">
      <formula>NOT(ISERROR(SEARCH("Caida",O106)))</formula>
    </cfRule>
  </conditionalFormatting>
  <conditionalFormatting sqref="P106:P108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6:P108">
    <cfRule type="notContainsText" dxfId="443" priority="293" operator="notContains" text="Caida">
      <formula>ISERROR(SEARCH("Caida",P106))</formula>
    </cfRule>
    <cfRule type="containsText" dxfId="442" priority="294" operator="containsText" text="Caida">
      <formula>NOT(ISERROR(SEARCH("Caida",P106)))</formula>
    </cfRule>
  </conditionalFormatting>
  <conditionalFormatting sqref="F429 F431:F1048576 F1:F411">
    <cfRule type="cellIs" dxfId="441" priority="292" operator="equal">
      <formula>"PTP A FO"</formula>
    </cfRule>
  </conditionalFormatting>
  <conditionalFormatting sqref="N410:P411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10:P411">
    <cfRule type="notContainsText" dxfId="438" priority="288" operator="notContains" text="Caida">
      <formula>ISERROR(SEARCH("Caida",N410))</formula>
    </cfRule>
    <cfRule type="containsText" dxfId="437" priority="289" operator="containsText" text="Caida">
      <formula>NOT(ISERROR(SEARCH("Caida",N410)))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6:K107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6:K107">
    <cfRule type="notContainsText" dxfId="429" priority="279" operator="notContains" text="Caida">
      <formula>ISERROR(SEARCH("Caida",K106))</formula>
    </cfRule>
    <cfRule type="containsText" dxfId="428" priority="280" operator="containsText" text="Caida">
      <formula>NOT(ISERROR(SEARCH("Caida",K106)))</formula>
    </cfRule>
  </conditionalFormatting>
  <conditionalFormatting sqref="AN106:AN107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6:AN107">
    <cfRule type="notContainsText" dxfId="425" priority="275" operator="notContains" text="Caida">
      <formula>ISERROR(SEARCH("Caida",AN106))</formula>
    </cfRule>
    <cfRule type="containsText" dxfId="424" priority="276" operator="containsText" text="Caida">
      <formula>NOT(ISERROR(SEARCH("Caida",AN106)))</formula>
    </cfRule>
  </conditionalFormatting>
  <conditionalFormatting sqref="W106:AB108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6:AB108">
    <cfRule type="notContainsText" dxfId="421" priority="271" operator="notContains" text="Caida">
      <formula>ISERROR(SEARCH("Caida",W106))</formula>
    </cfRule>
    <cfRule type="containsText" dxfId="420" priority="272" operator="containsText" text="Caida">
      <formula>NOT(ISERROR(SEARCH("Caida",W106)))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6:AC108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6:AC108">
    <cfRule type="notContainsText" dxfId="409" priority="259" operator="notContains" text="Caida">
      <formula>ISERROR(SEARCH("Caida",AC106))</formula>
    </cfRule>
    <cfRule type="containsText" dxfId="408" priority="260" operator="containsText" text="Caida">
      <formula>NOT(ISERROR(SEARCH("Caida",AC106)))</formula>
    </cfRule>
  </conditionalFormatting>
  <conditionalFormatting sqref="AC3">
    <cfRule type="cellIs" dxfId="407" priority="258" operator="equal">
      <formula>"apagado"</formula>
    </cfRule>
  </conditionalFormatting>
  <conditionalFormatting sqref="AD106:AD108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6:AD108">
    <cfRule type="notContainsText" dxfId="404" priority="254" operator="notContains" text="Caida">
      <formula>ISERROR(SEARCH("Caida",AD106))</formula>
    </cfRule>
    <cfRule type="containsText" dxfId="403" priority="255" operator="containsText" text="Caida">
      <formula>NOT(ISERROR(SEARCH("Caida",AD106)))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6:AF108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6:AF108">
    <cfRule type="notContainsText" dxfId="398" priority="248" operator="notContains" text="Caida">
      <formula>ISERROR(SEARCH("Caida",AF106))</formula>
    </cfRule>
    <cfRule type="containsText" dxfId="397" priority="249" operator="containsText" text="Caida">
      <formula>NOT(ISERROR(SEARCH("Caida",AF106)))</formula>
    </cfRule>
  </conditionalFormatting>
  <conditionalFormatting sqref="AF3">
    <cfRule type="cellIs" dxfId="396" priority="247" operator="equal">
      <formula>"apagado"</formula>
    </cfRule>
  </conditionalFormatting>
  <conditionalFormatting sqref="AM106:AM107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6:AM107">
    <cfRule type="notContainsText" dxfId="393" priority="243" operator="notContains" text="Caida">
      <formula>ISERROR(SEARCH("Caida",AM106))</formula>
    </cfRule>
    <cfRule type="containsText" dxfId="392" priority="244" operator="containsText" text="Caida">
      <formula>NOT(ISERROR(SEARCH("Caida",AM106)))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6:U108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6:U108">
    <cfRule type="notContainsText" dxfId="378" priority="228" operator="notContains" text="Caida">
      <formula>ISERROR(SEARCH("Caida",U106))</formula>
    </cfRule>
    <cfRule type="containsText" dxfId="377" priority="229" operator="containsText" text="Caida">
      <formula>NOT(ISERROR(SEARCH("Caida",U106)))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6:V108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6:V108">
    <cfRule type="notContainsText" dxfId="369" priority="219" operator="notContains" text="Caida">
      <formula>ISERROR(SEARCH("Caida",V106))</formula>
    </cfRule>
    <cfRule type="containsText" dxfId="368" priority="220" operator="containsText" text="Caida">
      <formula>NOT(ISERROR(SEARCH("Caida",V106)))</formula>
    </cfRule>
  </conditionalFormatting>
  <conditionalFormatting sqref="AD107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7">
    <cfRule type="notContainsText" dxfId="365" priority="215" operator="notContains" text="Caida">
      <formula>ISERROR(SEARCH("Caida",AD107))</formula>
    </cfRule>
    <cfRule type="containsText" dxfId="364" priority="216" operator="containsText" text="Caida">
      <formula>NOT(ISERROR(SEARCH("Caida",AD107)))</formula>
    </cfRule>
  </conditionalFormatting>
  <conditionalFormatting sqref="AD109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9">
    <cfRule type="notContainsText" dxfId="361" priority="211" operator="notContains" text="Caida">
      <formula>ISERROR(SEARCH("Caida",AD109))</formula>
    </cfRule>
    <cfRule type="containsText" dxfId="360" priority="212" operator="containsText" text="Caida">
      <formula>NOT(ISERROR(SEARCH("Caida",AD109)))</formula>
    </cfRule>
  </conditionalFormatting>
  <conditionalFormatting sqref="AD112:AD113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2:AD113">
    <cfRule type="notContainsText" dxfId="357" priority="207" operator="notContains" text="Caida">
      <formula>ISERROR(SEARCH("Caida",AD112))</formula>
    </cfRule>
    <cfRule type="containsText" dxfId="356" priority="208" operator="containsText" text="Caida">
      <formula>NOT(ISERROR(SEARCH("Caida",AD112)))</formula>
    </cfRule>
  </conditionalFormatting>
  <conditionalFormatting sqref="AD129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9">
    <cfRule type="notContainsText" dxfId="353" priority="203" operator="notContains" text="Caida">
      <formula>ISERROR(SEARCH("Caida",AD129))</formula>
    </cfRule>
    <cfRule type="containsText" dxfId="352" priority="204" operator="containsText" text="Caida">
      <formula>NOT(ISERROR(SEARCH("Caida",AD129)))</formula>
    </cfRule>
  </conditionalFormatting>
  <conditionalFormatting sqref="AD130:AD131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30:AD131">
    <cfRule type="notContainsText" dxfId="349" priority="199" operator="notContains" text="Caida">
      <formula>ISERROR(SEARCH("Caida",AD130))</formula>
    </cfRule>
    <cfRule type="containsText" dxfId="348" priority="200" operator="containsText" text="Caida">
      <formula>NOT(ISERROR(SEARCH("Caida",AD130)))</formula>
    </cfRule>
  </conditionalFormatting>
  <conditionalFormatting sqref="AD135:AD139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5:AD139">
    <cfRule type="notContainsText" dxfId="345" priority="195" operator="notContains" text="Caida">
      <formula>ISERROR(SEARCH("Caida",AD135))</formula>
    </cfRule>
    <cfRule type="containsText" dxfId="344" priority="196" operator="containsText" text="Caida">
      <formula>NOT(ISERROR(SEARCH("Caida",AD135)))</formula>
    </cfRule>
  </conditionalFormatting>
  <conditionalFormatting sqref="AD140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40">
    <cfRule type="notContainsText" dxfId="341" priority="191" operator="notContains" text="Caida">
      <formula>ISERROR(SEARCH("Caida",AD140))</formula>
    </cfRule>
    <cfRule type="containsText" dxfId="340" priority="192" operator="containsText" text="Caida">
      <formula>NOT(ISERROR(SEARCH("Caida",AD140)))</formula>
    </cfRule>
  </conditionalFormatting>
  <conditionalFormatting sqref="AD144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4">
    <cfRule type="notContainsText" dxfId="337" priority="187" operator="notContains" text="Caida">
      <formula>ISERROR(SEARCH("Caida",AD144))</formula>
    </cfRule>
    <cfRule type="containsText" dxfId="336" priority="188" operator="containsText" text="Caida">
      <formula>NOT(ISERROR(SEARCH("Caida",AD144)))</formula>
    </cfRule>
  </conditionalFormatting>
  <conditionalFormatting sqref="AD146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6">
    <cfRule type="notContainsText" dxfId="333" priority="183" operator="notContains" text="Caida">
      <formula>ISERROR(SEARCH("Caida",AD146))</formula>
    </cfRule>
    <cfRule type="containsText" dxfId="332" priority="184" operator="containsText" text="Caida">
      <formula>NOT(ISERROR(SEARCH("Caida",AD146)))</formula>
    </cfRule>
  </conditionalFormatting>
  <conditionalFormatting sqref="AD161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61">
    <cfRule type="notContainsText" dxfId="329" priority="179" operator="notContains" text="Caida">
      <formula>ISERROR(SEARCH("Caida",AD161))</formula>
    </cfRule>
    <cfRule type="containsText" dxfId="328" priority="180" operator="containsText" text="Caida">
      <formula>NOT(ISERROR(SEARCH("Caida",AD161)))</formula>
    </cfRule>
  </conditionalFormatting>
  <conditionalFormatting sqref="AD162:AD164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2:AD164">
    <cfRule type="notContainsText" dxfId="325" priority="175" operator="notContains" text="Caida">
      <formula>ISERROR(SEARCH("Caida",AD162))</formula>
    </cfRule>
    <cfRule type="containsText" dxfId="324" priority="176" operator="containsText" text="Caida">
      <formula>NOT(ISERROR(SEARCH("Caida",AD162)))</formula>
    </cfRule>
  </conditionalFormatting>
  <conditionalFormatting sqref="AD165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5">
    <cfRule type="notContainsText" dxfId="321" priority="171" operator="notContains" text="Caida">
      <formula>ISERROR(SEARCH("Caida",AD165))</formula>
    </cfRule>
    <cfRule type="containsText" dxfId="320" priority="172" operator="containsText" text="Caida">
      <formula>NOT(ISERROR(SEARCH("Caida",AD165)))</formula>
    </cfRule>
  </conditionalFormatting>
  <conditionalFormatting sqref="AD184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4">
    <cfRule type="notContainsText" dxfId="317" priority="167" operator="notContains" text="Caida">
      <formula>ISERROR(SEARCH("Caida",AD184))</formula>
    </cfRule>
    <cfRule type="containsText" dxfId="316" priority="168" operator="containsText" text="Caida">
      <formula>NOT(ISERROR(SEARCH("Caida",AD184)))</formula>
    </cfRule>
  </conditionalFormatting>
  <conditionalFormatting sqref="AD185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5">
    <cfRule type="notContainsText" dxfId="313" priority="163" operator="notContains" text="Caida">
      <formula>ISERROR(SEARCH("Caida",AD185))</formula>
    </cfRule>
    <cfRule type="containsText" dxfId="312" priority="164" operator="containsText" text="Caida">
      <formula>NOT(ISERROR(SEARCH("Caida",AD185)))</formula>
    </cfRule>
  </conditionalFormatting>
  <conditionalFormatting sqref="AD187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7">
    <cfRule type="notContainsText" dxfId="309" priority="159" operator="notContains" text="Caida">
      <formula>ISERROR(SEARCH("Caida",AD187))</formula>
    </cfRule>
    <cfRule type="containsText" dxfId="308" priority="160" operator="containsText" text="Caida">
      <formula>NOT(ISERROR(SEARCH("Caida",AD187)))</formula>
    </cfRule>
  </conditionalFormatting>
  <conditionalFormatting sqref="AD200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200">
    <cfRule type="notContainsText" dxfId="305" priority="155" operator="notContains" text="Caida">
      <formula>ISERROR(SEARCH("Caida",AD200))</formula>
    </cfRule>
    <cfRule type="containsText" dxfId="304" priority="156" operator="containsText" text="Caida">
      <formula>NOT(ISERROR(SEARCH("Caida",AD200)))</formula>
    </cfRule>
  </conditionalFormatting>
  <conditionalFormatting sqref="AD211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11">
    <cfRule type="notContainsText" dxfId="301" priority="151" operator="notContains" text="Caida">
      <formula>ISERROR(SEARCH("Caida",AD211))</formula>
    </cfRule>
    <cfRule type="containsText" dxfId="300" priority="152" operator="containsText" text="Caida">
      <formula>NOT(ISERROR(SEARCH("Caida",AD211)))</formula>
    </cfRule>
  </conditionalFormatting>
  <conditionalFormatting sqref="AD212:AD213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2:AD213">
    <cfRule type="notContainsText" dxfId="297" priority="147" operator="notContains" text="Caida">
      <formula>ISERROR(SEARCH("Caida",AD212))</formula>
    </cfRule>
    <cfRule type="containsText" dxfId="296" priority="148" operator="containsText" text="Caida">
      <formula>NOT(ISERROR(SEARCH("Caida",AD212)))</formula>
    </cfRule>
  </conditionalFormatting>
  <conditionalFormatting sqref="AD219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9">
    <cfRule type="notContainsText" dxfId="293" priority="143" operator="notContains" text="Caida">
      <formula>ISERROR(SEARCH("Caida",AD219))</formula>
    </cfRule>
    <cfRule type="containsText" dxfId="292" priority="144" operator="containsText" text="Caida">
      <formula>NOT(ISERROR(SEARCH("Caida",AD219)))</formula>
    </cfRule>
  </conditionalFormatting>
  <conditionalFormatting sqref="AD227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7">
    <cfRule type="notContainsText" dxfId="289" priority="139" operator="notContains" text="Caida">
      <formula>ISERROR(SEARCH("Caida",AD227))</formula>
    </cfRule>
    <cfRule type="containsText" dxfId="288" priority="140" operator="containsText" text="Caida">
      <formula>NOT(ISERROR(SEARCH("Caida",AD227)))</formula>
    </cfRule>
  </conditionalFormatting>
  <conditionalFormatting sqref="AD232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2">
    <cfRule type="notContainsText" dxfId="285" priority="135" operator="notContains" text="Caida">
      <formula>ISERROR(SEARCH("Caida",AD232))</formula>
    </cfRule>
    <cfRule type="containsText" dxfId="284" priority="136" operator="containsText" text="Caida">
      <formula>NOT(ISERROR(SEARCH("Caida",AD232)))</formula>
    </cfRule>
  </conditionalFormatting>
  <conditionalFormatting sqref="AD233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3">
    <cfRule type="notContainsText" dxfId="281" priority="131" operator="notContains" text="Caida">
      <formula>ISERROR(SEARCH("Caida",AD233))</formula>
    </cfRule>
    <cfRule type="containsText" dxfId="280" priority="132" operator="containsText" text="Caida">
      <formula>NOT(ISERROR(SEARCH("Caida",AD233)))</formula>
    </cfRule>
  </conditionalFormatting>
  <conditionalFormatting sqref="AD398">
    <cfRule type="cellIs" dxfId="279" priority="130" operator="equal">
      <formula>"apagado"</formula>
    </cfRule>
  </conditionalFormatting>
  <conditionalFormatting sqref="AD403">
    <cfRule type="cellIs" dxfId="278" priority="129" operator="equal">
      <formula>"apagado"</formula>
    </cfRule>
  </conditionalFormatting>
  <conditionalFormatting sqref="AD399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227">
    <cfRule type="cellIs" dxfId="275" priority="126" operator="equal">
      <formula>"apagado"</formula>
    </cfRule>
  </conditionalFormatting>
  <conditionalFormatting sqref="AD232">
    <cfRule type="cellIs" dxfId="274" priority="125" operator="equal">
      <formula>"apagado"</formula>
    </cfRule>
  </conditionalFormatting>
  <conditionalFormatting sqref="AD233">
    <cfRule type="cellIs" dxfId="273" priority="124" operator="equal">
      <formula>"apagado"</formula>
    </cfRule>
  </conditionalFormatting>
  <conditionalFormatting sqref="AD219">
    <cfRule type="cellIs" dxfId="272" priority="123" operator="equal">
      <formula>"apagado"</formula>
    </cfRule>
  </conditionalFormatting>
  <conditionalFormatting sqref="AD212:AD213">
    <cfRule type="cellIs" dxfId="271" priority="122" operator="equal">
      <formula>"apagado"</formula>
    </cfRule>
  </conditionalFormatting>
  <conditionalFormatting sqref="AD211">
    <cfRule type="cellIs" dxfId="270" priority="121" operator="equal">
      <formula>"apagado"</formula>
    </cfRule>
  </conditionalFormatting>
  <conditionalFormatting sqref="AD200">
    <cfRule type="cellIs" dxfId="269" priority="120" operator="equal">
      <formula>"apagado"</formula>
    </cfRule>
  </conditionalFormatting>
  <conditionalFormatting sqref="AD187">
    <cfRule type="cellIs" dxfId="268" priority="119" operator="equal">
      <formula>"apagado"</formula>
    </cfRule>
  </conditionalFormatting>
  <conditionalFormatting sqref="AD184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61">
    <cfRule type="cellIs" dxfId="265" priority="116" operator="equal">
      <formula>"apagado"</formula>
    </cfRule>
  </conditionalFormatting>
  <conditionalFormatting sqref="AD162:AD164">
    <cfRule type="cellIs" dxfId="264" priority="115" operator="equal">
      <formula>"apagado"</formula>
    </cfRule>
  </conditionalFormatting>
  <conditionalFormatting sqref="AD165">
    <cfRule type="cellIs" dxfId="263" priority="114" operator="equal">
      <formula>"apagado"</formula>
    </cfRule>
  </conditionalFormatting>
  <conditionalFormatting sqref="AD144">
    <cfRule type="cellIs" dxfId="262" priority="113" operator="equal">
      <formula>"apagado"</formula>
    </cfRule>
  </conditionalFormatting>
  <conditionalFormatting sqref="AD146">
    <cfRule type="cellIs" dxfId="261" priority="112" operator="equal">
      <formula>"apagado"</formula>
    </cfRule>
  </conditionalFormatting>
  <conditionalFormatting sqref="AD129">
    <cfRule type="cellIs" dxfId="260" priority="111" operator="equal">
      <formula>"apagado"</formula>
    </cfRule>
  </conditionalFormatting>
  <conditionalFormatting sqref="AD130:AD131">
    <cfRule type="cellIs" dxfId="259" priority="110" operator="equal">
      <formula>"apagado"</formula>
    </cfRule>
  </conditionalFormatting>
  <conditionalFormatting sqref="AD135:AD139">
    <cfRule type="cellIs" dxfId="258" priority="109" operator="equal">
      <formula>"apagado"</formula>
    </cfRule>
  </conditionalFormatting>
  <conditionalFormatting sqref="AD140">
    <cfRule type="cellIs" dxfId="257" priority="108" operator="equal">
      <formula>"apagado"</formula>
    </cfRule>
  </conditionalFormatting>
  <conditionalFormatting sqref="AD112:AD113">
    <cfRule type="cellIs" dxfId="256" priority="107" operator="equal">
      <formula>"apagado"</formula>
    </cfRule>
  </conditionalFormatting>
  <conditionalFormatting sqref="AD107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7">
    <cfRule type="notContainsText" dxfId="253" priority="103" operator="notContains" text="Caida">
      <formula>ISERROR(SEARCH("Caida",AD107))</formula>
    </cfRule>
    <cfRule type="containsText" dxfId="252" priority="104" operator="containsText" text="Caida">
      <formula>NOT(ISERROR(SEARCH("Caida",AD107)))</formula>
    </cfRule>
  </conditionalFormatting>
  <conditionalFormatting sqref="AD107">
    <cfRule type="cellIs" dxfId="251" priority="102" operator="equal">
      <formula>"apagado"</formula>
    </cfRule>
  </conditionalFormatting>
  <conditionalFormatting sqref="AD109">
    <cfRule type="cellIs" dxfId="250" priority="101" operator="equal">
      <formula>"apagado"</formula>
    </cfRule>
  </conditionalFormatting>
  <conditionalFormatting sqref="E412:E418">
    <cfRule type="containsText" dxfId="249" priority="99" operator="containsText" text="fija">
      <formula>NOT(ISERROR(SEARCH("fija",E412)))</formula>
    </cfRule>
    <cfRule type="containsText" dxfId="248" priority="100" operator="containsText" text="domo">
      <formula>NOT(ISERROR(SEARCH("domo",E412)))</formula>
    </cfRule>
  </conditionalFormatting>
  <conditionalFormatting sqref="F412:F418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4:D355 D163:D164 C1:C1048576">
    <cfRule type="cellIs" dxfId="243" priority="93" operator="equal">
      <formula>$C$215</formula>
    </cfRule>
    <cfRule type="cellIs" dxfId="242" priority="94" operator="equal">
      <formula>$C$203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6:AE108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6:AE108">
    <cfRule type="notContainsText" dxfId="234" priority="84" operator="notContains" text="Caida">
      <formula>ISERROR(SEARCH("Caida",AE106))</formula>
    </cfRule>
    <cfRule type="containsText" dxfId="233" priority="85" operator="containsText" text="Caida">
      <formula>NOT(ISERROR(SEARCH("Caida",AE106)))</formula>
    </cfRule>
  </conditionalFormatting>
  <conditionalFormatting sqref="AA87">
    <cfRule type="cellIs" dxfId="232" priority="83" operator="equal">
      <formula>"apagado"</formula>
    </cfRule>
  </conditionalFormatting>
  <conditionalFormatting sqref="AB109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9">
    <cfRule type="notContainsText" dxfId="229" priority="79" operator="notContains" text="Caida">
      <formula>ISERROR(SEARCH("Caida",AB109))</formula>
    </cfRule>
    <cfRule type="containsText" dxfId="228" priority="80" operator="containsText" text="Caida">
      <formula>NOT(ISERROR(SEARCH("Caida",AB109)))</formula>
    </cfRule>
  </conditionalFormatting>
  <conditionalFormatting sqref="AB109">
    <cfRule type="cellIs" dxfId="227" priority="78" operator="equal">
      <formula>"apagado"</formula>
    </cfRule>
  </conditionalFormatting>
  <conditionalFormatting sqref="AB145">
    <cfRule type="cellIs" dxfId="226" priority="77" operator="equal">
      <formula>"apagado"</formula>
    </cfRule>
  </conditionalFormatting>
  <conditionalFormatting sqref="AB177">
    <cfRule type="cellIs" dxfId="225" priority="76" operator="equal">
      <formula>"apagado"</formula>
    </cfRule>
  </conditionalFormatting>
  <conditionalFormatting sqref="AB179">
    <cfRule type="cellIs" dxfId="224" priority="75" operator="equal">
      <formula>"apagado"</formula>
    </cfRule>
  </conditionalFormatting>
  <conditionalFormatting sqref="AB184">
    <cfRule type="cellIs" dxfId="223" priority="74" operator="equal">
      <formula>"apagado"</formula>
    </cfRule>
  </conditionalFormatting>
  <conditionalFormatting sqref="AB187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11">
    <cfRule type="cellIs" dxfId="216" priority="67" operator="equal">
      <formula>"apagado"</formula>
    </cfRule>
  </conditionalFormatting>
  <conditionalFormatting sqref="AB282">
    <cfRule type="cellIs" dxfId="215" priority="66" operator="equal">
      <formula>"apagado"</formula>
    </cfRule>
  </conditionalFormatting>
  <conditionalFormatting sqref="AB283">
    <cfRule type="cellIs" dxfId="214" priority="65" operator="equal">
      <formula>"apagado"</formula>
    </cfRule>
  </conditionalFormatting>
  <conditionalFormatting sqref="AB321">
    <cfRule type="cellIs" dxfId="213" priority="64" operator="equal">
      <formula>"apagado"</formula>
    </cfRule>
  </conditionalFormatting>
  <conditionalFormatting sqref="AB322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:AB322">
    <cfRule type="cellIs" dxfId="210" priority="61" operator="equal">
      <formula>"apagado"</formula>
    </cfRule>
  </conditionalFormatting>
  <conditionalFormatting sqref="AB347">
    <cfRule type="cellIs" dxfId="209" priority="60" operator="equal">
      <formula>"apagado"</formula>
    </cfRule>
  </conditionalFormatting>
  <conditionalFormatting sqref="AB358">
    <cfRule type="cellIs" dxfId="208" priority="59" operator="equal">
      <formula>"apagado"</formula>
    </cfRule>
  </conditionalFormatting>
  <conditionalFormatting sqref="AB359">
    <cfRule type="cellIs" dxfId="207" priority="58" operator="equal">
      <formula>"apagado"</formula>
    </cfRule>
  </conditionalFormatting>
  <conditionalFormatting sqref="AB376">
    <cfRule type="cellIs" dxfId="206" priority="57" operator="equal">
      <formula>"apagado"</formula>
    </cfRule>
  </conditionalFormatting>
  <conditionalFormatting sqref="AB392">
    <cfRule type="cellIs" dxfId="205" priority="56" operator="equal">
      <formula>"apagado"</formula>
    </cfRule>
  </conditionalFormatting>
  <conditionalFormatting sqref="AB393:AB396">
    <cfRule type="cellIs" dxfId="204" priority="55" operator="equal">
      <formula>"apagado"</formula>
    </cfRule>
  </conditionalFormatting>
  <conditionalFormatting sqref="AB399">
    <cfRule type="cellIs" dxfId="203" priority="54" operator="equal">
      <formula>"apagado"</formula>
    </cfRule>
  </conditionalFormatting>
  <conditionalFormatting sqref="AB400">
    <cfRule type="cellIs" dxfId="202" priority="53" operator="equal">
      <formula>"apagado"</formula>
    </cfRule>
  </conditionalFormatting>
  <conditionalFormatting sqref="AB408">
    <cfRule type="cellIs" dxfId="201" priority="52" operator="equal">
      <formula>"apagado"</formula>
    </cfRule>
  </conditionalFormatting>
  <conditionalFormatting sqref="AB234">
    <cfRule type="cellIs" dxfId="200" priority="51" operator="equal">
      <formula>"apagado"</formula>
    </cfRule>
  </conditionalFormatting>
  <conditionalFormatting sqref="AB235">
    <cfRule type="cellIs" dxfId="199" priority="50" operator="equal">
      <formula>"apagado"</formula>
    </cfRule>
  </conditionalFormatting>
  <conditionalFormatting sqref="AB236">
    <cfRule type="cellIs" dxfId="198" priority="49" operator="equal">
      <formula>"apagado"</formula>
    </cfRule>
  </conditionalFormatting>
  <conditionalFormatting sqref="AB237">
    <cfRule type="cellIs" dxfId="197" priority="48" operator="equal">
      <formula>"apagado"</formula>
    </cfRule>
  </conditionalFormatting>
  <conditionalFormatting sqref="AB245">
    <cfRule type="cellIs" dxfId="196" priority="47" operator="equal">
      <formula>"apagado"</formula>
    </cfRule>
  </conditionalFormatting>
  <conditionalFormatting sqref="AB238">
    <cfRule type="cellIs" dxfId="195" priority="46" operator="equal">
      <formula>"apagado"</formula>
    </cfRule>
  </conditionalFormatting>
  <conditionalFormatting sqref="AB231">
    <cfRule type="cellIs" dxfId="194" priority="45" operator="equal">
      <formula>"apagado"</formula>
    </cfRule>
  </conditionalFormatting>
  <conditionalFormatting sqref="E432:E434">
    <cfRule type="containsText" dxfId="193" priority="43" operator="containsText" text="fija">
      <formula>NOT(ISERROR(SEARCH("fija",E432)))</formula>
    </cfRule>
    <cfRule type="containsText" dxfId="192" priority="44" operator="containsText" text="domo">
      <formula>NOT(ISERROR(SEARCH("domo",E432)))</formula>
    </cfRule>
  </conditionalFormatting>
  <conditionalFormatting sqref="E420">
    <cfRule type="containsText" dxfId="191" priority="42" operator="containsText" text="Radio">
      <formula>NOT(ISERROR(SEARCH("Radio",E420)))</formula>
    </cfRule>
  </conditionalFormatting>
  <conditionalFormatting sqref="E420">
    <cfRule type="containsText" dxfId="190" priority="40" operator="containsText" text="fija">
      <formula>NOT(ISERROR(SEARCH("fija",E420)))</formula>
    </cfRule>
    <cfRule type="containsText" dxfId="189" priority="41" operator="containsText" text="domo">
      <formula>NOT(ISERROR(SEARCH("domo",E420)))</formula>
    </cfRule>
  </conditionalFormatting>
  <conditionalFormatting sqref="E420">
    <cfRule type="containsText" dxfId="188" priority="38" operator="containsText" text="fija">
      <formula>NOT(ISERROR(SEARCH("fija",E420)))</formula>
    </cfRule>
    <cfRule type="containsText" dxfId="187" priority="39" operator="containsText" text="domo">
      <formula>NOT(ISERROR(SEARCH("domo",E420)))</formula>
    </cfRule>
  </conditionalFormatting>
  <conditionalFormatting sqref="E421">
    <cfRule type="containsText" dxfId="186" priority="37" operator="containsText" text="Radio">
      <formula>NOT(ISERROR(SEARCH("Radio",E421)))</formula>
    </cfRule>
  </conditionalFormatting>
  <conditionalFormatting sqref="E421">
    <cfRule type="containsText" dxfId="185" priority="35" operator="containsText" text="fija">
      <formula>NOT(ISERROR(SEARCH("fija",E421)))</formula>
    </cfRule>
    <cfRule type="containsText" dxfId="184" priority="36" operator="containsText" text="domo">
      <formula>NOT(ISERROR(SEARCH("domo",E421)))</formula>
    </cfRule>
  </conditionalFormatting>
  <conditionalFormatting sqref="E421">
    <cfRule type="containsText" dxfId="183" priority="33" operator="containsText" text="fija">
      <formula>NOT(ISERROR(SEARCH("fija",E421)))</formula>
    </cfRule>
    <cfRule type="containsText" dxfId="182" priority="34" operator="containsText" text="domo">
      <formula>NOT(ISERROR(SEARCH("domo",E421)))</formula>
    </cfRule>
  </conditionalFormatting>
  <conditionalFormatting sqref="E424">
    <cfRule type="containsText" dxfId="181" priority="32" operator="containsText" text="Radio">
      <formula>NOT(ISERROR(SEARCH("Radio",E424)))</formula>
    </cfRule>
  </conditionalFormatting>
  <conditionalFormatting sqref="E424">
    <cfRule type="containsText" dxfId="180" priority="30" operator="containsText" text="fija">
      <formula>NOT(ISERROR(SEARCH("fija",E424)))</formula>
    </cfRule>
    <cfRule type="containsText" dxfId="179" priority="31" operator="containsText" text="domo">
      <formula>NOT(ISERROR(SEARCH("domo",E424)))</formula>
    </cfRule>
  </conditionalFormatting>
  <conditionalFormatting sqref="E424">
    <cfRule type="containsText" dxfId="178" priority="28" operator="containsText" text="fija">
      <formula>NOT(ISERROR(SEARCH("fija",E424)))</formula>
    </cfRule>
    <cfRule type="containsText" dxfId="177" priority="29" operator="containsText" text="domo">
      <formula>NOT(ISERROR(SEARCH("domo",E424)))</formula>
    </cfRule>
  </conditionalFormatting>
  <conditionalFormatting sqref="E425">
    <cfRule type="containsText" dxfId="176" priority="27" operator="containsText" text="Radio">
      <formula>NOT(ISERROR(SEARCH("Radio",E425)))</formula>
    </cfRule>
  </conditionalFormatting>
  <conditionalFormatting sqref="E425">
    <cfRule type="containsText" dxfId="175" priority="25" operator="containsText" text="fija">
      <formula>NOT(ISERROR(SEARCH("fija",E425)))</formula>
    </cfRule>
    <cfRule type="containsText" dxfId="174" priority="26" operator="containsText" text="domo">
      <formula>NOT(ISERROR(SEARCH("domo",E425)))</formula>
    </cfRule>
  </conditionalFormatting>
  <conditionalFormatting sqref="E425">
    <cfRule type="containsText" dxfId="173" priority="23" operator="containsText" text="fija">
      <formula>NOT(ISERROR(SEARCH("fija",E425)))</formula>
    </cfRule>
    <cfRule type="containsText" dxfId="172" priority="24" operator="containsText" text="domo">
      <formula>NOT(ISERROR(SEARCH("domo",E425)))</formula>
    </cfRule>
  </conditionalFormatting>
  <conditionalFormatting sqref="E426">
    <cfRule type="containsText" dxfId="171" priority="22" operator="containsText" text="Radio">
      <formula>NOT(ISERROR(SEARCH("Radio",E426)))</formula>
    </cfRule>
  </conditionalFormatting>
  <conditionalFormatting sqref="E426">
    <cfRule type="containsText" dxfId="170" priority="20" operator="containsText" text="fija">
      <formula>NOT(ISERROR(SEARCH("fija",E426)))</formula>
    </cfRule>
    <cfRule type="containsText" dxfId="169" priority="21" operator="containsText" text="domo">
      <formula>NOT(ISERROR(SEARCH("domo",E426)))</formula>
    </cfRule>
  </conditionalFormatting>
  <conditionalFormatting sqref="E426">
    <cfRule type="containsText" dxfId="168" priority="18" operator="containsText" text="fija">
      <formula>NOT(ISERROR(SEARCH("fija",E426)))</formula>
    </cfRule>
    <cfRule type="containsText" dxfId="167" priority="19" operator="containsText" text="domo">
      <formula>NOT(ISERROR(SEARCH("domo",E426)))</formula>
    </cfRule>
  </conditionalFormatting>
  <conditionalFormatting sqref="E427">
    <cfRule type="containsText" dxfId="166" priority="17" operator="containsText" text="Radio">
      <formula>NOT(ISERROR(SEARCH("Radio",E427)))</formula>
    </cfRule>
  </conditionalFormatting>
  <conditionalFormatting sqref="E427">
    <cfRule type="containsText" dxfId="165" priority="15" operator="containsText" text="fija">
      <formula>NOT(ISERROR(SEARCH("fija",E427)))</formula>
    </cfRule>
    <cfRule type="containsText" dxfId="164" priority="16" operator="containsText" text="domo">
      <formula>NOT(ISERROR(SEARCH("domo",E427)))</formula>
    </cfRule>
  </conditionalFormatting>
  <conditionalFormatting sqref="E427">
    <cfRule type="containsText" dxfId="163" priority="13" operator="containsText" text="fija">
      <formula>NOT(ISERROR(SEARCH("fija",E427)))</formula>
    </cfRule>
    <cfRule type="containsText" dxfId="162" priority="14" operator="containsText" text="domo">
      <formula>NOT(ISERROR(SEARCH("domo",E427)))</formula>
    </cfRule>
  </conditionalFormatting>
  <conditionalFormatting sqref="AO106:AO107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6:AO107">
    <cfRule type="notContainsText" dxfId="159" priority="9" operator="notContains" text="Caida">
      <formula>ISERROR(SEARCH("Caida",AO106))</formula>
    </cfRule>
    <cfRule type="containsText" dxfId="158" priority="10" operator="containsText" text="Caida">
      <formula>NOT(ISERROR(SEARCH("Caida",AO106)))</formula>
    </cfRule>
  </conditionalFormatting>
  <conditionalFormatting sqref="AL410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11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3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10">
    <cfRule type="cellIs" dxfId="151" priority="2" operator="equal">
      <formula>"apagado"</formula>
    </cfRule>
  </conditionalFormatting>
  <conditionalFormatting sqref="AL411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 t="str">
        <f>'RESUMEN TOTAL'!K5</f>
        <v>APAGADO</v>
      </c>
      <c r="G2" s="23" t="str">
        <f>'RESUMEN TOTAL'!L5</f>
        <v>APAGADO</v>
      </c>
      <c r="H2" s="23" t="str">
        <f>'RESUMEN TOTAL'!M5</f>
        <v>APAGADO</v>
      </c>
      <c r="I2" s="23" t="str">
        <f>'RESUMEN TOTAL'!N5</f>
        <v>APAGADO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 t="str">
        <f>'RESUMEN TOTAL'!K6</f>
        <v>APAGADO</v>
      </c>
      <c r="G3" s="23" t="str">
        <f>'RESUMEN TOTAL'!L6</f>
        <v>APAGADO</v>
      </c>
      <c r="H3" s="23" t="str">
        <f>'RESUMEN TOTAL'!M6</f>
        <v>APAGADO</v>
      </c>
      <c r="I3" s="23" t="str">
        <f>'RESUMEN TOTAL'!N6</f>
        <v>APAGADO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 t="str">
        <f>'RESUMEN TOTAL'!K7</f>
        <v>APAGADO</v>
      </c>
      <c r="G4" s="23" t="str">
        <f>'RESUMEN TOTAL'!L7</f>
        <v>APAGADO</v>
      </c>
      <c r="H4" s="23" t="str">
        <f>'RESUMEN TOTAL'!M7</f>
        <v>APAGADO</v>
      </c>
      <c r="I4" s="23" t="str">
        <f>'RESUMEN TOTAL'!N7</f>
        <v>APAGADO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 t="str">
        <f>'RESUMEN TOTAL'!K8</f>
        <v>APAGADO</v>
      </c>
      <c r="G5" s="23" t="str">
        <f>'RESUMEN TOTAL'!L8</f>
        <v>APAGADO</v>
      </c>
      <c r="H5" s="23" t="str">
        <f>'RESUMEN TOTAL'!M8</f>
        <v>APAGADO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 t="str">
        <f>'RESUMEN TOTAL'!K9</f>
        <v>APAGADO</v>
      </c>
      <c r="G6" s="23" t="str">
        <f>'RESUMEN TOTAL'!L9</f>
        <v>APAGADO</v>
      </c>
      <c r="H6" s="23" t="str">
        <f>'RESUMEN TOTAL'!M9</f>
        <v>APAGADO</v>
      </c>
      <c r="I6" s="23" t="str">
        <f>'RESUMEN TOTAL'!N9</f>
        <v>APAGADO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 t="str">
        <f>'RESUMEN TOTAL'!K10</f>
        <v>APAGADO</v>
      </c>
      <c r="G7" s="23" t="str">
        <f>'RESUMEN TOTAL'!L10</f>
        <v>APAGADO</v>
      </c>
      <c r="H7" s="23" t="str">
        <f>'RESUMEN TOTAL'!M10</f>
        <v>APAGADO</v>
      </c>
      <c r="I7" s="23" t="str">
        <f>'RESUMEN TOTAL'!N10</f>
        <v>APAGADO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 t="str">
        <f>'RESUMEN TOTAL'!K11</f>
        <v>APAGADO</v>
      </c>
      <c r="G8" s="23" t="str">
        <f>'RESUMEN TOTAL'!L11</f>
        <v>APAGADO</v>
      </c>
      <c r="H8" s="23" t="str">
        <f>'RESUMEN TOTAL'!M11</f>
        <v>APAGADO</v>
      </c>
      <c r="I8" s="23" t="str">
        <f>'RESUMEN TOTAL'!N11</f>
        <v>APAGADO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 t="str">
        <f>'RESUMEN TOTAL'!K12</f>
        <v>APAGADO</v>
      </c>
      <c r="G9" s="23" t="str">
        <f>'RESUMEN TOTAL'!L12</f>
        <v>APAGADO</v>
      </c>
      <c r="H9" s="23" t="str">
        <f>'RESUMEN TOTAL'!M12</f>
        <v>APAGADO</v>
      </c>
      <c r="I9" s="23" t="str">
        <f>'RESUMEN TOTAL'!N12</f>
        <v>APAGADO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 t="str">
        <f>'RESUMEN TOTAL'!K13</f>
        <v>APAGADO</v>
      </c>
      <c r="G10" s="23" t="str">
        <f>'RESUMEN TOTAL'!L13</f>
        <v>APAGADO</v>
      </c>
      <c r="H10" s="23" t="str">
        <f>'RESUMEN TOTAL'!M13</f>
        <v>APAGADO</v>
      </c>
      <c r="I10" s="23" t="str">
        <f>'RESUMEN TOTAL'!N13</f>
        <v>APAGADO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 t="str">
        <f>'RESUMEN TOTAL'!K14</f>
        <v>APAGADO</v>
      </c>
      <c r="G11" s="23" t="str">
        <f>'RESUMEN TOTAL'!L14</f>
        <v>APAGADO</v>
      </c>
      <c r="H11" s="23" t="str">
        <f>'RESUMEN TOTAL'!M14</f>
        <v>APAGADO</v>
      </c>
      <c r="I11" s="23" t="str">
        <f>'RESUMEN TOTAL'!N14</f>
        <v>APAGADO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>
        <f>'RESUMEN TOTAL'!O16</f>
        <v>0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 t="str">
        <f>'RESUMEN TOTAL'!K17</f>
        <v>APAGADO</v>
      </c>
      <c r="G14" s="23" t="str">
        <f>'RESUMEN TOTAL'!L17</f>
        <v>APAGADO</v>
      </c>
      <c r="H14" s="23" t="str">
        <f>'RESUMEN TOTAL'!M17</f>
        <v>APAGADO</v>
      </c>
      <c r="I14" s="23" t="str">
        <f>'RESUMEN TOTAL'!N17</f>
        <v>APAGADO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 t="str">
        <f>'RESUMEN TOTAL'!K18</f>
        <v>APAGADO</v>
      </c>
      <c r="G15" s="23" t="str">
        <f>'RESUMEN TOTAL'!L18</f>
        <v>APAGADO</v>
      </c>
      <c r="H15" s="23" t="str">
        <f>'RESUMEN TOTAL'!M18</f>
        <v>APAGADO</v>
      </c>
      <c r="I15" s="23" t="str">
        <f>'RESUMEN TOTAL'!N18</f>
        <v>APAGADO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 t="str">
        <f>'RESUMEN TOTAL'!K19</f>
        <v>APAGADO</v>
      </c>
      <c r="G16" s="23" t="str">
        <f>'RESUMEN TOTAL'!L19</f>
        <v>APAGADO</v>
      </c>
      <c r="H16" s="23" t="str">
        <f>'RESUMEN TOTAL'!M19</f>
        <v>APAGADO</v>
      </c>
      <c r="I16" s="23" t="str">
        <f>'RESUMEN TOTAL'!N19</f>
        <v>APAGADO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 t="str">
        <f>'RESUMEN TOTAL'!K20</f>
        <v>APAGADO</v>
      </c>
      <c r="G17" s="23" t="str">
        <f>'RESUMEN TOTAL'!L20</f>
        <v>APAGADO</v>
      </c>
      <c r="H17" s="23" t="str">
        <f>'RESUMEN TOTAL'!M20</f>
        <v>APAGADO</v>
      </c>
      <c r="I17" s="23" t="str">
        <f>'RESUMEN TOTAL'!N20</f>
        <v>APAGADO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 t="str">
        <f>'RESUMEN TOTAL'!K21</f>
        <v>APAGADO</v>
      </c>
      <c r="G18" s="23" t="str">
        <f>'RESUMEN TOTAL'!L21</f>
        <v>APAGADO</v>
      </c>
      <c r="H18" s="23" t="str">
        <f>'RESUMEN TOTAL'!M21</f>
        <v>APAGADO</v>
      </c>
      <c r="I18" s="23" t="str">
        <f>'RESUMEN TOTAL'!N21</f>
        <v>APAGADO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 t="str">
        <f>'RESUMEN TOTAL'!K22</f>
        <v>APAGADO</v>
      </c>
      <c r="G19" s="23" t="str">
        <f>'RESUMEN TOTAL'!L22</f>
        <v>APAGADO</v>
      </c>
      <c r="H19" s="23" t="str">
        <f>'RESUMEN TOTAL'!M22</f>
        <v>APAGADO</v>
      </c>
      <c r="I19" s="23" t="str">
        <f>'RESUMEN TOTAL'!N22</f>
        <v>APAGADO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 t="str">
        <f>'RESUMEN TOTAL'!K265</f>
        <v>APAGADO</v>
      </c>
      <c r="G20" s="23" t="str">
        <f>'RESUMEN TOTAL'!L265</f>
        <v>APAGADO</v>
      </c>
      <c r="H20" s="23" t="str">
        <f>'RESUMEN TOTAL'!M265</f>
        <v>APAGADO</v>
      </c>
      <c r="I20" s="23" t="str">
        <f>'RESUMEN TOTAL'!N265</f>
        <v>APAGADO</v>
      </c>
      <c r="J20" s="23">
        <f>'RESUMEN TOTAL'!O265</f>
        <v>0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 t="str">
        <f>'RESUMEN TOTAL'!K27</f>
        <v>APAGADO</v>
      </c>
      <c r="G25" s="23" t="str">
        <f>'RESUMEN TOTAL'!L27</f>
        <v>APAGADO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>
        <f>'RESUMEN TOTAL'!O34</f>
        <v>0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>
        <f>'RESUMEN TOTAL'!O40</f>
        <v>0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>
        <f>'RESUMEN TOTAL'!O48</f>
        <v>0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 t="str">
        <f>'RESUMEN TOTAL'!K50</f>
        <v>APAGADO</v>
      </c>
      <c r="G48" s="23" t="str">
        <f>'RESUMEN TOTAL'!L50</f>
        <v>APAGADO</v>
      </c>
      <c r="H48" s="23" t="str">
        <f>'RESUMEN TOTAL'!M50</f>
        <v>APAGADO</v>
      </c>
      <c r="I48" s="23" t="str">
        <f>'RESUMEN TOTAL'!N50</f>
        <v>APAGADO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 t="str">
        <f>'RESUMEN TOTAL'!K52</f>
        <v>APAGADO</v>
      </c>
      <c r="G50" s="23" t="str">
        <f>'RESUMEN TOTAL'!L52</f>
        <v>APAGADO</v>
      </c>
      <c r="H50" s="23" t="str">
        <f>'RESUMEN TOTAL'!M52</f>
        <v>APAGADO</v>
      </c>
      <c r="I50" s="23" t="str">
        <f>'RESUMEN TOTAL'!N52</f>
        <v>APAGADO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 t="str">
        <f>'RESUMEN TOTAL'!K53</f>
        <v>APAGADO</v>
      </c>
      <c r="G51" s="23" t="str">
        <f>'RESUMEN TOTAL'!L53</f>
        <v>APAGADO</v>
      </c>
      <c r="H51" s="23" t="str">
        <f>'RESUMEN TOTAL'!M53</f>
        <v>APAGADO</v>
      </c>
      <c r="I51" s="23" t="str">
        <f>'RESUMEN TOTAL'!N53</f>
        <v>APAGADO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>
        <f>'RESUMEN TOTAL'!O56</f>
        <v>0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 t="str">
        <f>'RESUMEN TOTAL'!K61</f>
        <v>APAGADO</v>
      </c>
      <c r="G59" s="23" t="str">
        <f>'RESUMEN TOTAL'!L61</f>
        <v>APAGADO</v>
      </c>
      <c r="H59" s="23" t="str">
        <f>'RESUMEN TOTAL'!M61</f>
        <v>APAGADO</v>
      </c>
      <c r="I59" s="23" t="str">
        <f>'RESUMEN TOTAL'!N61</f>
        <v>APAGADO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 t="str">
        <f>'RESUMEN TOTAL'!K72</f>
        <v>APAGADO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>
        <f>'RESUMEN TOTAL'!O75</f>
        <v>0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 t="str">
        <f>'RESUMEN TOTAL'!K76</f>
        <v>APAGADO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 t="str">
        <f>'RESUMEN TOTAL'!L77</f>
        <v>APAGADO</v>
      </c>
      <c r="H75" s="23" t="str">
        <f>'RESUMEN TOTAL'!M77</f>
        <v>APAGADO</v>
      </c>
      <c r="I75" s="23" t="str">
        <f>'RESUMEN TOTAL'!N77</f>
        <v>APAGADO</v>
      </c>
      <c r="J75" s="23">
        <f>'RESUMEN TOTAL'!O77</f>
        <v>0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 t="str">
        <f>'RESUMEN TOTAL'!K83</f>
        <v>APAGADO</v>
      </c>
      <c r="G81" s="23" t="str">
        <f>'RESUMEN TOTAL'!L83</f>
        <v>APAGADO</v>
      </c>
      <c r="H81" s="23" t="str">
        <f>'RESUMEN TOTAL'!M83</f>
        <v>APAGADO</v>
      </c>
      <c r="I81" s="23" t="str">
        <f>'RESUMEN TOTAL'!N83</f>
        <v>APAGADO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 t="str">
        <f>'RESUMEN TOTAL'!K84</f>
        <v>APAGADO</v>
      </c>
      <c r="G82" s="23" t="str">
        <f>'RESUMEN TOTAL'!L84</f>
        <v>APAGADO</v>
      </c>
      <c r="H82" s="23" t="str">
        <f>'RESUMEN TOTAL'!M84</f>
        <v>APAGADO</v>
      </c>
      <c r="I82" s="23" t="str">
        <f>'RESUMEN TOTAL'!N84</f>
        <v>APAGADO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 t="str">
        <f>'RESUMEN TOTAL'!K86</f>
        <v>APAGADO</v>
      </c>
      <c r="G84" s="23" t="str">
        <f>'RESUMEN TOTAL'!L86</f>
        <v>APAGADO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>
        <f>'RESUMEN TOTAL'!O94</f>
        <v>0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 t="str">
        <f>'RESUMEN TOTAL'!K100</f>
        <v>APAGADO</v>
      </c>
      <c r="G98" s="23" t="str">
        <f>'RESUMEN TOTAL'!L100</f>
        <v>APAGADO</v>
      </c>
      <c r="H98" s="23" t="str">
        <f>'RESUMEN TOTAL'!M100</f>
        <v>APAGADO</v>
      </c>
      <c r="I98" s="23" t="str">
        <f>'RESUMEN TOTAL'!N100</f>
        <v>APAGADO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25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 t="str">
        <f>'RESUMEN TOTAL'!M107</f>
        <v>APAGADO</v>
      </c>
      <c r="I103" s="23" t="str">
        <f>'RESUMEN TOTAL'!N107</f>
        <v>APAGADO</v>
      </c>
      <c r="J103" s="23">
        <f>'RESUMEN TOTAL'!O107</f>
        <v>0</v>
      </c>
      <c r="K103" s="23">
        <f>'RESUMEN TOTAL'!P107</f>
        <v>0</v>
      </c>
      <c r="L103" s="23">
        <f>'RESUMEN TOTAL'!Q107</f>
        <v>0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25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25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25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25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25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25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25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25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25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 t="str">
        <f>'RESUMEN TOTAL'!K116</f>
        <v>APAGADO</v>
      </c>
      <c r="G112" s="23" t="str">
        <f>'RESUMEN TOTAL'!L116</f>
        <v>APAGADO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25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 t="str">
        <f>'RESUMEN TOTAL'!K117</f>
        <v>APAGADO</v>
      </c>
      <c r="G113" s="23" t="str">
        <f>'RESUMEN TOTAL'!L117</f>
        <v>APAGADO</v>
      </c>
      <c r="H113" s="23" t="str">
        <f>'RESUMEN TOTAL'!M117</f>
        <v>APAGADO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25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25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25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 t="str">
        <f>'RESUMEN TOTAL'!K120</f>
        <v>APAGADO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25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 t="str">
        <f>'RESUMEN TOTAL'!K121</f>
        <v>APAGADO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25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 t="str">
        <f>'RESUMEN TOTAL'!K122</f>
        <v>APAGADO</v>
      </c>
      <c r="G118" s="23" t="str">
        <f>'RESUMEN TOTAL'!L122</f>
        <v>APAGADO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25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 t="str">
        <f>'RESUMEN TOTAL'!K123</f>
        <v>APAGADO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25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25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 t="str">
        <f>'RESUMEN TOTAL'!K124</f>
        <v>APAGADO</v>
      </c>
      <c r="G121" s="23" t="str">
        <f>'RESUMEN TOTAL'!L124</f>
        <v>APAGADO</v>
      </c>
      <c r="H121" s="23" t="str">
        <f>'RESUMEN TOTAL'!M124</f>
        <v>APAGADO</v>
      </c>
      <c r="I121" s="23" t="str">
        <f>'RESUMEN TOTAL'!N124</f>
        <v>APAGADO</v>
      </c>
      <c r="J121" s="23">
        <f>'RESUMEN TOTAL'!O124</f>
        <v>0</v>
      </c>
      <c r="K121" s="23">
        <f>'RESUMEN TOTAL'!P124</f>
        <v>0</v>
      </c>
      <c r="L121" s="23">
        <f>'RESUMEN TOTAL'!Q124</f>
        <v>0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25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25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25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25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25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25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25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25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25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>
        <f>'RESUMEN TOTAL'!Q134</f>
        <v>0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25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>
        <f>'RESUMEN TOTAL'!Q135</f>
        <v>0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25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>
        <f>'RESUMEN TOTAL'!Q136</f>
        <v>0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25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>
        <f>'RESUMEN TOTAL'!Q137</f>
        <v>0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25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25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25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 t="str">
        <f>'RESUMEN TOTAL'!K140</f>
        <v>APAGADO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25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 t="str">
        <f>'RESUMEN TOTAL'!K141</f>
        <v>APAGADO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25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25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25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25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25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25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25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25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25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25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 t="str">
        <f>'RESUMEN TOTAL'!K143</f>
        <v>APAGADO</v>
      </c>
      <c r="G147" s="23" t="str">
        <f>'RESUMEN TOTAL'!L143</f>
        <v>APAGADO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25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25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25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25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25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25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25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25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25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25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 t="str">
        <f>'RESUMEN TOTAL'!L161</f>
        <v>APAGADO</v>
      </c>
      <c r="H157" s="23" t="str">
        <f>'RESUMEN TOTAL'!M161</f>
        <v>APAGADO</v>
      </c>
      <c r="I157" s="23" t="str">
        <f>'RESUMEN TOTAL'!N161</f>
        <v>APAGADO</v>
      </c>
      <c r="J157" s="23">
        <f>'RESUMEN TOTAL'!O161</f>
        <v>0</v>
      </c>
      <c r="K157" s="23">
        <f>'RESUMEN TOTAL'!P161</f>
        <v>0</v>
      </c>
      <c r="L157" s="23">
        <f>'RESUMEN TOTAL'!Q161</f>
        <v>0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25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 t="str">
        <f>'RESUMEN TOTAL'!K162</f>
        <v>APAGADO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>
        <f>'RESUMEN TOTAL'!Q162</f>
        <v>0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25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25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25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25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25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25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25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25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25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25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 t="str">
        <f>'RESUMEN TOTAL'!K172</f>
        <v>APAGADO</v>
      </c>
      <c r="G168" s="23" t="str">
        <f>'RESUMEN TOTAL'!L172</f>
        <v>APAGADO</v>
      </c>
      <c r="H168" s="23" t="str">
        <f>'RESUMEN TOTAL'!M172</f>
        <v>APAGADO</v>
      </c>
      <c r="I168" s="23" t="str">
        <f>'RESUMEN TOTAL'!N172</f>
        <v>APAGADO</v>
      </c>
      <c r="J168" s="23">
        <f>'RESUMEN TOTAL'!O172</f>
        <v>0</v>
      </c>
      <c r="K168" s="23">
        <f>'RESUMEN TOTAL'!P172</f>
        <v>0</v>
      </c>
      <c r="L168" s="23">
        <f>'RESUMEN TOTAL'!Q172</f>
        <v>0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25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 t="str">
        <f>'RESUMEN TOTAL'!K173</f>
        <v>APAGADO</v>
      </c>
      <c r="G169" s="23" t="str">
        <f>'RESUMEN TOTAL'!L173</f>
        <v>APAGADO</v>
      </c>
      <c r="H169" s="23" t="str">
        <f>'RESUMEN TOTAL'!M173</f>
        <v>APAGADO</v>
      </c>
      <c r="I169" s="23" t="str">
        <f>'RESUMEN TOTAL'!N173</f>
        <v>APAGADO</v>
      </c>
      <c r="J169" s="23">
        <f>'RESUMEN TOTAL'!O173</f>
        <v>0</v>
      </c>
      <c r="K169" s="23">
        <f>'RESUMEN TOTAL'!P173</f>
        <v>0</v>
      </c>
      <c r="L169" s="23">
        <f>'RESUMEN TOTAL'!Q173</f>
        <v>0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25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 t="str">
        <f>'RESUMEN TOTAL'!K174</f>
        <v>APAGADO</v>
      </c>
      <c r="G170" s="23" t="str">
        <f>'RESUMEN TOTAL'!L174</f>
        <v>APAGADO</v>
      </c>
      <c r="H170" s="23" t="str">
        <f>'RESUMEN TOTAL'!M174</f>
        <v>APAGADO</v>
      </c>
      <c r="I170" s="23" t="str">
        <f>'RESUMEN TOTAL'!N174</f>
        <v>APAGADO</v>
      </c>
      <c r="J170" s="23">
        <f>'RESUMEN TOTAL'!O174</f>
        <v>0</v>
      </c>
      <c r="K170" s="23">
        <f>'RESUMEN TOTAL'!P174</f>
        <v>0</v>
      </c>
      <c r="L170" s="23">
        <f>'RESUMEN TOTAL'!Q174</f>
        <v>0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25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 t="str">
        <f>'RESUMEN TOTAL'!K175</f>
        <v>APAGADO</v>
      </c>
      <c r="G171" s="23" t="str">
        <f>'RESUMEN TOTAL'!L175</f>
        <v>APAGADO</v>
      </c>
      <c r="H171" s="23" t="str">
        <f>'RESUMEN TOTAL'!M175</f>
        <v>APAGADO</v>
      </c>
      <c r="I171" s="23" t="str">
        <f>'RESUMEN TOTAL'!N175</f>
        <v>APAGADO</v>
      </c>
      <c r="J171" s="23">
        <f>'RESUMEN TOTAL'!O175</f>
        <v>0</v>
      </c>
      <c r="K171" s="23">
        <f>'RESUMEN TOTAL'!P175</f>
        <v>0</v>
      </c>
      <c r="L171" s="23">
        <f>'RESUMEN TOTAL'!Q175</f>
        <v>0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25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 t="str">
        <f>'RESUMEN TOTAL'!K176</f>
        <v>APAGADO</v>
      </c>
      <c r="G172" s="23" t="str">
        <f>'RESUMEN TOTAL'!L176</f>
        <v>APAGADO</v>
      </c>
      <c r="H172" s="23" t="str">
        <f>'RESUMEN TOTAL'!M176</f>
        <v>APAGADO</v>
      </c>
      <c r="I172" s="23" t="str">
        <f>'RESUMEN TOTAL'!N176</f>
        <v>APAGADO</v>
      </c>
      <c r="J172" s="23">
        <f>'RESUMEN TOTAL'!O176</f>
        <v>0</v>
      </c>
      <c r="K172" s="23">
        <f>'RESUMEN TOTAL'!P176</f>
        <v>0</v>
      </c>
      <c r="L172" s="23">
        <f>'RESUMEN TOTAL'!Q176</f>
        <v>0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25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 t="str">
        <f>'RESUMEN TOTAL'!K177</f>
        <v>APAGADO</v>
      </c>
      <c r="G173" s="23" t="str">
        <f>'RESUMEN TOTAL'!L177</f>
        <v>APAGADO</v>
      </c>
      <c r="H173" s="23">
        <f>'RESUMEN TOTAL'!M177</f>
        <v>0</v>
      </c>
      <c r="I173" s="23" t="str">
        <f>'RESUMEN TOTAL'!N177</f>
        <v>APAGADO</v>
      </c>
      <c r="J173" s="23">
        <f>'RESUMEN TOTAL'!O177</f>
        <v>0</v>
      </c>
      <c r="K173" s="23">
        <f>'RESUMEN TOTAL'!P177</f>
        <v>0</v>
      </c>
      <c r="L173" s="23">
        <f>'RESUMEN TOTAL'!Q177</f>
        <v>0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25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 t="str">
        <f>'RESUMEN TOTAL'!K178</f>
        <v>APAGADO</v>
      </c>
      <c r="G174" s="23" t="str">
        <f>'RESUMEN TOTAL'!L178</f>
        <v>APAGADO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25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 t="str">
        <f>'RESUMEN TOTAL'!K179</f>
        <v>APAGADO</v>
      </c>
      <c r="G175" s="23" t="str">
        <f>'RESUMEN TOTAL'!L179</f>
        <v>APAGADO</v>
      </c>
      <c r="H175" s="23">
        <f>'RESUMEN TOTAL'!M179</f>
        <v>0</v>
      </c>
      <c r="I175" s="23">
        <f>'RESUMEN TOTAL'!N179</f>
        <v>0</v>
      </c>
      <c r="J175" s="23">
        <f>'RESUMEN TOTAL'!O179</f>
        <v>0</v>
      </c>
      <c r="K175" s="23">
        <f>'RESUMEN TOTAL'!P179</f>
        <v>0</v>
      </c>
      <c r="L175" s="23">
        <f>'RESUMEN TOTAL'!Q179</f>
        <v>0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25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25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 t="str">
        <f>'RESUMEN TOTAL'!K181</f>
        <v>APAGADO</v>
      </c>
      <c r="G177" s="23" t="str">
        <f>'RESUMEN TOTAL'!L181</f>
        <v>APAGADO</v>
      </c>
      <c r="H177" s="23" t="str">
        <f>'RESUMEN TOTAL'!M181</f>
        <v>APAGADO</v>
      </c>
      <c r="I177" s="23" t="str">
        <f>'RESUMEN TOTAL'!N181</f>
        <v>APAGADO</v>
      </c>
      <c r="J177" s="23">
        <f>'RESUMEN TOTAL'!O181</f>
        <v>0</v>
      </c>
      <c r="K177" s="23">
        <f>'RESUMEN TOTAL'!P181</f>
        <v>0</v>
      </c>
      <c r="L177" s="23">
        <f>'RESUMEN TOTAL'!Q181</f>
        <v>0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25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 t="str">
        <f>'RESUMEN TOTAL'!K182</f>
        <v>APAGADO</v>
      </c>
      <c r="G178" s="23" t="str">
        <f>'RESUMEN TOTAL'!L182</f>
        <v>APAGADO</v>
      </c>
      <c r="H178" s="23" t="str">
        <f>'RESUMEN TOTAL'!M182</f>
        <v>APAGADO</v>
      </c>
      <c r="I178" s="23" t="str">
        <f>'RESUMEN TOTAL'!N182</f>
        <v>APAGADO</v>
      </c>
      <c r="J178" s="23">
        <f>'RESUMEN TOTAL'!O182</f>
        <v>0</v>
      </c>
      <c r="K178" s="23">
        <f>'RESUMEN TOTAL'!P182</f>
        <v>0</v>
      </c>
      <c r="L178" s="23">
        <f>'RESUMEN TOTAL'!Q182</f>
        <v>0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25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 t="str">
        <f>'RESUMEN TOTAL'!K183</f>
        <v>APAGADO</v>
      </c>
      <c r="G179" s="23" t="str">
        <f>'RESUMEN TOTAL'!L183</f>
        <v>APAGADO</v>
      </c>
      <c r="H179" s="23" t="str">
        <f>'RESUMEN TOTAL'!M183</f>
        <v>APAGADO</v>
      </c>
      <c r="I179" s="23" t="str">
        <f>'RESUMEN TOTAL'!N183</f>
        <v>APAGADO</v>
      </c>
      <c r="J179" s="23">
        <f>'RESUMEN TOTAL'!O183</f>
        <v>0</v>
      </c>
      <c r="K179" s="23">
        <f>'RESUMEN TOTAL'!P183</f>
        <v>0</v>
      </c>
      <c r="L179" s="23">
        <f>'RESUMEN TOTAL'!Q183</f>
        <v>0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25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 t="str">
        <f>'RESUMEN TOTAL'!K184</f>
        <v>APAGADO</v>
      </c>
      <c r="G180" s="23" t="str">
        <f>'RESUMEN TOTAL'!L184</f>
        <v>APAGADO</v>
      </c>
      <c r="H180" s="23" t="str">
        <f>'RESUMEN TOTAL'!M184</f>
        <v>APAGADO</v>
      </c>
      <c r="I180" s="23" t="str">
        <f>'RESUMEN TOTAL'!N184</f>
        <v>APAGADO</v>
      </c>
      <c r="J180" s="23">
        <f>'RESUMEN TOTAL'!O184</f>
        <v>0</v>
      </c>
      <c r="K180" s="23">
        <f>'RESUMEN TOTAL'!P184</f>
        <v>0</v>
      </c>
      <c r="L180" s="23">
        <f>'RESUMEN TOTAL'!Q184</f>
        <v>0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25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 t="str">
        <f>'RESUMEN TOTAL'!K185</f>
        <v>APAGADO</v>
      </c>
      <c r="G181" s="23">
        <f>'RESUMEN TOTAL'!L185</f>
        <v>0</v>
      </c>
      <c r="H181" s="23" t="str">
        <f>'RESUMEN TOTAL'!M185</f>
        <v>APAGADO</v>
      </c>
      <c r="I181" s="23" t="str">
        <f>'RESUMEN TOTAL'!N185</f>
        <v>APAGADO</v>
      </c>
      <c r="J181" s="23">
        <f>'RESUMEN TOTAL'!O185</f>
        <v>0</v>
      </c>
      <c r="K181" s="23">
        <f>'RESUMEN TOTAL'!P185</f>
        <v>0</v>
      </c>
      <c r="L181" s="23">
        <f>'RESUMEN TOTAL'!Q185</f>
        <v>0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25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 t="str">
        <f>'RESUMEN TOTAL'!K186</f>
        <v>APAGADO</v>
      </c>
      <c r="G182" s="23">
        <f>'RESUMEN TOTAL'!L186</f>
        <v>0</v>
      </c>
      <c r="H182" s="23" t="str">
        <f>'RESUMEN TOTAL'!M186</f>
        <v>APAGADO</v>
      </c>
      <c r="I182" s="23" t="str">
        <f>'RESUMEN TOTAL'!N186</f>
        <v>APAGADO</v>
      </c>
      <c r="J182" s="23">
        <f>'RESUMEN TOTAL'!O186</f>
        <v>0</v>
      </c>
      <c r="K182" s="23">
        <f>'RESUMEN TOTAL'!P186</f>
        <v>0</v>
      </c>
      <c r="L182" s="23">
        <f>'RESUMEN TOTAL'!Q186</f>
        <v>0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25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 t="str">
        <f>'RESUMEN TOTAL'!K187</f>
        <v>APAGADO</v>
      </c>
      <c r="G183" s="23" t="str">
        <f>'RESUMEN TOTAL'!L187</f>
        <v>APAGADO</v>
      </c>
      <c r="H183" s="23" t="str">
        <f>'RESUMEN TOTAL'!M187</f>
        <v>APAGADO</v>
      </c>
      <c r="I183" s="23" t="str">
        <f>'RESUMEN TOTAL'!N187</f>
        <v>APAGADO</v>
      </c>
      <c r="J183" s="23">
        <f>'RESUMEN TOTAL'!O187</f>
        <v>0</v>
      </c>
      <c r="K183" s="23">
        <f>'RESUMEN TOTAL'!P187</f>
        <v>0</v>
      </c>
      <c r="L183" s="23">
        <f>'RESUMEN TOTAL'!Q187</f>
        <v>0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25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25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 t="str">
        <f>'RESUMEN TOTAL'!K189</f>
        <v>APAGADO</v>
      </c>
      <c r="G185" s="23" t="str">
        <f>'RESUMEN TOTAL'!L189</f>
        <v>APAGADO</v>
      </c>
      <c r="H185" s="23" t="str">
        <f>'RESUMEN TOTAL'!M189</f>
        <v>APAGADO</v>
      </c>
      <c r="I185" s="23" t="str">
        <f>'RESUMEN TOTAL'!N189</f>
        <v>APAGADO</v>
      </c>
      <c r="J185" s="23">
        <f>'RESUMEN TOTAL'!O189</f>
        <v>0</v>
      </c>
      <c r="K185" s="23">
        <f>'RESUMEN TOTAL'!P189</f>
        <v>0</v>
      </c>
      <c r="L185" s="23">
        <f>'RESUMEN TOTAL'!Q189</f>
        <v>0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25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 t="str">
        <f>'RESUMEN TOTAL'!K190</f>
        <v>APAGADO</v>
      </c>
      <c r="G186" s="23" t="str">
        <f>'RESUMEN TOTAL'!L190</f>
        <v>APAGADO</v>
      </c>
      <c r="H186" s="23" t="str">
        <f>'RESUMEN TOTAL'!M190</f>
        <v>APAGADO</v>
      </c>
      <c r="I186" s="23" t="str">
        <f>'RESUMEN TOTAL'!N190</f>
        <v>APAGADO</v>
      </c>
      <c r="J186" s="23">
        <f>'RESUMEN TOTAL'!O190</f>
        <v>0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25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 t="str">
        <f>'RESUMEN TOTAL'!K191</f>
        <v>APAGADO</v>
      </c>
      <c r="G187" s="23" t="str">
        <f>'RESUMEN TOTAL'!L191</f>
        <v>APAGADO</v>
      </c>
      <c r="H187" s="23" t="str">
        <f>'RESUMEN TOTAL'!M191</f>
        <v>APAGADO</v>
      </c>
      <c r="I187" s="23" t="str">
        <f>'RESUMEN TOTAL'!N191</f>
        <v>APAGADO</v>
      </c>
      <c r="J187" s="23">
        <f>'RESUMEN TOTAL'!O191</f>
        <v>0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25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25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25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 t="str">
        <f>'RESUMEN TOTAL'!K194</f>
        <v>APAGADO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25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 t="str">
        <f>'RESUMEN TOTAL'!K195</f>
        <v>APAGADO</v>
      </c>
      <c r="G191" s="23" t="str">
        <f>'RESUMEN TOTAL'!L195</f>
        <v>APAGADO</v>
      </c>
      <c r="H191" s="23" t="str">
        <f>'RESUMEN TOTAL'!M195</f>
        <v>APAGADO</v>
      </c>
      <c r="I191" s="23" t="str">
        <f>'RESUMEN TOTAL'!N195</f>
        <v>APAGADO</v>
      </c>
      <c r="J191" s="23">
        <f>'RESUMEN TOTAL'!O195</f>
        <v>0</v>
      </c>
      <c r="K191" s="23">
        <f>'RESUMEN TOTAL'!P195</f>
        <v>0</v>
      </c>
      <c r="L191" s="23">
        <f>'RESUMEN TOTAL'!Q195</f>
        <v>0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25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 t="str">
        <f>'RESUMEN TOTAL'!K196</f>
        <v>APAGADO</v>
      </c>
      <c r="G192" s="23" t="str">
        <f>'RESUMEN TOTAL'!L196</f>
        <v>APAGADO</v>
      </c>
      <c r="H192" s="23" t="str">
        <f>'RESUMEN TOTAL'!M196</f>
        <v>APAGADO</v>
      </c>
      <c r="I192" s="23" t="str">
        <f>'RESUMEN TOTAL'!N196</f>
        <v>APAGADO</v>
      </c>
      <c r="J192" s="23">
        <f>'RESUMEN TOTAL'!O196</f>
        <v>0</v>
      </c>
      <c r="K192" s="23">
        <f>'RESUMEN TOTAL'!P196</f>
        <v>0</v>
      </c>
      <c r="L192" s="23">
        <f>'RESUMEN TOTAL'!Q196</f>
        <v>0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25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 t="str">
        <f>'RESUMEN TOTAL'!K197</f>
        <v>APAGADO</v>
      </c>
      <c r="G193" s="23" t="str">
        <f>'RESUMEN TOTAL'!L197</f>
        <v>APAGADO</v>
      </c>
      <c r="H193" s="23" t="str">
        <f>'RESUMEN TOTAL'!M197</f>
        <v>APAGADO</v>
      </c>
      <c r="I193" s="23" t="str">
        <f>'RESUMEN TOTAL'!N197</f>
        <v>APAGADO</v>
      </c>
      <c r="J193" s="23">
        <f>'RESUMEN TOTAL'!O197</f>
        <v>0</v>
      </c>
      <c r="K193" s="23">
        <f>'RESUMEN TOTAL'!P197</f>
        <v>0</v>
      </c>
      <c r="L193" s="23">
        <f>'RESUMEN TOTAL'!Q197</f>
        <v>0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25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 t="str">
        <f>'RESUMEN TOTAL'!K198</f>
        <v>APAGADO</v>
      </c>
      <c r="G194" s="23" t="str">
        <f>'RESUMEN TOTAL'!L198</f>
        <v>APAGADO</v>
      </c>
      <c r="H194" s="23" t="str">
        <f>'RESUMEN TOTAL'!M198</f>
        <v>APAGADO</v>
      </c>
      <c r="I194" s="23" t="str">
        <f>'RESUMEN TOTAL'!N198</f>
        <v>APAGADO</v>
      </c>
      <c r="J194" s="23">
        <f>'RESUMEN TOTAL'!O198</f>
        <v>0</v>
      </c>
      <c r="K194" s="23">
        <f>'RESUMEN TOTAL'!P198</f>
        <v>0</v>
      </c>
      <c r="L194" s="23">
        <f>'RESUMEN TOTAL'!Q198</f>
        <v>0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25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 t="str">
        <f>'RESUMEN TOTAL'!K199</f>
        <v>APAGADO</v>
      </c>
      <c r="G195" s="23" t="str">
        <f>'RESUMEN TOTAL'!L199</f>
        <v>APAGADO</v>
      </c>
      <c r="H195" s="23" t="str">
        <f>'RESUMEN TOTAL'!M199</f>
        <v>APAGADO</v>
      </c>
      <c r="I195" s="23" t="str">
        <f>'RESUMEN TOTAL'!N199</f>
        <v>APAGADO</v>
      </c>
      <c r="J195" s="23">
        <f>'RESUMEN TOTAL'!O199</f>
        <v>0</v>
      </c>
      <c r="K195" s="23">
        <f>'RESUMEN TOTAL'!P199</f>
        <v>0</v>
      </c>
      <c r="L195" s="23">
        <f>'RESUMEN TOTAL'!Q199</f>
        <v>0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25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 t="str">
        <f>'RESUMEN TOTAL'!K200</f>
        <v>APAGADO</v>
      </c>
      <c r="G196" s="23" t="str">
        <f>'RESUMEN TOTAL'!L200</f>
        <v>APAGADO</v>
      </c>
      <c r="H196" s="23" t="str">
        <f>'RESUMEN TOTAL'!M200</f>
        <v>APAGADO</v>
      </c>
      <c r="I196" s="23" t="str">
        <f>'RESUMEN TOTAL'!N200</f>
        <v>APAGADO</v>
      </c>
      <c r="J196" s="23">
        <f>'RESUMEN TOTAL'!O200</f>
        <v>0</v>
      </c>
      <c r="K196" s="23">
        <f>'RESUMEN TOTAL'!P200</f>
        <v>0</v>
      </c>
      <c r="L196" s="23">
        <f>'RESUMEN TOTAL'!Q200</f>
        <v>0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25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 t="str">
        <f>'RESUMEN TOTAL'!K201</f>
        <v>APAGADO</v>
      </c>
      <c r="G197" s="23" t="str">
        <f>'RESUMEN TOTAL'!L201</f>
        <v>APAGADO</v>
      </c>
      <c r="H197" s="23" t="str">
        <f>'RESUMEN TOTAL'!M201</f>
        <v>APAGADO</v>
      </c>
      <c r="I197" s="23" t="str">
        <f>'RESUMEN TOTAL'!N201</f>
        <v>APAGADO</v>
      </c>
      <c r="J197" s="23">
        <f>'RESUMEN TOTAL'!O201</f>
        <v>0</v>
      </c>
      <c r="K197" s="23">
        <f>'RESUMEN TOTAL'!P201</f>
        <v>0</v>
      </c>
      <c r="L197" s="23">
        <f>'RESUMEN TOTAL'!Q201</f>
        <v>0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25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25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 t="str">
        <f>'RESUMEN TOTAL'!K203</f>
        <v>APAGADO</v>
      </c>
      <c r="G199" s="23" t="str">
        <f>'RESUMEN TOTAL'!L203</f>
        <v>APAGADO</v>
      </c>
      <c r="H199" s="23" t="str">
        <f>'RESUMEN TOTAL'!M203</f>
        <v>APAGADO</v>
      </c>
      <c r="I199" s="23" t="str">
        <f>'RESUMEN TOTAL'!N203</f>
        <v>APAGADO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25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25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>
        <f>'RESUMEN TOTAL'!P205</f>
        <v>0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25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25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25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25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 t="str">
        <f>'RESUMEN TOTAL'!L209</f>
        <v>APAGADO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25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 t="str">
        <f>'RESUMEN TOTAL'!K210</f>
        <v>APAGADO</v>
      </c>
      <c r="G206" s="23" t="str">
        <f>'RESUMEN TOTAL'!L210</f>
        <v>APAGADO</v>
      </c>
      <c r="H206" s="23" t="str">
        <f>'RESUMEN TOTAL'!M210</f>
        <v>APAGADO</v>
      </c>
      <c r="I206" s="23">
        <f>'RESUMEN TOTAL'!N210</f>
        <v>0</v>
      </c>
      <c r="J206" s="23">
        <f>'RESUMEN TOTAL'!O210</f>
        <v>0</v>
      </c>
      <c r="K206" s="23">
        <f>'RESUMEN TOTAL'!P210</f>
        <v>0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25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25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25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25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 t="str">
        <f>'RESUMEN TOTAL'!K214</f>
        <v>APAGADO</v>
      </c>
      <c r="G210" s="23" t="str">
        <f>'RESUMEN TOTAL'!L214</f>
        <v>APAGADO</v>
      </c>
      <c r="H210" s="23" t="str">
        <f>'RESUMEN TOTAL'!M214</f>
        <v>APAGADO</v>
      </c>
      <c r="I210" s="23" t="str">
        <f>'RESUMEN TOTAL'!N214</f>
        <v>APAGADO</v>
      </c>
      <c r="J210" s="23">
        <f>'RESUMEN TOTAL'!O214</f>
        <v>0</v>
      </c>
      <c r="K210" s="23">
        <f>'RESUMEN TOTAL'!P214</f>
        <v>0</v>
      </c>
      <c r="L210" s="23">
        <f>'RESUMEN TOTAL'!Q214</f>
        <v>0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25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 t="str">
        <f>'RESUMEN TOTAL'!K215</f>
        <v>APAGADO</v>
      </c>
      <c r="G211" s="23" t="str">
        <f>'RESUMEN TOTAL'!L215</f>
        <v>APAGADO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25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25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25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25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25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25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 t="str">
        <f>'RESUMEN TOTAL'!K221</f>
        <v>APAGADO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25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 t="str">
        <f>'RESUMEN TOTAL'!K222</f>
        <v>APAGADO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25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 t="str">
        <f>'RESUMEN TOTAL'!K223</f>
        <v>APAGADO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25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 t="str">
        <f>'RESUMEN TOTAL'!K224</f>
        <v>APAGADO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25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 t="str">
        <f>'RESUMEN TOTAL'!K225</f>
        <v>APAGADO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25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 t="str">
        <f>'RESUMEN TOTAL'!L226</f>
        <v>APAGADO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25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25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25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 t="str">
        <f>'RESUMEN TOTAL'!K229</f>
        <v>APAGADO</v>
      </c>
      <c r="G225" s="23" t="str">
        <f>'RESUMEN TOTAL'!L229</f>
        <v>APAGADO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25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 t="str">
        <f>'RESUMEN TOTAL'!K230</f>
        <v>APAGADO</v>
      </c>
      <c r="G226" s="23" t="str">
        <f>'RESUMEN TOTAL'!L230</f>
        <v>APAGADO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25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 t="str">
        <f>'RESUMEN TOTAL'!K231</f>
        <v>APAGADO</v>
      </c>
      <c r="G227" s="23" t="str">
        <f>'RESUMEN TOTAL'!L231</f>
        <v>APAGADO</v>
      </c>
      <c r="H227" s="23" t="str">
        <f>'RESUMEN TOTAL'!M231</f>
        <v>APAGADO</v>
      </c>
      <c r="I227" s="23" t="str">
        <f>'RESUMEN TOTAL'!N231</f>
        <v>APAGADO</v>
      </c>
      <c r="J227" s="23">
        <f>'RESUMEN TOTAL'!O231</f>
        <v>0</v>
      </c>
      <c r="K227" s="23">
        <f>'RESUMEN TOTAL'!P231</f>
        <v>0</v>
      </c>
      <c r="L227" s="23">
        <f>'RESUMEN TOTAL'!Q231</f>
        <v>0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25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25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25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25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25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25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25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 t="str">
        <f>'RESUMEN TOTAL'!K238</f>
        <v>APAGADO</v>
      </c>
      <c r="G234" s="23" t="str">
        <f>'RESUMEN TOTAL'!L238</f>
        <v>APAGADO</v>
      </c>
      <c r="H234" s="23" t="str">
        <f>'RESUMEN TOTAL'!M238</f>
        <v>APAGADO</v>
      </c>
      <c r="I234" s="23" t="str">
        <f>'RESUMEN TOTAL'!N238</f>
        <v>APAGADO</v>
      </c>
      <c r="J234" s="23">
        <f>'RESUMEN TOTAL'!O238</f>
        <v>0</v>
      </c>
      <c r="K234" s="23">
        <f>'RESUMEN TOTAL'!P238</f>
        <v>0</v>
      </c>
      <c r="L234" s="23">
        <f>'RESUMEN TOTAL'!Q238</f>
        <v>0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25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 t="str">
        <f>'RESUMEN TOTAL'!K239</f>
        <v>APAGADO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25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 t="str">
        <f>'RESUMEN TOTAL'!K240</f>
        <v>APAGADO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25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25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25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 t="str">
        <f>'RESUMEN TOTAL'!K243</f>
        <v>APAGADO</v>
      </c>
      <c r="G239" s="23" t="str">
        <f>'RESUMEN TOTAL'!L243</f>
        <v>APAGADO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25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25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25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25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25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 t="str">
        <f>'RESUMEN TOTAL'!K248</f>
        <v>APAGADO</v>
      </c>
      <c r="G244" s="23">
        <f>'RESUMEN TOTAL'!L248</f>
        <v>0</v>
      </c>
      <c r="H244" s="23" t="str">
        <f>'RESUMEN TOTAL'!M248</f>
        <v>APAGADO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25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 t="str">
        <f>'RESUMEN TOTAL'!K249</f>
        <v>APAGADO</v>
      </c>
      <c r="G245" s="23" t="str">
        <f>'RESUMEN TOTAL'!L249</f>
        <v>APAGADO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25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 t="str">
        <f>'RESUMEN TOTAL'!K250</f>
        <v>APAGADO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25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 t="str">
        <f>'RESUMEN TOTAL'!K251</f>
        <v>APAGADO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25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25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25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 t="str">
        <f>'RESUMEN TOTAL'!K254</f>
        <v>APAGADO</v>
      </c>
      <c r="G250" s="23" t="str">
        <f>'RESUMEN TOTAL'!L254</f>
        <v>APAGADO</v>
      </c>
      <c r="H250" s="23" t="str">
        <f>'RESUMEN TOTAL'!M254</f>
        <v>APAGADO</v>
      </c>
      <c r="I250" s="23" t="str">
        <f>'RESUMEN TOTAL'!N254</f>
        <v>APAGADO</v>
      </c>
      <c r="J250" s="23">
        <f>'RESUMEN TOTAL'!O254</f>
        <v>0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25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 t="str">
        <f>'RESUMEN TOTAL'!K255</f>
        <v>APAGADO</v>
      </c>
      <c r="G251" s="23" t="str">
        <f>'RESUMEN TOTAL'!L255</f>
        <v>APAGADO</v>
      </c>
      <c r="H251" s="23" t="str">
        <f>'RESUMEN TOTAL'!M255</f>
        <v>APAGADO</v>
      </c>
      <c r="I251" s="23" t="str">
        <f>'RESUMEN TOTAL'!N255</f>
        <v>APAGADO</v>
      </c>
      <c r="J251" s="23">
        <f>'RESUMEN TOTAL'!O255</f>
        <v>0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25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 t="str">
        <f>'RESUMEN TOTAL'!K256</f>
        <v>APAGADO</v>
      </c>
      <c r="G252" s="23" t="str">
        <f>'RESUMEN TOTAL'!L256</f>
        <v>APAGADO</v>
      </c>
      <c r="H252" s="23" t="str">
        <f>'RESUMEN TOTAL'!M256</f>
        <v>APAGADO</v>
      </c>
      <c r="I252" s="23" t="str">
        <f>'RESUMEN TOTAL'!N256</f>
        <v>APAGADO</v>
      </c>
      <c r="J252" s="23">
        <f>'RESUMEN TOTAL'!O256</f>
        <v>0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25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 t="str">
        <f>'RESUMEN TOTAL'!K257</f>
        <v>APAGADO</v>
      </c>
      <c r="G253" s="23" t="str">
        <f>'RESUMEN TOTAL'!L257</f>
        <v>APAGADO</v>
      </c>
      <c r="H253" s="23" t="str">
        <f>'RESUMEN TOTAL'!M257</f>
        <v>APAGADO</v>
      </c>
      <c r="I253" s="23" t="str">
        <f>'RESUMEN TOTAL'!N257</f>
        <v>APAGADO</v>
      </c>
      <c r="J253" s="23">
        <f>'RESUMEN TOTAL'!O257</f>
        <v>0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25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 t="str">
        <f>'RESUMEN TOTAL'!K258</f>
        <v>APAGADO</v>
      </c>
      <c r="G254" s="23" t="str">
        <f>'RESUMEN TOTAL'!L258</f>
        <v>APAGADO</v>
      </c>
      <c r="H254" s="23" t="str">
        <f>'RESUMEN TOTAL'!M258</f>
        <v>APAGADO</v>
      </c>
      <c r="I254" s="23" t="str">
        <f>'RESUMEN TOTAL'!N258</f>
        <v>APAGADO</v>
      </c>
      <c r="J254" s="23">
        <f>'RESUMEN TOTAL'!O258</f>
        <v>0</v>
      </c>
      <c r="K254" s="23">
        <f>'RESUMEN TOTAL'!P258</f>
        <v>0</v>
      </c>
      <c r="L254" s="23">
        <f>'RESUMEN TOTAL'!Q258</f>
        <v>0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25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 t="str">
        <f>'RESUMEN TOTAL'!K259</f>
        <v>APAGADO</v>
      </c>
      <c r="G255" s="23">
        <f>'RESUMEN TOTAL'!L259</f>
        <v>0</v>
      </c>
      <c r="H255" s="23" t="str">
        <f>'RESUMEN TOTAL'!M259</f>
        <v>APAGADO</v>
      </c>
      <c r="I255" s="23" t="str">
        <f>'RESUMEN TOTAL'!N259</f>
        <v>APAGADO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25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 t="str">
        <f>'RESUMEN TOTAL'!K260</f>
        <v>APAGADO</v>
      </c>
      <c r="G256" s="23" t="str">
        <f>'RESUMEN TOTAL'!L260</f>
        <v>APAGADO</v>
      </c>
      <c r="H256" s="23" t="str">
        <f>'RESUMEN TOTAL'!M260</f>
        <v>APAGADO</v>
      </c>
      <c r="I256" s="23" t="str">
        <f>'RESUMEN TOTAL'!N260</f>
        <v>APAGADO</v>
      </c>
      <c r="J256" s="23">
        <f>'RESUMEN TOTAL'!O260</f>
        <v>0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25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 t="str">
        <f>'RESUMEN TOTAL'!K261</f>
        <v>APAGADO</v>
      </c>
      <c r="G257" s="23" t="str">
        <f>'RESUMEN TOTAL'!L261</f>
        <v>APAGADO</v>
      </c>
      <c r="H257" s="23" t="str">
        <f>'RESUMEN TOTAL'!M261</f>
        <v>APAGADO</v>
      </c>
      <c r="I257" s="23" t="str">
        <f>'RESUMEN TOTAL'!N261</f>
        <v>APAGADO</v>
      </c>
      <c r="J257" s="23">
        <f>'RESUMEN TOTAL'!O261</f>
        <v>0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25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 t="str">
        <f>'RESUMEN TOTAL'!K262</f>
        <v>APAGADO</v>
      </c>
      <c r="G258" s="23" t="str">
        <f>'RESUMEN TOTAL'!L262</f>
        <v>APAGADO</v>
      </c>
      <c r="H258" s="23" t="str">
        <f>'RESUMEN TOTAL'!M262</f>
        <v>APAGADO</v>
      </c>
      <c r="I258" s="23" t="str">
        <f>'RESUMEN TOTAL'!N262</f>
        <v>APAGADO</v>
      </c>
      <c r="J258" s="23">
        <f>'RESUMEN TOTAL'!O262</f>
        <v>0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25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 t="str">
        <f>'RESUMEN TOTAL'!K263</f>
        <v>APAGADO</v>
      </c>
      <c r="G259" s="23" t="str">
        <f>'RESUMEN TOTAL'!L263</f>
        <v>APAGADO</v>
      </c>
      <c r="H259" s="23" t="str">
        <f>'RESUMEN TOTAL'!M263</f>
        <v>APAGADO</v>
      </c>
      <c r="I259" s="23" t="str">
        <f>'RESUMEN TOTAL'!N263</f>
        <v>APAGADO</v>
      </c>
      <c r="J259" s="23">
        <f>'RESUMEN TOTAL'!O263</f>
        <v>0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25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 t="str">
        <f>'RESUMEN TOTAL'!K264</f>
        <v>APAGADO</v>
      </c>
      <c r="G260" s="23" t="str">
        <f>'RESUMEN TOTAL'!L264</f>
        <v>APAGADO</v>
      </c>
      <c r="H260" s="23" t="str">
        <f>'RESUMEN TOTAL'!M264</f>
        <v>APAGADO</v>
      </c>
      <c r="I260" s="23" t="str">
        <f>'RESUMEN TOTAL'!N264</f>
        <v>APAGADO</v>
      </c>
      <c r="J260" s="23">
        <f>'RESUMEN TOTAL'!O264</f>
        <v>0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25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25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25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 t="str">
        <f>'RESUMEN TOTAL'!K268</f>
        <v>APAGADO</v>
      </c>
      <c r="G263" s="23" t="str">
        <f>'RESUMEN TOTAL'!L268</f>
        <v>APAGADO</v>
      </c>
      <c r="H263" s="23" t="str">
        <f>'RESUMEN TOTAL'!M268</f>
        <v>APAGADO</v>
      </c>
      <c r="I263" s="23" t="str">
        <f>'RESUMEN TOTAL'!N268</f>
        <v>APAGADO</v>
      </c>
      <c r="J263" s="23">
        <f>'RESUMEN TOTAL'!O268</f>
        <v>0</v>
      </c>
      <c r="K263" s="23">
        <f>'RESUMEN TOTAL'!P268</f>
        <v>0</v>
      </c>
      <c r="L263" s="23">
        <f>'RESUMEN TOTAL'!Q268</f>
        <v>0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25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 t="str">
        <f>'RESUMEN TOTAL'!K269</f>
        <v>APAGADO</v>
      </c>
      <c r="G264" s="23" t="str">
        <f>'RESUMEN TOTAL'!L269</f>
        <v>APAGADO</v>
      </c>
      <c r="H264" s="23" t="str">
        <f>'RESUMEN TOTAL'!M269</f>
        <v>APAGADO</v>
      </c>
      <c r="I264" s="23" t="str">
        <f>'RESUMEN TOTAL'!N269</f>
        <v>APAGADO</v>
      </c>
      <c r="J264" s="23">
        <f>'RESUMEN TOTAL'!O269</f>
        <v>0</v>
      </c>
      <c r="K264" s="23">
        <f>'RESUMEN TOTAL'!P269</f>
        <v>0</v>
      </c>
      <c r="L264" s="23">
        <f>'RESUMEN TOTAL'!Q269</f>
        <v>0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25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 t="str">
        <f>'RESUMEN TOTAL'!K270</f>
        <v>APAGADO</v>
      </c>
      <c r="G265" s="23" t="str">
        <f>'RESUMEN TOTAL'!L270</f>
        <v>APAGADO</v>
      </c>
      <c r="H265" s="23" t="str">
        <f>'RESUMEN TOTAL'!M270</f>
        <v>APAGADO</v>
      </c>
      <c r="I265" s="23" t="str">
        <f>'RESUMEN TOTAL'!N270</f>
        <v>APAGADO</v>
      </c>
      <c r="J265" s="23">
        <f>'RESUMEN TOTAL'!O270</f>
        <v>0</v>
      </c>
      <c r="K265" s="23">
        <f>'RESUMEN TOTAL'!P270</f>
        <v>0</v>
      </c>
      <c r="L265" s="23">
        <f>'RESUMEN TOTAL'!Q270</f>
        <v>0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25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25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25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25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25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25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25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 t="str">
        <f>'RESUMEN TOTAL'!K277</f>
        <v>APAGADO</v>
      </c>
      <c r="G272" s="23" t="str">
        <f>'RESUMEN TOTAL'!L277</f>
        <v>APAGADO</v>
      </c>
      <c r="H272" s="23" t="str">
        <f>'RESUMEN TOTAL'!M277</f>
        <v>APAGADO</v>
      </c>
      <c r="I272" s="23" t="str">
        <f>'RESUMEN TOTAL'!N277</f>
        <v>APAGADO</v>
      </c>
      <c r="J272" s="23">
        <f>'RESUMEN TOTAL'!O277</f>
        <v>0</v>
      </c>
      <c r="K272" s="23">
        <f>'RESUMEN TOTAL'!P277</f>
        <v>0</v>
      </c>
      <c r="L272" s="23">
        <f>'RESUMEN TOTAL'!Q277</f>
        <v>0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25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 t="str">
        <f>'RESUMEN TOTAL'!N278</f>
        <v>APAGADO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25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25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25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 t="str">
        <f>'RESUMEN TOTAL'!K281</f>
        <v>APAGADO</v>
      </c>
      <c r="G276" s="23" t="str">
        <f>'RESUMEN TOTAL'!L281</f>
        <v>APAGADO</v>
      </c>
      <c r="H276" s="23" t="str">
        <f>'RESUMEN TOTAL'!M281</f>
        <v>APAGADO</v>
      </c>
      <c r="I276" s="23">
        <f>'RESUMEN TOTAL'!N281</f>
        <v>0</v>
      </c>
      <c r="J276" s="23">
        <f>'RESUMEN TOTAL'!O281</f>
        <v>0</v>
      </c>
      <c r="K276" s="23">
        <f>'RESUMEN TOTAL'!P281</f>
        <v>0</v>
      </c>
      <c r="L276" s="23">
        <f>'RESUMEN TOTAL'!Q281</f>
        <v>0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25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25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25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25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 t="str">
        <f>'RESUMEN TOTAL'!L285</f>
        <v>APAGADO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25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25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25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25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25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25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25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25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25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25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25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25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25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25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25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25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25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25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25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25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25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25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25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25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25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 t="str">
        <f>'RESUMEN TOTAL'!K310</f>
        <v>APAGADO</v>
      </c>
      <c r="G305" s="23" t="str">
        <f>'RESUMEN TOTAL'!L310</f>
        <v>APAGADO</v>
      </c>
      <c r="H305" s="23" t="str">
        <f>'RESUMEN TOTAL'!M310</f>
        <v>APAGADO</v>
      </c>
      <c r="I305" s="23" t="str">
        <f>'RESUMEN TOTAL'!N310</f>
        <v>APAGADO</v>
      </c>
      <c r="J305" s="23">
        <f>'RESUMEN TOTAL'!O310</f>
        <v>0</v>
      </c>
      <c r="K305" s="23">
        <f>'RESUMEN TOTAL'!P310</f>
        <v>0</v>
      </c>
      <c r="L305" s="23">
        <f>'RESUMEN TOTAL'!Q310</f>
        <v>0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25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 t="str">
        <f>'RESUMEN TOTAL'!M311</f>
        <v>APAGADO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25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 t="str">
        <f>'RESUMEN TOTAL'!M312</f>
        <v>APAGADO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25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 t="str">
        <f>'RESUMEN TOTAL'!K313</f>
        <v>APAGADO</v>
      </c>
      <c r="G308" s="23" t="str">
        <f>'RESUMEN TOTAL'!L313</f>
        <v>APAGADO</v>
      </c>
      <c r="H308" s="23" t="str">
        <f>'RESUMEN TOTAL'!M313</f>
        <v>APAGADO</v>
      </c>
      <c r="I308" s="23" t="str">
        <f>'RESUMEN TOTAL'!N313</f>
        <v>APAGADO</v>
      </c>
      <c r="J308" s="23">
        <f>'RESUMEN TOTAL'!O313</f>
        <v>0</v>
      </c>
      <c r="K308" s="23">
        <f>'RESUMEN TOTAL'!P313</f>
        <v>0</v>
      </c>
      <c r="L308" s="23">
        <f>'RESUMEN TOTAL'!Q313</f>
        <v>0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25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 t="str">
        <f>'RESUMEN TOTAL'!N314</f>
        <v>APAGADO</v>
      </c>
      <c r="J309" s="23">
        <f>'RESUMEN TOTAL'!O314</f>
        <v>0</v>
      </c>
      <c r="K309" s="23">
        <f>'RESUMEN TOTAL'!P314</f>
        <v>0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25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25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25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25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25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25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25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25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25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25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25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>
        <f>'RESUMEN TOTAL'!P325</f>
        <v>0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25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25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25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25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25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25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25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 t="str">
        <f>'RESUMEN TOTAL'!K332</f>
        <v>APAGADO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25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25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25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25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>
        <f>'RESUMEN TOTAL'!P336</f>
        <v>0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25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25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25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25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25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25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 t="str">
        <f>'RESUMEN TOTAL'!K342</f>
        <v>APAGADO</v>
      </c>
      <c r="G337" s="23" t="str">
        <f>'RESUMEN TOTAL'!L342</f>
        <v>APAGADO</v>
      </c>
      <c r="H337" s="23" t="str">
        <f>'RESUMEN TOTAL'!M342</f>
        <v>APAGADO</v>
      </c>
      <c r="I337" s="23" t="str">
        <f>'RESUMEN TOTAL'!N342</f>
        <v>APAGADO</v>
      </c>
      <c r="J337" s="23">
        <f>'RESUMEN TOTAL'!O342</f>
        <v>0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25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 t="str">
        <f>'RESUMEN TOTAL'!K343</f>
        <v>APAGADO</v>
      </c>
      <c r="G338" s="23" t="str">
        <f>'RESUMEN TOTAL'!L343</f>
        <v>APAGADO</v>
      </c>
      <c r="H338" s="23" t="str">
        <f>'RESUMEN TOTAL'!M343</f>
        <v>APAGADO</v>
      </c>
      <c r="I338" s="23" t="str">
        <f>'RESUMEN TOTAL'!N343</f>
        <v>APAGADO</v>
      </c>
      <c r="J338" s="23">
        <f>'RESUMEN TOTAL'!O343</f>
        <v>0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25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 t="str">
        <f>'RESUMEN TOTAL'!K344</f>
        <v>APAGADO</v>
      </c>
      <c r="G339" s="23" t="str">
        <f>'RESUMEN TOTAL'!L344</f>
        <v>APAGADO</v>
      </c>
      <c r="H339" s="23" t="str">
        <f>'RESUMEN TOTAL'!M344</f>
        <v>APAGADO</v>
      </c>
      <c r="I339" s="23" t="str">
        <f>'RESUMEN TOTAL'!N344</f>
        <v>APAGADO</v>
      </c>
      <c r="J339" s="23">
        <f>'RESUMEN TOTAL'!O344</f>
        <v>0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25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 t="str">
        <f>'RESUMEN TOTAL'!L345</f>
        <v>APAGADO</v>
      </c>
      <c r="H340" s="23" t="str">
        <f>'RESUMEN TOTAL'!M345</f>
        <v>APAGADO</v>
      </c>
      <c r="I340" s="23" t="str">
        <f>'RESUMEN TOTAL'!N345</f>
        <v>APAGADO</v>
      </c>
      <c r="J340" s="23">
        <f>'RESUMEN TOTAL'!O345</f>
        <v>0</v>
      </c>
      <c r="K340" s="23">
        <f>'RESUMEN TOTAL'!P345</f>
        <v>0</v>
      </c>
      <c r="L340" s="23">
        <f>'RESUMEN TOTAL'!Q345</f>
        <v>0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25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 t="str">
        <f>'RESUMEN TOTAL'!K346</f>
        <v>APAGADO</v>
      </c>
      <c r="G341" s="23" t="str">
        <f>'RESUMEN TOTAL'!L346</f>
        <v>APAGADO</v>
      </c>
      <c r="H341" s="23" t="str">
        <f>'RESUMEN TOTAL'!M346</f>
        <v>APAGADO</v>
      </c>
      <c r="I341" s="23" t="str">
        <f>'RESUMEN TOTAL'!N346</f>
        <v>APAGADO</v>
      </c>
      <c r="J341" s="23">
        <f>'RESUMEN TOTAL'!O346</f>
        <v>0</v>
      </c>
      <c r="K341" s="23">
        <f>'RESUMEN TOTAL'!P346</f>
        <v>0</v>
      </c>
      <c r="L341" s="23">
        <f>'RESUMEN TOTAL'!Q346</f>
        <v>0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25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 t="str">
        <f>'RESUMEN TOTAL'!L347</f>
        <v>APAGADO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25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 t="str">
        <f>'RESUMEN TOTAL'!L348</f>
        <v>APAGADO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25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 t="str">
        <f>'RESUMEN TOTAL'!K349</f>
        <v>APAGADO</v>
      </c>
      <c r="G344" s="23" t="str">
        <f>'RESUMEN TOTAL'!L349</f>
        <v>APAGADO</v>
      </c>
      <c r="H344" s="23" t="str">
        <f>'RESUMEN TOTAL'!M349</f>
        <v>APAGADO</v>
      </c>
      <c r="I344" s="23" t="str">
        <f>'RESUMEN TOTAL'!N349</f>
        <v>APAGADO</v>
      </c>
      <c r="J344" s="23">
        <f>'RESUMEN TOTAL'!O349</f>
        <v>0</v>
      </c>
      <c r="K344" s="23">
        <f>'RESUMEN TOTAL'!P349</f>
        <v>0</v>
      </c>
      <c r="L344" s="23">
        <f>'RESUMEN TOTAL'!Q349</f>
        <v>0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25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 t="str">
        <f>'RESUMEN TOTAL'!K350</f>
        <v>APAGADO</v>
      </c>
      <c r="G345" s="23" t="str">
        <f>'RESUMEN TOTAL'!L350</f>
        <v>APAGADO</v>
      </c>
      <c r="H345" s="23" t="str">
        <f>'RESUMEN TOTAL'!M350</f>
        <v>APAGADO</v>
      </c>
      <c r="I345" s="23" t="str">
        <f>'RESUMEN TOTAL'!N350</f>
        <v>APAGADO</v>
      </c>
      <c r="J345" s="23">
        <f>'RESUMEN TOTAL'!O350</f>
        <v>0</v>
      </c>
      <c r="K345" s="23">
        <f>'RESUMEN TOTAL'!P350</f>
        <v>0</v>
      </c>
      <c r="L345" s="23">
        <f>'RESUMEN TOTAL'!Q350</f>
        <v>0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25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 t="str">
        <f>'RESUMEN TOTAL'!K351</f>
        <v>APAGADO</v>
      </c>
      <c r="G346" s="23" t="str">
        <f>'RESUMEN TOTAL'!L351</f>
        <v>APAGADO</v>
      </c>
      <c r="H346" s="23" t="str">
        <f>'RESUMEN TOTAL'!M351</f>
        <v>APAGADO</v>
      </c>
      <c r="I346" s="23" t="str">
        <f>'RESUMEN TOTAL'!N351</f>
        <v>APAGADO</v>
      </c>
      <c r="J346" s="23">
        <f>'RESUMEN TOTAL'!O351</f>
        <v>0</v>
      </c>
      <c r="K346" s="23">
        <f>'RESUMEN TOTAL'!P351</f>
        <v>0</v>
      </c>
      <c r="L346" s="23">
        <f>'RESUMEN TOTAL'!Q351</f>
        <v>0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25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 t="str">
        <f>'RESUMEN TOTAL'!K352</f>
        <v>APAGADO</v>
      </c>
      <c r="G347" s="23" t="str">
        <f>'RESUMEN TOTAL'!L352</f>
        <v>APAGADO</v>
      </c>
      <c r="H347" s="23" t="str">
        <f>'RESUMEN TOTAL'!M352</f>
        <v>APAGADO</v>
      </c>
      <c r="I347" s="23">
        <f>'RESUMEN TOTAL'!N352</f>
        <v>0</v>
      </c>
      <c r="J347" s="23">
        <f>'RESUMEN TOTAL'!O352</f>
        <v>0</v>
      </c>
      <c r="K347" s="23">
        <f>'RESUMEN TOTAL'!P352</f>
        <v>0</v>
      </c>
      <c r="L347" s="23">
        <f>'RESUMEN TOTAL'!Q352</f>
        <v>0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25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 t="str">
        <f>'RESUMEN TOTAL'!L353</f>
        <v>APAGADO</v>
      </c>
      <c r="H348" s="23" t="str">
        <f>'RESUMEN TOTAL'!M353</f>
        <v>APAGADO</v>
      </c>
      <c r="I348" s="23" t="str">
        <f>'RESUMEN TOTAL'!N353</f>
        <v>APAGADO</v>
      </c>
      <c r="J348" s="23">
        <f>'RESUMEN TOTAL'!O353</f>
        <v>0</v>
      </c>
      <c r="K348" s="23">
        <f>'RESUMEN TOTAL'!P353</f>
        <v>0</v>
      </c>
      <c r="L348" s="23">
        <f>'RESUMEN TOTAL'!Q353</f>
        <v>0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25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25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25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 t="str">
        <f>'RESUMEN TOTAL'!M356</f>
        <v>APAGADO</v>
      </c>
      <c r="I351" s="23" t="str">
        <f>'RESUMEN TOTAL'!N356</f>
        <v>APAGADO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25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25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25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 t="str">
        <f>'RESUMEN TOTAL'!N359</f>
        <v>APAGADO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25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25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25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 t="str">
        <f>'RESUMEN TOTAL'!K362</f>
        <v>APAGADO</v>
      </c>
      <c r="G357" s="23" t="str">
        <f>'RESUMEN TOTAL'!L362</f>
        <v>APAGADO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25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25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25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25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25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25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25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 t="str">
        <f>'RESUMEN TOTAL'!K369</f>
        <v>APAGADO</v>
      </c>
      <c r="G364" s="23" t="str">
        <f>'RESUMEN TOTAL'!L369</f>
        <v>APAGADO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25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25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25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25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25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25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25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 t="str">
        <f>'RESUMEN TOTAL'!K376</f>
        <v>APAGADO</v>
      </c>
      <c r="G371" s="23" t="str">
        <f>'RESUMEN TOTAL'!L376</f>
        <v>APAGADO</v>
      </c>
      <c r="H371" s="23">
        <f>'RESUMEN TOTAL'!M376</f>
        <v>0</v>
      </c>
      <c r="I371" s="23">
        <f>'RESUMEN TOTAL'!N376</f>
        <v>0</v>
      </c>
      <c r="J371" s="23">
        <f>'RESUMEN TOTAL'!O376</f>
        <v>0</v>
      </c>
      <c r="K371" s="23">
        <f>'RESUMEN TOTAL'!P376</f>
        <v>0</v>
      </c>
      <c r="L371" s="23">
        <f>'RESUMEN TOTAL'!Q376</f>
        <v>0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25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 t="str">
        <f>'RESUMEN TOTAL'!K377</f>
        <v>APAGADO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25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 t="str">
        <f>'RESUMEN TOTAL'!N378</f>
        <v>APAGADO</v>
      </c>
      <c r="J373" s="23">
        <f>'RESUMEN TOTAL'!O378</f>
        <v>0</v>
      </c>
      <c r="K373" s="23">
        <f>'RESUMEN TOTAL'!P378</f>
        <v>0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25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25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 t="str">
        <f>'RESUMEN TOTAL'!K380</f>
        <v>APAGADO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25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 t="str">
        <f>'RESUMEN TOTAL'!K381</f>
        <v>APAGADO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25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 t="str">
        <f>'RESUMEN TOTAL'!K382</f>
        <v>APAGADO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25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 t="str">
        <f>'RESUMEN TOTAL'!K383</f>
        <v>APAGADO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25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25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 t="str">
        <f>'RESUMEN TOTAL'!N385</f>
        <v>APAGADO</v>
      </c>
      <c r="J380" s="23">
        <f>'RESUMEN TOTAL'!O385</f>
        <v>0</v>
      </c>
      <c r="K380" s="23">
        <f>'RESUMEN TOTAL'!P385</f>
        <v>0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25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25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25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25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25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25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25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>
        <f>'RESUMEN TOTAL'!O392</f>
        <v>0</v>
      </c>
      <c r="K387" s="23">
        <f>'RESUMEN TOTAL'!P392</f>
        <v>0</v>
      </c>
      <c r="L387" s="23">
        <f>'RESUMEN TOTAL'!Q392</f>
        <v>0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25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>
        <f>'RESUMEN TOTAL'!O393</f>
        <v>0</v>
      </c>
      <c r="K388" s="23">
        <f>'RESUMEN TOTAL'!P393</f>
        <v>0</v>
      </c>
      <c r="L388" s="23">
        <f>'RESUMEN TOTAL'!Q393</f>
        <v>0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25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 t="str">
        <f>'RESUMEN TOTAL'!K394</f>
        <v>APAGADO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25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 t="str">
        <f>'RESUMEN TOTAL'!K395</f>
        <v>APAGADO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25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25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25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25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25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25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25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25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25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 t="str">
        <f>'RESUMEN TOTAL'!K405</f>
        <v>APAGADO</v>
      </c>
      <c r="G399" s="23" t="str">
        <f>'RESUMEN TOTAL'!L405</f>
        <v>APAGADO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>
        <f>'RESUMEN TOTAL'!Q405</f>
        <v>0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25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25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25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 t="str">
        <f>'RESUMEN TOTAL'!L408</f>
        <v>APAGADO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25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25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25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25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25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25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25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25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25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25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25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 t="str">
        <f>'RESUMEN TOTAL'!K419</f>
        <v>APAGADO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25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25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25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25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 t="str">
        <f>'RESUMEN TOTAL'!K423</f>
        <v>APAGADO</v>
      </c>
      <c r="G417" s="23" t="str">
        <f>'RESUMEN TOTAL'!L423</f>
        <v>APAGADO</v>
      </c>
      <c r="H417" s="23" t="str">
        <f>'RESUMEN TOTAL'!M423</f>
        <v>APAGADO</v>
      </c>
      <c r="I417" s="23" t="str">
        <f>'RESUMEN TOTAL'!N423</f>
        <v>APAGADO</v>
      </c>
      <c r="J417" s="23">
        <f>'RESUMEN TOTAL'!O423</f>
        <v>0</v>
      </c>
      <c r="K417" s="23">
        <f>'RESUMEN TOTAL'!P423</f>
        <v>0</v>
      </c>
      <c r="L417" s="23">
        <f>'RESUMEN TOTAL'!Q423</f>
        <v>0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25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25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25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25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25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25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25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25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25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25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25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25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>
        <f>'RESUMEN TOTAL'!Q436</f>
        <v>0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25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25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 t="str">
        <f>'RESUMEN TOTAL'!M438</f>
        <v>APAGADO</v>
      </c>
      <c r="I431" s="23" t="str">
        <f>'RESUMEN TOTAL'!N438</f>
        <v>APAGADO</v>
      </c>
      <c r="J431" s="23">
        <f>'RESUMEN TOTAL'!O438</f>
        <v>0</v>
      </c>
      <c r="K431" s="23">
        <f>'RESUMEN TOTAL'!P438</f>
        <v>0</v>
      </c>
      <c r="L431" s="23">
        <f>'RESUMEN TOTAL'!Q438</f>
        <v>0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25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25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25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25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25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25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25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25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25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25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25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 t="str">
        <f>ESTADISTICA!I380</f>
        <v>APAGADO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 t="str">
        <f>ESTADISTICA!F389</f>
        <v>APAGADO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 t="str">
        <f>ESTADISTICA!F390</f>
        <v>APAGADO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 t="str">
        <f>ESTADISTICA!F399</f>
        <v>APAGADO</v>
      </c>
      <c r="G400" s="40" t="str">
        <f>ESTADISTICA!G399</f>
        <v>APAGADO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 t="str">
        <f>ESTADISTICA!G402</f>
        <v>APAGADO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 t="str">
        <f>ESTADISTICA!F413</f>
        <v>APAGADO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>
        <f>ESTADISTICA!J417</f>
        <v>0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 t="str">
        <f>ESTADISTICA!H431</f>
        <v>APAGADO</v>
      </c>
      <c r="I432" s="40" t="str">
        <f>ESTADISTICA!I431</f>
        <v>APAGADO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 t="str">
        <f>ESTADISTICA!F3</f>
        <v>APAGADO</v>
      </c>
      <c r="G5" s="40" t="str">
        <f>ESTADISTICA!G3</f>
        <v>APAGADO</v>
      </c>
      <c r="H5" s="40" t="str">
        <f>ESTADISTICA!H3</f>
        <v>APAGADO</v>
      </c>
      <c r="I5" s="40" t="str">
        <f>ESTADISTICA!I3</f>
        <v>APAGADO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 t="str">
        <f>ESTADISTICA!F4</f>
        <v>APAGADO</v>
      </c>
      <c r="G6" s="40" t="str">
        <f>ESTADISTICA!G4</f>
        <v>APAGADO</v>
      </c>
      <c r="H6" s="40" t="str">
        <f>ESTADISTICA!H4</f>
        <v>APAGADO</v>
      </c>
      <c r="I6" s="40" t="str">
        <f>ESTADISTICA!I4</f>
        <v>APAGADO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 t="str">
        <f>ESTADISTICA!F5</f>
        <v>APAGADO</v>
      </c>
      <c r="G7" s="40" t="str">
        <f>ESTADISTICA!G5</f>
        <v>APAGADO</v>
      </c>
      <c r="H7" s="40" t="str">
        <f>ESTADISTICA!H5</f>
        <v>APAGADO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 t="str">
        <f>ESTADISTICA!F6</f>
        <v>APAGADO</v>
      </c>
      <c r="G8" s="40" t="str">
        <f>ESTADISTICA!G6</f>
        <v>APAGADO</v>
      </c>
      <c r="H8" s="40" t="str">
        <f>ESTADISTICA!H6</f>
        <v>APAGADO</v>
      </c>
      <c r="I8" s="40" t="str">
        <f>ESTADISTICA!I6</f>
        <v>APAGADO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 t="str">
        <f>ESTADISTICA!F7</f>
        <v>APAGADO</v>
      </c>
      <c r="G9" s="40" t="str">
        <f>ESTADISTICA!G7</f>
        <v>APAGADO</v>
      </c>
      <c r="H9" s="40" t="str">
        <f>ESTADISTICA!H7</f>
        <v>APAGADO</v>
      </c>
      <c r="I9" s="40" t="str">
        <f>ESTADISTICA!I7</f>
        <v>APAGADO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 t="str">
        <f>ESTADISTICA!F8</f>
        <v>APAGADO</v>
      </c>
      <c r="G10" s="40" t="str">
        <f>ESTADISTICA!G8</f>
        <v>APAGADO</v>
      </c>
      <c r="H10" s="40" t="str">
        <f>ESTADISTICA!H8</f>
        <v>APAGADO</v>
      </c>
      <c r="I10" s="40" t="str">
        <f>ESTADISTICA!I8</f>
        <v>APAGADO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 t="str">
        <f>ESTADISTICA!F9</f>
        <v>APAGADO</v>
      </c>
      <c r="G11" s="40" t="str">
        <f>ESTADISTICA!G9</f>
        <v>APAGADO</v>
      </c>
      <c r="H11" s="40" t="str">
        <f>ESTADISTICA!H9</f>
        <v>APAGADO</v>
      </c>
      <c r="I11" s="40" t="str">
        <f>ESTADISTICA!I9</f>
        <v>APAGADO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 t="str">
        <f>ESTADISTICA!F10</f>
        <v>APAGADO</v>
      </c>
      <c r="G12" s="40" t="str">
        <f>ESTADISTICA!G10</f>
        <v>APAGADO</v>
      </c>
      <c r="H12" s="40" t="str">
        <f>ESTADISTICA!H10</f>
        <v>APAGADO</v>
      </c>
      <c r="I12" s="40" t="str">
        <f>ESTADISTICA!I10</f>
        <v>APAGADO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 t="str">
        <f>ESTADISTICA!F11</f>
        <v>APAGADO</v>
      </c>
      <c r="G13" s="40" t="str">
        <f>ESTADISTICA!G11</f>
        <v>APAGADO</v>
      </c>
      <c r="H13" s="40" t="str">
        <f>ESTADISTICA!H11</f>
        <v>APAGADO</v>
      </c>
      <c r="I13" s="40" t="str">
        <f>ESTADISTICA!I11</f>
        <v>APAGADO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>
        <f>ESTADISTICA!J13</f>
        <v>0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 t="str">
        <f>ESTADISTICA!F14</f>
        <v>APAGADO</v>
      </c>
      <c r="G16" s="40" t="str">
        <f>ESTADISTICA!G14</f>
        <v>APAGADO</v>
      </c>
      <c r="H16" s="40" t="str">
        <f>ESTADISTICA!H14</f>
        <v>APAGADO</v>
      </c>
      <c r="I16" s="40" t="str">
        <f>ESTADISTICA!I14</f>
        <v>APAGADO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 t="str">
        <f>ESTADISTICA!F15</f>
        <v>APAGADO</v>
      </c>
      <c r="G17" s="40" t="str">
        <f>ESTADISTICA!G15</f>
        <v>APAGADO</v>
      </c>
      <c r="H17" s="40" t="str">
        <f>ESTADISTICA!H15</f>
        <v>APAGADO</v>
      </c>
      <c r="I17" s="40" t="str">
        <f>ESTADISTICA!I15</f>
        <v>APAGADO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 t="str">
        <f>ESTADISTICA!F16</f>
        <v>APAGADO</v>
      </c>
      <c r="G18" s="40" t="str">
        <f>ESTADISTICA!G16</f>
        <v>APAGADO</v>
      </c>
      <c r="H18" s="40" t="str">
        <f>ESTADISTICA!H16</f>
        <v>APAGADO</v>
      </c>
      <c r="I18" s="40" t="str">
        <f>ESTADISTICA!I16</f>
        <v>APAGADO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 t="str">
        <f>ESTADISTICA!F17</f>
        <v>APAGADO</v>
      </c>
      <c r="G19" s="40" t="str">
        <f>ESTADISTICA!G17</f>
        <v>APAGADO</v>
      </c>
      <c r="H19" s="40" t="str">
        <f>ESTADISTICA!H17</f>
        <v>APAGADO</v>
      </c>
      <c r="I19" s="40" t="str">
        <f>ESTADISTICA!I17</f>
        <v>APAGADO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 t="str">
        <f>ESTADISTICA!F18</f>
        <v>APAGADO</v>
      </c>
      <c r="G20" s="40" t="str">
        <f>ESTADISTICA!G18</f>
        <v>APAGADO</v>
      </c>
      <c r="H20" s="40" t="str">
        <f>ESTADISTICA!H18</f>
        <v>APAGADO</v>
      </c>
      <c r="I20" s="40" t="str">
        <f>ESTADISTICA!I18</f>
        <v>APAGADO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 t="str">
        <f>ESTADISTICA!F19</f>
        <v>APAGADO</v>
      </c>
      <c r="G21" s="40" t="str">
        <f>ESTADISTICA!G19</f>
        <v>APAGADO</v>
      </c>
      <c r="H21" s="40" t="str">
        <f>ESTADISTICA!H19</f>
        <v>APAGADO</v>
      </c>
      <c r="I21" s="40" t="str">
        <f>ESTADISTICA!I19</f>
        <v>APAGADO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 t="str">
        <f>ESTADISTICA!F20</f>
        <v>APAGADO</v>
      </c>
      <c r="G22" s="40" t="str">
        <f>ESTADISTICA!G20</f>
        <v>APAGADO</v>
      </c>
      <c r="H22" s="40" t="str">
        <f>ESTADISTICA!H20</f>
        <v>APAGADO</v>
      </c>
      <c r="I22" s="40" t="str">
        <f>ESTADISTICA!I20</f>
        <v>APAGADO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 t="str">
        <f>ESTADISTICA!F25</f>
        <v>APAGADO</v>
      </c>
      <c r="G27" s="40" t="str">
        <f>ESTADISTICA!G25</f>
        <v>APAGADO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>
        <f>ESTADISTICA!J32</f>
        <v>0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>
        <f>ESTADISTICA!J38</f>
        <v>0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>
        <f>ESTADISTICA!J46</f>
        <v>0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 t="str">
        <f>ESTADISTICA!F48</f>
        <v>APAGADO</v>
      </c>
      <c r="G50" s="40" t="str">
        <f>ESTADISTICA!G48</f>
        <v>APAGADO</v>
      </c>
      <c r="H50" s="40" t="str">
        <f>ESTADISTICA!H48</f>
        <v>APAGADO</v>
      </c>
      <c r="I50" s="40" t="str">
        <f>ESTADISTICA!I48</f>
        <v>APAGADO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 t="str">
        <f>ESTADISTICA!F50</f>
        <v>APAGADO</v>
      </c>
      <c r="G52" s="40" t="str">
        <f>ESTADISTICA!G50</f>
        <v>APAGADO</v>
      </c>
      <c r="H52" s="40" t="str">
        <f>ESTADISTICA!H50</f>
        <v>APAGADO</v>
      </c>
      <c r="I52" s="40" t="str">
        <f>ESTADISTICA!I50</f>
        <v>APAGADO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 t="str">
        <f>ESTADISTICA!F51</f>
        <v>APAGADO</v>
      </c>
      <c r="G53" s="40" t="str">
        <f>ESTADISTICA!G51</f>
        <v>APAGADO</v>
      </c>
      <c r="H53" s="40" t="str">
        <f>ESTADISTICA!H51</f>
        <v>APAGADO</v>
      </c>
      <c r="I53" s="40" t="str">
        <f>ESTADISTICA!I51</f>
        <v>APAGADO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>
        <f>ESTADISTICA!J54</f>
        <v>0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 t="str">
        <f>ESTADISTICA!F59</f>
        <v>APAGADO</v>
      </c>
      <c r="G61" s="40" t="str">
        <f>ESTADISTICA!G59</f>
        <v>APAGADO</v>
      </c>
      <c r="H61" s="40" t="str">
        <f>ESTADISTICA!H59</f>
        <v>APAGADO</v>
      </c>
      <c r="I61" s="40" t="str">
        <f>ESTADISTICA!I59</f>
        <v>APAGADO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 t="str">
        <f>ESTADISTICA!F70</f>
        <v>APAGADO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>
        <f>ESTADISTICA!J73</f>
        <v>0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 t="str">
        <f>ESTADISTICA!F74</f>
        <v>APAGADO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 t="str">
        <f>ESTADISTICA!G75</f>
        <v>APAGADO</v>
      </c>
      <c r="H77" s="40" t="str">
        <f>ESTADISTICA!H75</f>
        <v>APAGADO</v>
      </c>
      <c r="I77" s="40" t="str">
        <f>ESTADISTICA!I75</f>
        <v>APAGADO</v>
      </c>
      <c r="J77" s="40">
        <f>ESTADISTICA!J75</f>
        <v>0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 t="str">
        <f>ESTADISTICA!F81</f>
        <v>APAGADO</v>
      </c>
      <c r="G83" s="40" t="str">
        <f>ESTADISTICA!G81</f>
        <v>APAGADO</v>
      </c>
      <c r="H83" s="40" t="str">
        <f>ESTADISTICA!H81</f>
        <v>APAGADO</v>
      </c>
      <c r="I83" s="40" t="str">
        <f>ESTADISTICA!I81</f>
        <v>APAGADO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 t="str">
        <f>ESTADISTICA!F82</f>
        <v>APAGADO</v>
      </c>
      <c r="G84" s="40" t="str">
        <f>ESTADISTICA!G82</f>
        <v>APAGADO</v>
      </c>
      <c r="H84" s="40" t="str">
        <f>ESTADISTICA!H82</f>
        <v>APAGADO</v>
      </c>
      <c r="I84" s="40" t="str">
        <f>ESTADISTICA!I82</f>
        <v>APAGADO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 t="str">
        <f>ESTADISTICA!F84</f>
        <v>APAGADO</v>
      </c>
      <c r="G86" s="40" t="str">
        <f>ESTADISTICA!G84</f>
        <v>APAGADO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>
        <f>ESTADISTICA!J92</f>
        <v>0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 t="str">
        <f>ESTADISTICA!F98</f>
        <v>APAGADO</v>
      </c>
      <c r="G100" s="40" t="str">
        <f>ESTADISTICA!G98</f>
        <v>APAGADO</v>
      </c>
      <c r="H100" s="40" t="str">
        <f>ESTADISTICA!H98</f>
        <v>APAGADO</v>
      </c>
      <c r="I100" s="40" t="str">
        <f>ESTADISTICA!I98</f>
        <v>APAGADO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 t="str">
        <f>ESTADISTICA!H103</f>
        <v>APAGADO</v>
      </c>
      <c r="I105" s="40" t="str">
        <f>ESTADISTICA!I103</f>
        <v>APAGADO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 t="str">
        <f>ESTADISTICA!F112</f>
        <v>APAGADO</v>
      </c>
      <c r="G114" s="40" t="str">
        <f>ESTADISTICA!G112</f>
        <v>APAGADO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 t="str">
        <f>ESTADISTICA!F113</f>
        <v>APAGADO</v>
      </c>
      <c r="G115" s="40" t="str">
        <f>ESTADISTICA!G113</f>
        <v>APAGADO</v>
      </c>
      <c r="H115" s="40" t="str">
        <f>ESTADISTICA!H113</f>
        <v>APAGADO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 t="str">
        <f>ESTADISTICA!F116</f>
        <v>APAGADO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 t="str">
        <f>ESTADISTICA!F117</f>
        <v>APAGADO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 t="str">
        <f>ESTADISTICA!F118</f>
        <v>APAGADO</v>
      </c>
      <c r="G120" s="40" t="str">
        <f>ESTADISTICA!G118</f>
        <v>APAGADO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 t="str">
        <f>ESTADISTICA!F119</f>
        <v>APAGADO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 t="str">
        <f>ESTADISTICA!F121</f>
        <v>APAGADO</v>
      </c>
      <c r="G123" s="40" t="str">
        <f>ESTADISTICA!G121</f>
        <v>APAGADO</v>
      </c>
      <c r="H123" s="40" t="str">
        <f>ESTADISTICA!H121</f>
        <v>APAGADO</v>
      </c>
      <c r="I123" s="40" t="str">
        <f>ESTADISTICA!I121</f>
        <v>APAGADO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 t="str">
        <f>ESTADISTICA!F136</f>
        <v>APAGADO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 t="str">
        <f>ESTADISTICA!F137</f>
        <v>APAGADO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 t="str">
        <f>ESTADISTICA!F147</f>
        <v>APAGADO</v>
      </c>
      <c r="G149" s="40" t="str">
        <f>ESTADISTICA!G147</f>
        <v>APAGADO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 t="str">
        <f>ESTADISTICA!G157</f>
        <v>APAGADO</v>
      </c>
      <c r="H159" s="40" t="str">
        <f>ESTADISTICA!H157</f>
        <v>APAGADO</v>
      </c>
      <c r="I159" s="40" t="str">
        <f>ESTADISTICA!I157</f>
        <v>APAGADO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 t="str">
        <f>ESTADISTICA!F158</f>
        <v>APAGADO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 t="str">
        <f>ESTADISTICA!F168</f>
        <v>APAGADO</v>
      </c>
      <c r="G170" s="40" t="str">
        <f>ESTADISTICA!G168</f>
        <v>APAGADO</v>
      </c>
      <c r="H170" s="40" t="str">
        <f>ESTADISTICA!H168</f>
        <v>APAGADO</v>
      </c>
      <c r="I170" s="40" t="str">
        <f>ESTADISTICA!I168</f>
        <v>APAGADO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 t="str">
        <f>ESTADISTICA!F169</f>
        <v>APAGADO</v>
      </c>
      <c r="G171" s="40" t="str">
        <f>ESTADISTICA!G169</f>
        <v>APAGADO</v>
      </c>
      <c r="H171" s="40" t="str">
        <f>ESTADISTICA!H169</f>
        <v>APAGADO</v>
      </c>
      <c r="I171" s="40" t="str">
        <f>ESTADISTICA!I169</f>
        <v>APAGADO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 t="str">
        <f>ESTADISTICA!F170</f>
        <v>APAGADO</v>
      </c>
      <c r="G172" s="40" t="str">
        <f>ESTADISTICA!G170</f>
        <v>APAGADO</v>
      </c>
      <c r="H172" s="40" t="str">
        <f>ESTADISTICA!H170</f>
        <v>APAGADO</v>
      </c>
      <c r="I172" s="40" t="str">
        <f>ESTADISTICA!I170</f>
        <v>APAGADO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 t="str">
        <f>ESTADISTICA!F171</f>
        <v>APAGADO</v>
      </c>
      <c r="G173" s="40" t="str">
        <f>ESTADISTICA!G171</f>
        <v>APAGADO</v>
      </c>
      <c r="H173" s="40" t="str">
        <f>ESTADISTICA!H171</f>
        <v>APAGADO</v>
      </c>
      <c r="I173" s="40" t="str">
        <f>ESTADISTICA!I171</f>
        <v>APAGADO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 t="str">
        <f>ESTADISTICA!F172</f>
        <v>APAGADO</v>
      </c>
      <c r="G174" s="40" t="str">
        <f>ESTADISTICA!G172</f>
        <v>APAGADO</v>
      </c>
      <c r="H174" s="40" t="str">
        <f>ESTADISTICA!H172</f>
        <v>APAGADO</v>
      </c>
      <c r="I174" s="40" t="str">
        <f>ESTADISTICA!I172</f>
        <v>APAGADO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>
        <f>ESTADISTICA!H173</f>
        <v>0</v>
      </c>
      <c r="I175" s="40" t="str">
        <f>ESTADISTICA!I173</f>
        <v>APAGADO</v>
      </c>
      <c r="J175" s="40">
        <f>ESTADISTICA!J173</f>
        <v>0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 t="str">
        <f>ESTADISTICA!F174</f>
        <v>APAGADO</v>
      </c>
      <c r="G176" s="40" t="str">
        <f>ESTADISTICA!G174</f>
        <v>APAGADO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>
        <f>ESTADISTICA!H175</f>
        <v>0</v>
      </c>
      <c r="I177" s="40">
        <f>ESTADISTICA!I175</f>
        <v>0</v>
      </c>
      <c r="J177" s="40">
        <f>ESTADISTICA!J175</f>
        <v>0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 t="str">
        <f>ESTADISTICA!F177</f>
        <v>APAGADO</v>
      </c>
      <c r="G179" s="40" t="str">
        <f>ESTADISTICA!G177</f>
        <v>APAGADO</v>
      </c>
      <c r="H179" s="40" t="str">
        <f>ESTADISTICA!H177</f>
        <v>APAGADO</v>
      </c>
      <c r="I179" s="40" t="str">
        <f>ESTADISTICA!I177</f>
        <v>APAGADO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 t="str">
        <f>ESTADISTICA!F178</f>
        <v>APAGADO</v>
      </c>
      <c r="G180" s="40" t="str">
        <f>ESTADISTICA!G178</f>
        <v>APAGADO</v>
      </c>
      <c r="H180" s="40" t="str">
        <f>ESTADISTICA!H178</f>
        <v>APAGADO</v>
      </c>
      <c r="I180" s="40" t="str">
        <f>ESTADISTICA!I178</f>
        <v>APAGADO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 t="str">
        <f>ESTADISTICA!F179</f>
        <v>APAGADO</v>
      </c>
      <c r="G181" s="40" t="str">
        <f>ESTADISTICA!G179</f>
        <v>APAGADO</v>
      </c>
      <c r="H181" s="40" t="str">
        <f>ESTADISTICA!H179</f>
        <v>APAGADO</v>
      </c>
      <c r="I181" s="40" t="str">
        <f>ESTADISTICA!I179</f>
        <v>APAGADO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>
        <f>ESTADISTICA!J180</f>
        <v>0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 t="str">
        <f>ESTADISTICA!F181</f>
        <v>APAGADO</v>
      </c>
      <c r="G183" s="40">
        <f>ESTADISTICA!G181</f>
        <v>0</v>
      </c>
      <c r="H183" s="40" t="str">
        <f>ESTADISTICA!H181</f>
        <v>APAGADO</v>
      </c>
      <c r="I183" s="40" t="str">
        <f>ESTADISTICA!I181</f>
        <v>APAGADO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 t="str">
        <f>ESTADISTICA!F182</f>
        <v>APAGADO</v>
      </c>
      <c r="G184" s="40">
        <f>ESTADISTICA!G182</f>
        <v>0</v>
      </c>
      <c r="H184" s="40" t="str">
        <f>ESTADISTICA!H182</f>
        <v>APAGADO</v>
      </c>
      <c r="I184" s="40" t="str">
        <f>ESTADISTICA!I182</f>
        <v>APAGADO</v>
      </c>
      <c r="J184" s="40">
        <f>ESTADISTICA!J182</f>
        <v>0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>
        <f>ESTADISTICA!J183</f>
        <v>0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>
        <f>ESTADISTICA!J185</f>
        <v>0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 t="str">
        <f>ESTADISTICA!F186</f>
        <v>APAGADO</v>
      </c>
      <c r="G188" s="40" t="str">
        <f>ESTADISTICA!G186</f>
        <v>APAGADO</v>
      </c>
      <c r="H188" s="40" t="str">
        <f>ESTADISTICA!H186</f>
        <v>APAGADO</v>
      </c>
      <c r="I188" s="40" t="str">
        <f>ESTADISTICA!I186</f>
        <v>APAGADO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 t="str">
        <f>ESTADISTICA!F187</f>
        <v>APAGADO</v>
      </c>
      <c r="G189" s="40" t="str">
        <f>ESTADISTICA!G187</f>
        <v>APAGADO</v>
      </c>
      <c r="H189" s="40" t="str">
        <f>ESTADISTICA!H187</f>
        <v>APAGADO</v>
      </c>
      <c r="I189" s="40" t="str">
        <f>ESTADISTICA!I187</f>
        <v>APAGADO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 t="str">
        <f>ESTADISTICA!F190</f>
        <v>APAGADO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 t="str">
        <f>ESTADISTICA!F191</f>
        <v>APAGADO</v>
      </c>
      <c r="G193" s="40" t="str">
        <f>ESTADISTICA!G191</f>
        <v>APAGADO</v>
      </c>
      <c r="H193" s="40" t="str">
        <f>ESTADISTICA!H191</f>
        <v>APAGADO</v>
      </c>
      <c r="I193" s="40" t="str">
        <f>ESTADISTICA!I191</f>
        <v>APAGADO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 t="str">
        <f>ESTADISTICA!F192</f>
        <v>APAGADO</v>
      </c>
      <c r="G194" s="40" t="str">
        <f>ESTADISTICA!G192</f>
        <v>APAGADO</v>
      </c>
      <c r="H194" s="40" t="str">
        <f>ESTADISTICA!H192</f>
        <v>APAGADO</v>
      </c>
      <c r="I194" s="40" t="str">
        <f>ESTADISTICA!I192</f>
        <v>APAGADO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 t="str">
        <f>ESTADISTICA!F193</f>
        <v>APAGADO</v>
      </c>
      <c r="G195" s="40" t="str">
        <f>ESTADISTICA!G193</f>
        <v>APAGADO</v>
      </c>
      <c r="H195" s="40" t="str">
        <f>ESTADISTICA!H193</f>
        <v>APAGADO</v>
      </c>
      <c r="I195" s="40" t="str">
        <f>ESTADISTICA!I193</f>
        <v>APAGADO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 t="str">
        <f>ESTADISTICA!F194</f>
        <v>APAGADO</v>
      </c>
      <c r="G196" s="40" t="str">
        <f>ESTADISTICA!G194</f>
        <v>APAGADO</v>
      </c>
      <c r="H196" s="40" t="str">
        <f>ESTADISTICA!H194</f>
        <v>APAGADO</v>
      </c>
      <c r="I196" s="40" t="str">
        <f>ESTADISTICA!I194</f>
        <v>APAGADO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 t="str">
        <f>ESTADISTICA!F195</f>
        <v>APAGADO</v>
      </c>
      <c r="G197" s="40" t="str">
        <f>ESTADISTICA!G195</f>
        <v>APAGADO</v>
      </c>
      <c r="H197" s="40" t="str">
        <f>ESTADISTICA!H195</f>
        <v>APAGADO</v>
      </c>
      <c r="I197" s="40" t="str">
        <f>ESTADISTICA!I195</f>
        <v>APAGADO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>
        <f>ESTADISTICA!J196</f>
        <v>0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 t="str">
        <f>ESTADISTICA!F197</f>
        <v>APAGADO</v>
      </c>
      <c r="G199" s="40" t="str">
        <f>ESTADISTICA!G197</f>
        <v>APAGADO</v>
      </c>
      <c r="H199" s="40" t="str">
        <f>ESTADISTICA!H197</f>
        <v>APAGADO</v>
      </c>
      <c r="I199" s="40" t="str">
        <f>ESTADISTICA!I197</f>
        <v>APAGADO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 t="str">
        <f>ESTADISTICA!F199</f>
        <v>APAGADO</v>
      </c>
      <c r="G201" s="40" t="str">
        <f>ESTADISTICA!G199</f>
        <v>APAGADO</v>
      </c>
      <c r="H201" s="40" t="str">
        <f>ESTADISTICA!H199</f>
        <v>APAGADO</v>
      </c>
      <c r="I201" s="40" t="str">
        <f>ESTADISTICA!I199</f>
        <v>APAGADO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 t="str">
        <f>ESTADISTICA!G205</f>
        <v>APAGADO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 t="str">
        <f>ESTADISTICA!F206</f>
        <v>APAGADO</v>
      </c>
      <c r="G208" s="40" t="str">
        <f>ESTADISTICA!G206</f>
        <v>APAGADO</v>
      </c>
      <c r="H208" s="40" t="str">
        <f>ESTADISTICA!H206</f>
        <v>APAGADO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 t="str">
        <f>ESTADISTICA!F210</f>
        <v>APAGADO</v>
      </c>
      <c r="G212" s="40" t="str">
        <f>ESTADISTICA!G210</f>
        <v>APAGADO</v>
      </c>
      <c r="H212" s="40" t="str">
        <f>ESTADISTICA!H210</f>
        <v>APAGADO</v>
      </c>
      <c r="I212" s="40" t="str">
        <f>ESTADISTICA!I210</f>
        <v>APAGADO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 t="str">
        <f>ESTADISTICA!F211</f>
        <v>APAGADO</v>
      </c>
      <c r="G213" s="40" t="str">
        <f>ESTADISTICA!G211</f>
        <v>APAGADO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 t="str">
        <f>ESTADISTICA!F217</f>
        <v>APAGADO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 t="str">
        <f>ESTADISTICA!F218</f>
        <v>APAGADO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 t="str">
        <f>ESTADISTICA!F219</f>
        <v>APAGADO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 t="str">
        <f>ESTADISTICA!F220</f>
        <v>APAGADO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 t="str">
        <f>ESTADISTICA!F221</f>
        <v>APAGADO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 t="str">
        <f>ESTADISTICA!G222</f>
        <v>APAGADO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 t="str">
        <f>ESTADISTICA!F225</f>
        <v>APAGADO</v>
      </c>
      <c r="G227" s="40" t="str">
        <f>ESTADISTICA!G225</f>
        <v>APAGADO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 t="str">
        <f>ESTADISTICA!F226</f>
        <v>APAGADO</v>
      </c>
      <c r="G228" s="40" t="str">
        <f>ESTADISTICA!G226</f>
        <v>APAGADO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>
        <f>ESTADISTICA!J234</f>
        <v>0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 t="str">
        <f>ESTADISTICA!F235</f>
        <v>APAGADO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 t="str">
        <f>ESTADISTICA!F236</f>
        <v>APAGADO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 t="str">
        <f>ESTADISTICA!F239</f>
        <v>APAGADO</v>
      </c>
      <c r="G241" s="40" t="str">
        <f>ESTADISTICA!G239</f>
        <v>APAGADO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 t="str">
        <f>ESTADISTICA!F244</f>
        <v>APAGADO</v>
      </c>
      <c r="G246" s="40">
        <f>ESTADISTICA!G244</f>
        <v>0</v>
      </c>
      <c r="H246" s="40" t="str">
        <f>ESTADISTICA!H244</f>
        <v>APAGADO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 t="str">
        <f>ESTADISTICA!F245</f>
        <v>APAGADO</v>
      </c>
      <c r="G247" s="40" t="str">
        <f>ESTADISTICA!G245</f>
        <v>APAGADO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 t="str">
        <f>ESTADISTICA!F246</f>
        <v>APAGADO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 t="str">
        <f>ESTADISTICA!F247</f>
        <v>APAGADO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 t="str">
        <f>ESTADISTICA!F250</f>
        <v>APAGADO</v>
      </c>
      <c r="G252" s="40" t="str">
        <f>ESTADISTICA!G250</f>
        <v>APAGADO</v>
      </c>
      <c r="H252" s="40" t="str">
        <f>ESTADISTICA!H250</f>
        <v>APAGADO</v>
      </c>
      <c r="I252" s="40" t="str">
        <f>ESTADISTICA!I250</f>
        <v>APAGADO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 t="str">
        <f>ESTADISTICA!F251</f>
        <v>APAGADO</v>
      </c>
      <c r="G253" s="40" t="str">
        <f>ESTADISTICA!G251</f>
        <v>APAGADO</v>
      </c>
      <c r="H253" s="40" t="str">
        <f>ESTADISTICA!H251</f>
        <v>APAGADO</v>
      </c>
      <c r="I253" s="40" t="str">
        <f>ESTADISTICA!I251</f>
        <v>APAGADO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 t="str">
        <f>ESTADISTICA!F252</f>
        <v>APAGADO</v>
      </c>
      <c r="G254" s="40" t="str">
        <f>ESTADISTICA!G252</f>
        <v>APAGADO</v>
      </c>
      <c r="H254" s="40" t="str">
        <f>ESTADISTICA!H252</f>
        <v>APAGADO</v>
      </c>
      <c r="I254" s="40" t="str">
        <f>ESTADISTICA!I252</f>
        <v>APAGADO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 t="str">
        <f>ESTADISTICA!F253</f>
        <v>APAGADO</v>
      </c>
      <c r="G255" s="40" t="str">
        <f>ESTADISTICA!G253</f>
        <v>APAGADO</v>
      </c>
      <c r="H255" s="40" t="str">
        <f>ESTADISTICA!H253</f>
        <v>APAGADO</v>
      </c>
      <c r="I255" s="40" t="str">
        <f>ESTADISTICA!I253</f>
        <v>APAGADO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>
        <f>ESTADISTICA!J254</f>
        <v>0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 t="str">
        <f>ESTADISTICA!F255</f>
        <v>APAGADO</v>
      </c>
      <c r="G257" s="40">
        <f>ESTADISTICA!G255</f>
        <v>0</v>
      </c>
      <c r="H257" s="40" t="str">
        <f>ESTADISTICA!H255</f>
        <v>APAGADO</v>
      </c>
      <c r="I257" s="40" t="str">
        <f>ESTADISTICA!I255</f>
        <v>APAGADO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 t="str">
        <f>ESTADISTICA!F256</f>
        <v>APAGADO</v>
      </c>
      <c r="G258" s="40" t="str">
        <f>ESTADISTICA!G256</f>
        <v>APAGADO</v>
      </c>
      <c r="H258" s="40" t="str">
        <f>ESTADISTICA!H256</f>
        <v>APAGADO</v>
      </c>
      <c r="I258" s="40" t="str">
        <f>ESTADISTICA!I256</f>
        <v>APAGADO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 t="str">
        <f>ESTADISTICA!F257</f>
        <v>APAGADO</v>
      </c>
      <c r="G259" s="40" t="str">
        <f>ESTADISTICA!G257</f>
        <v>APAGADO</v>
      </c>
      <c r="H259" s="40" t="str">
        <f>ESTADISTICA!H257</f>
        <v>APAGADO</v>
      </c>
      <c r="I259" s="40" t="str">
        <f>ESTADISTICA!I257</f>
        <v>APAGADO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 t="str">
        <f>ESTADISTICA!F258</f>
        <v>APAGADO</v>
      </c>
      <c r="G260" s="40" t="str">
        <f>ESTADISTICA!G258</f>
        <v>APAGADO</v>
      </c>
      <c r="H260" s="40" t="str">
        <f>ESTADISTICA!H258</f>
        <v>APAGADO</v>
      </c>
      <c r="I260" s="40" t="str">
        <f>ESTADISTICA!I258</f>
        <v>APAGADO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 t="str">
        <f>ESTADISTICA!F259</f>
        <v>APAGADO</v>
      </c>
      <c r="G261" s="40" t="str">
        <f>ESTADISTICA!G259</f>
        <v>APAGADO</v>
      </c>
      <c r="H261" s="40" t="str">
        <f>ESTADISTICA!H259</f>
        <v>APAGADO</v>
      </c>
      <c r="I261" s="40" t="str">
        <f>ESTADISTICA!I259</f>
        <v>APAGADO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 t="str">
        <f>ESTADISTICA!F260</f>
        <v>APAGADO</v>
      </c>
      <c r="G262" s="40" t="str">
        <f>ESTADISTICA!G260</f>
        <v>APAGADO</v>
      </c>
      <c r="H262" s="40" t="str">
        <f>ESTADISTICA!H260</f>
        <v>APAGADO</v>
      </c>
      <c r="I262" s="40" t="str">
        <f>ESTADISTICA!I260</f>
        <v>APAGADO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 t="str">
        <f>ESTADISTICA!F263</f>
        <v>APAGADO</v>
      </c>
      <c r="G265" s="40" t="str">
        <f>ESTADISTICA!G263</f>
        <v>APAGADO</v>
      </c>
      <c r="H265" s="40" t="str">
        <f>ESTADISTICA!H263</f>
        <v>APAGADO</v>
      </c>
      <c r="I265" s="40" t="str">
        <f>ESTADISTICA!I263</f>
        <v>APAGADO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 t="str">
        <f>ESTADISTICA!F264</f>
        <v>APAGADO</v>
      </c>
      <c r="G266" s="40" t="str">
        <f>ESTADISTICA!G264</f>
        <v>APAGADO</v>
      </c>
      <c r="H266" s="40" t="str">
        <f>ESTADISTICA!H264</f>
        <v>APAGADO</v>
      </c>
      <c r="I266" s="40" t="str">
        <f>ESTADISTICA!I264</f>
        <v>APAGADO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 t="str">
        <f>ESTADISTICA!F265</f>
        <v>APAGADO</v>
      </c>
      <c r="G267" s="40" t="str">
        <f>ESTADISTICA!G265</f>
        <v>APAGADO</v>
      </c>
      <c r="H267" s="40" t="str">
        <f>ESTADISTICA!H265</f>
        <v>APAGADO</v>
      </c>
      <c r="I267" s="40" t="str">
        <f>ESTADISTICA!I265</f>
        <v>APAGADO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 t="str">
        <f>ESTADISTICA!F272</f>
        <v>APAGADO</v>
      </c>
      <c r="G274" s="40" t="str">
        <f>ESTADISTICA!G272</f>
        <v>APAGADO</v>
      </c>
      <c r="H274" s="40" t="str">
        <f>ESTADISTICA!H272</f>
        <v>APAGADO</v>
      </c>
      <c r="I274" s="40" t="str">
        <f>ESTADISTICA!I272</f>
        <v>APAGADO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 t="str">
        <f>ESTADISTICA!I273</f>
        <v>APAGADO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 t="str">
        <f>ESTADISTICA!F276</f>
        <v>APAGADO</v>
      </c>
      <c r="G278" s="40" t="str">
        <f>ESTADISTICA!G276</f>
        <v>APAGADO</v>
      </c>
      <c r="H278" s="40" t="str">
        <f>ESTADISTICA!H276</f>
        <v>APAGADO</v>
      </c>
      <c r="I278" s="40">
        <f>ESTADISTICA!I276</f>
        <v>0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 t="str">
        <f>ESTADISTICA!G280</f>
        <v>APAGADO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 t="str">
        <f>ESTADISTICA!F305</f>
        <v>APAGADO</v>
      </c>
      <c r="G307" s="40" t="str">
        <f>ESTADISTICA!G305</f>
        <v>APAGADO</v>
      </c>
      <c r="H307" s="40" t="str">
        <f>ESTADISTICA!H305</f>
        <v>APAGADO</v>
      </c>
      <c r="I307" s="40" t="str">
        <f>ESTADISTICA!I305</f>
        <v>APAGADO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 t="str">
        <f>ESTADISTICA!H306</f>
        <v>APAGADO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 t="str">
        <f>ESTADISTICA!H307</f>
        <v>APAGADO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 t="str">
        <f>ESTADISTICA!F308</f>
        <v>APAGADO</v>
      </c>
      <c r="G310" s="40" t="str">
        <f>ESTADISTICA!G308</f>
        <v>APAGADO</v>
      </c>
      <c r="H310" s="40" t="str">
        <f>ESTADISTICA!H308</f>
        <v>APAGADO</v>
      </c>
      <c r="I310" s="40" t="str">
        <f>ESTADISTICA!I308</f>
        <v>APAGADO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 t="str">
        <f>ESTADISTICA!I309</f>
        <v>APAGADO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 t="str">
        <f>ESTADISTICA!F327</f>
        <v>APAGADO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 t="str">
        <f>ESTADISTICA!F337</f>
        <v>APAGADO</v>
      </c>
      <c r="G339" s="40" t="str">
        <f>ESTADISTICA!G337</f>
        <v>APAGADO</v>
      </c>
      <c r="H339" s="40" t="str">
        <f>ESTADISTICA!H337</f>
        <v>APAGADO</v>
      </c>
      <c r="I339" s="40" t="str">
        <f>ESTADISTICA!I337</f>
        <v>APAGADO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 t="str">
        <f>ESTADISTICA!F338</f>
        <v>APAGADO</v>
      </c>
      <c r="G340" s="40" t="str">
        <f>ESTADISTICA!G338</f>
        <v>APAGADO</v>
      </c>
      <c r="H340" s="40" t="str">
        <f>ESTADISTICA!H338</f>
        <v>APAGADO</v>
      </c>
      <c r="I340" s="40" t="str">
        <f>ESTADISTICA!I338</f>
        <v>APAGADO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 t="str">
        <f>ESTADISTICA!F339</f>
        <v>APAGADO</v>
      </c>
      <c r="G341" s="40" t="str">
        <f>ESTADISTICA!G339</f>
        <v>APAGADO</v>
      </c>
      <c r="H341" s="40" t="str">
        <f>ESTADISTICA!H339</f>
        <v>APAGADO</v>
      </c>
      <c r="I341" s="40" t="str">
        <f>ESTADISTICA!I339</f>
        <v>APAGADO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 t="str">
        <f>ESTADISTICA!G340</f>
        <v>APAGADO</v>
      </c>
      <c r="H342" s="40" t="str">
        <f>ESTADISTICA!H340</f>
        <v>APAGADO</v>
      </c>
      <c r="I342" s="40" t="str">
        <f>ESTADISTICA!I340</f>
        <v>APAGADO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 t="str">
        <f>ESTADISTICA!F341</f>
        <v>APAGADO</v>
      </c>
      <c r="G343" s="40" t="str">
        <f>ESTADISTICA!G341</f>
        <v>APAGADO</v>
      </c>
      <c r="H343" s="40" t="str">
        <f>ESTADISTICA!H341</f>
        <v>APAGADO</v>
      </c>
      <c r="I343" s="40" t="str">
        <f>ESTADISTICA!I341</f>
        <v>APAGADO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 t="str">
        <f>ESTADISTICA!G342</f>
        <v>APAGADO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 t="str">
        <f>ESTADISTICA!G343</f>
        <v>APAGADO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 t="str">
        <f>ESTADISTICA!F344</f>
        <v>APAGADO</v>
      </c>
      <c r="G346" s="40" t="str">
        <f>ESTADISTICA!G344</f>
        <v>APAGADO</v>
      </c>
      <c r="H346" s="40" t="str">
        <f>ESTADISTICA!H344</f>
        <v>APAGADO</v>
      </c>
      <c r="I346" s="40" t="str">
        <f>ESTADISTICA!I344</f>
        <v>APAGADO</v>
      </c>
      <c r="J346" s="40">
        <f>ESTADISTICA!J344</f>
        <v>0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 t="str">
        <f>ESTADISTICA!F345</f>
        <v>APAGADO</v>
      </c>
      <c r="G347" s="40" t="str">
        <f>ESTADISTICA!G345</f>
        <v>APAGADO</v>
      </c>
      <c r="H347" s="40" t="str">
        <f>ESTADISTICA!H345</f>
        <v>APAGADO</v>
      </c>
      <c r="I347" s="40" t="str">
        <f>ESTADISTICA!I345</f>
        <v>APAGADO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 t="str">
        <f>ESTADISTICA!F346</f>
        <v>APAGADO</v>
      </c>
      <c r="G348" s="40" t="str">
        <f>ESTADISTICA!G346</f>
        <v>APAGADO</v>
      </c>
      <c r="H348" s="40" t="str">
        <f>ESTADISTICA!H346</f>
        <v>APAGADO</v>
      </c>
      <c r="I348" s="40" t="str">
        <f>ESTADISTICA!I346</f>
        <v>APAGADO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 t="str">
        <f>ESTADISTICA!F347</f>
        <v>APAGADO</v>
      </c>
      <c r="G349" s="40" t="str">
        <f>ESTADISTICA!G347</f>
        <v>APAGADO</v>
      </c>
      <c r="H349" s="40" t="str">
        <f>ESTADISTICA!H347</f>
        <v>APAGADO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 t="str">
        <f>ESTADISTICA!G348</f>
        <v>APAGADO</v>
      </c>
      <c r="H350" s="40" t="str">
        <f>ESTADISTICA!H348</f>
        <v>APAGADO</v>
      </c>
      <c r="I350" s="40" t="str">
        <f>ESTADISTICA!I348</f>
        <v>APAGADO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 t="str">
        <f>ESTADISTICA!H351</f>
        <v>APAGADO</v>
      </c>
      <c r="I353" s="40" t="str">
        <f>ESTADISTICA!I351</f>
        <v>APAGADO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 t="str">
        <f>ESTADISTICA!I354</f>
        <v>APAGADO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 t="str">
        <f>ESTADISTICA!F364</f>
        <v>APAGADO</v>
      </c>
      <c r="G366" s="40" t="str">
        <f>ESTADISTICA!G364</f>
        <v>APAGADO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7" sqref="A7:E11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435</v>
      </c>
      <c r="C2" s="77"/>
      <c r="D2" s="78"/>
      <c r="E2" s="142">
        <v>44896</v>
      </c>
      <c r="F2" s="139" t="s">
        <v>1309</v>
      </c>
    </row>
    <row r="3" spans="1:13" ht="15" customHeight="1" thickTop="1" x14ac:dyDescent="0.25">
      <c r="A3" s="79" t="s">
        <v>6</v>
      </c>
      <c r="B3" s="80">
        <v>135</v>
      </c>
      <c r="C3" s="81">
        <v>135</v>
      </c>
      <c r="D3" s="82">
        <f>C3/B2</f>
        <v>0.31034482758620691</v>
      </c>
      <c r="E3" s="143"/>
      <c r="F3" s="140"/>
      <c r="G3" s="83"/>
      <c r="H3" s="84"/>
      <c r="I3" s="84"/>
      <c r="J3" s="84"/>
      <c r="K3" s="85"/>
      <c r="L3" s="86"/>
      <c r="M3" s="147"/>
    </row>
    <row r="4" spans="1:13" x14ac:dyDescent="0.25">
      <c r="A4" s="79" t="s">
        <v>1001</v>
      </c>
      <c r="B4" s="80">
        <v>5</v>
      </c>
      <c r="C4" s="81">
        <f>C3-B4</f>
        <v>130</v>
      </c>
      <c r="D4" s="82">
        <f>C4/B2</f>
        <v>0.2988505747126437</v>
      </c>
      <c r="E4" s="143"/>
      <c r="F4" s="140"/>
      <c r="G4" s="87"/>
      <c r="H4" s="88"/>
      <c r="I4" s="88"/>
      <c r="J4" s="88"/>
      <c r="K4" s="89"/>
      <c r="L4" s="90"/>
      <c r="M4" s="148"/>
    </row>
    <row r="5" spans="1:13" x14ac:dyDescent="0.25">
      <c r="A5" s="79" t="s">
        <v>1000</v>
      </c>
      <c r="B5" s="80">
        <v>3</v>
      </c>
      <c r="C5" s="81">
        <f>C4-B5</f>
        <v>127</v>
      </c>
      <c r="D5" s="82">
        <f>C5/B2</f>
        <v>0.29195402298850576</v>
      </c>
      <c r="E5" s="143"/>
      <c r="F5" s="140"/>
      <c r="G5" s="87"/>
      <c r="H5" s="88"/>
      <c r="I5" s="88"/>
      <c r="J5" s="88"/>
      <c r="K5" s="89"/>
      <c r="L5" s="90"/>
      <c r="M5" s="148"/>
    </row>
    <row r="6" spans="1:13" ht="15.75" thickBot="1" x14ac:dyDescent="0.3">
      <c r="A6" s="91" t="s">
        <v>16</v>
      </c>
      <c r="B6" s="92">
        <v>24</v>
      </c>
      <c r="C6" s="93">
        <f>C5-B6</f>
        <v>103</v>
      </c>
      <c r="D6" s="82">
        <f>C6/B2</f>
        <v>0.23678160919540231</v>
      </c>
      <c r="E6" s="144"/>
      <c r="F6" s="141"/>
      <c r="G6" s="87"/>
      <c r="H6" s="88"/>
      <c r="I6" s="88"/>
      <c r="J6" s="88"/>
      <c r="K6" s="89"/>
      <c r="L6" s="90"/>
      <c r="M6" s="148"/>
    </row>
    <row r="7" spans="1:13" ht="15" customHeight="1" thickTop="1" x14ac:dyDescent="0.25">
      <c r="A7" s="75" t="s">
        <v>999</v>
      </c>
      <c r="B7" s="76">
        <v>435</v>
      </c>
      <c r="C7" s="77"/>
      <c r="D7" s="78"/>
      <c r="E7" s="142">
        <v>44897</v>
      </c>
      <c r="F7" s="138"/>
      <c r="G7" s="87"/>
      <c r="H7" s="88"/>
      <c r="I7" s="88"/>
      <c r="J7" s="88"/>
      <c r="K7" s="89"/>
      <c r="L7" s="90"/>
      <c r="M7" s="148"/>
    </row>
    <row r="8" spans="1:13" ht="15.75" thickBot="1" x14ac:dyDescent="0.3">
      <c r="A8" s="79" t="s">
        <v>6</v>
      </c>
      <c r="B8" s="80">
        <v>113</v>
      </c>
      <c r="C8" s="81">
        <v>113</v>
      </c>
      <c r="D8" s="82">
        <f>C8/B7</f>
        <v>0.25977011494252872</v>
      </c>
      <c r="E8" s="143"/>
      <c r="G8" s="95"/>
      <c r="H8" s="96"/>
      <c r="I8" s="96"/>
      <c r="J8" s="96"/>
      <c r="K8" s="97"/>
      <c r="L8" s="98"/>
      <c r="M8" s="150"/>
    </row>
    <row r="9" spans="1:13" ht="16.5" thickTop="1" thickBot="1" x14ac:dyDescent="0.3">
      <c r="A9" s="79" t="s">
        <v>1001</v>
      </c>
      <c r="B9" s="80">
        <v>4</v>
      </c>
      <c r="C9" s="81">
        <f>C8-B9</f>
        <v>109</v>
      </c>
      <c r="D9" s="82">
        <f>C9/B7</f>
        <v>0.25057471264367814</v>
      </c>
      <c r="E9" s="143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3</v>
      </c>
      <c r="C10" s="81">
        <f>C9-B10</f>
        <v>106</v>
      </c>
      <c r="D10" s="82">
        <f>C10/B7</f>
        <v>0.24367816091954023</v>
      </c>
      <c r="E10" s="143"/>
      <c r="G10" s="103"/>
      <c r="H10" s="104"/>
      <c r="I10" s="104"/>
      <c r="J10" s="104"/>
      <c r="K10" s="105"/>
      <c r="L10" s="106"/>
      <c r="M10" s="147"/>
    </row>
    <row r="11" spans="1:13" ht="15.75" thickBot="1" x14ac:dyDescent="0.3">
      <c r="A11" s="91" t="s">
        <v>16</v>
      </c>
      <c r="B11" s="92">
        <v>21</v>
      </c>
      <c r="C11" s="93">
        <f>C10-B11</f>
        <v>85</v>
      </c>
      <c r="D11" s="82">
        <f>C11/B7</f>
        <v>0.19540229885057472</v>
      </c>
      <c r="E11" s="144"/>
      <c r="G11" s="107"/>
      <c r="H11" s="100"/>
      <c r="I11" s="100"/>
      <c r="J11" s="100"/>
      <c r="K11" s="101"/>
      <c r="L11" s="108"/>
      <c r="M11" s="148"/>
    </row>
    <row r="12" spans="1:13" ht="15.75" thickTop="1" x14ac:dyDescent="0.25">
      <c r="A12" s="75" t="s">
        <v>999</v>
      </c>
      <c r="B12" s="76"/>
      <c r="C12" s="77"/>
      <c r="D12" s="78"/>
      <c r="E12" s="142"/>
      <c r="G12" s="107"/>
      <c r="H12" s="100"/>
      <c r="I12" s="100"/>
      <c r="J12" s="100"/>
      <c r="K12" s="101"/>
      <c r="L12" s="108"/>
      <c r="M12" s="148"/>
    </row>
    <row r="13" spans="1:13" x14ac:dyDescent="0.25">
      <c r="A13" s="79" t="s">
        <v>6</v>
      </c>
      <c r="B13" s="80"/>
      <c r="C13" s="81"/>
      <c r="D13" s="82"/>
      <c r="E13" s="143"/>
      <c r="G13" s="107"/>
      <c r="H13" s="100"/>
      <c r="I13" s="100"/>
      <c r="J13" s="100"/>
      <c r="K13" s="101"/>
      <c r="L13" s="108"/>
      <c r="M13" s="148"/>
    </row>
    <row r="14" spans="1:13" x14ac:dyDescent="0.25">
      <c r="A14" s="79" t="s">
        <v>1001</v>
      </c>
      <c r="B14" s="80"/>
      <c r="C14" s="81"/>
      <c r="D14" s="82"/>
      <c r="E14" s="143"/>
      <c r="G14" s="107"/>
      <c r="H14" s="100"/>
      <c r="I14" s="100"/>
      <c r="J14" s="100"/>
      <c r="K14" s="101"/>
      <c r="L14" s="108"/>
      <c r="M14" s="148"/>
    </row>
    <row r="15" spans="1:13" ht="15" customHeight="1" thickBot="1" x14ac:dyDescent="0.3">
      <c r="A15" s="79" t="s">
        <v>1000</v>
      </c>
      <c r="B15" s="80"/>
      <c r="C15" s="81"/>
      <c r="D15" s="82"/>
      <c r="E15" s="143"/>
      <c r="G15" s="109"/>
      <c r="H15" s="110"/>
      <c r="I15" s="110"/>
      <c r="J15" s="110"/>
      <c r="K15" s="110"/>
      <c r="L15" s="111"/>
      <c r="M15" s="149"/>
    </row>
    <row r="16" spans="1:13" ht="16.5" thickTop="1" thickBot="1" x14ac:dyDescent="0.3">
      <c r="A16" s="91" t="s">
        <v>16</v>
      </c>
      <c r="B16" s="92"/>
      <c r="C16" s="93"/>
      <c r="D16" s="82"/>
      <c r="E16" s="144"/>
      <c r="G16" s="112"/>
      <c r="H16" s="113"/>
      <c r="I16" s="113"/>
      <c r="J16" s="113"/>
      <c r="K16" s="114"/>
      <c r="L16" s="115"/>
      <c r="M16" s="147"/>
    </row>
    <row r="17" spans="1:14" ht="15.75" thickTop="1" x14ac:dyDescent="0.25">
      <c r="A17" s="75" t="s">
        <v>999</v>
      </c>
      <c r="B17" s="76"/>
      <c r="C17" s="77"/>
      <c r="D17" s="78"/>
      <c r="E17" s="142"/>
      <c r="G17" s="116"/>
      <c r="H17" s="100"/>
      <c r="I17" s="100"/>
      <c r="J17" s="100"/>
      <c r="K17" s="101"/>
      <c r="L17" s="117"/>
      <c r="M17" s="148"/>
    </row>
    <row r="18" spans="1:14" x14ac:dyDescent="0.25">
      <c r="A18" s="79" t="s">
        <v>6</v>
      </c>
      <c r="B18" s="80"/>
      <c r="C18" s="81"/>
      <c r="D18" s="82"/>
      <c r="E18" s="143"/>
      <c r="G18" s="116"/>
      <c r="H18" s="100"/>
      <c r="I18" s="100"/>
      <c r="J18" s="100"/>
      <c r="K18" s="101"/>
      <c r="L18" s="117"/>
      <c r="M18" s="148"/>
    </row>
    <row r="19" spans="1:14" x14ac:dyDescent="0.25">
      <c r="A19" s="79" t="s">
        <v>1001</v>
      </c>
      <c r="B19" s="80"/>
      <c r="C19" s="81"/>
      <c r="D19" s="82"/>
      <c r="E19" s="143"/>
      <c r="G19" s="116"/>
      <c r="H19" s="100"/>
      <c r="I19" s="100"/>
      <c r="J19" s="100"/>
      <c r="K19" s="101"/>
      <c r="L19" s="117"/>
      <c r="M19" s="148"/>
    </row>
    <row r="20" spans="1:14" x14ac:dyDescent="0.25">
      <c r="A20" s="79" t="s">
        <v>1000</v>
      </c>
      <c r="B20" s="80"/>
      <c r="C20" s="81"/>
      <c r="D20" s="82"/>
      <c r="E20" s="143"/>
      <c r="G20" s="116"/>
      <c r="H20" s="100"/>
      <c r="I20" s="100"/>
      <c r="J20" s="100"/>
      <c r="K20" s="101"/>
      <c r="L20" s="117"/>
      <c r="M20" s="148"/>
    </row>
    <row r="21" spans="1:14" ht="15.75" thickBot="1" x14ac:dyDescent="0.3">
      <c r="A21" s="91" t="s">
        <v>16</v>
      </c>
      <c r="B21" s="92"/>
      <c r="C21" s="93"/>
      <c r="D21" s="82"/>
      <c r="E21" s="144"/>
      <c r="G21" s="109"/>
      <c r="H21" s="110"/>
      <c r="I21" s="110"/>
      <c r="J21" s="110"/>
      <c r="K21" s="110"/>
      <c r="L21" s="111"/>
      <c r="M21" s="149"/>
    </row>
    <row r="22" spans="1:14" ht="15.75" thickTop="1" x14ac:dyDescent="0.25">
      <c r="A22" s="75" t="s">
        <v>999</v>
      </c>
      <c r="B22" s="76"/>
      <c r="C22" s="77"/>
      <c r="D22" s="78"/>
      <c r="E22" s="142"/>
    </row>
    <row r="23" spans="1:14" ht="15.75" thickBot="1" x14ac:dyDescent="0.3">
      <c r="A23" s="79" t="s">
        <v>6</v>
      </c>
      <c r="B23" s="80"/>
      <c r="C23" s="81"/>
      <c r="D23" s="82"/>
      <c r="E23" s="143"/>
    </row>
    <row r="24" spans="1:14" ht="15.75" thickTop="1" x14ac:dyDescent="0.25">
      <c r="A24" s="79" t="s">
        <v>1001</v>
      </c>
      <c r="B24" s="80"/>
      <c r="C24" s="81"/>
      <c r="D24" s="82"/>
      <c r="E24" s="143"/>
      <c r="G24" s="103"/>
      <c r="H24" s="104"/>
      <c r="I24" s="104"/>
      <c r="J24" s="104"/>
      <c r="K24" s="105"/>
      <c r="L24" s="106"/>
      <c r="M24" s="147"/>
    </row>
    <row r="25" spans="1:14" x14ac:dyDescent="0.25">
      <c r="A25" s="79" t="s">
        <v>1000</v>
      </c>
      <c r="B25" s="80"/>
      <c r="C25" s="81"/>
      <c r="D25" s="82"/>
      <c r="E25" s="143"/>
      <c r="G25" s="107"/>
      <c r="H25" s="100"/>
      <c r="I25" s="100"/>
      <c r="J25" s="100"/>
      <c r="K25" s="101"/>
      <c r="L25" s="108"/>
      <c r="M25" s="148"/>
    </row>
    <row r="26" spans="1:14" ht="15.75" thickBot="1" x14ac:dyDescent="0.3">
      <c r="A26" s="91" t="s">
        <v>16</v>
      </c>
      <c r="B26" s="92"/>
      <c r="C26" s="93"/>
      <c r="D26" s="82"/>
      <c r="E26" s="144"/>
      <c r="G26" s="107"/>
      <c r="H26" s="100"/>
      <c r="I26" s="100"/>
      <c r="J26" s="100"/>
      <c r="K26" s="101"/>
      <c r="L26" s="108"/>
      <c r="M26" s="148"/>
    </row>
    <row r="27" spans="1:14" ht="15.75" thickTop="1" x14ac:dyDescent="0.25">
      <c r="A27" s="75" t="s">
        <v>999</v>
      </c>
      <c r="B27" s="76"/>
      <c r="C27" s="77"/>
      <c r="D27" s="78"/>
      <c r="E27" s="142"/>
      <c r="G27" s="107"/>
      <c r="H27" s="100"/>
      <c r="I27" s="100"/>
      <c r="J27" s="100"/>
      <c r="K27" s="101"/>
      <c r="L27" s="108"/>
      <c r="M27" s="148"/>
    </row>
    <row r="28" spans="1:14" x14ac:dyDescent="0.25">
      <c r="A28" s="79" t="s">
        <v>6</v>
      </c>
      <c r="B28" s="80"/>
      <c r="C28" s="81"/>
      <c r="D28" s="82"/>
      <c r="E28" s="143"/>
      <c r="G28" s="107"/>
      <c r="H28" s="100"/>
      <c r="I28" s="100"/>
      <c r="J28" s="100"/>
      <c r="K28" s="101"/>
      <c r="L28" s="108"/>
      <c r="M28" s="148"/>
    </row>
    <row r="29" spans="1:14" ht="15.75" thickBot="1" x14ac:dyDescent="0.3">
      <c r="A29" s="79" t="s">
        <v>1001</v>
      </c>
      <c r="B29" s="80"/>
      <c r="C29" s="81"/>
      <c r="D29" s="82"/>
      <c r="E29" s="143"/>
      <c r="G29" s="109"/>
      <c r="H29" s="110"/>
      <c r="I29" s="110"/>
      <c r="J29" s="110"/>
      <c r="K29" s="110"/>
      <c r="L29" s="111"/>
      <c r="M29" s="149"/>
    </row>
    <row r="30" spans="1:14" ht="16.5" thickTop="1" thickBot="1" x14ac:dyDescent="0.3">
      <c r="A30" s="79" t="s">
        <v>1000</v>
      </c>
      <c r="B30" s="80"/>
      <c r="C30" s="81"/>
      <c r="D30" s="82"/>
      <c r="E30" s="143"/>
    </row>
    <row r="31" spans="1:14" ht="16.5" thickTop="1" thickBot="1" x14ac:dyDescent="0.3">
      <c r="A31" s="91" t="s">
        <v>16</v>
      </c>
      <c r="B31" s="92"/>
      <c r="C31" s="93"/>
      <c r="D31" s="82"/>
      <c r="E31" s="144"/>
      <c r="G31" s="112"/>
      <c r="H31" s="118"/>
      <c r="I31" s="113"/>
      <c r="J31" s="113"/>
      <c r="K31" s="113"/>
      <c r="L31" s="114"/>
      <c r="M31" s="115"/>
      <c r="N31" s="145"/>
    </row>
    <row r="32" spans="1:14" ht="15.75" thickTop="1" x14ac:dyDescent="0.25">
      <c r="A32" s="75" t="s">
        <v>999</v>
      </c>
      <c r="B32" s="76"/>
      <c r="C32" s="77"/>
      <c r="D32" s="78"/>
      <c r="E32" s="142"/>
      <c r="G32" s="116"/>
      <c r="H32" s="99"/>
      <c r="I32" s="100"/>
      <c r="J32" s="100"/>
      <c r="K32" s="100"/>
      <c r="L32" s="101"/>
      <c r="M32" s="117"/>
      <c r="N32" s="146"/>
    </row>
    <row r="33" spans="1:14" ht="15.75" thickBot="1" x14ac:dyDescent="0.3">
      <c r="A33" s="79" t="s">
        <v>6</v>
      </c>
      <c r="B33" s="80"/>
      <c r="C33" s="81"/>
      <c r="D33" s="82"/>
      <c r="E33" s="143"/>
      <c r="G33" s="119"/>
      <c r="H33" s="120"/>
      <c r="I33" s="110"/>
      <c r="J33" s="110"/>
      <c r="K33" s="110"/>
      <c r="L33" s="121"/>
      <c r="M33" s="111"/>
      <c r="N33" s="146"/>
    </row>
    <row r="34" spans="1:14" ht="15.75" thickTop="1" x14ac:dyDescent="0.25">
      <c r="A34" s="79" t="s">
        <v>1001</v>
      </c>
      <c r="B34" s="80"/>
      <c r="C34" s="81"/>
      <c r="D34" s="82"/>
      <c r="E34" s="143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3"/>
      <c r="G35" s="122"/>
      <c r="K35" s="123"/>
    </row>
    <row r="36" spans="1:14" ht="15.75" thickBot="1" x14ac:dyDescent="0.3">
      <c r="A36" s="91" t="s">
        <v>16</v>
      </c>
      <c r="B36" s="92"/>
      <c r="C36" s="93"/>
      <c r="D36" s="82"/>
      <c r="E36" s="144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2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3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3"/>
    </row>
    <row r="40" spans="1:14" ht="15.75" thickTop="1" x14ac:dyDescent="0.25">
      <c r="A40" s="79" t="s">
        <v>1000</v>
      </c>
      <c r="B40" s="80"/>
      <c r="C40" s="81"/>
      <c r="D40" s="82"/>
      <c r="E40" s="143"/>
      <c r="G40" s="103"/>
      <c r="H40" s="104"/>
      <c r="I40" s="104"/>
      <c r="J40" s="104"/>
      <c r="K40" s="105"/>
      <c r="L40" s="106"/>
      <c r="M40" s="147"/>
    </row>
    <row r="41" spans="1:14" ht="15.75" thickBot="1" x14ac:dyDescent="0.3">
      <c r="A41" s="91" t="s">
        <v>16</v>
      </c>
      <c r="B41" s="92"/>
      <c r="C41" s="93"/>
      <c r="D41" s="82"/>
      <c r="E41" s="144"/>
      <c r="G41" s="107"/>
      <c r="H41" s="100"/>
      <c r="I41" s="100"/>
      <c r="J41" s="100"/>
      <c r="K41" s="101"/>
      <c r="L41" s="108"/>
      <c r="M41" s="148"/>
    </row>
    <row r="42" spans="1:14" ht="15" customHeight="1" thickTop="1" x14ac:dyDescent="0.25">
      <c r="A42" s="75" t="s">
        <v>999</v>
      </c>
      <c r="B42" s="76"/>
      <c r="C42" s="77"/>
      <c r="D42" s="78"/>
      <c r="E42" s="142"/>
      <c r="G42" s="107"/>
      <c r="H42" s="100"/>
      <c r="I42" s="100"/>
      <c r="J42" s="100"/>
      <c r="K42" s="101"/>
      <c r="L42" s="108"/>
      <c r="M42" s="148"/>
    </row>
    <row r="43" spans="1:14" x14ac:dyDescent="0.25">
      <c r="A43" s="79" t="s">
        <v>6</v>
      </c>
      <c r="B43" s="80"/>
      <c r="C43" s="81"/>
      <c r="D43" s="82"/>
      <c r="E43" s="143"/>
      <c r="G43" s="107"/>
      <c r="H43" s="100"/>
      <c r="I43" s="100"/>
      <c r="J43" s="100"/>
      <c r="K43" s="101"/>
      <c r="L43" s="108"/>
      <c r="M43" s="148"/>
    </row>
    <row r="44" spans="1:14" x14ac:dyDescent="0.25">
      <c r="A44" s="79" t="s">
        <v>1001</v>
      </c>
      <c r="B44" s="80"/>
      <c r="C44" s="81"/>
      <c r="D44" s="82"/>
      <c r="E44" s="143"/>
      <c r="G44" s="107"/>
      <c r="H44" s="100"/>
      <c r="I44" s="100"/>
      <c r="J44" s="100"/>
      <c r="K44" s="101"/>
      <c r="L44" s="108"/>
      <c r="M44" s="148"/>
    </row>
    <row r="45" spans="1:14" ht="15.75" thickBot="1" x14ac:dyDescent="0.3">
      <c r="A45" s="79" t="s">
        <v>1000</v>
      </c>
      <c r="B45" s="80"/>
      <c r="C45" s="81"/>
      <c r="D45" s="82"/>
      <c r="E45" s="143"/>
      <c r="G45" s="109"/>
      <c r="H45" s="110"/>
      <c r="I45" s="110"/>
      <c r="J45" s="110"/>
      <c r="K45" s="110"/>
      <c r="L45" s="111"/>
      <c r="M45" s="149"/>
    </row>
    <row r="46" spans="1:14" ht="16.5" thickTop="1" thickBot="1" x14ac:dyDescent="0.3">
      <c r="A46" s="91" t="s">
        <v>16</v>
      </c>
      <c r="B46" s="92"/>
      <c r="C46" s="93"/>
      <c r="D46" s="82"/>
      <c r="E46" s="144"/>
    </row>
    <row r="47" spans="1:14" ht="15.75" thickTop="1" x14ac:dyDescent="0.25">
      <c r="A47" s="75" t="s">
        <v>999</v>
      </c>
      <c r="B47" s="76"/>
      <c r="C47" s="77"/>
      <c r="D47" s="78"/>
      <c r="E47" s="142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3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3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3"/>
      <c r="G50" s="122"/>
      <c r="K50" s="123"/>
    </row>
    <row r="51" spans="1:11" ht="15.75" thickBot="1" x14ac:dyDescent="0.3">
      <c r="A51" s="91" t="s">
        <v>16</v>
      </c>
      <c r="B51" s="92"/>
      <c r="C51" s="93"/>
      <c r="D51" s="82"/>
      <c r="E51" s="144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2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3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3"/>
    </row>
    <row r="55" spans="1:11" x14ac:dyDescent="0.25">
      <c r="A55" s="79" t="s">
        <v>1000</v>
      </c>
      <c r="B55" s="80"/>
      <c r="C55" s="81"/>
      <c r="D55" s="82"/>
      <c r="E55" s="143"/>
    </row>
    <row r="56" spans="1:11" ht="15.75" thickBot="1" x14ac:dyDescent="0.3">
      <c r="A56" s="91" t="s">
        <v>16</v>
      </c>
      <c r="B56" s="92"/>
      <c r="C56" s="93"/>
      <c r="D56" s="94"/>
      <c r="E56" s="144"/>
    </row>
    <row r="57" spans="1:11" ht="15.75" thickTop="1" x14ac:dyDescent="0.25">
      <c r="A57" s="75" t="s">
        <v>999</v>
      </c>
      <c r="B57" s="76"/>
      <c r="C57" s="77"/>
      <c r="D57" s="78"/>
      <c r="E57" s="142"/>
    </row>
    <row r="58" spans="1:11" x14ac:dyDescent="0.25">
      <c r="A58" s="79" t="s">
        <v>6</v>
      </c>
      <c r="B58" s="80"/>
      <c r="C58" s="81"/>
      <c r="D58" s="82"/>
      <c r="E58" s="143"/>
    </row>
    <row r="59" spans="1:11" x14ac:dyDescent="0.25">
      <c r="A59" s="79" t="s">
        <v>1001</v>
      </c>
      <c r="B59" s="80"/>
      <c r="C59" s="81"/>
      <c r="D59" s="82"/>
      <c r="E59" s="143"/>
    </row>
    <row r="60" spans="1:11" x14ac:dyDescent="0.25">
      <c r="A60" s="79" t="s">
        <v>1000</v>
      </c>
      <c r="B60" s="80"/>
      <c r="C60" s="81"/>
      <c r="D60" s="82"/>
      <c r="E60" s="143"/>
    </row>
    <row r="61" spans="1:11" ht="15.75" thickBot="1" x14ac:dyDescent="0.3">
      <c r="A61" s="91" t="s">
        <v>16</v>
      </c>
      <c r="B61" s="92"/>
      <c r="C61" s="93"/>
      <c r="D61" s="94"/>
      <c r="E61" s="144"/>
    </row>
    <row r="62" spans="1:11" ht="15.75" thickTop="1" x14ac:dyDescent="0.25">
      <c r="A62" s="75" t="s">
        <v>999</v>
      </c>
      <c r="B62" s="76"/>
      <c r="C62" s="77"/>
      <c r="D62" s="78"/>
      <c r="E62" s="142"/>
    </row>
    <row r="63" spans="1:11" x14ac:dyDescent="0.25">
      <c r="A63" s="79" t="s">
        <v>6</v>
      </c>
      <c r="B63" s="80"/>
      <c r="C63" s="81"/>
      <c r="D63" s="82"/>
      <c r="E63" s="143"/>
    </row>
    <row r="64" spans="1:11" x14ac:dyDescent="0.25">
      <c r="A64" s="79" t="s">
        <v>1001</v>
      </c>
      <c r="B64" s="80"/>
      <c r="C64" s="81"/>
      <c r="D64" s="82"/>
      <c r="E64" s="143"/>
    </row>
    <row r="65" spans="1:5" x14ac:dyDescent="0.25">
      <c r="A65" s="79" t="s">
        <v>1000</v>
      </c>
      <c r="B65" s="80"/>
      <c r="C65" s="81"/>
      <c r="D65" s="82"/>
      <c r="E65" s="143"/>
    </row>
    <row r="66" spans="1:5" ht="15.75" thickBot="1" x14ac:dyDescent="0.3">
      <c r="A66" s="91" t="s">
        <v>16</v>
      </c>
      <c r="B66" s="92"/>
      <c r="C66" s="93"/>
      <c r="D66" s="94"/>
      <c r="E66" s="144"/>
    </row>
    <row r="67" spans="1:5" ht="15.75" thickTop="1" x14ac:dyDescent="0.25">
      <c r="A67" s="75" t="s">
        <v>999</v>
      </c>
      <c r="B67" s="76"/>
      <c r="C67" s="77"/>
      <c r="D67" s="78"/>
      <c r="E67" s="142"/>
    </row>
    <row r="68" spans="1:5" x14ac:dyDescent="0.25">
      <c r="A68" s="79" t="s">
        <v>6</v>
      </c>
      <c r="B68" s="80"/>
      <c r="C68" s="81"/>
      <c r="D68" s="82"/>
      <c r="E68" s="143"/>
    </row>
    <row r="69" spans="1:5" x14ac:dyDescent="0.25">
      <c r="A69" s="79" t="s">
        <v>1001</v>
      </c>
      <c r="B69" s="80"/>
      <c r="C69" s="81"/>
      <c r="D69" s="82"/>
      <c r="E69" s="143"/>
    </row>
    <row r="70" spans="1:5" x14ac:dyDescent="0.25">
      <c r="A70" s="79" t="s">
        <v>1000</v>
      </c>
      <c r="B70" s="80"/>
      <c r="C70" s="81"/>
      <c r="D70" s="82"/>
      <c r="E70" s="143"/>
    </row>
    <row r="71" spans="1:5" ht="15.75" thickBot="1" x14ac:dyDescent="0.3">
      <c r="A71" s="91" t="s">
        <v>16</v>
      </c>
      <c r="B71" s="92"/>
      <c r="C71" s="93"/>
      <c r="D71" s="94"/>
      <c r="E71" s="144"/>
    </row>
    <row r="72" spans="1:5" ht="15.75" thickTop="1" x14ac:dyDescent="0.25">
      <c r="A72" s="75" t="s">
        <v>999</v>
      </c>
      <c r="B72" s="76"/>
      <c r="C72" s="77"/>
      <c r="D72" s="78"/>
      <c r="E72" s="142"/>
    </row>
    <row r="73" spans="1:5" x14ac:dyDescent="0.25">
      <c r="A73" s="79" t="s">
        <v>6</v>
      </c>
      <c r="B73" s="80"/>
      <c r="C73" s="81"/>
      <c r="D73" s="82"/>
      <c r="E73" s="143"/>
    </row>
    <row r="74" spans="1:5" x14ac:dyDescent="0.25">
      <c r="A74" s="79" t="s">
        <v>1001</v>
      </c>
      <c r="B74" s="80"/>
      <c r="C74" s="81"/>
      <c r="D74" s="82"/>
      <c r="E74" s="143"/>
    </row>
    <row r="75" spans="1:5" x14ac:dyDescent="0.25">
      <c r="A75" s="79" t="s">
        <v>1000</v>
      </c>
      <c r="B75" s="80"/>
      <c r="C75" s="81"/>
      <c r="D75" s="82"/>
      <c r="E75" s="143"/>
    </row>
    <row r="76" spans="1:5" ht="15.75" thickBot="1" x14ac:dyDescent="0.3">
      <c r="A76" s="91" t="s">
        <v>16</v>
      </c>
      <c r="B76" s="92"/>
      <c r="C76" s="93"/>
      <c r="D76" s="94"/>
      <c r="E76" s="144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TOTAL'!C5:C504,"=BONOMO")</f>
        <v>228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TOTAL'!C5:C504,"=COSEIDI")</f>
        <v>207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" sqref="F4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4">
        <f t="shared" ref="G2" si="1">E2/F2</f>
        <v>0.31034482758620691</v>
      </c>
    </row>
    <row r="3" spans="1:7" x14ac:dyDescent="0.25">
      <c r="A3" s="18">
        <f>'APAGADOS RADIO'!G3</f>
        <v>44897</v>
      </c>
      <c r="B3" s="40">
        <f>'APAGADOS RADIO'!G2+D3</f>
        <v>32</v>
      </c>
      <c r="C3" s="40">
        <f>'APAGADOS FIBRA'!G2</f>
        <v>81</v>
      </c>
      <c r="D3" s="40">
        <f>'APAGADOS ANTENA'!G2</f>
        <v>11</v>
      </c>
      <c r="E3" s="40">
        <f t="shared" ref="E3" si="2">B3+C3</f>
        <v>113</v>
      </c>
      <c r="F3" s="40">
        <f>'RESUMEN TOTAL'!B1</f>
        <v>435</v>
      </c>
      <c r="G3" s="44">
        <f t="shared" ref="G3" si="3">E3/F3</f>
        <v>0.25977011494252872</v>
      </c>
    </row>
    <row r="4" spans="1:7" x14ac:dyDescent="0.25">
      <c r="A4" s="18">
        <f>'APAGADOS RADIO'!H3</f>
        <v>44898</v>
      </c>
      <c r="B4" s="40"/>
      <c r="C4" s="40"/>
      <c r="D4" s="40"/>
      <c r="E4" s="40"/>
      <c r="F4" s="40"/>
    </row>
    <row r="5" spans="1:7" x14ac:dyDescent="0.25">
      <c r="A5" s="18">
        <f>'APAGADOS RADIO'!I3</f>
        <v>44899</v>
      </c>
      <c r="B5" s="40"/>
      <c r="C5" s="40"/>
      <c r="D5" s="40"/>
      <c r="E5" s="40"/>
      <c r="F5" s="40"/>
    </row>
    <row r="6" spans="1:7" x14ac:dyDescent="0.25">
      <c r="A6" s="18">
        <f>'APAGADOS RADIO'!J3</f>
        <v>44900</v>
      </c>
      <c r="B6" s="40"/>
      <c r="C6" s="40"/>
      <c r="D6" s="40"/>
      <c r="E6" s="40"/>
      <c r="F6" s="40"/>
    </row>
    <row r="7" spans="1:7" x14ac:dyDescent="0.25">
      <c r="A7" s="18">
        <f>'APAGADOS RADIO'!K3</f>
        <v>44901</v>
      </c>
      <c r="B7" s="40"/>
      <c r="C7" s="40"/>
      <c r="D7" s="40"/>
      <c r="E7" s="40"/>
      <c r="F7" s="40"/>
    </row>
    <row r="8" spans="1:7" x14ac:dyDescent="0.25">
      <c r="A8" s="18">
        <f>'APAGADOS RADIO'!L3</f>
        <v>44902</v>
      </c>
      <c r="B8" s="40"/>
      <c r="C8" s="40"/>
      <c r="D8" s="40"/>
      <c r="E8" s="40"/>
      <c r="F8" s="40"/>
    </row>
    <row r="9" spans="1:7" x14ac:dyDescent="0.25">
      <c r="A9" s="18">
        <f>'APAGADOS RADIO'!M3</f>
        <v>44903</v>
      </c>
      <c r="B9" s="40"/>
      <c r="C9" s="40"/>
      <c r="D9" s="40"/>
      <c r="E9" s="40"/>
      <c r="F9" s="40"/>
    </row>
    <row r="10" spans="1:7" x14ac:dyDescent="0.25">
      <c r="A10" s="18">
        <f>'APAGADOS RADIO'!N3</f>
        <v>44904</v>
      </c>
      <c r="B10" s="40"/>
      <c r="C10" s="40"/>
      <c r="D10" s="40"/>
      <c r="E10" s="40"/>
      <c r="F10" s="40"/>
    </row>
    <row r="11" spans="1:7" x14ac:dyDescent="0.25">
      <c r="A11" s="18">
        <f>'APAGADOS RADIO'!O3</f>
        <v>44905</v>
      </c>
      <c r="B11" s="40"/>
      <c r="C11" s="40"/>
      <c r="D11" s="40"/>
      <c r="E11" s="40"/>
      <c r="F11" s="40"/>
    </row>
    <row r="12" spans="1:7" x14ac:dyDescent="0.25">
      <c r="A12" s="18">
        <f>'APAGADOS RADIO'!P3</f>
        <v>44906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44907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44908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44909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44910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44911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44912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44913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44914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44915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44916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44917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44918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44919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44920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44921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44922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44923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44924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44925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69</v>
      </c>
      <c r="G3" s="63">
        <f>COUNTIFS('RESUMEN TOTAL'!C7:C504, "=BONOMO",'RESUMEN TOTAL'!L7:L504,"=APAGADO")</f>
        <v>72</v>
      </c>
      <c r="H3" s="63">
        <f>COUNTIFS('RESUMEN TOTAL'!C7:C504, "=BONOMO",'RESUMEN TOTAL'!M7:M504,"=APAGADO")</f>
        <v>59</v>
      </c>
      <c r="I3" s="63">
        <f>COUNTIFS('RESUMEN TOTAL'!C7:C504, "=BONOMO",'RESUMEN TOTAL'!N7:N504,"=APAGADO")</f>
        <v>56</v>
      </c>
      <c r="J3" s="63">
        <f>COUNTIFS('RESUMEN TOTAL'!C7:C504, "=BONOMO",'RESUMEN TOTAL'!O7:O504,"=APAGADO")</f>
        <v>0</v>
      </c>
      <c r="K3" s="63">
        <f>COUNTIFS('RESUMEN TOTAL'!C7:C504, "=BONOMO",'RESUMEN TOTAL'!P7:P504,"=APAGADO")</f>
        <v>0</v>
      </c>
      <c r="L3" s="63">
        <f>COUNTIFS('RESUMEN TOTAL'!C7:C504, "=BONOMO",'RESUMEN TOTAL'!Q7:Q504,"=APAGADO")</f>
        <v>0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0.30263157894736842</v>
      </c>
      <c r="G4" s="70">
        <f t="shared" si="0"/>
        <v>0.31578947368421051</v>
      </c>
      <c r="H4" s="70">
        <f t="shared" si="0"/>
        <v>0.25877192982456143</v>
      </c>
      <c r="I4" s="70">
        <f t="shared" si="0"/>
        <v>0.24561403508771928</v>
      </c>
      <c r="J4" s="70">
        <f t="shared" si="0"/>
        <v>0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64</v>
      </c>
      <c r="G5" s="66">
        <f>COUNTIFS('RESUMEN TOTAL'!C10:C424, "=COSEIDI",'RESUMEN TOTAL'!L10:L424,"=APAGADO")</f>
        <v>39</v>
      </c>
      <c r="H5" s="66">
        <f>COUNTIFS('RESUMEN TOTAL'!C10:C424, "=COSEIDI",'RESUMEN TOTAL'!M10:M424,"=APAGADO")</f>
        <v>35</v>
      </c>
      <c r="I5" s="66">
        <f>COUNTIFS('RESUMEN TOTAL'!C10:C424, "=COSEIDI",'RESUMEN TOTAL'!N10:N424,"=APAGADO")</f>
        <v>36</v>
      </c>
      <c r="J5" s="66">
        <f>COUNTIFS('RESUMEN TOTAL'!C10:C424, "=COSEIDI",'RESUMEN TOTAL'!O10:O424,"=APAGADO")</f>
        <v>0</v>
      </c>
      <c r="K5" s="66">
        <f>COUNTIFS('RESUMEN TOTAL'!C10:C424, "=COSEIDI",'RESUMEN TOTAL'!P10:P424,"=APAGADO")</f>
        <v>0</v>
      </c>
      <c r="L5" s="66">
        <f>COUNTIFS('RESUMEN TOTAL'!C10:C424, "=COSEIDI",'RESUMEN TOTAL'!Q10:Q424,"=APAGADO")</f>
        <v>0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0.30917874396135264</v>
      </c>
      <c r="G6" s="70">
        <f t="shared" si="5"/>
        <v>0.18840579710144928</v>
      </c>
      <c r="H6" s="70">
        <f t="shared" si="5"/>
        <v>0.16908212560386474</v>
      </c>
      <c r="I6" s="70">
        <f t="shared" si="5"/>
        <v>0.17391304347826086</v>
      </c>
      <c r="J6" s="70">
        <f t="shared" si="5"/>
        <v>0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2022-12-05T10:31:11Z</dcterms:modified>
</cp:coreProperties>
</file>