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7231B345-79CB-4DF3-8E07-F9BC491DF9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Hoja5" sheetId="29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informe" sheetId="24" r:id="rId11"/>
    <sheet name="Hoja2" sheetId="26" r:id="rId12"/>
    <sheet name="GRAFICO2" sheetId="16" r:id="rId13"/>
    <sheet name="AUXILIAR" sheetId="14" r:id="rId14"/>
    <sheet name="Hoja1" sheetId="25" r:id="rId15"/>
    <sheet name="Hoja3" sheetId="27" r:id="rId16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4" hidden="1">APAGADOS!$A$2:$AI$2</definedName>
    <definedName name="_xlnm._FilterDatabase" localSheetId="6" hidden="1">'APAGADOS ANTENA'!$A$3:$AI$454</definedName>
    <definedName name="_xlnm._FilterDatabase" localSheetId="5" hidden="1">'APAGADOS FIBRA'!$A$3:$AI$435</definedName>
    <definedName name="_xlnm._FilterDatabase" localSheetId="7" hidden="1">'APAGADOS RADIO'!$A$3:$AI$437</definedName>
    <definedName name="_xlnm._FilterDatabase" localSheetId="3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5" i="25" l="1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31" i="24" l="1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7" i="14" l="1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Q2" i="10" l="1"/>
  <c r="C13" i="14" s="1"/>
  <c r="T2" i="10"/>
  <c r="C16" i="14" s="1"/>
  <c r="S2" i="10"/>
  <c r="C15" i="14" s="1"/>
  <c r="R2" i="1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H2" i="11"/>
  <c r="B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9" i="14" l="1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6" i="25"/>
  <c r="X383" i="8"/>
  <c r="X385" i="10" s="1"/>
  <c r="X2" i="10" s="1"/>
  <c r="C20" i="14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<sst xmlns="http://schemas.openxmlformats.org/spreadsheetml/2006/main" count="5340" uniqueCount="1310">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</sst>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D231" activePane="bottomRight" state="frozen"/>
      <selection pane="topRight" activeCell="M1" sqref="M1"/>
      <selection pane="bottomLeft" activeCell="A5" sqref="A5"/>
      <selection pane="bottomRight" activeCell="AD246" sqref="AD24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12</v>
      </c>
      <c r="I16" s="40">
        <f t="shared" si="4"/>
        <v>18</v>
      </c>
      <c r="J16" s="41">
        <f t="shared" si="5"/>
        <v>0.4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 t="s">
        <v>1307</v>
      </c>
      <c r="AB16" s="20" t="s">
        <v>1307</v>
      </c>
      <c r="AC16" s="20" t="s">
        <v>1307</v>
      </c>
      <c r="AD16" s="20" t="s">
        <v>1307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 t="s">
        <v>1307</v>
      </c>
      <c r="AA17" s="20" t="s">
        <v>1307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 t="s">
        <v>1307</v>
      </c>
      <c r="AA18" s="20" t="s">
        <v>1307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 t="s">
        <v>1307</v>
      </c>
      <c r="AA19" s="20" t="s">
        <v>1307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 t="s">
        <v>1307</v>
      </c>
      <c r="AA20" s="20" t="s">
        <v>1307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 t="s">
        <v>1307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 t="s">
        <v>1307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11</v>
      </c>
      <c r="I40" s="40">
        <f t="shared" si="4"/>
        <v>20</v>
      </c>
      <c r="J40" s="41">
        <f t="shared" si="5"/>
        <v>0.35483870967741937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 t="s">
        <v>1307</v>
      </c>
      <c r="AB40" s="20" t="s">
        <v>1307</v>
      </c>
      <c r="AC40" s="20" t="s">
        <v>1307</v>
      </c>
      <c r="AD40" s="20" t="s">
        <v>1307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30</v>
      </c>
      <c r="I42" s="40">
        <f t="shared" si="4"/>
        <v>1</v>
      </c>
      <c r="J42" s="41">
        <f t="shared" si="5"/>
        <v>0.967741935483871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1307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11</v>
      </c>
      <c r="I48" s="40">
        <f t="shared" si="4"/>
        <v>20</v>
      </c>
      <c r="J48" s="41">
        <f t="shared" si="5"/>
        <v>0.35483870967741937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 t="s">
        <v>1307</v>
      </c>
      <c r="AB48" s="20" t="s">
        <v>1307</v>
      </c>
      <c r="AC48" s="20" t="s">
        <v>1307</v>
      </c>
      <c r="AD48" s="20" t="s">
        <v>1307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 t="s">
        <v>1307</v>
      </c>
      <c r="AA50" s="20" t="s">
        <v>1307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 t="s">
        <v>1307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 t="s">
        <v>1307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30</v>
      </c>
      <c r="I65" s="40">
        <f t="shared" si="4"/>
        <v>1</v>
      </c>
      <c r="J65" s="41">
        <f t="shared" si="5"/>
        <v>0.967741935483871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1307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1307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1307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11</v>
      </c>
      <c r="I75" s="40">
        <f t="shared" si="4"/>
        <v>20</v>
      </c>
      <c r="J75" s="41">
        <f t="shared" si="5"/>
        <v>0.35483870967741937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 t="s">
        <v>1307</v>
      </c>
      <c r="AB75" s="20" t="s">
        <v>1307</v>
      </c>
      <c r="AC75" s="20" t="s">
        <v>1307</v>
      </c>
      <c r="AD75" s="20" t="s">
        <v>1307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15</v>
      </c>
      <c r="I83" s="40">
        <f>COUNTIF(K83:AL83,"APAGADO")</f>
        <v>16</v>
      </c>
      <c r="J83" s="41">
        <f>(H83)/(I83+H83)</f>
        <v>0.4838709677419355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 t="s">
        <v>1307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1307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22</v>
      </c>
      <c r="I87" s="40">
        <f>COUNTIF(K87:AL87,"APAGADO")</f>
        <v>9</v>
      </c>
      <c r="J87" s="41">
        <f>(H87)/(I87+H87)</f>
        <v>0.70967741935483875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 t="s">
        <v>1307</v>
      </c>
      <c r="AB87" s="20" t="s">
        <v>1307</v>
      </c>
      <c r="AC87" s="20"/>
      <c r="AD87" s="20" t="s">
        <v>1307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24</v>
      </c>
      <c r="I88" s="40">
        <f t="shared" si="9"/>
        <v>7</v>
      </c>
      <c r="J88" s="41">
        <f t="shared" si="10"/>
        <v>0.77419354838709675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 t="s">
        <v>1307</v>
      </c>
      <c r="AB88" s="20" t="s">
        <v>1307</v>
      </c>
      <c r="AC88" s="20"/>
      <c r="AD88" s="20" t="s">
        <v>1307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11</v>
      </c>
      <c r="I94" s="40">
        <f>COUNTIF(K94:AL94,"APAGADO")</f>
        <v>20</v>
      </c>
      <c r="J94" s="41">
        <f>(H94)/(I94+H94)</f>
        <v>0.35483870967741937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 t="s">
        <v>1307</v>
      </c>
      <c r="AB94" s="20" t="s">
        <v>1307</v>
      </c>
      <c r="AC94" s="20" t="s">
        <v>1307</v>
      </c>
      <c r="AD94" s="20" t="s">
        <v>1307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 t="s">
        <v>1307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 t="s">
        <v>1307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15</v>
      </c>
      <c r="I107" s="40">
        <f t="shared" si="9"/>
        <v>16</v>
      </c>
      <c r="J107" s="41">
        <f t="shared" si="10"/>
        <v>0.4838709677419355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 t="s">
        <v>1307</v>
      </c>
      <c r="AA107" s="20" t="s">
        <v>1307</v>
      </c>
      <c r="AB107" s="20" t="s">
        <v>1307</v>
      </c>
      <c r="AC107" s="20" t="s">
        <v>1307</v>
      </c>
      <c r="AD107" s="20" t="s">
        <v>1307</v>
      </c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 t="s">
        <v>1307</v>
      </c>
      <c r="AB116" s="20" t="s">
        <v>1307</v>
      </c>
      <c r="AC116" s="20" t="s">
        <v>1307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 t="s">
        <v>1307</v>
      </c>
      <c r="AB117" s="20" t="s">
        <v>1307</v>
      </c>
      <c r="AC117" s="20" t="s">
        <v>1307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12</v>
      </c>
      <c r="I124" s="40">
        <f t="shared" si="9"/>
        <v>19</v>
      </c>
      <c r="J124" s="41">
        <f t="shared" si="10"/>
        <v>0.38709677419354838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 t="s">
        <v>1307</v>
      </c>
      <c r="AA124" s="20" t="s">
        <v>1307</v>
      </c>
      <c r="AB124" s="20" t="s">
        <v>1307</v>
      </c>
      <c r="AC124" s="20" t="s">
        <v>1307</v>
      </c>
      <c r="AD124" s="20" t="s">
        <v>1307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26</v>
      </c>
      <c r="I134" s="40">
        <f t="shared" si="9"/>
        <v>5</v>
      </c>
      <c r="J134" s="41">
        <f t="shared" si="10"/>
        <v>0.83870967741935487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1307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26</v>
      </c>
      <c r="I135" s="40">
        <f t="shared" si="9"/>
        <v>5</v>
      </c>
      <c r="J135" s="41">
        <f t="shared" si="10"/>
        <v>0.83870967741935487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1307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26</v>
      </c>
      <c r="I136" s="40">
        <f>COUNTIF(K136:AL136,"APAGADO")</f>
        <v>5</v>
      </c>
      <c r="J136" s="41">
        <f>(H136)/(I136+H136)</f>
        <v>0.83870967741935487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1307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26</v>
      </c>
      <c r="I137" s="40">
        <f>COUNTIF(K137:AL137,"APAGADO")</f>
        <v>5</v>
      </c>
      <c r="J137" s="41">
        <f>(H137)/(I137+H137)</f>
        <v>0.83870967741935487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1307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12</v>
      </c>
      <c r="I177" s="40">
        <f t="shared" si="18"/>
        <v>19</v>
      </c>
      <c r="J177" s="41">
        <f t="shared" si="19"/>
        <v>0.38709677419354838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 t="s">
        <v>1307</v>
      </c>
      <c r="AA177" s="20" t="s">
        <v>1307</v>
      </c>
      <c r="AB177" s="20" t="s">
        <v>1307</v>
      </c>
      <c r="AC177" s="20" t="s">
        <v>1307</v>
      </c>
      <c r="AD177" s="20" t="s">
        <v>1307</v>
      </c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17</v>
      </c>
      <c r="I178" s="40">
        <f t="shared" si="18"/>
        <v>14</v>
      </c>
      <c r="J178" s="41">
        <f t="shared" si="19"/>
        <v>0.54838709677419351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 t="s">
        <v>1307</v>
      </c>
      <c r="AA178" s="20" t="s">
        <v>1307</v>
      </c>
      <c r="AB178" s="20" t="s">
        <v>1307</v>
      </c>
      <c r="AC178" s="20"/>
      <c r="AD178" s="20" t="s">
        <v>1307</v>
      </c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13</v>
      </c>
      <c r="I179" s="40">
        <f t="shared" si="18"/>
        <v>18</v>
      </c>
      <c r="J179" s="41">
        <f t="shared" si="19"/>
        <v>0.41935483870967744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 t="s">
        <v>1307</v>
      </c>
      <c r="AA179" s="20" t="s">
        <v>1307</v>
      </c>
      <c r="AB179" s="20" t="s">
        <v>1307</v>
      </c>
      <c r="AC179" s="20" t="s">
        <v>1307</v>
      </c>
      <c r="AD179" s="20" t="s">
        <v>1307</v>
      </c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1158</v>
      </c>
      <c r="D184" t="s">
        <v>284</v>
      </c>
      <c r="E184" s="21"/>
      <c r="F184" s="39" t="s">
        <v>1150</v>
      </c>
      <c r="G184" t="s">
        <v>774</v>
      </c>
      <c r="H184" s="40">
        <f t="shared" si="17"/>
        <v>11</v>
      </c>
      <c r="I184" s="40">
        <f t="shared" si="18"/>
        <v>20</v>
      </c>
      <c r="J184" s="41">
        <f t="shared" si="19"/>
        <v>0.35483870967741937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 t="s">
        <v>1307</v>
      </c>
      <c r="AA184" s="20" t="s">
        <v>1307</v>
      </c>
      <c r="AB184" s="20" t="s">
        <v>1307</v>
      </c>
      <c r="AC184" s="20" t="s">
        <v>1307</v>
      </c>
      <c r="AD184" s="20" t="s">
        <v>1307</v>
      </c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22</v>
      </c>
      <c r="I186" s="40">
        <f t="shared" si="18"/>
        <v>9</v>
      </c>
      <c r="J186" s="41">
        <f t="shared" si="19"/>
        <v>0.70967741935483875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1307</v>
      </c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12</v>
      </c>
      <c r="I187" s="40">
        <f t="shared" si="18"/>
        <v>19</v>
      </c>
      <c r="J187" s="41">
        <f t="shared" si="19"/>
        <v>0.38709677419354838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 t="s">
        <v>1307</v>
      </c>
      <c r="AA187" s="20" t="s">
        <v>1307</v>
      </c>
      <c r="AB187" s="20" t="s">
        <v>1307</v>
      </c>
      <c r="AC187" s="20" t="s">
        <v>1307</v>
      </c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11</v>
      </c>
      <c r="I189" s="40">
        <f t="shared" si="18"/>
        <v>20</v>
      </c>
      <c r="J189" s="41">
        <f t="shared" si="19"/>
        <v>0.35483870967741937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 t="s">
        <v>1307</v>
      </c>
      <c r="AA189" s="20" t="s">
        <v>1307</v>
      </c>
      <c r="AB189" s="20" t="s">
        <v>1307</v>
      </c>
      <c r="AC189" s="20" t="s">
        <v>1307</v>
      </c>
      <c r="AD189" s="20" t="s">
        <v>1307</v>
      </c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1307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1307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 t="s">
        <v>1307</v>
      </c>
      <c r="AA195" s="20" t="s">
        <v>1307</v>
      </c>
      <c r="AB195" s="20" t="s">
        <v>1307</v>
      </c>
      <c r="AC195" s="20" t="s">
        <v>1307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11</v>
      </c>
      <c r="I200" s="40">
        <f>COUNTIF(K200:AL200,"APAGADO")</f>
        <v>20</v>
      </c>
      <c r="J200" s="41">
        <f>(H200)/(I200+H200)</f>
        <v>0.35483870967741937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 t="s">
        <v>1307</v>
      </c>
      <c r="AA200" s="20" t="s">
        <v>1307</v>
      </c>
      <c r="AB200" s="20" t="s">
        <v>1307</v>
      </c>
      <c r="AC200" s="20" t="s">
        <v>1307</v>
      </c>
      <c r="AD200" s="20" t="s">
        <v>1307</v>
      </c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30</v>
      </c>
      <c r="I206" s="40">
        <f t="shared" si="18"/>
        <v>1</v>
      </c>
      <c r="J206" s="41">
        <f t="shared" si="19"/>
        <v>0.967741935483871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1307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30</v>
      </c>
      <c r="I208" s="40">
        <f t="shared" si="18"/>
        <v>1</v>
      </c>
      <c r="J208" s="41">
        <f t="shared" si="19"/>
        <v>0.967741935483871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1307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 t="s">
        <v>1307</v>
      </c>
      <c r="AB210" s="20" t="s">
        <v>1307</v>
      </c>
      <c r="AC210" s="20" t="s">
        <v>1307</v>
      </c>
      <c r="AD210" s="20" t="s">
        <v>1307</v>
      </c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11</v>
      </c>
      <c r="I214" s="40">
        <f t="shared" si="18"/>
        <v>20</v>
      </c>
      <c r="J214" s="41">
        <f t="shared" si="19"/>
        <v>0.35483870967741937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 t="s">
        <v>1307</v>
      </c>
      <c r="AA214" s="20" t="s">
        <v>1307</v>
      </c>
      <c r="AB214" s="20" t="s">
        <v>1307</v>
      </c>
      <c r="AC214" s="20" t="s">
        <v>1307</v>
      </c>
      <c r="AD214" s="20" t="s">
        <v>1307</v>
      </c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1307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1307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11</v>
      </c>
      <c r="I231" s="40">
        <f t="shared" si="18"/>
        <v>20</v>
      </c>
      <c r="J231" s="41">
        <f t="shared" si="19"/>
        <v>0.35483870967741937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 t="s">
        <v>1307</v>
      </c>
      <c r="AA231" s="20" t="s">
        <v>1307</v>
      </c>
      <c r="AB231" s="20" t="s">
        <v>1307</v>
      </c>
      <c r="AC231" s="20" t="s">
        <v>1307</v>
      </c>
      <c r="AD231" s="20" t="s">
        <v>1307</v>
      </c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18</v>
      </c>
      <c r="I234" s="40">
        <f t="shared" si="18"/>
        <v>13</v>
      </c>
      <c r="J234" s="41">
        <f t="shared" si="19"/>
        <v>0.58064516129032262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 t="s">
        <v>1307</v>
      </c>
      <c r="AA234" s="20" t="s">
        <v>1307</v>
      </c>
      <c r="AB234" s="20" t="s">
        <v>1307</v>
      </c>
      <c r="AC234" s="20" t="s">
        <v>1307</v>
      </c>
      <c r="AD234" s="20" t="s">
        <v>1307</v>
      </c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18</v>
      </c>
      <c r="I235" s="40">
        <f t="shared" si="18"/>
        <v>13</v>
      </c>
      <c r="J235" s="41">
        <f t="shared" si="19"/>
        <v>0.58064516129032262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 t="s">
        <v>1307</v>
      </c>
      <c r="AA235" s="20" t="s">
        <v>1307</v>
      </c>
      <c r="AB235" s="20" t="s">
        <v>1307</v>
      </c>
      <c r="AC235" s="20" t="s">
        <v>1307</v>
      </c>
      <c r="AD235" s="20" t="s">
        <v>1307</v>
      </c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11</v>
      </c>
      <c r="I238" s="40">
        <f t="shared" si="23"/>
        <v>20</v>
      </c>
      <c r="J238" s="41">
        <f t="shared" si="24"/>
        <v>0.35483870967741937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 t="s">
        <v>1307</v>
      </c>
      <c r="AA238" s="20" t="s">
        <v>1307</v>
      </c>
      <c r="AB238" s="20" t="s">
        <v>1307</v>
      </c>
      <c r="AC238" s="20" t="s">
        <v>1307</v>
      </c>
      <c r="AD238" s="20" t="s">
        <v>1307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21</v>
      </c>
      <c r="I243" s="40">
        <f t="shared" si="23"/>
        <v>10</v>
      </c>
      <c r="J243" s="41">
        <f t="shared" si="24"/>
        <v>0.67741935483870963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 t="s">
        <v>1307</v>
      </c>
      <c r="AB243" s="20"/>
      <c r="AC243" s="20" t="s">
        <v>1307</v>
      </c>
      <c r="AD243" s="20" t="s">
        <v>1307</v>
      </c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18</v>
      </c>
      <c r="I245" s="40">
        <f t="shared" si="23"/>
        <v>13</v>
      </c>
      <c r="J245" s="41">
        <f t="shared" si="24"/>
        <v>0.58064516129032262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 t="s">
        <v>1307</v>
      </c>
      <c r="AA245" s="20" t="s">
        <v>1307</v>
      </c>
      <c r="AB245" s="20" t="s">
        <v>1307</v>
      </c>
      <c r="AC245" s="20" t="s">
        <v>1307</v>
      </c>
      <c r="AD245" s="20" t="s">
        <v>1307</v>
      </c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1307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1307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1307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1307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 t="s">
        <v>1307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 t="s">
        <v>1307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1307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1307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1307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1307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 t="s">
        <v>1307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 t="s">
        <v>1307</v>
      </c>
      <c r="AA259" s="20" t="s">
        <v>1307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1307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1307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1307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1307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1307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1307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11</v>
      </c>
      <c r="I269" s="40">
        <f t="shared" si="23"/>
        <v>20</v>
      </c>
      <c r="J269" s="41">
        <f t="shared" si="24"/>
        <v>0.35483870967741937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 t="s">
        <v>1307</v>
      </c>
      <c r="AA269" s="20" t="s">
        <v>1307</v>
      </c>
      <c r="AB269" s="20" t="s">
        <v>1307</v>
      </c>
      <c r="AC269" s="20" t="s">
        <v>1307</v>
      </c>
      <c r="AD269" s="20" t="s">
        <v>1307</v>
      </c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11</v>
      </c>
      <c r="I270" s="40">
        <f t="shared" si="23"/>
        <v>20</v>
      </c>
      <c r="J270" s="41">
        <f t="shared" si="24"/>
        <v>0.35483870967741937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 t="s">
        <v>1307</v>
      </c>
      <c r="AA270" s="20" t="s">
        <v>1307</v>
      </c>
      <c r="AB270" s="20" t="s">
        <v>1307</v>
      </c>
      <c r="AC270" s="20" t="s">
        <v>1307</v>
      </c>
      <c r="AD270" s="20" t="s">
        <v>1307</v>
      </c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29</v>
      </c>
      <c r="I285" s="40">
        <f>COUNTIF(K285:AL285,"APAGADO")</f>
        <v>2</v>
      </c>
      <c r="J285" s="41">
        <f>(H285)/(I285+H285)</f>
        <v>0.93548387096774188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1307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27</v>
      </c>
      <c r="I304" s="40">
        <f t="shared" si="26"/>
        <v>4</v>
      </c>
      <c r="J304" s="41">
        <f t="shared" si="27"/>
        <v>0.87096774193548387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 t="s">
        <v>1307</v>
      </c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1307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1307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1307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29</v>
      </c>
      <c r="I327" s="40">
        <f t="shared" si="26"/>
        <v>2</v>
      </c>
      <c r="J327" s="41">
        <f t="shared" si="27"/>
        <v>0.93548387096774188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 t="s">
        <v>1307</v>
      </c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1307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 t="s">
        <v>1307</v>
      </c>
      <c r="AA342" s="20" t="s">
        <v>1307</v>
      </c>
      <c r="AB342" s="20" t="s">
        <v>1307</v>
      </c>
      <c r="AC342" s="20" t="s">
        <v>1307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 t="s">
        <v>1307</v>
      </c>
      <c r="AA343" s="20" t="s">
        <v>1307</v>
      </c>
      <c r="AB343" s="20" t="s">
        <v>1307</v>
      </c>
      <c r="AC343" s="20" t="s">
        <v>1307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 t="s">
        <v>1307</v>
      </c>
      <c r="AA344" s="20" t="s">
        <v>1307</v>
      </c>
      <c r="AB344" s="20" t="s">
        <v>1307</v>
      </c>
      <c r="AC344" s="20" t="s">
        <v>1307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 t="s">
        <v>1307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16</v>
      </c>
      <c r="I346" s="40">
        <f t="shared" si="26"/>
        <v>15</v>
      </c>
      <c r="J346" s="41">
        <f t="shared" si="27"/>
        <v>0.5161290322580645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 t="s">
        <v>1307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 t="s">
        <v>1307</v>
      </c>
      <c r="AA347" s="20" t="s">
        <v>1307</v>
      </c>
      <c r="AB347" s="20" t="s">
        <v>1307</v>
      </c>
      <c r="AC347" s="20" t="s">
        <v>1307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1307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26</v>
      </c>
      <c r="I371" s="40">
        <f t="shared" si="26"/>
        <v>5</v>
      </c>
      <c r="J371" s="41">
        <f t="shared" si="27"/>
        <v>0.83870967741935487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 t="s">
        <v>1307</v>
      </c>
      <c r="AA371" s="20"/>
      <c r="AB371" s="20" t="s">
        <v>1307</v>
      </c>
      <c r="AC371" s="20" t="s">
        <v>1307</v>
      </c>
      <c r="AD371" s="20" t="s">
        <v>1307</v>
      </c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19</v>
      </c>
      <c r="I376" s="40">
        <f t="shared" si="26"/>
        <v>12</v>
      </c>
      <c r="J376" s="41">
        <f t="shared" si="27"/>
        <v>0.61290322580645162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 t="s">
        <v>1307</v>
      </c>
      <c r="AB376" s="20" t="s">
        <v>1307</v>
      </c>
      <c r="AC376" s="20" t="s">
        <v>1307</v>
      </c>
      <c r="AD376" s="20" t="s">
        <v>1307</v>
      </c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1307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20</v>
      </c>
      <c r="I392" s="40">
        <f t="shared" si="31"/>
        <v>11</v>
      </c>
      <c r="J392" s="41">
        <f t="shared" si="32"/>
        <v>0.64516129032258063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 t="s">
        <v>1307</v>
      </c>
      <c r="AB392" s="20" t="s">
        <v>1307</v>
      </c>
      <c r="AC392" s="20" t="s">
        <v>1307</v>
      </c>
      <c r="AD392" s="20" t="s">
        <v>1307</v>
      </c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20</v>
      </c>
      <c r="I393" s="40">
        <f t="shared" si="31"/>
        <v>11</v>
      </c>
      <c r="J393" s="41">
        <f t="shared" si="32"/>
        <v>0.64516129032258063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 t="s">
        <v>1307</v>
      </c>
      <c r="AB393" s="20" t="s">
        <v>1307</v>
      </c>
      <c r="AC393" s="20" t="s">
        <v>1307</v>
      </c>
      <c r="AD393" s="20" t="s">
        <v>1307</v>
      </c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 t="s">
        <v>1307</v>
      </c>
      <c r="AA408" s="20"/>
      <c r="AB408" s="20" t="s">
        <v>1307</v>
      </c>
      <c r="AC408" s="20" t="s">
        <v>1307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1307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1307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1307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1307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 t="s">
        <v>1307</v>
      </c>
      <c r="AA423" s="20" t="s">
        <v>1307</v>
      </c>
      <c r="AB423" s="20" t="s">
        <v>1307</v>
      </c>
      <c r="AC423" s="20" t="s">
        <v>1307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1307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 t="s">
        <v>1307</v>
      </c>
      <c r="AA438" s="20" t="s">
        <v>1307</v>
      </c>
      <c r="AB438" s="20" t="s">
        <v>1307</v>
      </c>
      <c r="AC438" s="20" t="s">
        <v>1307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442 E444:G1048576 E443:F443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DE47-DD1C-4045-9BEA-37DE193B7E7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56A0-8093-41EB-9874-663315E95CC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K1" workbookViewId="0">
      <selection activeCell="E2" sqref="E2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 t="str">
        <f>'RESUMEN TOTAL'!Z106</f>
        <v>APAGADO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 t="str">
        <f>'RESUMEN TOTAL'!Z107</f>
        <v>APAGADO</v>
      </c>
      <c r="V103" t="str">
        <f>'RESUMEN TOTAL'!AA107</f>
        <v>APAGADO</v>
      </c>
      <c r="W103" t="str">
        <f>'RESUMEN TOTAL'!AB107</f>
        <v>APAGADO</v>
      </c>
      <c r="X103" t="str">
        <f>'RESUMEN TOTAL'!AC107</f>
        <v>APAGADO</v>
      </c>
      <c r="Y103" t="str">
        <f>'RESUMEN TOTAL'!AD107</f>
        <v>APAGADO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 t="str">
        <f>'RESUMEN TOTAL'!AA116</f>
        <v>APAGADO</v>
      </c>
      <c r="W112" t="str">
        <f>'RESUMEN TOTAL'!AB116</f>
        <v>APAGADO</v>
      </c>
      <c r="X112" t="str">
        <f>'RESUMEN TOTAL'!AC116</f>
        <v>APAGADO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 t="str">
        <f>'RESUMEN TOTAL'!AA117</f>
        <v>APAGADO</v>
      </c>
      <c r="W113" t="str">
        <f>'RESUMEN TOTAL'!AB117</f>
        <v>APAGADO</v>
      </c>
      <c r="X113" t="str">
        <f>'RESUMEN TOTAL'!AC117</f>
        <v>APAGADO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 t="str">
        <f>'RESUMEN TOTAL'!Z124</f>
        <v>APAGADO</v>
      </c>
      <c r="V121" t="str">
        <f>'RESUMEN TOTAL'!AA124</f>
        <v>APAGADO</v>
      </c>
      <c r="W121" t="str">
        <f>'RESUMEN TOTAL'!AB124</f>
        <v>APAGADO</v>
      </c>
      <c r="X121" t="str">
        <f>'RESUMEN TOTAL'!AC124</f>
        <v>APAGADO</v>
      </c>
      <c r="Y121" t="str">
        <f>'RESUMEN TOTAL'!AD124</f>
        <v>APAGADO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 t="str">
        <f>'RESUMEN TOTAL'!AD134</f>
        <v>APAGADO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 t="str">
        <f>'RESUMEN TOTAL'!AD135</f>
        <v>APAGADO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 t="str">
        <f>'RESUMEN TOTAL'!AD136</f>
        <v>APAGADO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 t="str">
        <f>'RESUMEN TOTAL'!AD137</f>
        <v>APAGADO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 t="str">
        <f>'RESUMEN TOTAL'!Z177</f>
        <v>APAGADO</v>
      </c>
      <c r="V173" t="str">
        <f>'RESUMEN TOTAL'!AA177</f>
        <v>APAGADO</v>
      </c>
      <c r="W173" t="str">
        <f>'RESUMEN TOTAL'!AB177</f>
        <v>APAGADO</v>
      </c>
      <c r="X173" t="str">
        <f>'RESUMEN TOTAL'!AC177</f>
        <v>APAGADO</v>
      </c>
      <c r="Y173" t="str">
        <f>'RESUMEN TOTAL'!AD177</f>
        <v>APAGADO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 t="str">
        <f>'RESUMEN TOTAL'!Z178</f>
        <v>APAGADO</v>
      </c>
      <c r="V174" t="str">
        <f>'RESUMEN TOTAL'!AA178</f>
        <v>APAGADO</v>
      </c>
      <c r="W174" t="str">
        <f>'RESUMEN TOTAL'!AB178</f>
        <v>APAGADO</v>
      </c>
      <c r="X174">
        <f>'RESUMEN TOTAL'!AC178</f>
        <v>0</v>
      </c>
      <c r="Y174" t="str">
        <f>'RESUMEN TOTAL'!AD178</f>
        <v>APAGADO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 t="str">
        <f>'RESUMEN TOTAL'!Z179</f>
        <v>APAGADO</v>
      </c>
      <c r="V175" t="str">
        <f>'RESUMEN TOTAL'!AA179</f>
        <v>APAGADO</v>
      </c>
      <c r="W175" t="str">
        <f>'RESUMEN TOTAL'!AB179</f>
        <v>APAGADO</v>
      </c>
      <c r="X175" t="str">
        <f>'RESUMEN TOTAL'!AC179</f>
        <v>APAGADO</v>
      </c>
      <c r="Y175" t="str">
        <f>'RESUMEN TOTAL'!AD179</f>
        <v>APAGADO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e">
        <f>'RESUMEN TOTAL'!#REF!</f>
        <v>#REF!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 t="str">
        <f>'RESUMEN TOTAL'!Z184</f>
        <v>APAGADO</v>
      </c>
      <c r="V180" t="str">
        <f>'RESUMEN TOTAL'!AA184</f>
        <v>APAGADO</v>
      </c>
      <c r="W180" t="str">
        <f>'RESUMEN TOTAL'!AB184</f>
        <v>APAGADO</v>
      </c>
      <c r="X180" t="str">
        <f>'RESUMEN TOTAL'!AC184</f>
        <v>APAGADO</v>
      </c>
      <c r="Y180" t="str">
        <f>'RESUMEN TOTAL'!AD184</f>
        <v>APAGADO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 t="str">
        <f>'RESUMEN TOTAL'!AD186</f>
        <v>APAGADO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 t="str">
        <f>'RESUMEN TOTAL'!Z187</f>
        <v>APAGADO</v>
      </c>
      <c r="V183" t="str">
        <f>'RESUMEN TOTAL'!AA187</f>
        <v>APAGADO</v>
      </c>
      <c r="W183" t="str">
        <f>'RESUMEN TOTAL'!AB187</f>
        <v>APAGADO</v>
      </c>
      <c r="X183" t="str">
        <f>'RESUMEN TOTAL'!AC187</f>
        <v>APAGADO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 t="str">
        <f>'RESUMEN TOTAL'!Z189</f>
        <v>APAGADO</v>
      </c>
      <c r="V185" t="str">
        <f>'RESUMEN TOTAL'!AA189</f>
        <v>APAGADO</v>
      </c>
      <c r="W185" t="str">
        <f>'RESUMEN TOTAL'!AB189</f>
        <v>APAGADO</v>
      </c>
      <c r="X185" t="str">
        <f>'RESUMEN TOTAL'!AC189</f>
        <v>APAGADO</v>
      </c>
      <c r="Y185" t="str">
        <f>'RESUMEN TOTAL'!AD189</f>
        <v>APAGADO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 t="str">
        <f>'RESUMEN TOTAL'!AA190</f>
        <v>APAGADO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 t="str">
        <f>'RESUMEN TOTAL'!AA191</f>
        <v>APAGADO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 t="str">
        <f>'RESUMEN TOTAL'!Z195</f>
        <v>APAGADO</v>
      </c>
      <c r="V191" t="str">
        <f>'RESUMEN TOTAL'!AA195</f>
        <v>APAGADO</v>
      </c>
      <c r="W191" t="str">
        <f>'RESUMEN TOTAL'!AB195</f>
        <v>APAGADO</v>
      </c>
      <c r="X191" t="str">
        <f>'RESUMEN TOTAL'!AC195</f>
        <v>APAGADO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 t="str">
        <f>'RESUMEN TOTAL'!Z200</f>
        <v>APAGADO</v>
      </c>
      <c r="V196" t="str">
        <f>'RESUMEN TOTAL'!AA200</f>
        <v>APAGADO</v>
      </c>
      <c r="W196" t="str">
        <f>'RESUMEN TOTAL'!AB200</f>
        <v>APAGADO</v>
      </c>
      <c r="X196" t="str">
        <f>'RESUMEN TOTAL'!AC200</f>
        <v>APAGADO</v>
      </c>
      <c r="Y196" t="str">
        <f>'RESUMEN TOTAL'!AD200</f>
        <v>APAGADO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 t="str">
        <f>'RESUMEN TOTAL'!AB206</f>
        <v>APAGADO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 t="str">
        <f>'RESUMEN TOTAL'!AB208</f>
        <v>APAGADO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 t="str">
        <f>'RESUMEN TOTAL'!AB210</f>
        <v>APAGADO</v>
      </c>
      <c r="X206" t="str">
        <f>'RESUMEN TOTAL'!AC210</f>
        <v>APAGADO</v>
      </c>
      <c r="Y206" t="str">
        <f>'RESUMEN TOTAL'!AD210</f>
        <v>APAGADO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 t="str">
        <f>'RESUMEN TOTAL'!Z214</f>
        <v>APAGADO</v>
      </c>
      <c r="V210" t="str">
        <f>'RESUMEN TOTAL'!AA214</f>
        <v>APAGADO</v>
      </c>
      <c r="W210" t="str">
        <f>'RESUMEN TOTAL'!AB214</f>
        <v>APAGADO</v>
      </c>
      <c r="X210" t="str">
        <f>'RESUMEN TOTAL'!AC214</f>
        <v>APAGADO</v>
      </c>
      <c r="Y210" t="str">
        <f>'RESUMEN TOTAL'!AD214</f>
        <v>APAGADO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 t="str">
        <f>'RESUMEN TOTAL'!AA229</f>
        <v>APAGADO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 t="str">
        <f>'RESUMEN TOTAL'!AA230</f>
        <v>APAGADO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 t="str">
        <f>'RESUMEN TOTAL'!Z231</f>
        <v>APAGADO</v>
      </c>
      <c r="V227" t="str">
        <f>'RESUMEN TOTAL'!AA231</f>
        <v>APAGADO</v>
      </c>
      <c r="W227" t="str">
        <f>'RESUMEN TOTAL'!AB231</f>
        <v>APAGADO</v>
      </c>
      <c r="X227" t="str">
        <f>'RESUMEN TOTAL'!AC231</f>
        <v>APAGADO</v>
      </c>
      <c r="Y227" t="str">
        <f>'RESUMEN TOTAL'!AD231</f>
        <v>APAGADO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 t="str">
        <f>'RESUMEN TOTAL'!Z234</f>
        <v>APAGADO</v>
      </c>
      <c r="V230" t="str">
        <f>'RESUMEN TOTAL'!AA234</f>
        <v>APAGADO</v>
      </c>
      <c r="W230" t="str">
        <f>'RESUMEN TOTAL'!AB234</f>
        <v>APAGADO</v>
      </c>
      <c r="X230" t="str">
        <f>'RESUMEN TOTAL'!AC234</f>
        <v>APAGADO</v>
      </c>
      <c r="Y230" t="str">
        <f>'RESUMEN TOTAL'!AD234</f>
        <v>APAGADO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 t="str">
        <f>'RESUMEN TOTAL'!AA235</f>
        <v>APAGADO</v>
      </c>
      <c r="W231" t="str">
        <f>'RESUMEN TOTAL'!AB235</f>
        <v>APAGADO</v>
      </c>
      <c r="X231" t="str">
        <f>'RESUMEN TOTAL'!AC235</f>
        <v>APAGADO</v>
      </c>
      <c r="Y231" t="str">
        <f>'RESUMEN TOTAL'!AD235</f>
        <v>APAGADO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 t="str">
        <f>'RESUMEN TOTAL'!Z238</f>
        <v>APAGADO</v>
      </c>
      <c r="V234" t="str">
        <f>'RESUMEN TOTAL'!AA238</f>
        <v>APAGADO</v>
      </c>
      <c r="W234" t="str">
        <f>'RESUMEN TOTAL'!AB238</f>
        <v>APAGADO</v>
      </c>
      <c r="X234" t="str">
        <f>'RESUMEN TOTAL'!AC238</f>
        <v>APAGADO</v>
      </c>
      <c r="Y234" t="str">
        <f>'RESUMEN TOTAL'!AD238</f>
        <v>APAGADO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 t="str">
        <f>'RESUMEN TOTAL'!AA243</f>
        <v>APAGADO</v>
      </c>
      <c r="W239">
        <f>'RESUMEN TOTAL'!AB243</f>
        <v>0</v>
      </c>
      <c r="X239" t="str">
        <f>'RESUMEN TOTAL'!AC243</f>
        <v>APAGADO</v>
      </c>
      <c r="Y239" t="str">
        <f>'RESUMEN TOTAL'!AD243</f>
        <v>APAGADO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 t="str">
        <f>'RESUMEN TOTAL'!Z245</f>
        <v>APAGADO</v>
      </c>
      <c r="V241" t="str">
        <f>'RESUMEN TOTAL'!AA245</f>
        <v>APAGADO</v>
      </c>
      <c r="W241" t="str">
        <f>'RESUMEN TOTAL'!AB245</f>
        <v>APAGADO</v>
      </c>
      <c r="X241" t="str">
        <f>'RESUMEN TOTAL'!AC245</f>
        <v>APAGADO</v>
      </c>
      <c r="Y241" t="str">
        <f>'RESUMEN TOTAL'!AD245</f>
        <v>APAGADO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 t="str">
        <f>'RESUMEN TOTAL'!AA248</f>
        <v>APAGADO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 t="str">
        <f>'RESUMEN TOTAL'!AA249</f>
        <v>APAGADO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 t="str">
        <f>'RESUMEN TOTAL'!AA250</f>
        <v>APAGADO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 t="str">
        <f>'RESUMEN TOTAL'!AA251</f>
        <v>APAGADO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 t="str">
        <f>'RESUMEN TOTAL'!AA252</f>
        <v>APAGADO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 t="str">
        <f>'RESUMEN TOTAL'!AA253</f>
        <v>APAGADO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 t="str">
        <f>'RESUMEN TOTAL'!AA254</f>
        <v>APAGADO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 t="str">
        <f>'RESUMEN TOTAL'!AA255</f>
        <v>APAGADO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 t="str">
        <f>'RESUMEN TOTAL'!AA256</f>
        <v>APAGADO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 t="str">
        <f>'RESUMEN TOTAL'!AA257</f>
        <v>APAGADO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 t="str">
        <f>'RESUMEN TOTAL'!AA258</f>
        <v>APAGADO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 t="str">
        <f>'RESUMEN TOTAL'!AA259</f>
        <v>APAGADO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 t="str">
        <f>'RESUMEN TOTAL'!AA260</f>
        <v>APAGADO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 t="str">
        <f>'RESUMEN TOTAL'!AA261</f>
        <v>APAGADO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 t="str">
        <f>'RESUMEN TOTAL'!AA262</f>
        <v>APAGADO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 t="str">
        <f>'RESUMEN TOTAL'!AA263</f>
        <v>APAGADO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 t="str">
        <f>'RESUMEN TOTAL'!AA264</f>
        <v>APAGADO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 t="str">
        <f>'RESUMEN TOTAL'!Z269</f>
        <v>APAGADO</v>
      </c>
      <c r="V264" t="str">
        <f>'RESUMEN TOTAL'!AA269</f>
        <v>APAGADO</v>
      </c>
      <c r="W264" t="str">
        <f>'RESUMEN TOTAL'!AB269</f>
        <v>APAGADO</v>
      </c>
      <c r="X264" t="str">
        <f>'RESUMEN TOTAL'!AC269</f>
        <v>APAGADO</v>
      </c>
      <c r="Y264" t="str">
        <f>'RESUMEN TOTAL'!AD269</f>
        <v>APAGADO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 t="str">
        <f>'RESUMEN TOTAL'!Z270</f>
        <v>APAGADO</v>
      </c>
      <c r="V265" t="str">
        <f>'RESUMEN TOTAL'!AA270</f>
        <v>APAGADO</v>
      </c>
      <c r="W265" t="str">
        <f>'RESUMEN TOTAL'!AB270</f>
        <v>APAGADO</v>
      </c>
      <c r="X265" t="str">
        <f>'RESUMEN TOTAL'!AC270</f>
        <v>APAGADO</v>
      </c>
      <c r="Y265" t="str">
        <f>'RESUMEN TOTAL'!AD270</f>
        <v>APAGADO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 t="str">
        <f>'RESUMEN TOTAL'!AC285</f>
        <v>APAGADO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 t="str">
        <f>'RESUMEN TOTAL'!AA304</f>
        <v>APAGADO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 t="str">
        <f>'RESUMEN TOTAL'!Z305</f>
        <v>APAGADO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 t="str">
        <f>'RESUMEN TOTAL'!Z306</f>
        <v>APAGADO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 t="str">
        <f>'RESUMEN TOTAL'!Z307</f>
        <v>APAGADO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 t="str">
        <f>'RESUMEN TOTAL'!Z308</f>
        <v>APAGADO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 t="str">
        <f>'RESUMEN TOTAL'!Z312</f>
        <v>APAGADO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 t="str">
        <f>'RESUMEN TOTAL'!AD327</f>
        <v>APAGADO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 t="str">
        <f>'RESUMEN TOTAL'!AB338</f>
        <v>APAGADO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 t="str">
        <f>'RESUMEN TOTAL'!Z342</f>
        <v>APAGADO</v>
      </c>
      <c r="V337" t="str">
        <f>'RESUMEN TOTAL'!AA342</f>
        <v>APAGADO</v>
      </c>
      <c r="W337" t="str">
        <f>'RESUMEN TOTAL'!AB342</f>
        <v>APAGADO</v>
      </c>
      <c r="X337" t="str">
        <f>'RESUMEN TOTAL'!AC342</f>
        <v>APAGADO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 t="str">
        <f>'RESUMEN TOTAL'!Z343</f>
        <v>APAGADO</v>
      </c>
      <c r="V338" t="str">
        <f>'RESUMEN TOTAL'!AA343</f>
        <v>APAGADO</v>
      </c>
      <c r="W338" t="str">
        <f>'RESUMEN TOTAL'!AB343</f>
        <v>APAGADO</v>
      </c>
      <c r="X338" t="str">
        <f>'RESUMEN TOTAL'!AC343</f>
        <v>APAGADO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 t="str">
        <f>'RESUMEN TOTAL'!Z344</f>
        <v>APAGADO</v>
      </c>
      <c r="V339" t="str">
        <f>'RESUMEN TOTAL'!AA344</f>
        <v>APAGADO</v>
      </c>
      <c r="W339" t="str">
        <f>'RESUMEN TOTAL'!AB344</f>
        <v>APAGADO</v>
      </c>
      <c r="X339" t="str">
        <f>'RESUMEN TOTAL'!AC344</f>
        <v>APAGADO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 t="str">
        <f>'RESUMEN TOTAL'!Z345</f>
        <v>APAGADO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 t="str">
        <f>'RESUMEN TOTAL'!Z346</f>
        <v>APAGADO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 t="str">
        <f>'RESUMEN TOTAL'!Z347</f>
        <v>APAGADO</v>
      </c>
      <c r="V342" t="str">
        <f>'RESUMEN TOTAL'!AA347</f>
        <v>APAGADO</v>
      </c>
      <c r="W342" t="str">
        <f>'RESUMEN TOTAL'!AB347</f>
        <v>APAGADO</v>
      </c>
      <c r="X342" t="str">
        <f>'RESUMEN TOTAL'!AC347</f>
        <v>APAGADO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 t="str">
        <f>'RESUMEN TOTAL'!AA356</f>
        <v>APAGADO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 t="str">
        <f>'RESUMEN TOTAL'!Z371</f>
        <v>APAGADO</v>
      </c>
      <c r="V366">
        <f>'RESUMEN TOTAL'!AA371</f>
        <v>0</v>
      </c>
      <c r="W366" t="str">
        <f>'RESUMEN TOTAL'!AB371</f>
        <v>APAGADO</v>
      </c>
      <c r="X366" t="str">
        <f>'RESUMEN TOTAL'!AC371</f>
        <v>APAGADO</v>
      </c>
      <c r="Y366" t="str">
        <f>'RESUMEN TOTAL'!AD371</f>
        <v>APAGADO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 t="str">
        <f>'RESUMEN TOTAL'!AA376</f>
        <v>APAGADO</v>
      </c>
      <c r="W371" t="str">
        <f>'RESUMEN TOTAL'!AB376</f>
        <v>APAGADO</v>
      </c>
      <c r="X371" t="str">
        <f>'RESUMEN TOTAL'!AC376</f>
        <v>APAGADO</v>
      </c>
      <c r="Y371" t="str">
        <f>'RESUMEN TOTAL'!AD376</f>
        <v>APAGADO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 t="str">
        <f>'RESUMEN TOTAL'!AD381</f>
        <v>APAGADO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 t="str">
        <f>'RESUMEN TOTAL'!AA392</f>
        <v>APAGADO</v>
      </c>
      <c r="W387" t="str">
        <f>'RESUMEN TOTAL'!AB392</f>
        <v>APAGADO</v>
      </c>
      <c r="X387" t="str">
        <f>'RESUMEN TOTAL'!AC392</f>
        <v>APAGADO</v>
      </c>
      <c r="Y387" t="str">
        <f>'RESUMEN TOTAL'!AD392</f>
        <v>APAGADO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 t="str">
        <f>'RESUMEN TOTAL'!AA393</f>
        <v>APAGADO</v>
      </c>
      <c r="W388" t="str">
        <f>'RESUMEN TOTAL'!AB393</f>
        <v>APAGADO</v>
      </c>
      <c r="X388" t="str">
        <f>'RESUMEN TOTAL'!AC393</f>
        <v>APAGADO</v>
      </c>
      <c r="Y388" t="str">
        <f>'RESUMEN TOTAL'!AD393</f>
        <v>APAGADO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 t="str">
        <f>'RESUMEN TOTAL'!Z408</f>
        <v>APAGADO</v>
      </c>
      <c r="V402">
        <f>'RESUMEN TOTAL'!AA408</f>
        <v>0</v>
      </c>
      <c r="W402" t="str">
        <f>'RESUMEN TOTAL'!AB408</f>
        <v>APAGADO</v>
      </c>
      <c r="X402" t="str">
        <f>'RESUMEN TOTAL'!AC408</f>
        <v>APAGADO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 t="str">
        <f>'RESUMEN TOTAL'!AA410</f>
        <v>APAGADO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 t="str">
        <f>'RESUMEN TOTAL'!AA411</f>
        <v>APAGADO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 t="str">
        <f>'RESUMEN TOTAL'!AA412</f>
        <v>APAGADO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 t="str">
        <f>'RESUMEN TOTAL'!AA413</f>
        <v>APAGADO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 t="str">
        <f>'RESUMEN TOTAL'!Z423</f>
        <v>APAGADO</v>
      </c>
      <c r="V417" t="str">
        <f>'RESUMEN TOTAL'!AA423</f>
        <v>APAGADO</v>
      </c>
      <c r="W417" t="str">
        <f>'RESUMEN TOTAL'!AB423</f>
        <v>APAGADO</v>
      </c>
      <c r="X417" t="str">
        <f>'RESUMEN TOTAL'!AC423</f>
        <v>APAGADO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 t="str">
        <f>'RESUMEN TOTAL'!AA428</f>
        <v>APAGADO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 t="str">
        <f>'RESUMEN TOTAL'!Z438</f>
        <v>APAGADO</v>
      </c>
      <c r="V431" t="str">
        <f>'RESUMEN TOTAL'!AA438</f>
        <v>APAGADO</v>
      </c>
      <c r="W431" t="str">
        <f>'RESUMEN TOTAL'!AB438</f>
        <v>APAGADO</v>
      </c>
      <c r="X431" t="str">
        <f>'RESUMEN TOTAL'!AC438</f>
        <v>APAGADO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e">
        <f>ESTADISTICA!D180</f>
        <v>#REF!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 t="str">
        <f>ESTADISTICA!V225</f>
        <v>APAGADO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 t="str">
        <f>ESTADISTICA!U230</f>
        <v>APAGADO</v>
      </c>
      <c r="V231" t="str">
        <f>ESTADISTICA!V230</f>
        <v>APAGADO</v>
      </c>
      <c r="W231" t="str">
        <f>ESTADISTICA!W230</f>
        <v>APAGADO</v>
      </c>
      <c r="X231" t="str">
        <f>ESTADISTICA!X230</f>
        <v>APAGADO</v>
      </c>
      <c r="Y231" t="str">
        <f>ESTADISTICA!Y230</f>
        <v>APAGADO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 t="str">
        <f>ESTADISTICA!V239</f>
        <v>APAGADO</v>
      </c>
      <c r="W240">
        <f>ESTADISTICA!W239</f>
        <v>0</v>
      </c>
      <c r="X240" t="str">
        <f>ESTADISTICA!X239</f>
        <v>APAGADO</v>
      </c>
      <c r="Y240" t="str">
        <f>ESTADISTICA!Y239</f>
        <v>APAGADO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 t="str">
        <f>ESTADISTICA!U264</f>
        <v>APAGADO</v>
      </c>
      <c r="V265" t="str">
        <f>ESTADISTICA!V264</f>
        <v>APAGADO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 t="str">
        <f>ESTADISTICA!Y322</f>
        <v>APAGADO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 t="str">
        <f>ESTADISTICA!W337</f>
        <v>APAGADO</v>
      </c>
      <c r="X338" t="str">
        <f>ESTADISTICA!X337</f>
        <v>APAGADO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 t="str">
        <f>ESTADISTICA!W338</f>
        <v>APAGADO</v>
      </c>
      <c r="X339" t="str">
        <f>ESTADISTICA!X338</f>
        <v>APAGADO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 t="str">
        <f>ESTADISTICA!U342</f>
        <v>APAGADO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 t="str">
        <f>ESTADISTICA!V387</f>
        <v>APAGADO</v>
      </c>
      <c r="W388" t="str">
        <f>ESTADISTICA!W387</f>
        <v>APAGADO</v>
      </c>
      <c r="X388" t="str">
        <f>ESTADISTICA!X387</f>
        <v>APAGADO</v>
      </c>
      <c r="Y388" t="str">
        <f>ESTADISTICA!Y387</f>
        <v>APAGADO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 t="str">
        <f>ESTADISTICA!V388</f>
        <v>APAGADO</v>
      </c>
      <c r="W389" t="str">
        <f>ESTADISTICA!W388</f>
        <v>APAGADO</v>
      </c>
      <c r="X389" t="str">
        <f>ESTADISTICA!X388</f>
        <v>APAGADO</v>
      </c>
      <c r="Y389" t="str">
        <f>ESTADISTICA!Y388</f>
        <v>APAGADO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 t="str">
        <f>ESTADISTICA!V404</f>
        <v>APAGADO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 t="str">
        <f>ESTADISTICA!U431</f>
        <v>APAGADO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985</v>
      </c>
      <c r="D1" s="37">
        <f>COUNTIFS(E4:E400,"=Fibra Optica")</f>
        <v>268</v>
      </c>
    </row>
    <row r="2" spans="1:35" ht="21" x14ac:dyDescent="0.35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 t="str">
        <f>ESTADISTICA!Y103</f>
        <v>APAGADO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 t="str">
        <f>ESTADISTICA!Y264</f>
        <v>APAGADO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 t="str">
        <f>ESTADISTICA!Y265</f>
        <v>APAGADO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 t="str">
        <f>ESTADISTICA!Y371</f>
        <v>APAGADO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 t="str">
        <f>ESTADISTICA!Y376</f>
        <v>APAGADO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 t="str">
        <f>ESTADISTICA!Y387</f>
        <v>APAGADO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 t="str">
        <f>ESTADISTICA!Y388</f>
        <v>APAGADO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1160</v>
      </c>
      <c r="D1" s="38"/>
    </row>
    <row r="2" spans="1:35" ht="21" x14ac:dyDescent="0.35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 t="str">
        <f>ESTADISTICA!Y103</f>
        <v>APAGADO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 t="str">
        <f>ESTADISTICA!Y264</f>
        <v>APAGADO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 t="str">
        <f>ESTADISTICA!Y265</f>
        <v>APAGADO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 t="str">
        <f>ESTADISTICA!Y371</f>
        <v>APAGADO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 t="str">
        <f>ESTADISTICA!Y376</f>
        <v>APAGADO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 t="str">
        <f>ESTADISTICA!Y387</f>
        <v>APAGADO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 t="str">
        <f>ESTADISTICA!Y388</f>
        <v>APAGADO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986</v>
      </c>
      <c r="D1" s="38">
        <f>COUNTIFS(E4:E400,"=radio")</f>
        <v>93</v>
      </c>
    </row>
    <row r="2" spans="1:35" ht="21" x14ac:dyDescent="0.35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 t="str">
        <f>ESTADISTICA!Y103</f>
        <v>APAGADO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 t="str">
        <f>ESTADISTICA!Y264</f>
        <v>APAGADO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 t="str">
        <f>ESTADISTICA!Y265</f>
        <v>APAGADO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 t="str">
        <f>ESTADISTICA!Y371</f>
        <v>APAGADO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 t="str">
        <f>ESTADISTICA!Y376</f>
        <v>APAGADO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 t="str">
        <f>ESTADISTICA!Y387</f>
        <v>APAGADO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 t="str">
        <f>ESTADISTICA!Y388</f>
        <v>APAGADO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7" workbookViewId="0">
      <selection activeCell="A27" sqref="A27:E3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1001</v>
      </c>
      <c r="D1" s="69" t="s">
        <v>1002</v>
      </c>
    </row>
    <row r="2" spans="1:13" ht="16.5" thickTop="1" thickBot="1" x14ac:dyDescent="0.3">
      <c r="A2" s="70" t="s">
        <v>998</v>
      </c>
      <c r="B2" s="71">
        <v>435</v>
      </c>
      <c r="C2" s="72"/>
      <c r="D2" s="73"/>
      <c r="E2" s="132">
        <v>44896</v>
      </c>
      <c r="F2" s="129" t="s">
        <v>1308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25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25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25">
      <c r="A7" s="70" t="s">
        <v>998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6.5" thickTop="1" thickBot="1" x14ac:dyDescent="0.3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.75" thickTop="1" x14ac:dyDescent="0.25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.75" thickTop="1" x14ac:dyDescent="0.25">
      <c r="A12" s="70" t="s">
        <v>998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25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.75" thickTop="1" x14ac:dyDescent="0.25">
      <c r="A17" s="70" t="s">
        <v>998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25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25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.75" thickTop="1" x14ac:dyDescent="0.25">
      <c r="A22" s="70" t="s">
        <v>998</v>
      </c>
      <c r="B22" s="71">
        <v>435</v>
      </c>
      <c r="C22" s="72"/>
      <c r="D22" s="73"/>
      <c r="E22" s="132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.75" thickTop="1" x14ac:dyDescent="0.25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25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.75" thickTop="1" x14ac:dyDescent="0.25">
      <c r="A27" s="70" t="s">
        <v>998</v>
      </c>
      <c r="B27" s="71">
        <v>436</v>
      </c>
      <c r="C27" s="72"/>
      <c r="D27" s="73"/>
      <c r="E27" s="132">
        <v>44914</v>
      </c>
      <c r="G27" s="100"/>
      <c r="K27" s="94"/>
      <c r="L27" s="101"/>
      <c r="M27" s="138"/>
    </row>
    <row r="28" spans="1:14" x14ac:dyDescent="0.25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3"/>
      <c r="G28" s="100"/>
      <c r="K28" s="94"/>
      <c r="L28" s="101"/>
      <c r="M28" s="138"/>
    </row>
    <row r="29" spans="1:14" ht="15.75" thickBot="1" x14ac:dyDescent="0.3">
      <c r="A29" s="74" t="s">
        <v>1000</v>
      </c>
      <c r="B29" s="75">
        <v>1</v>
      </c>
      <c r="C29" s="76">
        <f>C28-B29</f>
        <v>37</v>
      </c>
      <c r="D29" s="77">
        <f>C29/B27</f>
        <v>8.4862385321100922E-2</v>
      </c>
      <c r="E29" s="133"/>
      <c r="G29" s="102"/>
      <c r="H29" s="103"/>
      <c r="I29" s="103"/>
      <c r="J29" s="103"/>
      <c r="K29" s="103"/>
      <c r="L29" s="104"/>
      <c r="M29" s="139"/>
    </row>
    <row r="30" spans="1:14" ht="16.5" thickTop="1" thickBot="1" x14ac:dyDescent="0.3">
      <c r="A30" s="74" t="s">
        <v>999</v>
      </c>
      <c r="B30" s="75">
        <v>3</v>
      </c>
      <c r="C30" s="76">
        <f>C29-B30</f>
        <v>34</v>
      </c>
      <c r="D30" s="77">
        <f>C30/B27</f>
        <v>7.7981651376146793E-2</v>
      </c>
      <c r="E30" s="133"/>
    </row>
    <row r="31" spans="1:14" ht="16.5" thickTop="1" thickBot="1" x14ac:dyDescent="0.3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.75" thickTop="1" x14ac:dyDescent="0.25">
      <c r="A32" s="70" t="s">
        <v>998</v>
      </c>
      <c r="B32" s="71"/>
      <c r="C32" s="72"/>
      <c r="D32" s="73"/>
      <c r="E32" s="132"/>
      <c r="G32" s="109"/>
      <c r="H32" s="39"/>
      <c r="L32" s="94"/>
      <c r="M32" s="110"/>
      <c r="N32" s="136"/>
    </row>
    <row r="33" spans="1:14" ht="15.75" thickBot="1" x14ac:dyDescent="0.3">
      <c r="A33" s="74" t="s">
        <v>6</v>
      </c>
      <c r="B33" s="75"/>
      <c r="C33" s="76"/>
      <c r="D33" s="77"/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.75" thickTop="1" x14ac:dyDescent="0.25">
      <c r="A34" s="74" t="s">
        <v>1000</v>
      </c>
      <c r="B34" s="75"/>
      <c r="C34" s="76"/>
      <c r="D34" s="77"/>
      <c r="E34" s="133"/>
      <c r="G34" s="39"/>
      <c r="K34" s="94"/>
    </row>
    <row r="35" spans="1:14" x14ac:dyDescent="0.25">
      <c r="A35" s="74" t="s">
        <v>999</v>
      </c>
      <c r="B35" s="75"/>
      <c r="C35" s="76"/>
      <c r="D35" s="77"/>
      <c r="E35" s="133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4"/>
      <c r="G36" s="39"/>
      <c r="K36" s="94"/>
    </row>
    <row r="37" spans="1:14" ht="15.75" thickTop="1" x14ac:dyDescent="0.25">
      <c r="A37" s="70" t="s">
        <v>998</v>
      </c>
      <c r="B37" s="71"/>
      <c r="C37" s="72"/>
      <c r="D37" s="73"/>
      <c r="E37" s="132"/>
      <c r="G37" s="39"/>
      <c r="K37" s="94"/>
    </row>
    <row r="38" spans="1:14" x14ac:dyDescent="0.25">
      <c r="A38" s="74" t="s">
        <v>6</v>
      </c>
      <c r="B38" s="75"/>
      <c r="C38" s="76"/>
      <c r="D38" s="77"/>
      <c r="E38" s="133"/>
      <c r="G38" s="39"/>
      <c r="K38" s="94"/>
      <c r="L38" s="21"/>
    </row>
    <row r="39" spans="1:14" ht="15.75" thickBot="1" x14ac:dyDescent="0.3">
      <c r="A39" s="74" t="s">
        <v>1000</v>
      </c>
      <c r="B39" s="75"/>
      <c r="C39" s="76"/>
      <c r="D39" s="77"/>
      <c r="E39" s="133"/>
    </row>
    <row r="40" spans="1:14" ht="15.75" thickTop="1" x14ac:dyDescent="0.25">
      <c r="A40" s="74" t="s">
        <v>999</v>
      </c>
      <c r="B40" s="75"/>
      <c r="C40" s="76"/>
      <c r="D40" s="77"/>
      <c r="E40" s="133"/>
      <c r="G40" s="96"/>
      <c r="H40" s="97"/>
      <c r="I40" s="97"/>
      <c r="J40" s="97"/>
      <c r="K40" s="98"/>
      <c r="L40" s="99"/>
      <c r="M40" s="137"/>
    </row>
    <row r="41" spans="1:14" ht="15.75" thickBot="1" x14ac:dyDescent="0.3">
      <c r="A41" s="86" t="s">
        <v>16</v>
      </c>
      <c r="B41" s="87"/>
      <c r="C41" s="88"/>
      <c r="D41" s="77"/>
      <c r="E41" s="134"/>
      <c r="G41" s="100"/>
      <c r="K41" s="94"/>
      <c r="L41" s="101"/>
      <c r="M41" s="138"/>
    </row>
    <row r="42" spans="1:14" ht="15" customHeight="1" thickTop="1" x14ac:dyDescent="0.25">
      <c r="A42" s="70" t="s">
        <v>998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25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25">
      <c r="A44" s="74" t="s">
        <v>1000</v>
      </c>
      <c r="B44" s="75"/>
      <c r="C44" s="76"/>
      <c r="D44" s="77"/>
      <c r="E44" s="133"/>
      <c r="G44" s="100"/>
      <c r="K44" s="94"/>
      <c r="L44" s="101"/>
      <c r="M44" s="138"/>
    </row>
    <row r="45" spans="1:14" ht="15.75" thickBot="1" x14ac:dyDescent="0.3">
      <c r="A45" s="74" t="s">
        <v>999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6.5" thickTop="1" thickBot="1" x14ac:dyDescent="0.3">
      <c r="A46" s="86" t="s">
        <v>16</v>
      </c>
      <c r="B46" s="87"/>
      <c r="C46" s="88"/>
      <c r="D46" s="77"/>
      <c r="E46" s="134"/>
    </row>
    <row r="47" spans="1:14" ht="15.75" thickTop="1" x14ac:dyDescent="0.25">
      <c r="A47" s="70" t="s">
        <v>998</v>
      </c>
      <c r="B47" s="71"/>
      <c r="C47" s="72"/>
      <c r="D47" s="73"/>
      <c r="E47" s="132"/>
      <c r="G47" s="39"/>
      <c r="K47" s="94"/>
    </row>
    <row r="48" spans="1:14" x14ac:dyDescent="0.25">
      <c r="A48" s="74" t="s">
        <v>6</v>
      </c>
      <c r="B48" s="75"/>
      <c r="C48" s="76"/>
      <c r="D48" s="77"/>
      <c r="E48" s="133"/>
      <c r="G48" s="39"/>
      <c r="K48" s="94"/>
    </row>
    <row r="49" spans="1:11" x14ac:dyDescent="0.25">
      <c r="A49" s="74" t="s">
        <v>1000</v>
      </c>
      <c r="B49" s="75"/>
      <c r="C49" s="76"/>
      <c r="D49" s="77"/>
      <c r="E49" s="133"/>
      <c r="G49" s="39"/>
      <c r="K49" s="94"/>
    </row>
    <row r="50" spans="1:11" x14ac:dyDescent="0.25">
      <c r="A50" s="74" t="s">
        <v>999</v>
      </c>
      <c r="B50" s="75"/>
      <c r="C50" s="76"/>
      <c r="D50" s="77"/>
      <c r="E50" s="133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4"/>
      <c r="G51" s="39"/>
      <c r="K51" s="94"/>
    </row>
    <row r="52" spans="1:11" ht="15.75" thickTop="1" x14ac:dyDescent="0.25">
      <c r="A52" s="70" t="s">
        <v>998</v>
      </c>
      <c r="B52" s="71"/>
      <c r="C52" s="72"/>
      <c r="D52" s="73"/>
      <c r="E52" s="132"/>
      <c r="G52" s="39"/>
      <c r="K52" s="94"/>
    </row>
    <row r="53" spans="1:11" x14ac:dyDescent="0.25">
      <c r="A53" s="74" t="s">
        <v>6</v>
      </c>
      <c r="B53" s="75"/>
      <c r="C53" s="76"/>
      <c r="D53" s="77"/>
      <c r="E53" s="133"/>
      <c r="G53" s="39"/>
      <c r="K53" s="94"/>
    </row>
    <row r="54" spans="1:11" x14ac:dyDescent="0.25">
      <c r="A54" s="74" t="s">
        <v>1000</v>
      </c>
      <c r="B54" s="75"/>
      <c r="C54" s="76"/>
      <c r="D54" s="77"/>
      <c r="E54" s="133"/>
    </row>
    <row r="55" spans="1:11" x14ac:dyDescent="0.25">
      <c r="A55" s="74" t="s">
        <v>999</v>
      </c>
      <c r="B55" s="75"/>
      <c r="C55" s="76"/>
      <c r="D55" s="77"/>
      <c r="E55" s="133"/>
    </row>
    <row r="56" spans="1:11" ht="15.75" thickBot="1" x14ac:dyDescent="0.3">
      <c r="A56" s="86" t="s">
        <v>16</v>
      </c>
      <c r="B56" s="87"/>
      <c r="C56" s="88"/>
      <c r="D56" s="89"/>
      <c r="E56" s="134"/>
    </row>
    <row r="57" spans="1:11" ht="15.75" thickTop="1" x14ac:dyDescent="0.25">
      <c r="A57" s="70" t="s">
        <v>998</v>
      </c>
      <c r="B57" s="71"/>
      <c r="C57" s="72"/>
      <c r="D57" s="73"/>
      <c r="E57" s="132"/>
    </row>
    <row r="58" spans="1:11" x14ac:dyDescent="0.25">
      <c r="A58" s="74" t="s">
        <v>6</v>
      </c>
      <c r="B58" s="75"/>
      <c r="C58" s="76"/>
      <c r="D58" s="77"/>
      <c r="E58" s="133"/>
    </row>
    <row r="59" spans="1:11" x14ac:dyDescent="0.25">
      <c r="A59" s="74" t="s">
        <v>1000</v>
      </c>
      <c r="B59" s="75"/>
      <c r="C59" s="76"/>
      <c r="D59" s="77"/>
      <c r="E59" s="133"/>
    </row>
    <row r="60" spans="1:11" x14ac:dyDescent="0.25">
      <c r="A60" s="74" t="s">
        <v>999</v>
      </c>
      <c r="B60" s="75"/>
      <c r="C60" s="76"/>
      <c r="D60" s="77"/>
      <c r="E60" s="133"/>
    </row>
    <row r="61" spans="1:11" ht="15.75" thickBot="1" x14ac:dyDescent="0.3">
      <c r="A61" s="86" t="s">
        <v>16</v>
      </c>
      <c r="B61" s="87"/>
      <c r="C61" s="88"/>
      <c r="D61" s="89"/>
      <c r="E61" s="134"/>
    </row>
    <row r="62" spans="1:11" ht="15.75" thickTop="1" x14ac:dyDescent="0.25">
      <c r="A62" s="70" t="s">
        <v>998</v>
      </c>
      <c r="B62" s="71"/>
      <c r="C62" s="72"/>
      <c r="D62" s="73"/>
      <c r="E62" s="132"/>
    </row>
    <row r="63" spans="1:11" x14ac:dyDescent="0.25">
      <c r="A63" s="74" t="s">
        <v>6</v>
      </c>
      <c r="B63" s="75"/>
      <c r="C63" s="76"/>
      <c r="D63" s="77"/>
      <c r="E63" s="133"/>
    </row>
    <row r="64" spans="1:11" x14ac:dyDescent="0.25">
      <c r="A64" s="74" t="s">
        <v>1000</v>
      </c>
      <c r="B64" s="75"/>
      <c r="C64" s="76"/>
      <c r="D64" s="77"/>
      <c r="E64" s="133"/>
    </row>
    <row r="65" spans="1:5" x14ac:dyDescent="0.25">
      <c r="A65" s="74" t="s">
        <v>999</v>
      </c>
      <c r="B65" s="75"/>
      <c r="C65" s="76"/>
      <c r="D65" s="77"/>
      <c r="E65" s="133"/>
    </row>
    <row r="66" spans="1:5" ht="15.75" thickBot="1" x14ac:dyDescent="0.3">
      <c r="A66" s="86" t="s">
        <v>16</v>
      </c>
      <c r="B66" s="87"/>
      <c r="C66" s="88"/>
      <c r="D66" s="89"/>
      <c r="E66" s="134"/>
    </row>
    <row r="67" spans="1:5" ht="15.75" thickTop="1" x14ac:dyDescent="0.25">
      <c r="A67" s="70" t="s">
        <v>998</v>
      </c>
      <c r="B67" s="71"/>
      <c r="C67" s="72"/>
      <c r="D67" s="73"/>
      <c r="E67" s="132"/>
    </row>
    <row r="68" spans="1:5" x14ac:dyDescent="0.25">
      <c r="A68" s="74" t="s">
        <v>6</v>
      </c>
      <c r="B68" s="75"/>
      <c r="C68" s="76"/>
      <c r="D68" s="77"/>
      <c r="E68" s="133"/>
    </row>
    <row r="69" spans="1:5" x14ac:dyDescent="0.25">
      <c r="A69" s="74" t="s">
        <v>1000</v>
      </c>
      <c r="B69" s="75"/>
      <c r="C69" s="76"/>
      <c r="D69" s="77"/>
      <c r="E69" s="133"/>
    </row>
    <row r="70" spans="1:5" x14ac:dyDescent="0.25">
      <c r="A70" s="74" t="s">
        <v>999</v>
      </c>
      <c r="B70" s="75"/>
      <c r="C70" s="76"/>
      <c r="D70" s="77"/>
      <c r="E70" s="133"/>
    </row>
    <row r="71" spans="1:5" ht="15.75" thickBot="1" x14ac:dyDescent="0.3">
      <c r="A71" s="86" t="s">
        <v>16</v>
      </c>
      <c r="B71" s="87"/>
      <c r="C71" s="88"/>
      <c r="D71" s="89"/>
      <c r="E71" s="134"/>
    </row>
    <row r="72" spans="1:5" ht="15.75" thickTop="1" x14ac:dyDescent="0.25">
      <c r="A72" s="70" t="s">
        <v>998</v>
      </c>
      <c r="B72" s="71"/>
      <c r="C72" s="72"/>
      <c r="D72" s="73"/>
      <c r="E72" s="132"/>
    </row>
    <row r="73" spans="1:5" x14ac:dyDescent="0.25">
      <c r="A73" s="74" t="s">
        <v>6</v>
      </c>
      <c r="B73" s="75"/>
      <c r="C73" s="76"/>
      <c r="D73" s="77"/>
      <c r="E73" s="133"/>
    </row>
    <row r="74" spans="1:5" x14ac:dyDescent="0.25">
      <c r="A74" s="74" t="s">
        <v>1000</v>
      </c>
      <c r="B74" s="75"/>
      <c r="C74" s="76"/>
      <c r="D74" s="77"/>
      <c r="E74" s="133"/>
    </row>
    <row r="75" spans="1:5" x14ac:dyDescent="0.25">
      <c r="A75" s="74" t="s">
        <v>999</v>
      </c>
      <c r="B75" s="75"/>
      <c r="C75" s="76"/>
      <c r="D75" s="77"/>
      <c r="E75" s="133"/>
    </row>
    <row r="76" spans="1:5" ht="15.75" thickBot="1" x14ac:dyDescent="0.3">
      <c r="A76" s="86" t="s">
        <v>16</v>
      </c>
      <c r="B76" s="87"/>
      <c r="C76" s="88"/>
      <c r="D76" s="89"/>
      <c r="E76" s="134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3"/>
      <c r="C3" s="57" t="s">
        <v>1167</v>
      </c>
      <c r="D3" s="48">
        <v>44914</v>
      </c>
    </row>
    <row r="4" spans="2:4" ht="15.75" thickTop="1" x14ac:dyDescent="0.25">
      <c r="B4" s="65" t="s">
        <v>1158</v>
      </c>
      <c r="C4" s="54">
        <f>COUNTIFS('RESUMEN TOTAL'!C5:C504,"=BONOMO")</f>
        <v>228</v>
      </c>
      <c r="D4" s="61">
        <v>23</v>
      </c>
    </row>
    <row r="5" spans="2:4" ht="15.75" thickBot="1" x14ac:dyDescent="0.3">
      <c r="B5" s="55"/>
      <c r="C5" s="56"/>
      <c r="D5" s="68">
        <v>0.10087719298245613</v>
      </c>
    </row>
    <row r="6" spans="2:4" ht="15.75" thickTop="1" x14ac:dyDescent="0.25">
      <c r="B6" s="64" t="s">
        <v>1159</v>
      </c>
      <c r="C6" s="54">
        <f>COUNTIFS('RESUMEN TOTAL'!C5:C504,"=COSEIDI")</f>
        <v>207</v>
      </c>
      <c r="D6" s="63">
        <v>15</v>
      </c>
    </row>
    <row r="7" spans="2:4" ht="15.75" thickBot="1" x14ac:dyDescent="0.3">
      <c r="B7" s="55"/>
      <c r="C7" s="56"/>
      <c r="D7" s="67">
        <v>7.2463768115942032E-2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4" sqref="E24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25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25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25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25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25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25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25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25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25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25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25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25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25">
      <c r="A21" s="18">
        <f>'APAGADOS RADIO'!Y3</f>
        <v>44915</v>
      </c>
    </row>
    <row r="22" spans="1:7" x14ac:dyDescent="0.25">
      <c r="A22" s="18">
        <f>'APAGADOS RADIO'!Z3</f>
        <v>44916</v>
      </c>
    </row>
    <row r="23" spans="1:7" x14ac:dyDescent="0.25">
      <c r="A23" s="18">
        <f>'APAGADOS RADIO'!AA3</f>
        <v>44917</v>
      </c>
    </row>
    <row r="24" spans="1:7" x14ac:dyDescent="0.25">
      <c r="A24" s="18">
        <f>'APAGADOS RADIO'!AB3</f>
        <v>44918</v>
      </c>
    </row>
    <row r="25" spans="1:7" x14ac:dyDescent="0.25">
      <c r="A25" s="18">
        <f>'APAGADOS RADIO'!AC3</f>
        <v>44919</v>
      </c>
    </row>
    <row r="26" spans="1:7" x14ac:dyDescent="0.25">
      <c r="A26" s="18">
        <f>'APAGADOS RADIO'!AD3</f>
        <v>44920</v>
      </c>
    </row>
    <row r="27" spans="1:7" x14ac:dyDescent="0.25">
      <c r="A27" s="18">
        <f>'APAGADOS RADIO'!AE3</f>
        <v>44921</v>
      </c>
    </row>
    <row r="28" spans="1:7" x14ac:dyDescent="0.25">
      <c r="A28" s="18">
        <f>'APAGADOS RADIO'!AF3</f>
        <v>44922</v>
      </c>
    </row>
    <row r="29" spans="1:7" x14ac:dyDescent="0.25">
      <c r="A29" s="18">
        <f>'APAGADOS RADIO'!AG3</f>
        <v>44923</v>
      </c>
    </row>
    <row r="30" spans="1:7" x14ac:dyDescent="0.25">
      <c r="A30" s="18">
        <f>'APAGADOS RADIO'!AH3</f>
        <v>44924</v>
      </c>
    </row>
    <row r="31" spans="1:7" x14ac:dyDescent="0.25">
      <c r="A31" s="18">
        <f>'APAGADOS RADIO'!AI3</f>
        <v>44925</v>
      </c>
    </row>
    <row r="32" spans="1:7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F1" workbookViewId="0">
      <selection activeCell="X2" sqref="X2:X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6.5" thickTop="1" thickBot="1" x14ac:dyDescent="0.3">
      <c r="A1" s="53"/>
      <c r="B1" s="57" t="s">
        <v>1167</v>
      </c>
    </row>
    <row r="2" spans="1:36" ht="16.5" thickTop="1" thickBot="1" x14ac:dyDescent="0.3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/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/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6.5" thickTop="1" thickBot="1" x14ac:dyDescent="0.3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/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0.12560386473429952</v>
      </c>
      <c r="U6" s="67">
        <f t="shared" si="6"/>
        <v>0.1111111111111111</v>
      </c>
      <c r="V6" s="67">
        <f t="shared" ref="V6" si="10">V5/COSEIDIcam</f>
        <v>0.22705314009661837</v>
      </c>
      <c r="W6" s="67">
        <f t="shared" si="6"/>
        <v>6.7632850241545889E-2</v>
      </c>
      <c r="X6" s="67">
        <f t="shared" si="6"/>
        <v>7.2463768115942032E-2</v>
      </c>
      <c r="Y6" s="67"/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25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25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25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25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25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25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25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25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25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25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25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25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25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25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25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25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25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25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25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25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25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25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25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25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25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25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25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25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25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25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25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25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25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25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25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25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25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25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25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25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30" x14ac:dyDescent="0.25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25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25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25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25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25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25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25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5</vt:i4>
      </vt:variant>
    </vt:vector>
  </HeadingPairs>
  <TitlesOfParts>
    <vt:vector size="21" baseType="lpstr">
      <vt:lpstr>RESUMEN TOTAL</vt:lpstr>
      <vt:lpstr>Hoja4</vt:lpstr>
      <vt:lpstr>Hoja5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2022-12-21T10:11:03Z</dcterms:modified>
</cp:coreProperties>
</file>