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77D18DDD-6F90-4E15-911D-BDD838EB305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24" l="1"/>
  <c r="C9" i="24"/>
  <c r="D9" i="24" s="1"/>
  <c r="H1" i="9"/>
  <c r="A402" i="9"/>
  <c r="B402" i="9"/>
  <c r="C402" i="9"/>
  <c r="D402" i="9"/>
  <c r="E402" i="9"/>
  <c r="F402" i="9"/>
  <c r="G402" i="9"/>
  <c r="H402" i="9"/>
  <c r="I402" i="9"/>
  <c r="J402" i="9"/>
  <c r="K402" i="9"/>
  <c r="L402" i="9"/>
  <c r="M402" i="9"/>
  <c r="N402" i="9"/>
  <c r="O402" i="9"/>
  <c r="P402" i="9"/>
  <c r="Q402" i="9"/>
  <c r="R402" i="9"/>
  <c r="S402" i="9"/>
  <c r="T402" i="9"/>
  <c r="U402" i="9"/>
  <c r="V402" i="9"/>
  <c r="W402" i="9"/>
  <c r="X402" i="9"/>
  <c r="Y402" i="9"/>
  <c r="Z402" i="9"/>
  <c r="AA402" i="9"/>
  <c r="AB402" i="9"/>
  <c r="AC402" i="9"/>
  <c r="AD402" i="9"/>
  <c r="AE402" i="9"/>
  <c r="AF402" i="9"/>
  <c r="AG402" i="9"/>
  <c r="AH402" i="9"/>
  <c r="AI402" i="9"/>
  <c r="A403" i="9"/>
  <c r="B403" i="9"/>
  <c r="C403" i="9"/>
  <c r="D403" i="9"/>
  <c r="E403" i="9"/>
  <c r="F403" i="9"/>
  <c r="G403" i="9"/>
  <c r="H403" i="9"/>
  <c r="I403" i="9"/>
  <c r="J403" i="9"/>
  <c r="K403" i="9"/>
  <c r="L403" i="9"/>
  <c r="M403" i="9"/>
  <c r="N403" i="9"/>
  <c r="O403" i="9"/>
  <c r="P403" i="9"/>
  <c r="Q403" i="9"/>
  <c r="R403" i="9"/>
  <c r="S403" i="9"/>
  <c r="T403" i="9"/>
  <c r="U403" i="9"/>
  <c r="V403" i="9"/>
  <c r="W403" i="9"/>
  <c r="X403" i="9"/>
  <c r="Y403" i="9"/>
  <c r="Z403" i="9"/>
  <c r="AA403" i="9"/>
  <c r="AB403" i="9"/>
  <c r="AC403" i="9"/>
  <c r="AD403" i="9"/>
  <c r="AE403" i="9"/>
  <c r="AF403" i="9"/>
  <c r="AG403" i="9"/>
  <c r="AH403" i="9"/>
  <c r="AI403" i="9"/>
  <c r="A404" i="9"/>
  <c r="B404" i="9"/>
  <c r="C404" i="9"/>
  <c r="D404" i="9"/>
  <c r="E404" i="9"/>
  <c r="F404" i="9"/>
  <c r="G404" i="9"/>
  <c r="H404" i="9"/>
  <c r="I404" i="9"/>
  <c r="J404" i="9"/>
  <c r="K404" i="9"/>
  <c r="L404" i="9"/>
  <c r="M404" i="9"/>
  <c r="N404" i="9"/>
  <c r="O404" i="9"/>
  <c r="P404" i="9"/>
  <c r="Q404" i="9"/>
  <c r="R404" i="9"/>
  <c r="S404" i="9"/>
  <c r="T404" i="9"/>
  <c r="U404" i="9"/>
  <c r="V404" i="9"/>
  <c r="W404" i="9"/>
  <c r="X404" i="9"/>
  <c r="Y404" i="9"/>
  <c r="Z404" i="9"/>
  <c r="AA404" i="9"/>
  <c r="AB404" i="9"/>
  <c r="AC404" i="9"/>
  <c r="AD404" i="9"/>
  <c r="AE404" i="9"/>
  <c r="AF404" i="9"/>
  <c r="AG404" i="9"/>
  <c r="AH404" i="9"/>
  <c r="AI404" i="9"/>
  <c r="A405" i="9"/>
  <c r="B405" i="9"/>
  <c r="C405" i="9"/>
  <c r="D405" i="9"/>
  <c r="E405" i="9"/>
  <c r="F405" i="9"/>
  <c r="G405" i="9"/>
  <c r="H405" i="9"/>
  <c r="I405" i="9"/>
  <c r="J405" i="9"/>
  <c r="K405" i="9"/>
  <c r="L405" i="9"/>
  <c r="M405" i="9"/>
  <c r="N405" i="9"/>
  <c r="O405" i="9"/>
  <c r="P405" i="9"/>
  <c r="Q405" i="9"/>
  <c r="R405" i="9"/>
  <c r="S405" i="9"/>
  <c r="T405" i="9"/>
  <c r="U405" i="9"/>
  <c r="V405" i="9"/>
  <c r="W405" i="9"/>
  <c r="X405" i="9"/>
  <c r="Y405" i="9"/>
  <c r="Z405" i="9"/>
  <c r="AA405" i="9"/>
  <c r="AB405" i="9"/>
  <c r="AC405" i="9"/>
  <c r="AD405" i="9"/>
  <c r="AE405" i="9"/>
  <c r="AF405" i="9"/>
  <c r="AG405" i="9"/>
  <c r="AH405" i="9"/>
  <c r="AI405" i="9"/>
  <c r="A406" i="9"/>
  <c r="B406" i="9"/>
  <c r="C406" i="9"/>
  <c r="D406" i="9"/>
  <c r="E406" i="9"/>
  <c r="F406" i="9"/>
  <c r="G406" i="9"/>
  <c r="H406" i="9"/>
  <c r="I406" i="9"/>
  <c r="J406" i="9"/>
  <c r="K406" i="9"/>
  <c r="L406" i="9"/>
  <c r="M406" i="9"/>
  <c r="N406" i="9"/>
  <c r="O406" i="9"/>
  <c r="P406" i="9"/>
  <c r="Q406" i="9"/>
  <c r="R406" i="9"/>
  <c r="S406" i="9"/>
  <c r="T406" i="9"/>
  <c r="U406" i="9"/>
  <c r="V406" i="9"/>
  <c r="W406" i="9"/>
  <c r="X406" i="9"/>
  <c r="Y406" i="9"/>
  <c r="Z406" i="9"/>
  <c r="AA406" i="9"/>
  <c r="AB406" i="9"/>
  <c r="AC406" i="9"/>
  <c r="AD406" i="9"/>
  <c r="AE406" i="9"/>
  <c r="AF406" i="9"/>
  <c r="AG406" i="9"/>
  <c r="AH406" i="9"/>
  <c r="AI406" i="9"/>
  <c r="A407" i="9"/>
  <c r="B407" i="9"/>
  <c r="C407" i="9"/>
  <c r="D407" i="9"/>
  <c r="E407" i="9"/>
  <c r="F407" i="9"/>
  <c r="G407" i="9"/>
  <c r="H407" i="9"/>
  <c r="I407" i="9"/>
  <c r="J407" i="9"/>
  <c r="K407" i="9"/>
  <c r="L407" i="9"/>
  <c r="M407" i="9"/>
  <c r="N407" i="9"/>
  <c r="O407" i="9"/>
  <c r="P407" i="9"/>
  <c r="Q407" i="9"/>
  <c r="R407" i="9"/>
  <c r="S407" i="9"/>
  <c r="T407" i="9"/>
  <c r="U407" i="9"/>
  <c r="V407" i="9"/>
  <c r="W407" i="9"/>
  <c r="X407" i="9"/>
  <c r="Y407" i="9"/>
  <c r="Z407" i="9"/>
  <c r="AA407" i="9"/>
  <c r="AB407" i="9"/>
  <c r="AC407" i="9"/>
  <c r="AD407" i="9"/>
  <c r="AE407" i="9"/>
  <c r="AF407" i="9"/>
  <c r="AG407" i="9"/>
  <c r="AH407" i="9"/>
  <c r="AI407" i="9"/>
  <c r="A408" i="9"/>
  <c r="B408" i="9"/>
  <c r="C408" i="9"/>
  <c r="D408" i="9"/>
  <c r="E408" i="9"/>
  <c r="F408" i="9"/>
  <c r="G408" i="9"/>
  <c r="H408" i="9"/>
  <c r="I408" i="9"/>
  <c r="J408" i="9"/>
  <c r="K408" i="9"/>
  <c r="L408" i="9"/>
  <c r="M408" i="9"/>
  <c r="N408" i="9"/>
  <c r="O408" i="9"/>
  <c r="P408" i="9"/>
  <c r="Q408" i="9"/>
  <c r="R408" i="9"/>
  <c r="S408" i="9"/>
  <c r="T408" i="9"/>
  <c r="U408" i="9"/>
  <c r="V408" i="9"/>
  <c r="W408" i="9"/>
  <c r="X408" i="9"/>
  <c r="Y408" i="9"/>
  <c r="Z408" i="9"/>
  <c r="AA408" i="9"/>
  <c r="AB408" i="9"/>
  <c r="AC408" i="9"/>
  <c r="AD408" i="9"/>
  <c r="AE408" i="9"/>
  <c r="AF408" i="9"/>
  <c r="AG408" i="9"/>
  <c r="AH408" i="9"/>
  <c r="AI408" i="9"/>
  <c r="A409" i="9"/>
  <c r="B409" i="9"/>
  <c r="C409" i="9"/>
  <c r="D409" i="9"/>
  <c r="E409" i="9"/>
  <c r="F409" i="9"/>
  <c r="G409" i="9"/>
  <c r="H409" i="9"/>
  <c r="I409" i="9"/>
  <c r="J409" i="9"/>
  <c r="K409" i="9"/>
  <c r="L409" i="9"/>
  <c r="M409" i="9"/>
  <c r="N409" i="9"/>
  <c r="O409" i="9"/>
  <c r="P409" i="9"/>
  <c r="Q409" i="9"/>
  <c r="R409" i="9"/>
  <c r="S409" i="9"/>
  <c r="T409" i="9"/>
  <c r="U409" i="9"/>
  <c r="V409" i="9"/>
  <c r="W409" i="9"/>
  <c r="X409" i="9"/>
  <c r="Y409" i="9"/>
  <c r="Z409" i="9"/>
  <c r="AA409" i="9"/>
  <c r="AB409" i="9"/>
  <c r="AC409" i="9"/>
  <c r="AD409" i="9"/>
  <c r="AE409" i="9"/>
  <c r="AF409" i="9"/>
  <c r="AG409" i="9"/>
  <c r="AH409" i="9"/>
  <c r="AI409" i="9"/>
  <c r="A410" i="9"/>
  <c r="B410" i="9"/>
  <c r="C410" i="9"/>
  <c r="D410" i="9"/>
  <c r="E410" i="9"/>
  <c r="F410" i="9"/>
  <c r="G410" i="9"/>
  <c r="H410" i="9"/>
  <c r="I410" i="9"/>
  <c r="J410" i="9"/>
  <c r="K410" i="9"/>
  <c r="L410" i="9"/>
  <c r="M410" i="9"/>
  <c r="N410" i="9"/>
  <c r="O410" i="9"/>
  <c r="P410" i="9"/>
  <c r="Q410" i="9"/>
  <c r="R410" i="9"/>
  <c r="S410" i="9"/>
  <c r="T410" i="9"/>
  <c r="U410" i="9"/>
  <c r="V410" i="9"/>
  <c r="W410" i="9"/>
  <c r="X410" i="9"/>
  <c r="Y410" i="9"/>
  <c r="Z410" i="9"/>
  <c r="AA410" i="9"/>
  <c r="AB410" i="9"/>
  <c r="AC410" i="9"/>
  <c r="AD410" i="9"/>
  <c r="AE410" i="9"/>
  <c r="AF410" i="9"/>
  <c r="AG410" i="9"/>
  <c r="AH410" i="9"/>
  <c r="AI410" i="9"/>
  <c r="A411" i="9"/>
  <c r="B411" i="9"/>
  <c r="C411" i="9"/>
  <c r="D411" i="9"/>
  <c r="E411" i="9"/>
  <c r="F411" i="9"/>
  <c r="G411" i="9"/>
  <c r="H411" i="9"/>
  <c r="I411" i="9"/>
  <c r="J411" i="9"/>
  <c r="K411" i="9"/>
  <c r="L411" i="9"/>
  <c r="M411" i="9"/>
  <c r="N411" i="9"/>
  <c r="O411" i="9"/>
  <c r="P411" i="9"/>
  <c r="Q411" i="9"/>
  <c r="R411" i="9"/>
  <c r="S411" i="9"/>
  <c r="T411" i="9"/>
  <c r="U411" i="9"/>
  <c r="V411" i="9"/>
  <c r="W411" i="9"/>
  <c r="X411" i="9"/>
  <c r="Y411" i="9"/>
  <c r="Z411" i="9"/>
  <c r="AA411" i="9"/>
  <c r="AB411" i="9"/>
  <c r="AC411" i="9"/>
  <c r="AD411" i="9"/>
  <c r="AE411" i="9"/>
  <c r="AF411" i="9"/>
  <c r="AG411" i="9"/>
  <c r="AH411" i="9"/>
  <c r="AI411" i="9"/>
  <c r="A412" i="9"/>
  <c r="B412" i="9"/>
  <c r="C412" i="9"/>
  <c r="D412" i="9"/>
  <c r="E412" i="9"/>
  <c r="F412" i="9"/>
  <c r="G412" i="9"/>
  <c r="H412" i="9"/>
  <c r="I412" i="9"/>
  <c r="J412" i="9"/>
  <c r="K412" i="9"/>
  <c r="L412" i="9"/>
  <c r="M412" i="9"/>
  <c r="N412" i="9"/>
  <c r="O412" i="9"/>
  <c r="P412" i="9"/>
  <c r="Q412" i="9"/>
  <c r="R412" i="9"/>
  <c r="S412" i="9"/>
  <c r="T412" i="9"/>
  <c r="U412" i="9"/>
  <c r="V412" i="9"/>
  <c r="W412" i="9"/>
  <c r="X412" i="9"/>
  <c r="Y412" i="9"/>
  <c r="Z412" i="9"/>
  <c r="AA412" i="9"/>
  <c r="AB412" i="9"/>
  <c r="AC412" i="9"/>
  <c r="AD412" i="9"/>
  <c r="AE412" i="9"/>
  <c r="AF412" i="9"/>
  <c r="AG412" i="9"/>
  <c r="AH412" i="9"/>
  <c r="AI412" i="9"/>
  <c r="A413" i="9"/>
  <c r="B413" i="9"/>
  <c r="C413" i="9"/>
  <c r="D413" i="9"/>
  <c r="E413" i="9"/>
  <c r="F413" i="9"/>
  <c r="G413" i="9"/>
  <c r="H413" i="9"/>
  <c r="I413" i="9"/>
  <c r="J413" i="9"/>
  <c r="K413" i="9"/>
  <c r="L413" i="9"/>
  <c r="M413" i="9"/>
  <c r="N413" i="9"/>
  <c r="O413" i="9"/>
  <c r="P413" i="9"/>
  <c r="Q413" i="9"/>
  <c r="R413" i="9"/>
  <c r="S413" i="9"/>
  <c r="T413" i="9"/>
  <c r="U413" i="9"/>
  <c r="V413" i="9"/>
  <c r="W413" i="9"/>
  <c r="X413" i="9"/>
  <c r="Y413" i="9"/>
  <c r="Z413" i="9"/>
  <c r="AA413" i="9"/>
  <c r="AB413" i="9"/>
  <c r="AC413" i="9"/>
  <c r="AD413" i="9"/>
  <c r="AE413" i="9"/>
  <c r="AF413" i="9"/>
  <c r="AG413" i="9"/>
  <c r="AH413" i="9"/>
  <c r="AI413" i="9"/>
  <c r="A414" i="9"/>
  <c r="B414" i="9"/>
  <c r="C414" i="9"/>
  <c r="D414" i="9"/>
  <c r="E414" i="9"/>
  <c r="F414" i="9"/>
  <c r="G414" i="9"/>
  <c r="H414" i="9"/>
  <c r="I414" i="9"/>
  <c r="J414" i="9"/>
  <c r="K414" i="9"/>
  <c r="L414" i="9"/>
  <c r="M414" i="9"/>
  <c r="N414" i="9"/>
  <c r="O414" i="9"/>
  <c r="P414" i="9"/>
  <c r="Q414" i="9"/>
  <c r="R414" i="9"/>
  <c r="S414" i="9"/>
  <c r="T414" i="9"/>
  <c r="U414" i="9"/>
  <c r="V414" i="9"/>
  <c r="W414" i="9"/>
  <c r="X414" i="9"/>
  <c r="Y414" i="9"/>
  <c r="Z414" i="9"/>
  <c r="AA414" i="9"/>
  <c r="AB414" i="9"/>
  <c r="AC414" i="9"/>
  <c r="AD414" i="9"/>
  <c r="AE414" i="9"/>
  <c r="AF414" i="9"/>
  <c r="AG414" i="9"/>
  <c r="AH414" i="9"/>
  <c r="AI414" i="9"/>
  <c r="A415" i="9"/>
  <c r="B415" i="9"/>
  <c r="C415" i="9"/>
  <c r="D415" i="9"/>
  <c r="E415" i="9"/>
  <c r="F415" i="9"/>
  <c r="G415" i="9"/>
  <c r="H415" i="9"/>
  <c r="I415" i="9"/>
  <c r="J415" i="9"/>
  <c r="K415" i="9"/>
  <c r="L415" i="9"/>
  <c r="M415" i="9"/>
  <c r="N415" i="9"/>
  <c r="O415" i="9"/>
  <c r="P415" i="9"/>
  <c r="Q415" i="9"/>
  <c r="R415" i="9"/>
  <c r="S415" i="9"/>
  <c r="T415" i="9"/>
  <c r="U415" i="9"/>
  <c r="V415" i="9"/>
  <c r="W415" i="9"/>
  <c r="X415" i="9"/>
  <c r="Y415" i="9"/>
  <c r="Z415" i="9"/>
  <c r="AA415" i="9"/>
  <c r="AB415" i="9"/>
  <c r="AC415" i="9"/>
  <c r="AD415" i="9"/>
  <c r="AE415" i="9"/>
  <c r="AF415" i="9"/>
  <c r="AG415" i="9"/>
  <c r="AH415" i="9"/>
  <c r="AI415" i="9"/>
  <c r="A416" i="9"/>
  <c r="B416" i="9"/>
  <c r="C416" i="9"/>
  <c r="D416" i="9"/>
  <c r="E416" i="9"/>
  <c r="F416" i="9"/>
  <c r="G416" i="9"/>
  <c r="H416" i="9"/>
  <c r="I416" i="9"/>
  <c r="J416" i="9"/>
  <c r="K416" i="9"/>
  <c r="L416" i="9"/>
  <c r="M416" i="9"/>
  <c r="N416" i="9"/>
  <c r="O416" i="9"/>
  <c r="P416" i="9"/>
  <c r="Q416" i="9"/>
  <c r="R416" i="9"/>
  <c r="S416" i="9"/>
  <c r="T416" i="9"/>
  <c r="U416" i="9"/>
  <c r="V416" i="9"/>
  <c r="W416" i="9"/>
  <c r="X416" i="9"/>
  <c r="Y416" i="9"/>
  <c r="Z416" i="9"/>
  <c r="AA416" i="9"/>
  <c r="AB416" i="9"/>
  <c r="AC416" i="9"/>
  <c r="AD416" i="9"/>
  <c r="AE416" i="9"/>
  <c r="AF416" i="9"/>
  <c r="AG416" i="9"/>
  <c r="AH416" i="9"/>
  <c r="AI416" i="9"/>
  <c r="A417" i="9"/>
  <c r="B417" i="9"/>
  <c r="C417" i="9"/>
  <c r="D417" i="9"/>
  <c r="E417" i="9"/>
  <c r="F417" i="9"/>
  <c r="G417" i="9"/>
  <c r="H417" i="9"/>
  <c r="I417" i="9"/>
  <c r="J417" i="9"/>
  <c r="K417" i="9"/>
  <c r="L417" i="9"/>
  <c r="M417" i="9"/>
  <c r="N417" i="9"/>
  <c r="O417" i="9"/>
  <c r="P417" i="9"/>
  <c r="Q417" i="9"/>
  <c r="R417" i="9"/>
  <c r="S417" i="9"/>
  <c r="T417" i="9"/>
  <c r="U417" i="9"/>
  <c r="V417" i="9"/>
  <c r="W417" i="9"/>
  <c r="X417" i="9"/>
  <c r="Y417" i="9"/>
  <c r="Z417" i="9"/>
  <c r="AA417" i="9"/>
  <c r="AB417" i="9"/>
  <c r="AC417" i="9"/>
  <c r="AD417" i="9"/>
  <c r="AE417" i="9"/>
  <c r="AF417" i="9"/>
  <c r="AG417" i="9"/>
  <c r="AH417" i="9"/>
  <c r="AI417" i="9"/>
  <c r="A418" i="9"/>
  <c r="B418" i="9"/>
  <c r="C418" i="9"/>
  <c r="D418" i="9"/>
  <c r="E418" i="9"/>
  <c r="F418" i="9"/>
  <c r="G418" i="9"/>
  <c r="H418" i="9"/>
  <c r="I418" i="9"/>
  <c r="J418" i="9"/>
  <c r="K418" i="9"/>
  <c r="L418" i="9"/>
  <c r="M418" i="9"/>
  <c r="N418" i="9"/>
  <c r="O418" i="9"/>
  <c r="P418" i="9"/>
  <c r="Q418" i="9"/>
  <c r="R418" i="9"/>
  <c r="S418" i="9"/>
  <c r="T418" i="9"/>
  <c r="U418" i="9"/>
  <c r="V418" i="9"/>
  <c r="W418" i="9"/>
  <c r="X418" i="9"/>
  <c r="Y418" i="9"/>
  <c r="Z418" i="9"/>
  <c r="AA418" i="9"/>
  <c r="AB418" i="9"/>
  <c r="AC418" i="9"/>
  <c r="AD418" i="9"/>
  <c r="AE418" i="9"/>
  <c r="AF418" i="9"/>
  <c r="AG418" i="9"/>
  <c r="AH418" i="9"/>
  <c r="AI418" i="9"/>
  <c r="A419" i="9"/>
  <c r="B419" i="9"/>
  <c r="C419" i="9"/>
  <c r="D419" i="9"/>
  <c r="E419" i="9"/>
  <c r="F419" i="9"/>
  <c r="G419" i="9"/>
  <c r="H419" i="9"/>
  <c r="I419" i="9"/>
  <c r="J419" i="9"/>
  <c r="K419" i="9"/>
  <c r="L419" i="9"/>
  <c r="M419" i="9"/>
  <c r="N419" i="9"/>
  <c r="O419" i="9"/>
  <c r="P419" i="9"/>
  <c r="Q419" i="9"/>
  <c r="R419" i="9"/>
  <c r="S419" i="9"/>
  <c r="T419" i="9"/>
  <c r="U419" i="9"/>
  <c r="V419" i="9"/>
  <c r="W419" i="9"/>
  <c r="X419" i="9"/>
  <c r="Y419" i="9"/>
  <c r="Z419" i="9"/>
  <c r="AA419" i="9"/>
  <c r="AB419" i="9"/>
  <c r="AC419" i="9"/>
  <c r="AD419" i="9"/>
  <c r="AE419" i="9"/>
  <c r="AF419" i="9"/>
  <c r="AG419" i="9"/>
  <c r="AH419" i="9"/>
  <c r="AI419" i="9"/>
  <c r="A420" i="9"/>
  <c r="B420" i="9"/>
  <c r="C420" i="9"/>
  <c r="D420" i="9"/>
  <c r="E420" i="9"/>
  <c r="F420" i="9"/>
  <c r="G420" i="9"/>
  <c r="H420" i="9"/>
  <c r="I420" i="9"/>
  <c r="J420" i="9"/>
  <c r="K420" i="9"/>
  <c r="L420" i="9"/>
  <c r="M420" i="9"/>
  <c r="N420" i="9"/>
  <c r="O420" i="9"/>
  <c r="P420" i="9"/>
  <c r="Q420" i="9"/>
  <c r="R420" i="9"/>
  <c r="S420" i="9"/>
  <c r="T420" i="9"/>
  <c r="U420" i="9"/>
  <c r="V420" i="9"/>
  <c r="W420" i="9"/>
  <c r="X420" i="9"/>
  <c r="Y420" i="9"/>
  <c r="Z420" i="9"/>
  <c r="AA420" i="9"/>
  <c r="AB420" i="9"/>
  <c r="AC420" i="9"/>
  <c r="AD420" i="9"/>
  <c r="AE420" i="9"/>
  <c r="AF420" i="9"/>
  <c r="AG420" i="9"/>
  <c r="AH420" i="9"/>
  <c r="AI420" i="9"/>
  <c r="A421" i="9"/>
  <c r="B421" i="9"/>
  <c r="C421" i="9"/>
  <c r="D421" i="9"/>
  <c r="E421" i="9"/>
  <c r="F421" i="9"/>
  <c r="G421" i="9"/>
  <c r="H421" i="9"/>
  <c r="I421" i="9"/>
  <c r="J421" i="9"/>
  <c r="K421" i="9"/>
  <c r="L421" i="9"/>
  <c r="M421" i="9"/>
  <c r="N421" i="9"/>
  <c r="O421" i="9"/>
  <c r="P421" i="9"/>
  <c r="Q421" i="9"/>
  <c r="R421" i="9"/>
  <c r="S421" i="9"/>
  <c r="T421" i="9"/>
  <c r="U421" i="9"/>
  <c r="V421" i="9"/>
  <c r="W421" i="9"/>
  <c r="X421" i="9"/>
  <c r="Y421" i="9"/>
  <c r="Z421" i="9"/>
  <c r="AA421" i="9"/>
  <c r="AB421" i="9"/>
  <c r="AC421" i="9"/>
  <c r="AD421" i="9"/>
  <c r="AE421" i="9"/>
  <c r="AF421" i="9"/>
  <c r="AG421" i="9"/>
  <c r="AH421" i="9"/>
  <c r="AI421" i="9"/>
  <c r="A422" i="9"/>
  <c r="B422" i="9"/>
  <c r="C422" i="9"/>
  <c r="D422" i="9"/>
  <c r="E422" i="9"/>
  <c r="F422" i="9"/>
  <c r="G422" i="9"/>
  <c r="H422" i="9"/>
  <c r="I422" i="9"/>
  <c r="J422" i="9"/>
  <c r="K422" i="9"/>
  <c r="L422" i="9"/>
  <c r="M422" i="9"/>
  <c r="N422" i="9"/>
  <c r="O422" i="9"/>
  <c r="P422" i="9"/>
  <c r="Q422" i="9"/>
  <c r="R422" i="9"/>
  <c r="S422" i="9"/>
  <c r="T422" i="9"/>
  <c r="U422" i="9"/>
  <c r="V422" i="9"/>
  <c r="W422" i="9"/>
  <c r="X422" i="9"/>
  <c r="Y422" i="9"/>
  <c r="Z422" i="9"/>
  <c r="AA422" i="9"/>
  <c r="AB422" i="9"/>
  <c r="AC422" i="9"/>
  <c r="AD422" i="9"/>
  <c r="AE422" i="9"/>
  <c r="AF422" i="9"/>
  <c r="AG422" i="9"/>
  <c r="AH422" i="9"/>
  <c r="AI422" i="9"/>
  <c r="A423" i="9"/>
  <c r="B423" i="9"/>
  <c r="C423" i="9"/>
  <c r="D423" i="9"/>
  <c r="E423" i="9"/>
  <c r="F423" i="9"/>
  <c r="G423" i="9"/>
  <c r="H423" i="9"/>
  <c r="I423" i="9"/>
  <c r="J423" i="9"/>
  <c r="K423" i="9"/>
  <c r="L423" i="9"/>
  <c r="M423" i="9"/>
  <c r="N423" i="9"/>
  <c r="O423" i="9"/>
  <c r="P423" i="9"/>
  <c r="Q423" i="9"/>
  <c r="R423" i="9"/>
  <c r="S423" i="9"/>
  <c r="T423" i="9"/>
  <c r="U423" i="9"/>
  <c r="V423" i="9"/>
  <c r="W423" i="9"/>
  <c r="X423" i="9"/>
  <c r="Y423" i="9"/>
  <c r="Z423" i="9"/>
  <c r="AA423" i="9"/>
  <c r="AB423" i="9"/>
  <c r="AC423" i="9"/>
  <c r="AD423" i="9"/>
  <c r="AE423" i="9"/>
  <c r="AF423" i="9"/>
  <c r="AG423" i="9"/>
  <c r="AH423" i="9"/>
  <c r="AI423" i="9"/>
  <c r="A424" i="9"/>
  <c r="B424" i="9"/>
  <c r="C424" i="9"/>
  <c r="D424" i="9"/>
  <c r="E424" i="9"/>
  <c r="F424" i="9"/>
  <c r="G424" i="9"/>
  <c r="H424" i="9"/>
  <c r="I424" i="9"/>
  <c r="J424" i="9"/>
  <c r="K424" i="9"/>
  <c r="L424" i="9"/>
  <c r="M424" i="9"/>
  <c r="N424" i="9"/>
  <c r="O424" i="9"/>
  <c r="P424" i="9"/>
  <c r="Q424" i="9"/>
  <c r="R424" i="9"/>
  <c r="S424" i="9"/>
  <c r="T424" i="9"/>
  <c r="U424" i="9"/>
  <c r="V424" i="9"/>
  <c r="W424" i="9"/>
  <c r="X424" i="9"/>
  <c r="Y424" i="9"/>
  <c r="Z424" i="9"/>
  <c r="AA424" i="9"/>
  <c r="AB424" i="9"/>
  <c r="AC424" i="9"/>
  <c r="AD424" i="9"/>
  <c r="AE424" i="9"/>
  <c r="AF424" i="9"/>
  <c r="AG424" i="9"/>
  <c r="AH424" i="9"/>
  <c r="AI424" i="9"/>
  <c r="A425" i="9"/>
  <c r="B425" i="9"/>
  <c r="C425" i="9"/>
  <c r="D425" i="9"/>
  <c r="E425" i="9"/>
  <c r="F425" i="9"/>
  <c r="G425" i="9"/>
  <c r="H425" i="9"/>
  <c r="I425" i="9"/>
  <c r="J425" i="9"/>
  <c r="K425" i="9"/>
  <c r="L425" i="9"/>
  <c r="M425" i="9"/>
  <c r="N425" i="9"/>
  <c r="O425" i="9"/>
  <c r="P425" i="9"/>
  <c r="Q425" i="9"/>
  <c r="R425" i="9"/>
  <c r="S425" i="9"/>
  <c r="T425" i="9"/>
  <c r="U425" i="9"/>
  <c r="V425" i="9"/>
  <c r="W425" i="9"/>
  <c r="X425" i="9"/>
  <c r="Y425" i="9"/>
  <c r="Z425" i="9"/>
  <c r="AA425" i="9"/>
  <c r="AB425" i="9"/>
  <c r="AC425" i="9"/>
  <c r="AD425" i="9"/>
  <c r="AE425" i="9"/>
  <c r="AF425" i="9"/>
  <c r="AG425" i="9"/>
  <c r="AH425" i="9"/>
  <c r="AI425" i="9"/>
  <c r="A426" i="9"/>
  <c r="B426" i="9"/>
  <c r="C426" i="9"/>
  <c r="D426" i="9"/>
  <c r="E426" i="9"/>
  <c r="F426" i="9"/>
  <c r="G426" i="9"/>
  <c r="H426" i="9"/>
  <c r="I426" i="9"/>
  <c r="J426" i="9"/>
  <c r="K426" i="9"/>
  <c r="L426" i="9"/>
  <c r="M426" i="9"/>
  <c r="N426" i="9"/>
  <c r="O426" i="9"/>
  <c r="P426" i="9"/>
  <c r="Q426" i="9"/>
  <c r="R426" i="9"/>
  <c r="S426" i="9"/>
  <c r="T426" i="9"/>
  <c r="U426" i="9"/>
  <c r="V426" i="9"/>
  <c r="W426" i="9"/>
  <c r="X426" i="9"/>
  <c r="Y426" i="9"/>
  <c r="Z426" i="9"/>
  <c r="AA426" i="9"/>
  <c r="AB426" i="9"/>
  <c r="AC426" i="9"/>
  <c r="AD426" i="9"/>
  <c r="AE426" i="9"/>
  <c r="AF426" i="9"/>
  <c r="AG426" i="9"/>
  <c r="AH426" i="9"/>
  <c r="AI426" i="9"/>
  <c r="A427" i="9"/>
  <c r="B427" i="9"/>
  <c r="C427" i="9"/>
  <c r="D427" i="9"/>
  <c r="E427" i="9"/>
  <c r="F427" i="9"/>
  <c r="G427" i="9"/>
  <c r="H427" i="9"/>
  <c r="I427" i="9"/>
  <c r="J427" i="9"/>
  <c r="K427" i="9"/>
  <c r="L427" i="9"/>
  <c r="M427" i="9"/>
  <c r="N427" i="9"/>
  <c r="O427" i="9"/>
  <c r="P427" i="9"/>
  <c r="Q427" i="9"/>
  <c r="R427" i="9"/>
  <c r="S427" i="9"/>
  <c r="T427" i="9"/>
  <c r="U427" i="9"/>
  <c r="V427" i="9"/>
  <c r="W427" i="9"/>
  <c r="X427" i="9"/>
  <c r="Y427" i="9"/>
  <c r="Z427" i="9"/>
  <c r="AA427" i="9"/>
  <c r="AB427" i="9"/>
  <c r="AC427" i="9"/>
  <c r="AD427" i="9"/>
  <c r="AE427" i="9"/>
  <c r="AF427" i="9"/>
  <c r="AG427" i="9"/>
  <c r="AH427" i="9"/>
  <c r="AI427" i="9"/>
  <c r="A428" i="9"/>
  <c r="B428" i="9"/>
  <c r="C428" i="9"/>
  <c r="D428" i="9"/>
  <c r="E428" i="9"/>
  <c r="F428" i="9"/>
  <c r="G428" i="9"/>
  <c r="H428" i="9"/>
  <c r="I428" i="9"/>
  <c r="J428" i="9"/>
  <c r="K428" i="9"/>
  <c r="L428" i="9"/>
  <c r="M428" i="9"/>
  <c r="N428" i="9"/>
  <c r="O428" i="9"/>
  <c r="P428" i="9"/>
  <c r="Q428" i="9"/>
  <c r="R428" i="9"/>
  <c r="S428" i="9"/>
  <c r="T428" i="9"/>
  <c r="U428" i="9"/>
  <c r="V428" i="9"/>
  <c r="W428" i="9"/>
  <c r="X428" i="9"/>
  <c r="Y428" i="9"/>
  <c r="Z428" i="9"/>
  <c r="AA428" i="9"/>
  <c r="AB428" i="9"/>
  <c r="AC428" i="9"/>
  <c r="AD428" i="9"/>
  <c r="AE428" i="9"/>
  <c r="AF428" i="9"/>
  <c r="AG428" i="9"/>
  <c r="AH428" i="9"/>
  <c r="AI428" i="9"/>
  <c r="A429" i="9"/>
  <c r="B429" i="9"/>
  <c r="C429" i="9"/>
  <c r="D429" i="9"/>
  <c r="E429" i="9"/>
  <c r="F429" i="9"/>
  <c r="G429" i="9"/>
  <c r="H429" i="9"/>
  <c r="I429" i="9"/>
  <c r="J429" i="9"/>
  <c r="K429" i="9"/>
  <c r="L429" i="9"/>
  <c r="M429" i="9"/>
  <c r="N429" i="9"/>
  <c r="O429" i="9"/>
  <c r="P429" i="9"/>
  <c r="Q429" i="9"/>
  <c r="R429" i="9"/>
  <c r="S429" i="9"/>
  <c r="T429" i="9"/>
  <c r="U429" i="9"/>
  <c r="V429" i="9"/>
  <c r="W429" i="9"/>
  <c r="X429" i="9"/>
  <c r="Y429" i="9"/>
  <c r="Z429" i="9"/>
  <c r="AA429" i="9"/>
  <c r="AB429" i="9"/>
  <c r="AC429" i="9"/>
  <c r="AD429" i="9"/>
  <c r="AE429" i="9"/>
  <c r="AF429" i="9"/>
  <c r="AG429" i="9"/>
  <c r="AH429" i="9"/>
  <c r="AI429" i="9"/>
  <c r="A430" i="9"/>
  <c r="B430" i="9"/>
  <c r="C430" i="9"/>
  <c r="D430" i="9"/>
  <c r="E430" i="9"/>
  <c r="F430" i="9"/>
  <c r="G430" i="9"/>
  <c r="H430" i="9"/>
  <c r="I430" i="9"/>
  <c r="J430" i="9"/>
  <c r="K430" i="9"/>
  <c r="L430" i="9"/>
  <c r="M430" i="9"/>
  <c r="N430" i="9"/>
  <c r="O430" i="9"/>
  <c r="P430" i="9"/>
  <c r="Q430" i="9"/>
  <c r="R430" i="9"/>
  <c r="S430" i="9"/>
  <c r="T430" i="9"/>
  <c r="U430" i="9"/>
  <c r="V430" i="9"/>
  <c r="W430" i="9"/>
  <c r="X430" i="9"/>
  <c r="Y430" i="9"/>
  <c r="Z430" i="9"/>
  <c r="AA430" i="9"/>
  <c r="AB430" i="9"/>
  <c r="AC430" i="9"/>
  <c r="AD430" i="9"/>
  <c r="AE430" i="9"/>
  <c r="AF430" i="9"/>
  <c r="AG430" i="9"/>
  <c r="AH430" i="9"/>
  <c r="AI430" i="9"/>
  <c r="A431" i="9"/>
  <c r="B431" i="9"/>
  <c r="C431" i="9"/>
  <c r="D431" i="9"/>
  <c r="E431" i="9"/>
  <c r="F431" i="9"/>
  <c r="G431" i="9"/>
  <c r="H431" i="9"/>
  <c r="I431" i="9"/>
  <c r="J431" i="9"/>
  <c r="K431" i="9"/>
  <c r="L431" i="9"/>
  <c r="M431" i="9"/>
  <c r="N431" i="9"/>
  <c r="O431" i="9"/>
  <c r="P431" i="9"/>
  <c r="Q431" i="9"/>
  <c r="R431" i="9"/>
  <c r="S431" i="9"/>
  <c r="T431" i="9"/>
  <c r="U431" i="9"/>
  <c r="V431" i="9"/>
  <c r="W431" i="9"/>
  <c r="X431" i="9"/>
  <c r="Y431" i="9"/>
  <c r="Z431" i="9"/>
  <c r="AA431" i="9"/>
  <c r="AB431" i="9"/>
  <c r="AC431" i="9"/>
  <c r="AD431" i="9"/>
  <c r="AE431" i="9"/>
  <c r="AF431" i="9"/>
  <c r="AG431" i="9"/>
  <c r="AH431" i="9"/>
  <c r="AI431" i="9"/>
  <c r="A432" i="9"/>
  <c r="B432" i="9"/>
  <c r="C432" i="9"/>
  <c r="D432" i="9"/>
  <c r="E432" i="9"/>
  <c r="F432" i="9"/>
  <c r="G432" i="9"/>
  <c r="H432" i="9"/>
  <c r="I432" i="9"/>
  <c r="J432" i="9"/>
  <c r="K432" i="9"/>
  <c r="L432" i="9"/>
  <c r="M432" i="9"/>
  <c r="N432" i="9"/>
  <c r="O432" i="9"/>
  <c r="P432" i="9"/>
  <c r="Q432" i="9"/>
  <c r="R432" i="9"/>
  <c r="S432" i="9"/>
  <c r="T432" i="9"/>
  <c r="U432" i="9"/>
  <c r="V432" i="9"/>
  <c r="W432" i="9"/>
  <c r="X432" i="9"/>
  <c r="Y432" i="9"/>
  <c r="Z432" i="9"/>
  <c r="AA432" i="9"/>
  <c r="AB432" i="9"/>
  <c r="AC432" i="9"/>
  <c r="AD432" i="9"/>
  <c r="AE432" i="9"/>
  <c r="AF432" i="9"/>
  <c r="AG432" i="9"/>
  <c r="AH432" i="9"/>
  <c r="AI432" i="9"/>
  <c r="A433" i="9"/>
  <c r="B433" i="9"/>
  <c r="C433" i="9"/>
  <c r="D433" i="9"/>
  <c r="E433" i="9"/>
  <c r="F433" i="9"/>
  <c r="G433" i="9"/>
  <c r="H433" i="9"/>
  <c r="I433" i="9"/>
  <c r="J433" i="9"/>
  <c r="K433" i="9"/>
  <c r="L433" i="9"/>
  <c r="M433" i="9"/>
  <c r="N433" i="9"/>
  <c r="O433" i="9"/>
  <c r="P433" i="9"/>
  <c r="Q433" i="9"/>
  <c r="R433" i="9"/>
  <c r="S433" i="9"/>
  <c r="T433" i="9"/>
  <c r="U433" i="9"/>
  <c r="V433" i="9"/>
  <c r="W433" i="9"/>
  <c r="X433" i="9"/>
  <c r="Y433" i="9"/>
  <c r="Z433" i="9"/>
  <c r="AA433" i="9"/>
  <c r="AB433" i="9"/>
  <c r="AC433" i="9"/>
  <c r="AD433" i="9"/>
  <c r="AE433" i="9"/>
  <c r="AF433" i="9"/>
  <c r="AG433" i="9"/>
  <c r="AH433" i="9"/>
  <c r="AI433" i="9"/>
  <c r="A434" i="9"/>
  <c r="B434" i="9"/>
  <c r="C434" i="9"/>
  <c r="D434" i="9"/>
  <c r="E434" i="9"/>
  <c r="F434" i="9"/>
  <c r="G434" i="9"/>
  <c r="H434" i="9"/>
  <c r="I434" i="9"/>
  <c r="J434" i="9"/>
  <c r="K434" i="9"/>
  <c r="L434" i="9"/>
  <c r="M434" i="9"/>
  <c r="N434" i="9"/>
  <c r="O434" i="9"/>
  <c r="P434" i="9"/>
  <c r="Q434" i="9"/>
  <c r="R434" i="9"/>
  <c r="S434" i="9"/>
  <c r="T434" i="9"/>
  <c r="U434" i="9"/>
  <c r="V434" i="9"/>
  <c r="W434" i="9"/>
  <c r="X434" i="9"/>
  <c r="Y434" i="9"/>
  <c r="Z434" i="9"/>
  <c r="AA434" i="9"/>
  <c r="AB434" i="9"/>
  <c r="AC434" i="9"/>
  <c r="AD434" i="9"/>
  <c r="AE434" i="9"/>
  <c r="AF434" i="9"/>
  <c r="AG434" i="9"/>
  <c r="AH434" i="9"/>
  <c r="AI434" i="9"/>
  <c r="A435" i="9"/>
  <c r="B435" i="9"/>
  <c r="C435" i="9"/>
  <c r="D435" i="9"/>
  <c r="E435" i="9"/>
  <c r="F435" i="9"/>
  <c r="G435" i="9"/>
  <c r="H435" i="9"/>
  <c r="I435" i="9"/>
  <c r="J435" i="9"/>
  <c r="K435" i="9"/>
  <c r="L435" i="9"/>
  <c r="M435" i="9"/>
  <c r="N435" i="9"/>
  <c r="O435" i="9"/>
  <c r="P435" i="9"/>
  <c r="Q435" i="9"/>
  <c r="R435" i="9"/>
  <c r="S435" i="9"/>
  <c r="T435" i="9"/>
  <c r="U435" i="9"/>
  <c r="V435" i="9"/>
  <c r="W435" i="9"/>
  <c r="X435" i="9"/>
  <c r="Y435" i="9"/>
  <c r="Z435" i="9"/>
  <c r="AA435" i="9"/>
  <c r="AB435" i="9"/>
  <c r="AC435" i="9"/>
  <c r="AD435" i="9"/>
  <c r="AE435" i="9"/>
  <c r="AF435" i="9"/>
  <c r="AG435" i="9"/>
  <c r="AH435" i="9"/>
  <c r="AI435" i="9"/>
  <c r="A436" i="9"/>
  <c r="B436" i="9"/>
  <c r="C436" i="9"/>
  <c r="D436" i="9"/>
  <c r="E436" i="9"/>
  <c r="F436" i="9"/>
  <c r="G436" i="9"/>
  <c r="H436" i="9"/>
  <c r="I436" i="9"/>
  <c r="J436" i="9"/>
  <c r="K436" i="9"/>
  <c r="L436" i="9"/>
  <c r="M436" i="9"/>
  <c r="N436" i="9"/>
  <c r="O436" i="9"/>
  <c r="P436" i="9"/>
  <c r="Q436" i="9"/>
  <c r="R436" i="9"/>
  <c r="S436" i="9"/>
  <c r="T436" i="9"/>
  <c r="U436" i="9"/>
  <c r="V436" i="9"/>
  <c r="W436" i="9"/>
  <c r="X436" i="9"/>
  <c r="Y436" i="9"/>
  <c r="Z436" i="9"/>
  <c r="AA436" i="9"/>
  <c r="AB436" i="9"/>
  <c r="AC436" i="9"/>
  <c r="AD436" i="9"/>
  <c r="AE436" i="9"/>
  <c r="AF436" i="9"/>
  <c r="AG436" i="9"/>
  <c r="AH436" i="9"/>
  <c r="AI436" i="9"/>
  <c r="A437" i="9"/>
  <c r="B437" i="9"/>
  <c r="C437" i="9"/>
  <c r="D437" i="9"/>
  <c r="E437" i="9"/>
  <c r="F437" i="9"/>
  <c r="G437" i="9"/>
  <c r="H437" i="9"/>
  <c r="I437" i="9"/>
  <c r="J437" i="9"/>
  <c r="K437" i="9"/>
  <c r="L437" i="9"/>
  <c r="M437" i="9"/>
  <c r="N437" i="9"/>
  <c r="O437" i="9"/>
  <c r="P437" i="9"/>
  <c r="Q437" i="9"/>
  <c r="R437" i="9"/>
  <c r="S437" i="9"/>
  <c r="T437" i="9"/>
  <c r="U437" i="9"/>
  <c r="V437" i="9"/>
  <c r="W437" i="9"/>
  <c r="X437" i="9"/>
  <c r="Y437" i="9"/>
  <c r="Z437" i="9"/>
  <c r="AA437" i="9"/>
  <c r="AB437" i="9"/>
  <c r="AC437" i="9"/>
  <c r="AD437" i="9"/>
  <c r="AE437" i="9"/>
  <c r="AF437" i="9"/>
  <c r="AG437" i="9"/>
  <c r="AH437" i="9"/>
  <c r="AI437" i="9"/>
  <c r="A438" i="9"/>
  <c r="B438" i="9"/>
  <c r="C438" i="9"/>
  <c r="D438" i="9"/>
  <c r="E438" i="9"/>
  <c r="F438" i="9"/>
  <c r="G438" i="9"/>
  <c r="H438" i="9"/>
  <c r="I438" i="9"/>
  <c r="J438" i="9"/>
  <c r="K438" i="9"/>
  <c r="L438" i="9"/>
  <c r="M438" i="9"/>
  <c r="N438" i="9"/>
  <c r="O438" i="9"/>
  <c r="P438" i="9"/>
  <c r="Q438" i="9"/>
  <c r="R438" i="9"/>
  <c r="S438" i="9"/>
  <c r="T438" i="9"/>
  <c r="U438" i="9"/>
  <c r="V438" i="9"/>
  <c r="W438" i="9"/>
  <c r="X438" i="9"/>
  <c r="Y438" i="9"/>
  <c r="Z438" i="9"/>
  <c r="AA438" i="9"/>
  <c r="AB438" i="9"/>
  <c r="AC438" i="9"/>
  <c r="AD438" i="9"/>
  <c r="AE438" i="9"/>
  <c r="AF438" i="9"/>
  <c r="AG438" i="9"/>
  <c r="AH438" i="9"/>
  <c r="AI438" i="9"/>
  <c r="A439" i="9"/>
  <c r="B439" i="9"/>
  <c r="C439" i="9"/>
  <c r="D439" i="9"/>
  <c r="E439" i="9"/>
  <c r="F439" i="9"/>
  <c r="G439" i="9"/>
  <c r="H439" i="9"/>
  <c r="I439" i="9"/>
  <c r="J439" i="9"/>
  <c r="K439" i="9"/>
  <c r="L439" i="9"/>
  <c r="M439" i="9"/>
  <c r="N439" i="9"/>
  <c r="O439" i="9"/>
  <c r="P439" i="9"/>
  <c r="Q439" i="9"/>
  <c r="R439" i="9"/>
  <c r="S439" i="9"/>
  <c r="T439" i="9"/>
  <c r="U439" i="9"/>
  <c r="V439" i="9"/>
  <c r="W439" i="9"/>
  <c r="X439" i="9"/>
  <c r="Y439" i="9"/>
  <c r="Z439" i="9"/>
  <c r="AA439" i="9"/>
  <c r="AB439" i="9"/>
  <c r="AC439" i="9"/>
  <c r="AD439" i="9"/>
  <c r="AE439" i="9"/>
  <c r="AF439" i="9"/>
  <c r="AG439" i="9"/>
  <c r="AH439" i="9"/>
  <c r="AI439" i="9"/>
  <c r="A440" i="9"/>
  <c r="B440" i="9"/>
  <c r="C440" i="9"/>
  <c r="D440" i="9"/>
  <c r="E440" i="9"/>
  <c r="F440" i="9"/>
  <c r="G440" i="9"/>
  <c r="H440" i="9"/>
  <c r="I440" i="9"/>
  <c r="J440" i="9"/>
  <c r="K440" i="9"/>
  <c r="L440" i="9"/>
  <c r="M440" i="9"/>
  <c r="N440" i="9"/>
  <c r="O440" i="9"/>
  <c r="P440" i="9"/>
  <c r="Q440" i="9"/>
  <c r="R440" i="9"/>
  <c r="S440" i="9"/>
  <c r="T440" i="9"/>
  <c r="U440" i="9"/>
  <c r="V440" i="9"/>
  <c r="W440" i="9"/>
  <c r="X440" i="9"/>
  <c r="Y440" i="9"/>
  <c r="Z440" i="9"/>
  <c r="AA440" i="9"/>
  <c r="AB440" i="9"/>
  <c r="AC440" i="9"/>
  <c r="AD440" i="9"/>
  <c r="AE440" i="9"/>
  <c r="AF440" i="9"/>
  <c r="AG440" i="9"/>
  <c r="AH440" i="9"/>
  <c r="AI440" i="9"/>
  <c r="A441" i="9"/>
  <c r="B441" i="9"/>
  <c r="C441" i="9"/>
  <c r="D441" i="9"/>
  <c r="E441" i="9"/>
  <c r="F441" i="9"/>
  <c r="G441" i="9"/>
  <c r="H441" i="9"/>
  <c r="I441" i="9"/>
  <c r="J441" i="9"/>
  <c r="K441" i="9"/>
  <c r="L441" i="9"/>
  <c r="M441" i="9"/>
  <c r="N441" i="9"/>
  <c r="O441" i="9"/>
  <c r="P441" i="9"/>
  <c r="Q441" i="9"/>
  <c r="R441" i="9"/>
  <c r="S441" i="9"/>
  <c r="T441" i="9"/>
  <c r="U441" i="9"/>
  <c r="V441" i="9"/>
  <c r="W441" i="9"/>
  <c r="X441" i="9"/>
  <c r="Y441" i="9"/>
  <c r="Z441" i="9"/>
  <c r="AA441" i="9"/>
  <c r="AB441" i="9"/>
  <c r="AC441" i="9"/>
  <c r="AD441" i="9"/>
  <c r="AE441" i="9"/>
  <c r="AF441" i="9"/>
  <c r="AG441" i="9"/>
  <c r="AH441" i="9"/>
  <c r="AI441" i="9"/>
  <c r="A442" i="9"/>
  <c r="B442" i="9"/>
  <c r="C442" i="9"/>
  <c r="D442" i="9"/>
  <c r="E442" i="9"/>
  <c r="F442" i="9"/>
  <c r="G442" i="9"/>
  <c r="H442" i="9"/>
  <c r="I442" i="9"/>
  <c r="J442" i="9"/>
  <c r="K442" i="9"/>
  <c r="L442" i="9"/>
  <c r="M442" i="9"/>
  <c r="N442" i="9"/>
  <c r="O442" i="9"/>
  <c r="P442" i="9"/>
  <c r="Q442" i="9"/>
  <c r="R442" i="9"/>
  <c r="S442" i="9"/>
  <c r="T442" i="9"/>
  <c r="U442" i="9"/>
  <c r="V442" i="9"/>
  <c r="W442" i="9"/>
  <c r="X442" i="9"/>
  <c r="Y442" i="9"/>
  <c r="Z442" i="9"/>
  <c r="AA442" i="9"/>
  <c r="AB442" i="9"/>
  <c r="AC442" i="9"/>
  <c r="AD442" i="9"/>
  <c r="AE442" i="9"/>
  <c r="AF442" i="9"/>
  <c r="AG442" i="9"/>
  <c r="AH442" i="9"/>
  <c r="AI442" i="9"/>
  <c r="A443" i="9"/>
  <c r="B443" i="9"/>
  <c r="C443" i="9"/>
  <c r="D443" i="9"/>
  <c r="E443" i="9"/>
  <c r="F443" i="9"/>
  <c r="G443" i="9"/>
  <c r="H443" i="9"/>
  <c r="I443" i="9"/>
  <c r="J443" i="9"/>
  <c r="K443" i="9"/>
  <c r="L443" i="9"/>
  <c r="M443" i="9"/>
  <c r="N443" i="9"/>
  <c r="O443" i="9"/>
  <c r="P443" i="9"/>
  <c r="Q443" i="9"/>
  <c r="R443" i="9"/>
  <c r="S443" i="9"/>
  <c r="T443" i="9"/>
  <c r="U443" i="9"/>
  <c r="V443" i="9"/>
  <c r="W443" i="9"/>
  <c r="X443" i="9"/>
  <c r="Y443" i="9"/>
  <c r="Z443" i="9"/>
  <c r="AA443" i="9"/>
  <c r="AB443" i="9"/>
  <c r="AC443" i="9"/>
  <c r="AD443" i="9"/>
  <c r="AE443" i="9"/>
  <c r="AF443" i="9"/>
  <c r="AG443" i="9"/>
  <c r="AH443" i="9"/>
  <c r="AI443" i="9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F4" i="14"/>
  <c r="F3" i="14"/>
  <c r="D4" i="14"/>
  <c r="B4" i="14" s="1"/>
  <c r="D3" i="14"/>
  <c r="B3" i="14" s="1"/>
  <c r="C4" i="14"/>
  <c r="C3" i="14"/>
  <c r="H148" i="2"/>
  <c r="I148" i="2"/>
  <c r="M3" i="25"/>
  <c r="M5" i="25"/>
  <c r="K3" i="25"/>
  <c r="K5" i="25"/>
  <c r="V3" i="25"/>
  <c r="V5" i="25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G432" i="8"/>
  <c r="G434" i="11" s="1"/>
  <c r="H432" i="8"/>
  <c r="H434" i="11" s="1"/>
  <c r="I432" i="8"/>
  <c r="I434" i="11" s="1"/>
  <c r="J432" i="8"/>
  <c r="J434" i="10" s="1"/>
  <c r="K432" i="8"/>
  <c r="K434" i="10" s="1"/>
  <c r="L432" i="8"/>
  <c r="L434" i="10" s="1"/>
  <c r="M432" i="8"/>
  <c r="M434" i="10" s="1"/>
  <c r="N432" i="8"/>
  <c r="N434" i="11" s="1"/>
  <c r="O432" i="8"/>
  <c r="O434" i="11" s="1"/>
  <c r="P432" i="8"/>
  <c r="P434" i="11" s="1"/>
  <c r="Q432" i="8"/>
  <c r="Q434" i="11" s="1"/>
  <c r="R432" i="8"/>
  <c r="R434" i="10" s="1"/>
  <c r="S432" i="8"/>
  <c r="S434" i="10" s="1"/>
  <c r="T432" i="8"/>
  <c r="T434" i="10" s="1"/>
  <c r="U432" i="8"/>
  <c r="U434" i="10" s="1"/>
  <c r="V432" i="8"/>
  <c r="V434" i="11" s="1"/>
  <c r="W432" i="8"/>
  <c r="W434" i="11" s="1"/>
  <c r="X432" i="8"/>
  <c r="X434" i="11" s="1"/>
  <c r="Y432" i="8"/>
  <c r="Y434" i="11" s="1"/>
  <c r="Z432" i="8"/>
  <c r="Z434" i="10" s="1"/>
  <c r="AA432" i="8"/>
  <c r="AA434" i="10" s="1"/>
  <c r="AB432" i="8"/>
  <c r="AB434" i="10" s="1"/>
  <c r="AC432" i="8"/>
  <c r="AC434" i="10" s="1"/>
  <c r="AD432" i="8"/>
  <c r="AD434" i="11" s="1"/>
  <c r="AE432" i="8"/>
  <c r="AE434" i="11" s="1"/>
  <c r="AF432" i="8"/>
  <c r="AF434" i="11" s="1"/>
  <c r="AG432" i="8"/>
  <c r="AG434" i="11" s="1"/>
  <c r="AH432" i="8"/>
  <c r="AH434" i="10" s="1"/>
  <c r="AI432" i="8"/>
  <c r="AI434" i="10" s="1"/>
  <c r="G433" i="8"/>
  <c r="G435" i="11" s="1"/>
  <c r="H433" i="8"/>
  <c r="H435" i="10" s="1"/>
  <c r="I433" i="8"/>
  <c r="I435" i="10" s="1"/>
  <c r="J433" i="8"/>
  <c r="J435" i="10" s="1"/>
  <c r="K433" i="8"/>
  <c r="K435" i="11" s="1"/>
  <c r="L433" i="8"/>
  <c r="L435" i="11" s="1"/>
  <c r="M433" i="8"/>
  <c r="M435" i="11" s="1"/>
  <c r="N433" i="8"/>
  <c r="N435" i="11" s="1"/>
  <c r="O433" i="8"/>
  <c r="O435" i="11" s="1"/>
  <c r="P433" i="8"/>
  <c r="P435" i="10" s="1"/>
  <c r="Q433" i="8"/>
  <c r="Q435" i="10" s="1"/>
  <c r="R433" i="8"/>
  <c r="R435" i="10" s="1"/>
  <c r="S433" i="8"/>
  <c r="S435" i="11" s="1"/>
  <c r="T433" i="8"/>
  <c r="T435" i="11" s="1"/>
  <c r="U433" i="8"/>
  <c r="U435" i="11" s="1"/>
  <c r="V433" i="8"/>
  <c r="V435" i="11" s="1"/>
  <c r="W433" i="8"/>
  <c r="W435" i="11" s="1"/>
  <c r="X433" i="8"/>
  <c r="X435" i="10" s="1"/>
  <c r="Y433" i="8"/>
  <c r="Y435" i="10" s="1"/>
  <c r="Z433" i="8"/>
  <c r="Z435" i="10" s="1"/>
  <c r="AA433" i="8"/>
  <c r="AA435" i="11" s="1"/>
  <c r="AB433" i="8"/>
  <c r="AB435" i="11" s="1"/>
  <c r="AC433" i="8"/>
  <c r="AC435" i="11" s="1"/>
  <c r="AD433" i="8"/>
  <c r="AD435" i="11" s="1"/>
  <c r="AE433" i="8"/>
  <c r="AE435" i="11" s="1"/>
  <c r="AF433" i="8"/>
  <c r="AF435" i="10" s="1"/>
  <c r="AG433" i="8"/>
  <c r="AG435" i="10" s="1"/>
  <c r="AH433" i="8"/>
  <c r="AH435" i="10" s="1"/>
  <c r="AI433" i="8"/>
  <c r="AI435" i="11" s="1"/>
  <c r="G434" i="8"/>
  <c r="G436" i="11" s="1"/>
  <c r="H434" i="8"/>
  <c r="H436" i="11" s="1"/>
  <c r="I434" i="8"/>
  <c r="I436" i="11" s="1"/>
  <c r="J434" i="8"/>
  <c r="J436" i="11" s="1"/>
  <c r="K434" i="8"/>
  <c r="K436" i="11" s="1"/>
  <c r="L434" i="8"/>
  <c r="L436" i="11" s="1"/>
  <c r="M434" i="8"/>
  <c r="M436" i="11" s="1"/>
  <c r="N434" i="8"/>
  <c r="N436" i="11" s="1"/>
  <c r="O434" i="8"/>
  <c r="O436" i="11" s="1"/>
  <c r="P434" i="8"/>
  <c r="P436" i="11" s="1"/>
  <c r="Q434" i="8"/>
  <c r="Q436" i="11" s="1"/>
  <c r="R434" i="8"/>
  <c r="R436" i="11" s="1"/>
  <c r="S434" i="8"/>
  <c r="S436" i="11" s="1"/>
  <c r="T434" i="8"/>
  <c r="T436" i="11" s="1"/>
  <c r="U434" i="8"/>
  <c r="U436" i="11" s="1"/>
  <c r="V434" i="8"/>
  <c r="V436" i="11" s="1"/>
  <c r="W434" i="8"/>
  <c r="W436" i="11" s="1"/>
  <c r="X434" i="8"/>
  <c r="X436" i="11" s="1"/>
  <c r="Y434" i="8"/>
  <c r="Y436" i="11" s="1"/>
  <c r="Z434" i="8"/>
  <c r="Z436" i="11" s="1"/>
  <c r="AA434" i="8"/>
  <c r="AA436" i="11" s="1"/>
  <c r="AB434" i="8"/>
  <c r="AB436" i="11" s="1"/>
  <c r="AC434" i="8"/>
  <c r="AC436" i="11" s="1"/>
  <c r="AD434" i="8"/>
  <c r="AD436" i="11" s="1"/>
  <c r="AE434" i="8"/>
  <c r="AE436" i="11" s="1"/>
  <c r="AF434" i="8"/>
  <c r="AF436" i="11" s="1"/>
  <c r="AG434" i="8"/>
  <c r="AG436" i="11" s="1"/>
  <c r="AH434" i="8"/>
  <c r="AH436" i="11" s="1"/>
  <c r="AI434" i="8"/>
  <c r="AI436" i="11" s="1"/>
  <c r="G435" i="8"/>
  <c r="G437" i="11" s="1"/>
  <c r="H435" i="8"/>
  <c r="H437" i="11" s="1"/>
  <c r="I435" i="8"/>
  <c r="I437" i="11" s="1"/>
  <c r="J435" i="8"/>
  <c r="J437" i="11" s="1"/>
  <c r="K435" i="8"/>
  <c r="K437" i="11" s="1"/>
  <c r="L435" i="8"/>
  <c r="L437" i="11" s="1"/>
  <c r="M435" i="8"/>
  <c r="M437" i="11" s="1"/>
  <c r="N435" i="8"/>
  <c r="N437" i="11" s="1"/>
  <c r="O435" i="8"/>
  <c r="O437" i="11" s="1"/>
  <c r="P435" i="8"/>
  <c r="P437" i="11" s="1"/>
  <c r="Q435" i="8"/>
  <c r="Q437" i="11" s="1"/>
  <c r="R435" i="8"/>
  <c r="R437" i="11" s="1"/>
  <c r="S435" i="8"/>
  <c r="S437" i="11" s="1"/>
  <c r="T435" i="8"/>
  <c r="T437" i="11" s="1"/>
  <c r="U435" i="8"/>
  <c r="U437" i="11" s="1"/>
  <c r="V435" i="8"/>
  <c r="V437" i="11" s="1"/>
  <c r="W435" i="8"/>
  <c r="W437" i="11" s="1"/>
  <c r="X435" i="8"/>
  <c r="X437" i="11" s="1"/>
  <c r="Y435" i="8"/>
  <c r="Y437" i="11" s="1"/>
  <c r="Z435" i="8"/>
  <c r="Z437" i="11" s="1"/>
  <c r="AA435" i="8"/>
  <c r="AA437" i="11" s="1"/>
  <c r="AB435" i="8"/>
  <c r="AB437" i="11" s="1"/>
  <c r="AC435" i="8"/>
  <c r="AC437" i="11" s="1"/>
  <c r="AD435" i="8"/>
  <c r="AD437" i="11" s="1"/>
  <c r="AE435" i="8"/>
  <c r="AE437" i="11" s="1"/>
  <c r="AF435" i="8"/>
  <c r="AF437" i="11" s="1"/>
  <c r="AG435" i="8"/>
  <c r="AG437" i="11" s="1"/>
  <c r="AH435" i="8"/>
  <c r="AH437" i="11" s="1"/>
  <c r="AI435" i="8"/>
  <c r="AI437" i="11" s="1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4" i="11" s="1"/>
  <c r="F433" i="8"/>
  <c r="F435" i="11" s="1"/>
  <c r="F434" i="8"/>
  <c r="F436" i="11" s="1"/>
  <c r="F435" i="8"/>
  <c r="F437" i="11" s="1"/>
  <c r="F436" i="8"/>
  <c r="F437" i="8"/>
  <c r="F438" i="8"/>
  <c r="F439" i="8"/>
  <c r="F440" i="8"/>
  <c r="F441" i="8"/>
  <c r="F442" i="8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4" i="10" s="1"/>
  <c r="E433" i="8"/>
  <c r="E435" i="11" s="1"/>
  <c r="E434" i="8"/>
  <c r="E436" i="11" s="1"/>
  <c r="E435" i="8"/>
  <c r="E437" i="11" s="1"/>
  <c r="E436" i="8"/>
  <c r="E437" i="8"/>
  <c r="E438" i="8"/>
  <c r="E439" i="8"/>
  <c r="E440" i="8"/>
  <c r="E441" i="8"/>
  <c r="E442" i="8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4" i="10" s="1"/>
  <c r="D433" i="8"/>
  <c r="D435" i="11" s="1"/>
  <c r="D434" i="8"/>
  <c r="D436" i="11" s="1"/>
  <c r="D435" i="8"/>
  <c r="D437" i="11" s="1"/>
  <c r="D436" i="8"/>
  <c r="D437" i="8"/>
  <c r="D438" i="8"/>
  <c r="D439" i="8"/>
  <c r="D440" i="8"/>
  <c r="D441" i="8"/>
  <c r="D442" i="8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4" i="10" s="1"/>
  <c r="C433" i="8"/>
  <c r="C435" i="10" s="1"/>
  <c r="C434" i="8"/>
  <c r="C436" i="11" s="1"/>
  <c r="C435" i="8"/>
  <c r="C437" i="11" s="1"/>
  <c r="C436" i="8"/>
  <c r="C437" i="8"/>
  <c r="C438" i="8"/>
  <c r="C439" i="8"/>
  <c r="C440" i="8"/>
  <c r="C441" i="8"/>
  <c r="C442" i="8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4" i="11" s="1"/>
  <c r="B433" i="8"/>
  <c r="B435" i="10" s="1"/>
  <c r="B434" i="8"/>
  <c r="B436" i="11" s="1"/>
  <c r="B435" i="8"/>
  <c r="B437" i="11" s="1"/>
  <c r="B436" i="8"/>
  <c r="B437" i="8"/>
  <c r="B438" i="8"/>
  <c r="B439" i="8"/>
  <c r="B440" i="8"/>
  <c r="B441" i="8"/>
  <c r="B442" i="8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4" i="11" s="1"/>
  <c r="A433" i="8"/>
  <c r="A435" i="10" s="1"/>
  <c r="A434" i="8"/>
  <c r="A436" i="11" s="1"/>
  <c r="A435" i="8"/>
  <c r="A437" i="11" s="1"/>
  <c r="A436" i="8"/>
  <c r="A437" i="8"/>
  <c r="A438" i="8"/>
  <c r="A439" i="8"/>
  <c r="A440" i="8"/>
  <c r="A441" i="8"/>
  <c r="A442" i="8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D3" i="24"/>
  <c r="C4" i="24"/>
  <c r="D4" i="24" s="1"/>
  <c r="C10" i="24" l="1"/>
  <c r="E3" i="14"/>
  <c r="G3" i="14" s="1"/>
  <c r="E4" i="14"/>
  <c r="G4" i="14" s="1"/>
  <c r="T2" i="2"/>
  <c r="J148" i="2"/>
  <c r="P2" i="2"/>
  <c r="AJ2" i="2"/>
  <c r="AA2" i="2"/>
  <c r="O2" i="2"/>
  <c r="AI2" i="2"/>
  <c r="AI1" i="2" s="1"/>
  <c r="Z2" i="2"/>
  <c r="N2" i="2"/>
  <c r="AH2" i="2"/>
  <c r="Y2" i="2"/>
  <c r="K2" i="2"/>
  <c r="M2" i="2"/>
  <c r="X2" i="2"/>
  <c r="L2" i="2"/>
  <c r="L1" i="2" s="1"/>
  <c r="AN2" i="2"/>
  <c r="AF2" i="2"/>
  <c r="W2" i="2"/>
  <c r="S2" i="2"/>
  <c r="AM2" i="2"/>
  <c r="AE2" i="2"/>
  <c r="V2" i="2"/>
  <c r="R2" i="2"/>
  <c r="R1" i="2" s="1"/>
  <c r="AL2" i="2"/>
  <c r="AD2" i="2"/>
  <c r="U2" i="2"/>
  <c r="Q2" i="2"/>
  <c r="AK2" i="2"/>
  <c r="AB2" i="2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Q1" i="2"/>
  <c r="J409" i="2"/>
  <c r="J425" i="2"/>
  <c r="N1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AA1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O1" i="2"/>
  <c r="W1" i="2"/>
  <c r="AE1" i="2"/>
  <c r="AM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T1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Z1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AB1" i="2"/>
  <c r="J356" i="2"/>
  <c r="J363" i="2"/>
  <c r="J383" i="2"/>
  <c r="J399" i="2"/>
  <c r="AL1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K1" i="2"/>
  <c r="S1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X1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AF1" i="2"/>
  <c r="AN1" i="2"/>
  <c r="AH1" i="2"/>
  <c r="J30" i="2"/>
  <c r="J34" i="2"/>
  <c r="J114" i="2"/>
  <c r="J129" i="2"/>
  <c r="J163" i="2"/>
  <c r="J398" i="2"/>
  <c r="J401" i="2"/>
  <c r="P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M1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V1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AJ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AK1" i="2"/>
  <c r="J10" i="2"/>
  <c r="J17" i="2"/>
  <c r="J25" i="2"/>
  <c r="J32" i="2"/>
  <c r="J41" i="2"/>
  <c r="J48" i="2"/>
  <c r="J57" i="2"/>
  <c r="J64" i="2"/>
  <c r="J88" i="2"/>
  <c r="J106" i="2"/>
  <c r="J170" i="2"/>
  <c r="J185" i="2"/>
  <c r="AD1" i="2"/>
  <c r="J7" i="2"/>
  <c r="J263" i="2"/>
  <c r="J38" i="2"/>
  <c r="J54" i="2"/>
  <c r="J70" i="2"/>
  <c r="J74" i="2"/>
  <c r="J94" i="2"/>
  <c r="J200" i="2"/>
  <c r="J217" i="2"/>
  <c r="J241" i="2"/>
  <c r="Y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10" i="24" l="1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H2" i="21" l="1"/>
  <c r="G2" i="21"/>
  <c r="AA2" i="21"/>
  <c r="O2" i="21"/>
  <c r="AI2" i="21"/>
  <c r="AH2" i="21"/>
  <c r="AC2" i="21"/>
  <c r="U2" i="21"/>
  <c r="M2" i="21"/>
  <c r="S2" i="21"/>
  <c r="T2" i="21"/>
  <c r="L2" i="21"/>
  <c r="Z2" i="21"/>
  <c r="R2" i="21"/>
  <c r="J2" i="21"/>
  <c r="Y2" i="21"/>
  <c r="Q2" i="21"/>
  <c r="I2" i="21"/>
  <c r="K2" i="21"/>
  <c r="P2" i="21"/>
  <c r="W2" i="21"/>
  <c r="AD2" i="21"/>
  <c r="V2" i="21"/>
  <c r="N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3" i="9"/>
  <c r="O4" i="11"/>
  <c r="O4" i="10"/>
  <c r="O3" i="9"/>
  <c r="G4" i="11"/>
  <c r="G4" i="10"/>
  <c r="G2" i="10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3" i="9"/>
  <c r="N4" i="11"/>
  <c r="N4" i="10"/>
  <c r="N3" i="9"/>
  <c r="F4" i="11"/>
  <c r="F4" i="10"/>
  <c r="F2" i="10" s="1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H4" i="11"/>
  <c r="H3" i="9"/>
  <c r="H4" i="10"/>
  <c r="H2" i="10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AG2" i="21" l="1"/>
  <c r="AF2" i="21"/>
  <c r="AE2" i="21"/>
  <c r="AE2" i="10"/>
  <c r="AE2" i="11"/>
  <c r="AF2" i="11"/>
  <c r="AG2" i="11"/>
  <c r="AA2" i="10"/>
  <c r="AA2" i="11"/>
  <c r="AH2" i="11"/>
  <c r="P2" i="11"/>
  <c r="O2" i="11"/>
  <c r="K2" i="11"/>
  <c r="G2" i="11"/>
  <c r="L2" i="11"/>
  <c r="F2" i="11"/>
  <c r="M2" i="11"/>
  <c r="H2" i="11"/>
  <c r="N2" i="11"/>
  <c r="I2" i="11"/>
  <c r="J2" i="11"/>
  <c r="AI2" i="10"/>
  <c r="AH2" i="10"/>
  <c r="P1" i="9"/>
  <c r="Z1" i="9"/>
  <c r="I1" i="9"/>
  <c r="J2" i="10"/>
  <c r="AA1" i="9"/>
  <c r="U2" i="10"/>
  <c r="W2" i="10"/>
  <c r="AG1" i="9"/>
  <c r="P2" i="10"/>
  <c r="U1" i="9"/>
  <c r="V1" i="9"/>
  <c r="G1" i="9"/>
  <c r="R1" i="9"/>
  <c r="K1" i="9"/>
  <c r="Q2" i="10"/>
  <c r="D1" i="10"/>
  <c r="V2" i="10"/>
  <c r="Q1" i="9"/>
  <c r="R2" i="10"/>
  <c r="K2" i="10"/>
  <c r="L2" i="10"/>
  <c r="AC2" i="10"/>
  <c r="F1" i="9"/>
  <c r="L1" i="9"/>
  <c r="D1" i="11"/>
  <c r="AC1" i="9"/>
  <c r="C2" i="14"/>
  <c r="AD1" i="9"/>
  <c r="O1" i="9"/>
  <c r="Y2" i="10"/>
  <c r="S1" i="9"/>
  <c r="M2" i="10"/>
  <c r="AD2" i="10"/>
  <c r="O2" i="10"/>
  <c r="Y1" i="9"/>
  <c r="Z2" i="10"/>
  <c r="S2" i="10"/>
  <c r="T2" i="10"/>
  <c r="M1" i="9"/>
  <c r="N1" i="9"/>
  <c r="AE1" i="9"/>
  <c r="I2" i="10"/>
  <c r="J1" i="9"/>
  <c r="T1" i="9"/>
  <c r="N2" i="10"/>
  <c r="W1" i="9"/>
  <c r="AF1" i="9"/>
  <c r="D2" i="14"/>
  <c r="R2" i="11"/>
  <c r="V2" i="11"/>
  <c r="Q2" i="11"/>
  <c r="AC2" i="11"/>
  <c r="U2" i="11"/>
  <c r="X2" i="11"/>
  <c r="AD2" i="11"/>
  <c r="Y2" i="11"/>
  <c r="Z2" i="11"/>
  <c r="S2" i="11"/>
  <c r="T2" i="11"/>
  <c r="W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2" i="10"/>
  <c r="X385" i="10"/>
  <c r="X1" i="9"/>
  <c r="X384" i="9"/>
  <c r="X2" i="21"/>
  <c r="X385" i="21"/>
  <c r="AC2" i="2"/>
  <c r="AC3" i="2"/>
  <c r="AC1" i="2"/>
  <c r="X6" i="25"/>
  <c r="X5" i="25"/>
  <c r="I386" i="2"/>
  <c r="H386" i="2"/>
  <c r="J386" i="2"/>
  <c r="AC386" i="2"/>
  <c r="X383" i="8"/>
  <c r="X385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<sst xmlns="http://schemas.openxmlformats.org/spreadsheetml/2006/main" count="3201" uniqueCount="1294">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</sst>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44835</c:v>
                      </c:pt>
                      <c:pt idx="1">
                        <c:v>44836</c:v>
                      </c:pt>
                      <c:pt idx="2">
                        <c:v>44837</c:v>
                      </c:pt>
                      <c:pt idx="3">
                        <c:v>44838</c:v>
                      </c:pt>
                      <c:pt idx="4">
                        <c:v>44839</c:v>
                      </c:pt>
                      <c:pt idx="5">
                        <c:v>44840</c:v>
                      </c:pt>
                      <c:pt idx="6">
                        <c:v>44841</c:v>
                      </c:pt>
                      <c:pt idx="7">
                        <c:v>44842</c:v>
                      </c:pt>
                      <c:pt idx="8">
                        <c:v>44843</c:v>
                      </c:pt>
                      <c:pt idx="9">
                        <c:v>44844</c:v>
                      </c:pt>
                      <c:pt idx="10">
                        <c:v>44845</c:v>
                      </c:pt>
                      <c:pt idx="11">
                        <c:v>44846</c:v>
                      </c:pt>
                      <c:pt idx="12">
                        <c:v>44847</c:v>
                      </c:pt>
                      <c:pt idx="13">
                        <c:v>44848</c:v>
                      </c:pt>
                      <c:pt idx="14">
                        <c:v>44849</c:v>
                      </c:pt>
                      <c:pt idx="15">
                        <c:v>44850</c:v>
                      </c:pt>
                      <c:pt idx="16">
                        <c:v>44851</c:v>
                      </c:pt>
                      <c:pt idx="17">
                        <c:v>44852</c:v>
                      </c:pt>
                      <c:pt idx="18">
                        <c:v>44853</c:v>
                      </c:pt>
                      <c:pt idx="19">
                        <c:v>44854</c:v>
                      </c:pt>
                      <c:pt idx="20">
                        <c:v>44855</c:v>
                      </c:pt>
                      <c:pt idx="21">
                        <c:v>44856</c:v>
                      </c:pt>
                      <c:pt idx="22">
                        <c:v>44857</c:v>
                      </c:pt>
                      <c:pt idx="23">
                        <c:v>44858</c:v>
                      </c:pt>
                      <c:pt idx="24">
                        <c:v>44859</c:v>
                      </c:pt>
                      <c:pt idx="25">
                        <c:v>44860</c:v>
                      </c:pt>
                      <c:pt idx="26">
                        <c:v>44861</c:v>
                      </c:pt>
                      <c:pt idx="27">
                        <c:v>44862</c:v>
                      </c:pt>
                      <c:pt idx="28">
                        <c:v>44863</c:v>
                      </c:pt>
                      <c:pt idx="29">
                        <c:v>44864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K5" activePane="bottomRight" state="frozen"/>
      <selection pane="topRight" activeCell="M1" sqref="M1"/>
      <selection pane="bottomLeft" activeCell="A5" sqref="A5"/>
      <selection pane="bottomRight" activeCell="F1" sqref="F1:F1048576"/>
    </sheetView>
  </sheetViews>
  <sheetFormatPr baseColWidth="10" defaultColWidth="11.5546875" defaultRowHeight="14.4" x14ac:dyDescent="0.3"/>
  <cols>
    <col min="1" max="1" width="26.6640625" style="40" bestFit="1" customWidth="1"/>
    <col min="2" max="2" width="32.88671875" style="41" customWidth="1"/>
    <col min="3" max="3" width="16.33203125" style="41" customWidth="1"/>
    <col min="4" max="4" width="42.5546875" style="40" customWidth="1"/>
    <col min="5" max="5" width="15.6640625" style="140" customWidth="1"/>
    <col min="6" max="6" width="17.44140625" style="144" customWidth="1"/>
    <col min="7" max="7" width="13.6640625" style="17" customWidth="1"/>
    <col min="8" max="8" width="14.6640625" style="40" customWidth="1"/>
    <col min="9" max="9" width="6.6640625" style="40" customWidth="1"/>
    <col min="10" max="10" width="11.5546875" style="5" customWidth="1"/>
    <col min="11" max="13" width="12.44140625" style="16" bestFit="1" customWidth="1"/>
    <col min="14" max="19" width="8.6640625" style="16" customWidth="1"/>
    <col min="20" max="41" width="14.109375" style="16" bestFit="1" customWidth="1"/>
    <col min="42" max="16384" width="11.5546875" style="40"/>
  </cols>
  <sheetData>
    <row r="1" spans="1:41" s="5" customFormat="1" ht="27.75" customHeight="1" thickTop="1" x14ac:dyDescent="0.3">
      <c r="A1" s="1" t="s">
        <v>0</v>
      </c>
      <c r="B1" s="32">
        <f>COUNTA(B5:B530)</f>
        <v>430</v>
      </c>
      <c r="C1" s="48"/>
      <c r="D1" s="2" t="s">
        <v>1</v>
      </c>
      <c r="E1" s="137"/>
      <c r="F1" s="141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ca="1" si="0"/>
        <v>4.6838407494145199E-3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3"/>
      <c r="C2" s="126"/>
      <c r="D2" s="7" t="s">
        <v>5</v>
      </c>
      <c r="E2" s="138"/>
      <c r="F2" s="142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430</v>
      </c>
      <c r="O2" s="127">
        <f t="shared" si="1"/>
        <v>430</v>
      </c>
      <c r="P2" s="127">
        <f t="shared" si="1"/>
        <v>430</v>
      </c>
      <c r="Q2" s="127">
        <f t="shared" si="1"/>
        <v>430</v>
      </c>
      <c r="R2" s="127">
        <f t="shared" si="1"/>
        <v>430</v>
      </c>
      <c r="S2" s="127">
        <f t="shared" si="1"/>
        <v>430</v>
      </c>
      <c r="T2" s="127">
        <f t="shared" si="1"/>
        <v>430</v>
      </c>
      <c r="U2" s="127">
        <f t="shared" si="1"/>
        <v>430</v>
      </c>
      <c r="V2" s="127">
        <f t="shared" si="1"/>
        <v>430</v>
      </c>
      <c r="W2" s="127">
        <f t="shared" si="1"/>
        <v>430</v>
      </c>
      <c r="X2" s="127">
        <f t="shared" si="1"/>
        <v>430</v>
      </c>
      <c r="Y2" s="127">
        <f t="shared" si="1"/>
        <v>430</v>
      </c>
      <c r="Z2" s="127">
        <f t="shared" si="1"/>
        <v>430</v>
      </c>
      <c r="AA2" s="127">
        <f t="shared" si="1"/>
        <v>430</v>
      </c>
      <c r="AB2" s="127">
        <f t="shared" si="1"/>
        <v>430</v>
      </c>
      <c r="AC2" s="127">
        <f t="shared" ca="1" si="1"/>
        <v>430</v>
      </c>
      <c r="AD2" s="127">
        <f t="shared" si="1"/>
        <v>430</v>
      </c>
      <c r="AE2" s="127">
        <f t="shared" si="1"/>
        <v>430</v>
      </c>
      <c r="AF2" s="127">
        <f t="shared" si="1"/>
        <v>430</v>
      </c>
      <c r="AG2" s="127">
        <f t="shared" si="1"/>
        <v>430</v>
      </c>
      <c r="AH2" s="127">
        <f t="shared" si="1"/>
        <v>430</v>
      </c>
      <c r="AI2" s="127">
        <f t="shared" si="1"/>
        <v>430</v>
      </c>
      <c r="AJ2" s="127">
        <f t="shared" si="1"/>
        <v>430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" thickBot="1" x14ac:dyDescent="0.35">
      <c r="A3" s="10"/>
      <c r="B3" s="34"/>
      <c r="C3" s="126"/>
      <c r="D3" s="11" t="s">
        <v>6</v>
      </c>
      <c r="E3" s="139"/>
      <c r="F3" s="143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0</v>
      </c>
      <c r="O3" s="12">
        <f t="shared" si="2"/>
        <v>0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ca="1" si="2"/>
        <v>2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" thickBot="1" x14ac:dyDescent="0.35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thickBot="1" x14ac:dyDescent="0.35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thickTop="1" thickBot="1" x14ac:dyDescent="0.35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thickBot="1" x14ac:dyDescent="0.35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30</v>
      </c>
      <c r="I8" s="42">
        <f t="shared" si="3"/>
        <v>0</v>
      </c>
      <c r="J8" s="43">
        <f t="shared" si="4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thickBot="1" x14ac:dyDescent="0.35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thickBot="1" x14ac:dyDescent="0.35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thickBot="1" x14ac:dyDescent="0.35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thickBot="1" x14ac:dyDescent="0.35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thickBot="1" x14ac:dyDescent="0.35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thickBot="1" x14ac:dyDescent="0.35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K14" s="20"/>
      <c r="AL14" s="20"/>
      <c r="AM14" s="20"/>
      <c r="AN14" s="20"/>
      <c r="AO14" s="20"/>
    </row>
    <row r="15" spans="1:41" ht="15" thickBot="1" x14ac:dyDescent="0.35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30</v>
      </c>
      <c r="I15" s="42">
        <f t="shared" si="3"/>
        <v>0</v>
      </c>
      <c r="J15" s="43">
        <f t="shared" si="4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thickBot="1" x14ac:dyDescent="0.35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27</v>
      </c>
      <c r="I16" s="42">
        <f t="shared" si="3"/>
        <v>3</v>
      </c>
      <c r="J16" s="43">
        <f t="shared" si="4"/>
        <v>0.9</v>
      </c>
      <c r="K16" s="20" t="s">
        <v>1274</v>
      </c>
      <c r="L16" s="20" t="s">
        <v>1274</v>
      </c>
      <c r="M16" s="20" t="s">
        <v>1274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" thickBot="1" x14ac:dyDescent="0.35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30</v>
      </c>
      <c r="I17" s="42">
        <f>COUNTIF(K17:AL17,"APAGADO")</f>
        <v>0</v>
      </c>
      <c r="J17" s="43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thickBot="1" x14ac:dyDescent="0.35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30</v>
      </c>
      <c r="I18" s="42">
        <f>COUNTIF(K18:AL18,"APAGADO")</f>
        <v>0</v>
      </c>
      <c r="J18" s="43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thickBot="1" x14ac:dyDescent="0.35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30</v>
      </c>
      <c r="I19" s="42">
        <f t="shared" ref="I19:I22" si="7">COUNTIF(K19:AL19,"APAGADO")</f>
        <v>0</v>
      </c>
      <c r="J19" s="43">
        <f t="shared" ref="J19:J22" si="8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thickBot="1" x14ac:dyDescent="0.35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30</v>
      </c>
      <c r="I20" s="42">
        <f t="shared" si="7"/>
        <v>0</v>
      </c>
      <c r="J20" s="43">
        <f t="shared" si="8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thickBot="1" x14ac:dyDescent="0.35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30</v>
      </c>
      <c r="I21" s="42">
        <f t="shared" si="7"/>
        <v>0</v>
      </c>
      <c r="J21" s="43">
        <f t="shared" si="8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thickBot="1" x14ac:dyDescent="0.35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30</v>
      </c>
      <c r="I22" s="42">
        <f t="shared" si="7"/>
        <v>0</v>
      </c>
      <c r="J22" s="43">
        <f t="shared" si="8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thickBot="1" x14ac:dyDescent="0.35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thickBot="1" x14ac:dyDescent="0.35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thickBot="1" x14ac:dyDescent="0.35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thickBot="1" x14ac:dyDescent="0.35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thickBot="1" x14ac:dyDescent="0.35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30</v>
      </c>
      <c r="I27" s="42">
        <f>COUNTIF(K27:AL27,"APAGADO")</f>
        <v>0</v>
      </c>
      <c r="J27" s="43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thickBot="1" x14ac:dyDescent="0.35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thickBot="1" x14ac:dyDescent="0.35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thickBot="1" x14ac:dyDescent="0.35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thickBot="1" x14ac:dyDescent="0.35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thickBot="1" x14ac:dyDescent="0.35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thickBot="1" x14ac:dyDescent="0.35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thickBot="1" x14ac:dyDescent="0.35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27</v>
      </c>
      <c r="I34" s="42">
        <f>COUNTIF(K34:AL34,"APAGADO")</f>
        <v>3</v>
      </c>
      <c r="J34" s="43">
        <f>(H34)/(I34+H34)</f>
        <v>0.9</v>
      </c>
      <c r="K34" s="20" t="s">
        <v>1274</v>
      </c>
      <c r="L34" s="20" t="s">
        <v>1274</v>
      </c>
      <c r="M34" s="20" t="s">
        <v>1274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thickBot="1" x14ac:dyDescent="0.35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30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thickBot="1" x14ac:dyDescent="0.35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thickBot="1" x14ac:dyDescent="0.35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29</v>
      </c>
      <c r="I37" s="42">
        <f t="shared" si="3"/>
        <v>1</v>
      </c>
      <c r="J37" s="43">
        <f t="shared" si="4"/>
        <v>0.96666666666666667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thickBot="1" x14ac:dyDescent="0.35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29</v>
      </c>
      <c r="I38" s="42">
        <f t="shared" si="3"/>
        <v>1</v>
      </c>
      <c r="J38" s="43">
        <f t="shared" si="4"/>
        <v>0.96666666666666667</v>
      </c>
      <c r="K38" s="20"/>
      <c r="L38" s="20"/>
      <c r="M38" s="20" t="s">
        <v>1274</v>
      </c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thickBot="1" x14ac:dyDescent="0.35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thickBot="1" x14ac:dyDescent="0.35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27</v>
      </c>
      <c r="I40" s="42">
        <f t="shared" si="3"/>
        <v>3</v>
      </c>
      <c r="J40" s="43">
        <f t="shared" si="4"/>
        <v>0.9</v>
      </c>
      <c r="K40" s="20" t="s">
        <v>1274</v>
      </c>
      <c r="L40" s="20" t="s">
        <v>1274</v>
      </c>
      <c r="M40" s="20" t="s">
        <v>1274</v>
      </c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" thickBot="1" x14ac:dyDescent="0.35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thickBot="1" x14ac:dyDescent="0.35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thickBot="1" x14ac:dyDescent="0.35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30</v>
      </c>
      <c r="I43" s="42">
        <f t="shared" si="3"/>
        <v>0</v>
      </c>
      <c r="J43" s="43">
        <f t="shared" si="4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thickBot="1" x14ac:dyDescent="0.35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thickBot="1" x14ac:dyDescent="0.35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thickBot="1" x14ac:dyDescent="0.35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thickBot="1" x14ac:dyDescent="0.35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30</v>
      </c>
      <c r="I47" s="42">
        <f t="shared" si="3"/>
        <v>0</v>
      </c>
      <c r="J47" s="43">
        <f t="shared" si="4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thickBot="1" x14ac:dyDescent="0.35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27</v>
      </c>
      <c r="I48" s="42">
        <f t="shared" si="3"/>
        <v>3</v>
      </c>
      <c r="J48" s="43">
        <f t="shared" si="4"/>
        <v>0.9</v>
      </c>
      <c r="K48" s="20" t="s">
        <v>1274</v>
      </c>
      <c r="L48" s="20" t="s">
        <v>1274</v>
      </c>
      <c r="M48" s="20" t="s">
        <v>1274</v>
      </c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" thickBot="1" x14ac:dyDescent="0.35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27</v>
      </c>
      <c r="I49" s="42">
        <f t="shared" si="3"/>
        <v>3</v>
      </c>
      <c r="J49" s="43">
        <f t="shared" si="4"/>
        <v>0.9</v>
      </c>
      <c r="K49" s="20" t="s">
        <v>1274</v>
      </c>
      <c r="L49" s="20" t="s">
        <v>1274</v>
      </c>
      <c r="M49" s="20" t="s">
        <v>1274</v>
      </c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thickBot="1" x14ac:dyDescent="0.35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thickBot="1" x14ac:dyDescent="0.35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27</v>
      </c>
      <c r="I51" s="42">
        <f t="shared" si="3"/>
        <v>3</v>
      </c>
      <c r="J51" s="43">
        <f t="shared" si="4"/>
        <v>0.9</v>
      </c>
      <c r="K51" s="20" t="s">
        <v>1274</v>
      </c>
      <c r="L51" s="20" t="s">
        <v>1274</v>
      </c>
      <c r="M51" s="20" t="s">
        <v>1274</v>
      </c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thickBot="1" x14ac:dyDescent="0.35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30</v>
      </c>
      <c r="I52" s="42">
        <f t="shared" si="3"/>
        <v>0</v>
      </c>
      <c r="J52" s="43">
        <f t="shared" si="4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thickBot="1" x14ac:dyDescent="0.35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thickBot="1" x14ac:dyDescent="0.35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27</v>
      </c>
      <c r="I54" s="42">
        <f t="shared" si="3"/>
        <v>3</v>
      </c>
      <c r="J54" s="43">
        <f t="shared" si="4"/>
        <v>0.9</v>
      </c>
      <c r="K54" s="20" t="s">
        <v>1274</v>
      </c>
      <c r="L54" s="20" t="s">
        <v>1274</v>
      </c>
      <c r="M54" s="20" t="s">
        <v>1274</v>
      </c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thickBot="1" x14ac:dyDescent="0.35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thickBot="1" x14ac:dyDescent="0.35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27</v>
      </c>
      <c r="I56" s="42">
        <f t="shared" si="3"/>
        <v>3</v>
      </c>
      <c r="J56" s="43">
        <f t="shared" si="4"/>
        <v>0.9</v>
      </c>
      <c r="K56" s="20" t="s">
        <v>1274</v>
      </c>
      <c r="L56" s="20" t="s">
        <v>1274</v>
      </c>
      <c r="M56" s="20" t="s">
        <v>1274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thickBot="1" x14ac:dyDescent="0.35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thickBot="1" x14ac:dyDescent="0.35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thickBot="1" x14ac:dyDescent="0.35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thickBot="1" x14ac:dyDescent="0.35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30</v>
      </c>
      <c r="I60" s="42">
        <f t="shared" si="3"/>
        <v>0</v>
      </c>
      <c r="J60" s="43">
        <f t="shared" si="4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thickBot="1" x14ac:dyDescent="0.35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thickBot="1" x14ac:dyDescent="0.35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thickBot="1" x14ac:dyDescent="0.35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thickBot="1" x14ac:dyDescent="0.35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thickBot="1" x14ac:dyDescent="0.35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" thickBot="1" x14ac:dyDescent="0.35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" thickBot="1" x14ac:dyDescent="0.35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thickBot="1" x14ac:dyDescent="0.35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thickBot="1" x14ac:dyDescent="0.35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28</v>
      </c>
      <c r="I69" s="42">
        <f t="shared" si="3"/>
        <v>2</v>
      </c>
      <c r="J69" s="43">
        <f t="shared" si="4"/>
        <v>0.93333333333333335</v>
      </c>
      <c r="K69" s="20" t="s">
        <v>1274</v>
      </c>
      <c r="L69" s="20" t="s">
        <v>1274</v>
      </c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" thickBot="1" x14ac:dyDescent="0.35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30</v>
      </c>
      <c r="I70" s="42">
        <f t="shared" si="3"/>
        <v>0</v>
      </c>
      <c r="J70" s="43">
        <f t="shared" si="4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thickBot="1" x14ac:dyDescent="0.35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thickBot="1" x14ac:dyDescent="0.35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30</v>
      </c>
      <c r="I72" s="42">
        <f>COUNTIF(K72:AL72,"APAGADO")</f>
        <v>0</v>
      </c>
      <c r="J72" s="43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" thickBot="1" x14ac:dyDescent="0.35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thickBot="1" x14ac:dyDescent="0.35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27</v>
      </c>
      <c r="I75" s="42">
        <f t="shared" si="3"/>
        <v>3</v>
      </c>
      <c r="J75" s="43">
        <f t="shared" si="4"/>
        <v>0.9</v>
      </c>
      <c r="K75" s="20" t="s">
        <v>1274</v>
      </c>
      <c r="L75" s="20" t="s">
        <v>1274</v>
      </c>
      <c r="M75" s="20" t="s">
        <v>1274</v>
      </c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" thickBot="1" x14ac:dyDescent="0.35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thickBot="1" x14ac:dyDescent="0.35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29</v>
      </c>
      <c r="I77" s="42">
        <f t="shared" ref="I77:I140" si="10">COUNTIF(K77:AL77,"APAGADO")</f>
        <v>1</v>
      </c>
      <c r="J77" s="43">
        <f t="shared" ref="J77:J140" si="11">(H77)/(I77+H77)</f>
        <v>0.96666666666666667</v>
      </c>
      <c r="K77" s="20" t="s">
        <v>1274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thickBot="1" x14ac:dyDescent="0.35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thickBot="1" x14ac:dyDescent="0.35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thickBot="1" x14ac:dyDescent="0.35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thickBot="1" x14ac:dyDescent="0.35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thickBot="1" x14ac:dyDescent="0.35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thickBot="1" x14ac:dyDescent="0.35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" thickBot="1" x14ac:dyDescent="0.35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thickBot="1" x14ac:dyDescent="0.35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30</v>
      </c>
      <c r="I85" s="42">
        <f t="shared" si="10"/>
        <v>0</v>
      </c>
      <c r="J85" s="43">
        <f t="shared" si="11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thickBot="1" x14ac:dyDescent="0.35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30</v>
      </c>
      <c r="I86" s="42">
        <f t="shared" si="10"/>
        <v>0</v>
      </c>
      <c r="J86" s="43">
        <f t="shared" si="11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thickBot="1" x14ac:dyDescent="0.35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28</v>
      </c>
      <c r="I87" s="42">
        <f>COUNTIF(K87:AL87,"APAGADO")</f>
        <v>2</v>
      </c>
      <c r="J87" s="43">
        <f>(H87)/(I87+H87)</f>
        <v>0.93333333333333335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" thickBot="1" x14ac:dyDescent="0.35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28</v>
      </c>
      <c r="I88" s="42">
        <f t="shared" si="10"/>
        <v>2</v>
      </c>
      <c r="J88" s="43">
        <f t="shared" si="11"/>
        <v>0.93333333333333335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" thickBot="1" x14ac:dyDescent="0.35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30</v>
      </c>
      <c r="I89" s="42">
        <f t="shared" si="10"/>
        <v>0</v>
      </c>
      <c r="J89" s="43">
        <f t="shared" si="11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thickBot="1" x14ac:dyDescent="0.35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thickBot="1" x14ac:dyDescent="0.35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thickBot="1" x14ac:dyDescent="0.35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thickBot="1" x14ac:dyDescent="0.35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thickBot="1" x14ac:dyDescent="0.35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27</v>
      </c>
      <c r="I94" s="42">
        <f>COUNTIF(K94:AL94,"APAGADO")</f>
        <v>3</v>
      </c>
      <c r="J94" s="43">
        <f>(H94)/(I94+H94)</f>
        <v>0.9</v>
      </c>
      <c r="K94" s="20" t="s">
        <v>1274</v>
      </c>
      <c r="L94" s="20" t="s">
        <v>1274</v>
      </c>
      <c r="M94" s="20" t="s">
        <v>1274</v>
      </c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5" customHeight="1" thickBot="1" x14ac:dyDescent="0.35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30</v>
      </c>
      <c r="I95" s="42">
        <f t="shared" si="10"/>
        <v>0</v>
      </c>
      <c r="J95" s="43">
        <f t="shared" si="11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thickBot="1" x14ac:dyDescent="0.35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thickBot="1" x14ac:dyDescent="0.35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thickBot="1" x14ac:dyDescent="0.35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27</v>
      </c>
      <c r="I98" s="42">
        <f>COUNTIF(K98:AL98,"APAGADO")</f>
        <v>3</v>
      </c>
      <c r="J98" s="43">
        <f>(H98)/(I98+H98)</f>
        <v>0.9</v>
      </c>
      <c r="K98" s="20" t="s">
        <v>1274</v>
      </c>
      <c r="L98" s="20" t="s">
        <v>1274</v>
      </c>
      <c r="M98" s="20" t="s">
        <v>1274</v>
      </c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thickBot="1" x14ac:dyDescent="0.35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thickBot="1" x14ac:dyDescent="0.35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thickBot="1" x14ac:dyDescent="0.35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27</v>
      </c>
      <c r="I101" s="42">
        <f t="shared" si="10"/>
        <v>3</v>
      </c>
      <c r="J101" s="43">
        <f t="shared" si="11"/>
        <v>0.9</v>
      </c>
      <c r="K101" s="20" t="s">
        <v>1274</v>
      </c>
      <c r="L101" s="20" t="s">
        <v>1274</v>
      </c>
      <c r="M101" s="20" t="s">
        <v>1274</v>
      </c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thickBot="1" x14ac:dyDescent="0.35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27</v>
      </c>
      <c r="I102" s="42">
        <f t="shared" si="10"/>
        <v>3</v>
      </c>
      <c r="J102" s="43">
        <f t="shared" si="11"/>
        <v>0.9</v>
      </c>
      <c r="K102" s="20" t="s">
        <v>1274</v>
      </c>
      <c r="L102" s="20" t="s">
        <v>1274</v>
      </c>
      <c r="M102" s="20" t="s">
        <v>1274</v>
      </c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thickBot="1" x14ac:dyDescent="0.35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30</v>
      </c>
      <c r="I103" s="42">
        <f t="shared" si="10"/>
        <v>0</v>
      </c>
      <c r="J103" s="43">
        <f t="shared" si="11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thickBot="1" x14ac:dyDescent="0.35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" thickBot="1" x14ac:dyDescent="0.35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" thickBot="1" x14ac:dyDescent="0.35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" thickBot="1" x14ac:dyDescent="0.35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30</v>
      </c>
      <c r="I108" s="42">
        <f t="shared" si="10"/>
        <v>0</v>
      </c>
      <c r="J108" s="43">
        <f t="shared" si="11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thickBot="1" x14ac:dyDescent="0.35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thickBot="1" x14ac:dyDescent="0.35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thickBot="1" x14ac:dyDescent="0.35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thickBot="1" x14ac:dyDescent="0.35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thickBot="1" x14ac:dyDescent="0.35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thickBot="1" x14ac:dyDescent="0.35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30</v>
      </c>
      <c r="I114" s="42">
        <f t="shared" si="10"/>
        <v>0</v>
      </c>
      <c r="J114" s="43">
        <f t="shared" si="11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thickBot="1" x14ac:dyDescent="0.35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30</v>
      </c>
      <c r="I115" s="42">
        <f t="shared" si="10"/>
        <v>0</v>
      </c>
      <c r="J115" s="43">
        <f t="shared" si="11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thickBot="1" x14ac:dyDescent="0.35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thickBot="1" x14ac:dyDescent="0.35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2" customHeight="1" thickBot="1" x14ac:dyDescent="0.35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30</v>
      </c>
      <c r="I118" s="42">
        <f t="shared" si="10"/>
        <v>0</v>
      </c>
      <c r="J118" s="43">
        <f t="shared" si="11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thickBot="1" x14ac:dyDescent="0.35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30</v>
      </c>
      <c r="I119" s="42">
        <f t="shared" si="10"/>
        <v>0</v>
      </c>
      <c r="J119" s="43">
        <f t="shared" si="11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5" thickBot="1" x14ac:dyDescent="0.35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30</v>
      </c>
      <c r="I120" s="42">
        <f t="shared" si="10"/>
        <v>0</v>
      </c>
      <c r="J120" s="43">
        <f t="shared" si="11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thickBot="1" x14ac:dyDescent="0.35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30</v>
      </c>
      <c r="I121" s="42">
        <f t="shared" si="10"/>
        <v>0</v>
      </c>
      <c r="J121" s="43">
        <f t="shared" si="11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thickBot="1" x14ac:dyDescent="0.35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30</v>
      </c>
      <c r="I122" s="42">
        <f t="shared" si="10"/>
        <v>0</v>
      </c>
      <c r="J122" s="43">
        <f t="shared" si="11"/>
        <v>1</v>
      </c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thickBot="1" x14ac:dyDescent="0.35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thickBot="1" x14ac:dyDescent="0.35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30</v>
      </c>
      <c r="I124" s="42">
        <f t="shared" si="10"/>
        <v>0</v>
      </c>
      <c r="J124" s="43">
        <f t="shared" si="11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" thickBot="1" x14ac:dyDescent="0.35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28</v>
      </c>
      <c r="I125" s="42">
        <f t="shared" si="10"/>
        <v>2</v>
      </c>
      <c r="J125" s="43">
        <f t="shared" si="11"/>
        <v>0.93333333333333335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thickBot="1" x14ac:dyDescent="0.35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thickBot="1" x14ac:dyDescent="0.35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thickBot="1" x14ac:dyDescent="0.35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thickBot="1" x14ac:dyDescent="0.35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30</v>
      </c>
      <c r="I129" s="42">
        <f>COUNTIF(K129:AL129,"APAGADO")</f>
        <v>0</v>
      </c>
      <c r="J129" s="43">
        <f>(H129)/(I129+H129)</f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thickBot="1" x14ac:dyDescent="0.35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thickBot="1" x14ac:dyDescent="0.35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thickBot="1" x14ac:dyDescent="0.35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thickBot="1" x14ac:dyDescent="0.35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thickBot="1" x14ac:dyDescent="0.35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thickBot="1" x14ac:dyDescent="0.35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thickBot="1" x14ac:dyDescent="0.35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thickBot="1" x14ac:dyDescent="0.35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thickBot="1" x14ac:dyDescent="0.35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30</v>
      </c>
      <c r="I138" s="42">
        <f t="shared" si="10"/>
        <v>0</v>
      </c>
      <c r="J138" s="43">
        <f t="shared" si="11"/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thickBot="1" x14ac:dyDescent="0.35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30</v>
      </c>
      <c r="I139" s="42">
        <f t="shared" si="10"/>
        <v>0</v>
      </c>
      <c r="J139" s="43">
        <f t="shared" si="11"/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thickBot="1" x14ac:dyDescent="0.35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thickBot="1" x14ac:dyDescent="0.35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30</v>
      </c>
      <c r="I141" s="42">
        <f t="shared" ref="I141:I234" si="12">COUNTIF(K141:AL141,"APAGADO")</f>
        <v>0</v>
      </c>
      <c r="J141" s="43">
        <f t="shared" ref="J141:J234" si="13">(H141)/(I141+H141)</f>
        <v>1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thickBot="1" x14ac:dyDescent="0.35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thickBot="1" x14ac:dyDescent="0.35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thickBot="1" x14ac:dyDescent="0.35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thickBot="1" x14ac:dyDescent="0.35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thickBot="1" x14ac:dyDescent="0.35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thickBot="1" x14ac:dyDescent="0.35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thickBot="1" x14ac:dyDescent="0.35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thickBot="1" x14ac:dyDescent="0.35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thickBot="1" x14ac:dyDescent="0.35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thickBot="1" x14ac:dyDescent="0.35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thickBot="1" x14ac:dyDescent="0.35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30</v>
      </c>
      <c r="I152" s="42">
        <f t="shared" si="16"/>
        <v>0</v>
      </c>
      <c r="J152" s="43">
        <f t="shared" si="17"/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thickBot="1" x14ac:dyDescent="0.35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thickBot="1" x14ac:dyDescent="0.35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thickBot="1" x14ac:dyDescent="0.35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thickBot="1" x14ac:dyDescent="0.35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thickBot="1" x14ac:dyDescent="0.35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thickBot="1" x14ac:dyDescent="0.35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30</v>
      </c>
      <c r="I158" s="42">
        <f t="shared" si="12"/>
        <v>0</v>
      </c>
      <c r="J158" s="43">
        <f t="shared" si="13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thickBot="1" x14ac:dyDescent="0.35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30</v>
      </c>
      <c r="I159" s="42">
        <f t="shared" si="12"/>
        <v>0</v>
      </c>
      <c r="J159" s="43">
        <f t="shared" si="13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thickBot="1" x14ac:dyDescent="0.35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30</v>
      </c>
      <c r="I160" s="42">
        <f t="shared" si="12"/>
        <v>0</v>
      </c>
      <c r="J160" s="43">
        <f t="shared" si="13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thickBot="1" x14ac:dyDescent="0.35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thickBot="1" x14ac:dyDescent="0.35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thickBot="1" x14ac:dyDescent="0.35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thickBot="1" x14ac:dyDescent="0.35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thickBot="1" x14ac:dyDescent="0.35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27</v>
      </c>
      <c r="I165" s="42">
        <f t="shared" si="12"/>
        <v>3</v>
      </c>
      <c r="J165" s="43">
        <f t="shared" si="13"/>
        <v>0.9</v>
      </c>
      <c r="K165" s="20" t="s">
        <v>1274</v>
      </c>
      <c r="L165" s="20" t="s">
        <v>1274</v>
      </c>
      <c r="M165" s="20" t="s">
        <v>1274</v>
      </c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thickBot="1" x14ac:dyDescent="0.35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27</v>
      </c>
      <c r="I166" s="42">
        <f t="shared" si="12"/>
        <v>3</v>
      </c>
      <c r="J166" s="43">
        <f t="shared" si="13"/>
        <v>0.9</v>
      </c>
      <c r="K166" s="20" t="s">
        <v>1274</v>
      </c>
      <c r="L166" s="20" t="s">
        <v>1274</v>
      </c>
      <c r="M166" s="20" t="s">
        <v>1274</v>
      </c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thickBot="1" x14ac:dyDescent="0.35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thickBot="1" x14ac:dyDescent="0.35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thickBot="1" x14ac:dyDescent="0.35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thickBot="1" x14ac:dyDescent="0.35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thickBot="1" x14ac:dyDescent="0.35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thickBot="1" x14ac:dyDescent="0.35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thickBot="1" x14ac:dyDescent="0.35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thickBot="1" x14ac:dyDescent="0.35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thickBot="1" x14ac:dyDescent="0.35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27</v>
      </c>
      <c r="I175" s="42">
        <f t="shared" si="12"/>
        <v>3</v>
      </c>
      <c r="J175" s="43">
        <f t="shared" si="13"/>
        <v>0.9</v>
      </c>
      <c r="K175" s="20" t="s">
        <v>1274</v>
      </c>
      <c r="L175" s="20" t="s">
        <v>1274</v>
      </c>
      <c r="M175" s="20" t="s">
        <v>1274</v>
      </c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thickBot="1" x14ac:dyDescent="0.35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30</v>
      </c>
      <c r="I176" s="42">
        <f t="shared" si="12"/>
        <v>0</v>
      </c>
      <c r="J176" s="43">
        <f t="shared" si="13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thickBot="1" x14ac:dyDescent="0.35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27</v>
      </c>
      <c r="I177" s="42">
        <f t="shared" si="12"/>
        <v>3</v>
      </c>
      <c r="J177" s="43">
        <f t="shared" si="13"/>
        <v>0.9</v>
      </c>
      <c r="K177" s="20" t="s">
        <v>1274</v>
      </c>
      <c r="L177" s="20" t="s">
        <v>1274</v>
      </c>
      <c r="M177" s="20" t="s">
        <v>1274</v>
      </c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" thickBot="1" x14ac:dyDescent="0.35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30</v>
      </c>
      <c r="I178" s="42">
        <f t="shared" si="12"/>
        <v>0</v>
      </c>
      <c r="J178" s="43">
        <f t="shared" si="13"/>
        <v>1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" thickBot="1" x14ac:dyDescent="0.35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" thickBot="1" x14ac:dyDescent="0.35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thickBot="1" x14ac:dyDescent="0.35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thickBot="1" x14ac:dyDescent="0.35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27</v>
      </c>
      <c r="I182" s="42">
        <f t="shared" si="12"/>
        <v>3</v>
      </c>
      <c r="J182" s="43">
        <f t="shared" si="13"/>
        <v>0.9</v>
      </c>
      <c r="K182" s="20" t="s">
        <v>1274</v>
      </c>
      <c r="L182" s="20" t="s">
        <v>1274</v>
      </c>
      <c r="M182" s="20" t="s">
        <v>1274</v>
      </c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thickBot="1" x14ac:dyDescent="0.35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thickBot="1" x14ac:dyDescent="0.35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30</v>
      </c>
      <c r="I184" s="42">
        <f t="shared" si="12"/>
        <v>0</v>
      </c>
      <c r="J184" s="43">
        <f t="shared" si="13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" thickBot="1" x14ac:dyDescent="0.35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27</v>
      </c>
      <c r="I185" s="42">
        <f t="shared" si="12"/>
        <v>3</v>
      </c>
      <c r="J185" s="43">
        <f t="shared" si="13"/>
        <v>0.9</v>
      </c>
      <c r="K185" s="20" t="s">
        <v>1274</v>
      </c>
      <c r="L185" s="20" t="s">
        <v>1274</v>
      </c>
      <c r="M185" s="20" t="s">
        <v>1274</v>
      </c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thickBot="1" x14ac:dyDescent="0.35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" thickBot="1" x14ac:dyDescent="0.35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27</v>
      </c>
      <c r="I187" s="42">
        <f t="shared" si="12"/>
        <v>3</v>
      </c>
      <c r="J187" s="43">
        <f t="shared" si="13"/>
        <v>0.9</v>
      </c>
      <c r="K187" s="20" t="s">
        <v>1274</v>
      </c>
      <c r="L187" s="20" t="s">
        <v>1274</v>
      </c>
      <c r="M187" s="20" t="s">
        <v>1274</v>
      </c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thickBot="1" x14ac:dyDescent="0.35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30</v>
      </c>
      <c r="I188" s="42">
        <f t="shared" si="12"/>
        <v>0</v>
      </c>
      <c r="J188" s="43">
        <f t="shared" si="13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thickBot="1" x14ac:dyDescent="0.35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30</v>
      </c>
      <c r="I189" s="42">
        <f t="shared" si="12"/>
        <v>0</v>
      </c>
      <c r="J189" s="43">
        <f t="shared" si="13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" thickBot="1" x14ac:dyDescent="0.35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thickBot="1" x14ac:dyDescent="0.35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thickBot="1" x14ac:dyDescent="0.35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thickBot="1" x14ac:dyDescent="0.35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30</v>
      </c>
      <c r="I193" s="42">
        <f t="shared" si="12"/>
        <v>0</v>
      </c>
      <c r="J193" s="43">
        <f t="shared" si="13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thickBot="1" x14ac:dyDescent="0.35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30</v>
      </c>
      <c r="I194" s="42">
        <f t="shared" si="12"/>
        <v>0</v>
      </c>
      <c r="J194" s="43">
        <f t="shared" si="13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thickBot="1" x14ac:dyDescent="0.35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thickBot="1" x14ac:dyDescent="0.35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" thickBot="1" x14ac:dyDescent="0.35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30</v>
      </c>
      <c r="I197" s="42">
        <f t="shared" si="12"/>
        <v>0</v>
      </c>
      <c r="J197" s="43">
        <f t="shared" si="13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thickBot="1" x14ac:dyDescent="0.35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27</v>
      </c>
      <c r="I198" s="42">
        <f>COUNTIF(K198:AL198,"APAGADO")</f>
        <v>3</v>
      </c>
      <c r="J198" s="43">
        <f>(H198)/(I198+H198)</f>
        <v>0.9</v>
      </c>
      <c r="K198" s="20" t="s">
        <v>1274</v>
      </c>
      <c r="L198" s="20" t="s">
        <v>1274</v>
      </c>
      <c r="M198" s="20" t="s">
        <v>1274</v>
      </c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thickBot="1" x14ac:dyDescent="0.35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thickBot="1" x14ac:dyDescent="0.35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30</v>
      </c>
      <c r="I200" s="42">
        <f t="shared" si="12"/>
        <v>0</v>
      </c>
      <c r="J200" s="43">
        <f t="shared" si="13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" thickBot="1" x14ac:dyDescent="0.35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30</v>
      </c>
      <c r="I201" s="42">
        <f t="shared" si="12"/>
        <v>0</v>
      </c>
      <c r="J201" s="43">
        <f t="shared" si="13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thickBot="1" x14ac:dyDescent="0.35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30</v>
      </c>
      <c r="I202" s="42">
        <f t="shared" si="12"/>
        <v>0</v>
      </c>
      <c r="J202" s="43">
        <f t="shared" si="13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thickBot="1" x14ac:dyDescent="0.35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30</v>
      </c>
      <c r="I203" s="42">
        <f t="shared" si="12"/>
        <v>0</v>
      </c>
      <c r="J203" s="43">
        <f t="shared" si="13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thickBot="1" x14ac:dyDescent="0.35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30</v>
      </c>
      <c r="I204" s="42">
        <f t="shared" si="12"/>
        <v>0</v>
      </c>
      <c r="J204" s="43">
        <f t="shared" si="13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" thickBot="1" x14ac:dyDescent="0.35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30</v>
      </c>
      <c r="I205" s="42">
        <f t="shared" si="12"/>
        <v>0</v>
      </c>
      <c r="J205" s="43">
        <f t="shared" si="13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thickBot="1" x14ac:dyDescent="0.35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30</v>
      </c>
      <c r="I206" s="42">
        <f t="shared" si="12"/>
        <v>0</v>
      </c>
      <c r="J206" s="43">
        <f t="shared" si="13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" thickBot="1" x14ac:dyDescent="0.35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thickBot="1" x14ac:dyDescent="0.35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" thickBot="1" x14ac:dyDescent="0.35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30</v>
      </c>
      <c r="I209" s="42">
        <f t="shared" si="12"/>
        <v>0</v>
      </c>
      <c r="J209" s="43">
        <f t="shared" si="13"/>
        <v>1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thickBot="1" x14ac:dyDescent="0.35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" thickBot="1" x14ac:dyDescent="0.35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30</v>
      </c>
      <c r="I211" s="42">
        <f>COUNTIF(K211:AL211,"APAGADO")</f>
        <v>0</v>
      </c>
      <c r="J211" s="43">
        <f>(H211)/(I211+H211)</f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" thickBot="1" x14ac:dyDescent="0.35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30</v>
      </c>
      <c r="I212" s="42">
        <f t="shared" si="12"/>
        <v>0</v>
      </c>
      <c r="J212" s="43">
        <f t="shared" si="13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thickBot="1" x14ac:dyDescent="0.35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thickBot="1" x14ac:dyDescent="0.35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" thickBot="1" x14ac:dyDescent="0.35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thickBot="1" x14ac:dyDescent="0.35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30</v>
      </c>
      <c r="I216" s="42">
        <f t="shared" si="12"/>
        <v>0</v>
      </c>
      <c r="J216" s="43">
        <f t="shared" si="13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thickBot="1" x14ac:dyDescent="0.35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30</v>
      </c>
      <c r="I217" s="42">
        <f t="shared" si="12"/>
        <v>0</v>
      </c>
      <c r="J217" s="43">
        <f t="shared" si="13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thickBot="1" x14ac:dyDescent="0.35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30</v>
      </c>
      <c r="I218" s="42">
        <f t="shared" si="12"/>
        <v>0</v>
      </c>
      <c r="J218" s="43">
        <f t="shared" si="13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thickBot="1" x14ac:dyDescent="0.35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30</v>
      </c>
      <c r="I219" s="42">
        <f t="shared" si="12"/>
        <v>0</v>
      </c>
      <c r="J219" s="43">
        <f t="shared" si="13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thickBot="1" x14ac:dyDescent="0.35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30</v>
      </c>
      <c r="I220" s="42">
        <f t="shared" si="12"/>
        <v>0</v>
      </c>
      <c r="J220" s="43">
        <f t="shared" si="13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" thickBot="1" x14ac:dyDescent="0.35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30</v>
      </c>
      <c r="I221" s="42">
        <f t="shared" si="12"/>
        <v>0</v>
      </c>
      <c r="J221" s="43">
        <f t="shared" si="13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" thickBot="1" x14ac:dyDescent="0.35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30</v>
      </c>
      <c r="I222" s="42">
        <f t="shared" si="12"/>
        <v>0</v>
      </c>
      <c r="J222" s="43">
        <f t="shared" si="13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thickBot="1" x14ac:dyDescent="0.35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30</v>
      </c>
      <c r="I223" s="42">
        <f t="shared" si="12"/>
        <v>0</v>
      </c>
      <c r="J223" s="43">
        <f t="shared" si="13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thickBot="1" x14ac:dyDescent="0.35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30</v>
      </c>
      <c r="I224" s="42">
        <f t="shared" si="12"/>
        <v>0</v>
      </c>
      <c r="J224" s="43">
        <f t="shared" si="13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thickBot="1" x14ac:dyDescent="0.35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30</v>
      </c>
      <c r="I225" s="42">
        <f t="shared" si="12"/>
        <v>0</v>
      </c>
      <c r="J225" s="43">
        <f t="shared" si="13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thickBot="1" x14ac:dyDescent="0.35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thickBot="1" x14ac:dyDescent="0.35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thickBot="1" x14ac:dyDescent="0.35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thickBot="1" x14ac:dyDescent="0.35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27</v>
      </c>
      <c r="I229" s="42">
        <f t="shared" si="12"/>
        <v>3</v>
      </c>
      <c r="J229" s="43">
        <f t="shared" si="13"/>
        <v>0.9</v>
      </c>
      <c r="K229" s="20" t="s">
        <v>1274</v>
      </c>
      <c r="L229" s="20" t="s">
        <v>1274</v>
      </c>
      <c r="M229" s="20" t="s">
        <v>1274</v>
      </c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thickBot="1" x14ac:dyDescent="0.35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" thickBot="1" x14ac:dyDescent="0.35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30</v>
      </c>
      <c r="I232" s="42">
        <f t="shared" si="12"/>
        <v>0</v>
      </c>
      <c r="J232" s="43">
        <f t="shared" si="13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thickBot="1" x14ac:dyDescent="0.35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30</v>
      </c>
      <c r="I233" s="42">
        <f t="shared" si="12"/>
        <v>0</v>
      </c>
      <c r="J233" s="43">
        <f t="shared" si="13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thickBot="1" x14ac:dyDescent="0.35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thickBot="1" x14ac:dyDescent="0.35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thickBot="1" x14ac:dyDescent="0.35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27</v>
      </c>
      <c r="I236" s="42">
        <f t="shared" si="19"/>
        <v>3</v>
      </c>
      <c r="J236" s="43">
        <f t="shared" si="20"/>
        <v>0.9</v>
      </c>
      <c r="K236" s="20" t="s">
        <v>1274</v>
      </c>
      <c r="L236" s="20" t="s">
        <v>1274</v>
      </c>
      <c r="M236" s="20" t="s">
        <v>1274</v>
      </c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thickBot="1" x14ac:dyDescent="0.35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30</v>
      </c>
      <c r="I237" s="42">
        <f t="shared" si="19"/>
        <v>0</v>
      </c>
      <c r="J237" s="43">
        <f t="shared" si="20"/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thickBot="1" x14ac:dyDescent="0.35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30</v>
      </c>
      <c r="I238" s="42">
        <f t="shared" si="19"/>
        <v>0</v>
      </c>
      <c r="J238" s="43">
        <f t="shared" si="20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" thickBot="1" x14ac:dyDescent="0.35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thickBot="1" x14ac:dyDescent="0.35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thickBot="1" x14ac:dyDescent="0.35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30</v>
      </c>
      <c r="I241" s="42">
        <f t="shared" si="19"/>
        <v>0</v>
      </c>
      <c r="J241" s="43">
        <f t="shared" si="20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thickBot="1" x14ac:dyDescent="0.35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thickBot="1" x14ac:dyDescent="0.35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30</v>
      </c>
      <c r="I243" s="42">
        <f t="shared" si="19"/>
        <v>0</v>
      </c>
      <c r="J243" s="43">
        <f t="shared" si="20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" thickBot="1" x14ac:dyDescent="0.35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thickBot="1" x14ac:dyDescent="0.35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30</v>
      </c>
      <c r="I245" s="42">
        <f t="shared" si="19"/>
        <v>0</v>
      </c>
      <c r="J245" s="43">
        <f t="shared" si="20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thickBot="1" x14ac:dyDescent="0.35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thickBot="1" x14ac:dyDescent="0.35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thickBot="1" x14ac:dyDescent="0.35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30</v>
      </c>
      <c r="I248" s="42">
        <f t="shared" si="19"/>
        <v>0</v>
      </c>
      <c r="J248" s="43">
        <f t="shared" si="20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thickBot="1" x14ac:dyDescent="0.35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30</v>
      </c>
      <c r="I249" s="42">
        <f t="shared" si="19"/>
        <v>0</v>
      </c>
      <c r="J249" s="43">
        <f t="shared" si="20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thickBot="1" x14ac:dyDescent="0.35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30</v>
      </c>
      <c r="I250" s="42">
        <f t="shared" si="19"/>
        <v>0</v>
      </c>
      <c r="J250" s="43">
        <f t="shared" si="20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thickBot="1" x14ac:dyDescent="0.35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30</v>
      </c>
      <c r="I251" s="42">
        <f t="shared" si="19"/>
        <v>0</v>
      </c>
      <c r="J251" s="43">
        <f t="shared" si="20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thickBot="1" x14ac:dyDescent="0.35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thickBot="1" x14ac:dyDescent="0.35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thickBot="1" x14ac:dyDescent="0.35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30</v>
      </c>
      <c r="I254" s="42">
        <f>COUNTIF(K254:AL254,"APAGADO")</f>
        <v>0</v>
      </c>
      <c r="J254" s="43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thickBot="1" x14ac:dyDescent="0.35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30</v>
      </c>
      <c r="I255" s="42">
        <f>COUNTIF(K255:AL255,"APAGADO")</f>
        <v>0</v>
      </c>
      <c r="J255" s="43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thickBot="1" x14ac:dyDescent="0.35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27</v>
      </c>
      <c r="I256" s="42">
        <f t="shared" si="19"/>
        <v>3</v>
      </c>
      <c r="J256" s="43">
        <f t="shared" si="20"/>
        <v>0.9</v>
      </c>
      <c r="K256" s="20" t="s">
        <v>1274</v>
      </c>
      <c r="L256" s="20" t="s">
        <v>1274</v>
      </c>
      <c r="M256" s="20" t="s">
        <v>1274</v>
      </c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thickBot="1" x14ac:dyDescent="0.35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thickBot="1" x14ac:dyDescent="0.35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thickBot="1" x14ac:dyDescent="0.35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thickBot="1" x14ac:dyDescent="0.35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thickBot="1" x14ac:dyDescent="0.35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thickBot="1" x14ac:dyDescent="0.35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thickBot="1" x14ac:dyDescent="0.35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thickBot="1" x14ac:dyDescent="0.35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thickBot="1" x14ac:dyDescent="0.35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thickBot="1" x14ac:dyDescent="0.35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thickBot="1" x14ac:dyDescent="0.35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30</v>
      </c>
      <c r="I267" s="42">
        <f t="shared" si="19"/>
        <v>0</v>
      </c>
      <c r="J267" s="43">
        <f t="shared" si="20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thickBot="1" x14ac:dyDescent="0.35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30</v>
      </c>
      <c r="I268" s="42">
        <f t="shared" si="19"/>
        <v>0</v>
      </c>
      <c r="J268" s="43">
        <f t="shared" si="20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thickBot="1" x14ac:dyDescent="0.35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" thickBot="1" x14ac:dyDescent="0.35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" thickBot="1" x14ac:dyDescent="0.35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thickBot="1" x14ac:dyDescent="0.35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thickBot="1" x14ac:dyDescent="0.35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thickBot="1" x14ac:dyDescent="0.35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thickBot="1" x14ac:dyDescent="0.35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30</v>
      </c>
      <c r="I275" s="42">
        <f t="shared" si="19"/>
        <v>0</v>
      </c>
      <c r="J275" s="43">
        <f t="shared" si="20"/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thickBot="1" x14ac:dyDescent="0.35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thickBot="1" x14ac:dyDescent="0.35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30</v>
      </c>
      <c r="I277" s="42">
        <f t="shared" si="19"/>
        <v>0</v>
      </c>
      <c r="J277" s="43">
        <f t="shared" si="20"/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thickBot="1" x14ac:dyDescent="0.35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30</v>
      </c>
      <c r="I278" s="42">
        <f t="shared" si="19"/>
        <v>0</v>
      </c>
      <c r="J278" s="43">
        <f t="shared" si="20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thickBot="1" x14ac:dyDescent="0.35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30</v>
      </c>
      <c r="I279" s="42">
        <f>COUNTIF(K279:AL279,"APAGADO")</f>
        <v>0</v>
      </c>
      <c r="J279" s="43">
        <f>(H279)/(I279+H279)</f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thickBot="1" x14ac:dyDescent="0.35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thickBot="1" x14ac:dyDescent="0.35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thickBot="1" x14ac:dyDescent="0.35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thickBot="1" x14ac:dyDescent="0.35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30</v>
      </c>
      <c r="I283" s="42">
        <f>COUNTIF(K283:AL283,"APAGADO")</f>
        <v>0</v>
      </c>
      <c r="J283" s="43">
        <f>(H283)/(I283+H283)</f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thickBot="1" x14ac:dyDescent="0.35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thickBot="1" x14ac:dyDescent="0.35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30</v>
      </c>
      <c r="I285" s="42">
        <f>COUNTIF(K285:AL285,"APAGADO")</f>
        <v>0</v>
      </c>
      <c r="J285" s="43">
        <f>(H285)/(I285+H285)</f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" thickBot="1" x14ac:dyDescent="0.35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thickBot="1" x14ac:dyDescent="0.35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thickBot="1" x14ac:dyDescent="0.35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30</v>
      </c>
      <c r="I288" s="42">
        <f t="shared" si="19"/>
        <v>0</v>
      </c>
      <c r="J288" s="43">
        <f t="shared" si="20"/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thickBot="1" x14ac:dyDescent="0.35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30</v>
      </c>
      <c r="I289" s="42">
        <f t="shared" si="19"/>
        <v>0</v>
      </c>
      <c r="J289" s="43">
        <f t="shared" si="20"/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thickBot="1" x14ac:dyDescent="0.35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thickBot="1" x14ac:dyDescent="0.35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thickBot="1" x14ac:dyDescent="0.35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thickBot="1" x14ac:dyDescent="0.35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thickBot="1" x14ac:dyDescent="0.35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30</v>
      </c>
      <c r="I294" s="42">
        <f>COUNTIF(K294:AL294,"APAGADO")</f>
        <v>0</v>
      </c>
      <c r="J294" s="43">
        <f>(H294)/(I294+H294)</f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thickBot="1" x14ac:dyDescent="0.35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thickBot="1" x14ac:dyDescent="0.35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30</v>
      </c>
      <c r="I296" s="42">
        <f>COUNTIF(K296:AL296,"APAGADO")</f>
        <v>0</v>
      </c>
      <c r="J296" s="43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thickBot="1" x14ac:dyDescent="0.35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30</v>
      </c>
      <c r="I297" s="42">
        <f t="shared" si="19"/>
        <v>0</v>
      </c>
      <c r="J297" s="43">
        <f t="shared" si="20"/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thickBot="1" x14ac:dyDescent="0.35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30</v>
      </c>
      <c r="I298" s="42">
        <f t="shared" si="19"/>
        <v>0</v>
      </c>
      <c r="J298" s="43">
        <f t="shared" si="20"/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thickBot="1" x14ac:dyDescent="0.35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thickBot="1" x14ac:dyDescent="0.35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thickBot="1" x14ac:dyDescent="0.35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thickBot="1" x14ac:dyDescent="0.35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30</v>
      </c>
      <c r="I302" s="42">
        <f t="shared" si="22"/>
        <v>0</v>
      </c>
      <c r="J302" s="43">
        <f t="shared" si="23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thickBot="1" x14ac:dyDescent="0.35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thickBot="1" x14ac:dyDescent="0.35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" thickBot="1" x14ac:dyDescent="0.35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thickBot="1" x14ac:dyDescent="0.35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thickBot="1" x14ac:dyDescent="0.35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30</v>
      </c>
      <c r="I307" s="42">
        <f t="shared" si="22"/>
        <v>0</v>
      </c>
      <c r="J307" s="43">
        <f t="shared" si="23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thickBot="1" x14ac:dyDescent="0.35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thickBot="1" x14ac:dyDescent="0.35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thickBot="1" x14ac:dyDescent="0.35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thickBot="1" x14ac:dyDescent="0.35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thickBot="1" x14ac:dyDescent="0.35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30</v>
      </c>
      <c r="I312" s="42">
        <f t="shared" si="22"/>
        <v>0</v>
      </c>
      <c r="J312" s="43">
        <f t="shared" si="23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thickBot="1" x14ac:dyDescent="0.35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thickBot="1" x14ac:dyDescent="0.35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thickBot="1" x14ac:dyDescent="0.35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30</v>
      </c>
      <c r="I315" s="42">
        <f t="shared" si="22"/>
        <v>0</v>
      </c>
      <c r="J315" s="43">
        <f t="shared" si="23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thickBot="1" x14ac:dyDescent="0.35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30</v>
      </c>
      <c r="I316" s="42">
        <f t="shared" si="22"/>
        <v>0</v>
      </c>
      <c r="J316" s="43">
        <f t="shared" si="23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thickBot="1" x14ac:dyDescent="0.35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thickBot="1" x14ac:dyDescent="0.35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95" customHeight="1" thickBot="1" x14ac:dyDescent="0.35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thickBot="1" x14ac:dyDescent="0.35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" thickBot="1" x14ac:dyDescent="0.35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30</v>
      </c>
      <c r="I321" s="42">
        <f t="shared" si="22"/>
        <v>0</v>
      </c>
      <c r="J321" s="43">
        <f t="shared" si="23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thickBot="1" x14ac:dyDescent="0.35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30</v>
      </c>
      <c r="I322" s="42">
        <f t="shared" si="22"/>
        <v>0</v>
      </c>
      <c r="J322" s="43">
        <f t="shared" si="23"/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thickBot="1" x14ac:dyDescent="0.35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30</v>
      </c>
      <c r="I323" s="42">
        <f t="shared" si="22"/>
        <v>0</v>
      </c>
      <c r="J323" s="43">
        <f t="shared" si="23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thickBot="1" x14ac:dyDescent="0.35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thickBot="1" x14ac:dyDescent="0.35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30</v>
      </c>
      <c r="I325" s="42">
        <f t="shared" si="22"/>
        <v>0</v>
      </c>
      <c r="J325" s="43">
        <f t="shared" si="23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thickBot="1" x14ac:dyDescent="0.35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" thickBot="1" x14ac:dyDescent="0.35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" thickBot="1" x14ac:dyDescent="0.35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30</v>
      </c>
      <c r="I328" s="42">
        <f t="shared" si="22"/>
        <v>0</v>
      </c>
      <c r="J328" s="43">
        <f t="shared" si="23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thickBot="1" x14ac:dyDescent="0.35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thickBot="1" x14ac:dyDescent="0.35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thickBot="1" x14ac:dyDescent="0.35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30</v>
      </c>
      <c r="I331" s="42">
        <f t="shared" si="22"/>
        <v>0</v>
      </c>
      <c r="J331" s="43">
        <f t="shared" si="23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" thickBot="1" x14ac:dyDescent="0.35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30</v>
      </c>
      <c r="I332" s="42">
        <f t="shared" si="22"/>
        <v>0</v>
      </c>
      <c r="J332" s="43">
        <f t="shared" si="23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thickBot="1" x14ac:dyDescent="0.35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30</v>
      </c>
      <c r="I333" s="42">
        <f t="shared" si="22"/>
        <v>0</v>
      </c>
      <c r="J333" s="43">
        <f t="shared" si="23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thickBot="1" x14ac:dyDescent="0.35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thickBot="1" x14ac:dyDescent="0.35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30</v>
      </c>
      <c r="I335" s="42">
        <f t="shared" si="22"/>
        <v>0</v>
      </c>
      <c r="J335" s="43">
        <f t="shared" si="23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thickBot="1" x14ac:dyDescent="0.35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30</v>
      </c>
      <c r="I336" s="42">
        <f t="shared" si="22"/>
        <v>0</v>
      </c>
      <c r="J336" s="43">
        <f t="shared" si="23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thickBot="1" x14ac:dyDescent="0.35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30</v>
      </c>
      <c r="I337" s="42">
        <f t="shared" si="22"/>
        <v>0</v>
      </c>
      <c r="J337" s="43">
        <f t="shared" si="23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thickBot="1" x14ac:dyDescent="0.35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thickBot="1" x14ac:dyDescent="0.35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thickBot="1" x14ac:dyDescent="0.35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thickBot="1" x14ac:dyDescent="0.35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thickBot="1" x14ac:dyDescent="0.35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thickBot="1" x14ac:dyDescent="0.35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thickBot="1" x14ac:dyDescent="0.35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thickBot="1" x14ac:dyDescent="0.35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30</v>
      </c>
      <c r="I345" s="42">
        <f t="shared" si="22"/>
        <v>0</v>
      </c>
      <c r="J345" s="43">
        <f t="shared" si="23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thickBot="1" x14ac:dyDescent="0.35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" thickBot="1" x14ac:dyDescent="0.35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30</v>
      </c>
      <c r="I347" s="42">
        <f t="shared" si="22"/>
        <v>0</v>
      </c>
      <c r="J347" s="43">
        <f t="shared" si="23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thickBot="1" x14ac:dyDescent="0.35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30</v>
      </c>
      <c r="I348" s="42">
        <f t="shared" si="22"/>
        <v>0</v>
      </c>
      <c r="J348" s="43">
        <f t="shared" si="23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thickBot="1" x14ac:dyDescent="0.35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30</v>
      </c>
      <c r="I349" s="42">
        <f t="shared" si="22"/>
        <v>0</v>
      </c>
      <c r="J349" s="43">
        <f t="shared" si="23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thickBot="1" x14ac:dyDescent="0.35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30</v>
      </c>
      <c r="I350" s="42">
        <f t="shared" si="22"/>
        <v>0</v>
      </c>
      <c r="J350" s="43">
        <f t="shared" si="23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thickBot="1" x14ac:dyDescent="0.35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30</v>
      </c>
      <c r="I351" s="42">
        <f t="shared" si="22"/>
        <v>0</v>
      </c>
      <c r="J351" s="43">
        <f t="shared" si="23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thickBot="1" x14ac:dyDescent="0.35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30</v>
      </c>
      <c r="I352" s="42">
        <f t="shared" si="22"/>
        <v>0</v>
      </c>
      <c r="J352" s="43">
        <f t="shared" si="23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thickBot="1" x14ac:dyDescent="0.35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30</v>
      </c>
      <c r="I353" s="42">
        <f t="shared" si="22"/>
        <v>0</v>
      </c>
      <c r="J353" s="43">
        <f t="shared" si="23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thickBot="1" x14ac:dyDescent="0.35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30</v>
      </c>
      <c r="I354" s="42">
        <f t="shared" si="22"/>
        <v>0</v>
      </c>
      <c r="J354" s="43">
        <f t="shared" si="23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thickBot="1" x14ac:dyDescent="0.35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30</v>
      </c>
      <c r="I355" s="42">
        <f t="shared" si="22"/>
        <v>0</v>
      </c>
      <c r="J355" s="43">
        <f t="shared" si="23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thickBot="1" x14ac:dyDescent="0.35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30</v>
      </c>
      <c r="I356" s="42">
        <f t="shared" si="22"/>
        <v>0</v>
      </c>
      <c r="J356" s="43">
        <f t="shared" si="23"/>
        <v>1</v>
      </c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thickBot="1" x14ac:dyDescent="0.35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thickBot="1" x14ac:dyDescent="0.35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30</v>
      </c>
      <c r="I358" s="42">
        <f t="shared" si="22"/>
        <v>0</v>
      </c>
      <c r="J358" s="43">
        <f t="shared" si="23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thickBot="1" x14ac:dyDescent="0.35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thickBot="1" x14ac:dyDescent="0.35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27</v>
      </c>
      <c r="I360" s="42">
        <f t="shared" si="22"/>
        <v>3</v>
      </c>
      <c r="J360" s="43">
        <f t="shared" si="23"/>
        <v>0.9</v>
      </c>
      <c r="K360" s="20" t="s">
        <v>1274</v>
      </c>
      <c r="L360" s="20" t="s">
        <v>1274</v>
      </c>
      <c r="M360" s="20" t="s">
        <v>1274</v>
      </c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thickBot="1" x14ac:dyDescent="0.35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thickBot="1" x14ac:dyDescent="0.35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thickBot="1" x14ac:dyDescent="0.35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thickBot="1" x14ac:dyDescent="0.35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thickBot="1" x14ac:dyDescent="0.35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thickBot="1" x14ac:dyDescent="0.35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thickBot="1" x14ac:dyDescent="0.35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30</v>
      </c>
      <c r="I367" s="42">
        <f t="shared" ref="I367" si="26">COUNTIF(K367:AL367,"APAGADO")</f>
        <v>0</v>
      </c>
      <c r="J367" s="43">
        <f t="shared" ref="J367" si="27"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thickBot="1" x14ac:dyDescent="0.35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thickBot="1" x14ac:dyDescent="0.35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30</v>
      </c>
      <c r="I369" s="42">
        <f t="shared" si="22"/>
        <v>0</v>
      </c>
      <c r="J369" s="43">
        <f t="shared" si="23"/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thickBot="1" x14ac:dyDescent="0.35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thickBot="1" x14ac:dyDescent="0.35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30</v>
      </c>
      <c r="I371" s="42">
        <f t="shared" si="22"/>
        <v>0</v>
      </c>
      <c r="J371" s="43">
        <f t="shared" si="23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thickBot="1" x14ac:dyDescent="0.35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30</v>
      </c>
      <c r="I372" s="42">
        <f t="shared" si="22"/>
        <v>0</v>
      </c>
      <c r="J372" s="43">
        <f t="shared" si="23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thickBot="1" x14ac:dyDescent="0.35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30</v>
      </c>
      <c r="I373" s="42">
        <f t="shared" si="22"/>
        <v>0</v>
      </c>
      <c r="J373" s="43">
        <f t="shared" si="23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thickBot="1" x14ac:dyDescent="0.35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28</v>
      </c>
      <c r="I374" s="42">
        <f t="shared" si="22"/>
        <v>2</v>
      </c>
      <c r="J374" s="43">
        <f t="shared" si="23"/>
        <v>0.93333333333333335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thickBot="1" x14ac:dyDescent="0.35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thickBot="1" x14ac:dyDescent="0.35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30</v>
      </c>
      <c r="I376" s="42">
        <f t="shared" si="28"/>
        <v>0</v>
      </c>
      <c r="J376" s="43">
        <f t="shared" si="29"/>
        <v>1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" thickBot="1" x14ac:dyDescent="0.35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thickBot="1" x14ac:dyDescent="0.35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30</v>
      </c>
      <c r="I378" s="42">
        <f t="shared" si="28"/>
        <v>0</v>
      </c>
      <c r="J378" s="43">
        <f t="shared" si="29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thickBot="1" x14ac:dyDescent="0.35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27</v>
      </c>
      <c r="I379" s="42">
        <f t="shared" si="28"/>
        <v>3</v>
      </c>
      <c r="J379" s="43">
        <f t="shared" si="29"/>
        <v>0.9</v>
      </c>
      <c r="K379" s="20" t="s">
        <v>1274</v>
      </c>
      <c r="L379" s="20" t="s">
        <v>1274</v>
      </c>
      <c r="M379" s="20" t="s">
        <v>1274</v>
      </c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thickBot="1" x14ac:dyDescent="0.35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30</v>
      </c>
      <c r="I380" s="42">
        <f t="shared" si="28"/>
        <v>0</v>
      </c>
      <c r="J380" s="43">
        <f t="shared" si="29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thickBot="1" x14ac:dyDescent="0.35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30</v>
      </c>
      <c r="I381" s="42">
        <f>COUNTIF(K381:AL381,"APAGADO")</f>
        <v>0</v>
      </c>
      <c r="J381" s="43">
        <f>(H381)/(I381+H381)</f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thickBot="1" x14ac:dyDescent="0.35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30</v>
      </c>
      <c r="I382" s="42">
        <f>COUNTIF(K382:AL382,"APAGADO")</f>
        <v>0</v>
      </c>
      <c r="J382" s="43">
        <f>(H382)/(I382+H382)</f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thickBot="1" x14ac:dyDescent="0.35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30</v>
      </c>
      <c r="I383" s="42">
        <f>COUNTIF(K383:AL383,"APAGADO")</f>
        <v>0</v>
      </c>
      <c r="J383" s="43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thickBot="1" x14ac:dyDescent="0.35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thickBot="1" x14ac:dyDescent="0.35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thickBot="1" x14ac:dyDescent="0.35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ca="1" si="24"/>
        <v>30</v>
      </c>
      <c r="I386" s="42">
        <f t="shared" ca="1" si="28"/>
        <v>0</v>
      </c>
      <c r="J386" s="43">
        <f t="shared" ca="1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>
        <f ca="1">AC386</f>
        <v>0</v>
      </c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thickBot="1" x14ac:dyDescent="0.35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30</v>
      </c>
      <c r="I387" s="42">
        <f>COUNTIF(K387:AL387,"APAGADO")</f>
        <v>0</v>
      </c>
      <c r="J387" s="43">
        <f>(H387)/(I387+H387)</f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thickBot="1" x14ac:dyDescent="0.35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thickBot="1" x14ac:dyDescent="0.35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thickBot="1" x14ac:dyDescent="0.35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28</v>
      </c>
      <c r="I390" s="42">
        <f t="shared" si="28"/>
        <v>2</v>
      </c>
      <c r="J390" s="43">
        <f t="shared" si="29"/>
        <v>0.93333333333333335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thickBot="1" x14ac:dyDescent="0.35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28</v>
      </c>
      <c r="I391" s="42">
        <f t="shared" si="28"/>
        <v>2</v>
      </c>
      <c r="J391" s="43">
        <f t="shared" si="29"/>
        <v>0.93333333333333335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thickBot="1" x14ac:dyDescent="0.35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" thickBot="1" x14ac:dyDescent="0.35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" thickBot="1" x14ac:dyDescent="0.35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30</v>
      </c>
      <c r="I394" s="42">
        <f t="shared" si="28"/>
        <v>0</v>
      </c>
      <c r="J394" s="43">
        <f t="shared" si="29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thickBot="1" x14ac:dyDescent="0.35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30</v>
      </c>
      <c r="I395" s="42">
        <f t="shared" si="28"/>
        <v>0</v>
      </c>
      <c r="J395" s="43">
        <f t="shared" si="29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thickBot="1" x14ac:dyDescent="0.35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thickBot="1" x14ac:dyDescent="0.35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thickBot="1" x14ac:dyDescent="0.35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30</v>
      </c>
      <c r="I398" s="42">
        <f t="shared" si="28"/>
        <v>0</v>
      </c>
      <c r="J398" s="43">
        <f t="shared" si="29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thickBot="1" x14ac:dyDescent="0.35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30</v>
      </c>
      <c r="I399" s="42">
        <f t="shared" si="28"/>
        <v>0</v>
      </c>
      <c r="J399" s="43">
        <f t="shared" si="29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thickBot="1" x14ac:dyDescent="0.35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30</v>
      </c>
      <c r="I400" s="42">
        <f>COUNTIF(K400:AL400,"APAGADO")</f>
        <v>0</v>
      </c>
      <c r="J400" s="43">
        <f>(H400)/(I400+H400)</f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thickBot="1" x14ac:dyDescent="0.35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thickBot="1" x14ac:dyDescent="0.35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thickBot="1" x14ac:dyDescent="0.35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thickBot="1" x14ac:dyDescent="0.35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thickBot="1" x14ac:dyDescent="0.35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30</v>
      </c>
      <c r="I405" s="42">
        <f t="shared" si="28"/>
        <v>0</v>
      </c>
      <c r="J405" s="43">
        <f t="shared" si="29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thickBot="1" x14ac:dyDescent="0.35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thickBot="1" x14ac:dyDescent="0.35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27</v>
      </c>
      <c r="I407" s="42">
        <f t="shared" si="28"/>
        <v>3</v>
      </c>
      <c r="J407" s="43">
        <f t="shared" si="29"/>
        <v>0.9</v>
      </c>
      <c r="K407" s="20" t="s">
        <v>1274</v>
      </c>
      <c r="L407" s="20" t="s">
        <v>1274</v>
      </c>
      <c r="M407" s="20" t="s">
        <v>1274</v>
      </c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thickBot="1" x14ac:dyDescent="0.35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27</v>
      </c>
      <c r="I408" s="42">
        <f t="shared" si="28"/>
        <v>3</v>
      </c>
      <c r="J408" s="43">
        <f t="shared" si="29"/>
        <v>0.9</v>
      </c>
      <c r="K408" s="20" t="s">
        <v>1274</v>
      </c>
      <c r="L408" s="20" t="s">
        <v>1274</v>
      </c>
      <c r="M408" s="20" t="s">
        <v>1274</v>
      </c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thickBot="1" x14ac:dyDescent="0.35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30</v>
      </c>
      <c r="I409" s="42">
        <f t="shared" si="28"/>
        <v>0</v>
      </c>
      <c r="J409" s="43">
        <f t="shared" si="29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thickBot="1" x14ac:dyDescent="0.35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30</v>
      </c>
      <c r="I410" s="42">
        <f t="shared" si="28"/>
        <v>0</v>
      </c>
      <c r="J410" s="43">
        <f t="shared" si="29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thickBot="1" x14ac:dyDescent="0.35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thickBot="1" x14ac:dyDescent="0.35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30</v>
      </c>
      <c r="I412" s="42">
        <f t="shared" si="28"/>
        <v>0</v>
      </c>
      <c r="J412" s="43">
        <f t="shared" si="29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thickBot="1" x14ac:dyDescent="0.35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thickBot="1" x14ac:dyDescent="0.35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thickBot="1" x14ac:dyDescent="0.35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thickBot="1" x14ac:dyDescent="0.35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thickBot="1" x14ac:dyDescent="0.35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thickBot="1" x14ac:dyDescent="0.35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thickBot="1" x14ac:dyDescent="0.35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thickBot="1" x14ac:dyDescent="0.35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27</v>
      </c>
      <c r="I420" s="42">
        <f t="shared" si="28"/>
        <v>3</v>
      </c>
      <c r="J420" s="43">
        <f t="shared" si="29"/>
        <v>0.9</v>
      </c>
      <c r="K420" s="20" t="s">
        <v>1274</v>
      </c>
      <c r="L420" s="20" t="s">
        <v>1274</v>
      </c>
      <c r="M420" s="20" t="s">
        <v>1274</v>
      </c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thickBot="1" x14ac:dyDescent="0.35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thickBot="1" x14ac:dyDescent="0.35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thickBot="1" x14ac:dyDescent="0.35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thickBot="1" x14ac:dyDescent="0.35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thickBot="1" x14ac:dyDescent="0.35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thickBot="1" x14ac:dyDescent="0.35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thickBot="1" x14ac:dyDescent="0.35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thickBot="1" x14ac:dyDescent="0.35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30</v>
      </c>
      <c r="I428" s="42">
        <f t="shared" si="28"/>
        <v>0</v>
      </c>
      <c r="J428" s="43">
        <f t="shared" si="29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thickBot="1" x14ac:dyDescent="0.35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30</v>
      </c>
      <c r="I429" s="42">
        <f t="shared" si="28"/>
        <v>0</v>
      </c>
      <c r="J429" s="43">
        <f t="shared" si="29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thickBot="1" x14ac:dyDescent="0.35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30</v>
      </c>
      <c r="I430" s="42">
        <f t="shared" si="28"/>
        <v>0</v>
      </c>
      <c r="J430" s="43">
        <f t="shared" si="29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thickBot="1" x14ac:dyDescent="0.35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30</v>
      </c>
      <c r="I431" s="42">
        <f t="shared" si="28"/>
        <v>0</v>
      </c>
      <c r="J431" s="43">
        <f t="shared" si="29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thickBot="1" x14ac:dyDescent="0.35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30</v>
      </c>
      <c r="I432" s="42">
        <f t="shared" si="28"/>
        <v>0</v>
      </c>
      <c r="J432" s="43">
        <f t="shared" si="29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thickBot="1" x14ac:dyDescent="0.35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thickBot="1" x14ac:dyDescent="0.35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3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3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3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3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3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3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3">
      <c r="E676" s="41"/>
      <c r="F676" s="41"/>
      <c r="G676" s="21"/>
      <c r="J676" s="15"/>
    </row>
    <row r="677" spans="5:41" x14ac:dyDescent="0.3">
      <c r="E677" s="41"/>
      <c r="F677" s="41"/>
      <c r="G677" s="21"/>
      <c r="J677" s="15"/>
    </row>
    <row r="678" spans="5:41" x14ac:dyDescent="0.3">
      <c r="E678" s="41"/>
      <c r="F678" s="41"/>
      <c r="G678" s="21"/>
      <c r="J678" s="15"/>
    </row>
    <row r="679" spans="5:41" x14ac:dyDescent="0.3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3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3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3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>
        <f>'RESUMEN TOTAL'!N8</f>
        <v>0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3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3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3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3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3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3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3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>
        <f>'RESUMEN TOTAL'!S15</f>
        <v>0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3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>
        <f>'RESUMEN TOTAL'!O16</f>
        <v>0</v>
      </c>
      <c r="K13" s="23">
        <f>'RESUMEN TOTAL'!P16</f>
        <v>0</v>
      </c>
      <c r="L13" s="23">
        <f>'RESUMEN TOTAL'!Q16</f>
        <v>0</v>
      </c>
      <c r="M13" s="23">
        <f>'RESUMEN TOTAL'!R16</f>
        <v>0</v>
      </c>
      <c r="N13" s="23">
        <f>'RESUMEN TOTAL'!S16</f>
        <v>0</v>
      </c>
      <c r="O13" s="23">
        <f>'RESUMEN TOTAL'!T16</f>
        <v>0</v>
      </c>
      <c r="P13" s="23">
        <f>'RESUMEN TOTAL'!U16</f>
        <v>0</v>
      </c>
      <c r="Q13" s="23">
        <f>'RESUMEN TOTAL'!V16</f>
        <v>0</v>
      </c>
      <c r="R13" s="23">
        <f>'RESUMEN TOTAL'!W16</f>
        <v>0</v>
      </c>
      <c r="S13" s="23">
        <f>'RESUMEN TOTAL'!X16</f>
        <v>0</v>
      </c>
      <c r="T13" s="23">
        <f>'RESUMEN TOTAL'!Y16</f>
        <v>0</v>
      </c>
      <c r="U13" s="23">
        <f>'RESUMEN TOTAL'!Z16</f>
        <v>0</v>
      </c>
      <c r="V13" s="23">
        <f>'RESUMEN TOTAL'!AA16</f>
        <v>0</v>
      </c>
      <c r="W13" s="23">
        <f>'RESUMEN TOTAL'!AB16</f>
        <v>0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3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>
        <f>'RESUMEN TOTAL'!T17</f>
        <v>0</v>
      </c>
      <c r="P14" s="23">
        <f>'RESUMEN TOTAL'!U17</f>
        <v>0</v>
      </c>
      <c r="Q14" s="23">
        <f>'RESUMEN TOTAL'!V17</f>
        <v>0</v>
      </c>
      <c r="R14" s="23">
        <f>'RESUMEN TOTAL'!W17</f>
        <v>0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3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>
        <f>'RESUMEN TOTAL'!T18</f>
        <v>0</v>
      </c>
      <c r="P15" s="23">
        <f>'RESUMEN TOTAL'!U18</f>
        <v>0</v>
      </c>
      <c r="Q15" s="23">
        <f>'RESUMEN TOTAL'!V18</f>
        <v>0</v>
      </c>
      <c r="R15" s="23">
        <f>'RESUMEN TOTAL'!W18</f>
        <v>0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3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>
        <f>'RESUMEN TOTAL'!U19</f>
        <v>0</v>
      </c>
      <c r="Q16" s="23">
        <f>'RESUMEN TOTAL'!V19</f>
        <v>0</v>
      </c>
      <c r="R16" s="23">
        <f>'RESUMEN TOTAL'!W19</f>
        <v>0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>
        <f>'RESUMEN TOTAL'!AA19</f>
        <v>0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3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>
        <f>'RESUMEN TOTAL'!AA20</f>
        <v>0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3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3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3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3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3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3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3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3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3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3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3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3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3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3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3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>
        <f>'RESUMEN TOTAL'!N34</f>
        <v>0</v>
      </c>
      <c r="J32" s="23">
        <f>'RESUMEN TOTAL'!O34</f>
        <v>0</v>
      </c>
      <c r="K32" s="23">
        <f>'RESUMEN TOTAL'!P34</f>
        <v>0</v>
      </c>
      <c r="L32" s="23">
        <f>'RESUMEN TOTAL'!Q34</f>
        <v>0</v>
      </c>
      <c r="M32" s="23">
        <f>'RESUMEN TOTAL'!R34</f>
        <v>0</v>
      </c>
      <c r="N32" s="23">
        <f>'RESUMEN TOTAL'!S34</f>
        <v>0</v>
      </c>
      <c r="O32" s="23">
        <f>'RESUMEN TOTAL'!T34</f>
        <v>0</v>
      </c>
      <c r="P32" s="23">
        <f>'RESUMEN TOTAL'!U34</f>
        <v>0</v>
      </c>
      <c r="Q32" s="23">
        <f>'RESUMEN TOTAL'!V34</f>
        <v>0</v>
      </c>
      <c r="R32" s="23">
        <f>'RESUMEN TOTAL'!W34</f>
        <v>0</v>
      </c>
      <c r="S32" s="23">
        <f>'RESUMEN TOTAL'!X34</f>
        <v>0</v>
      </c>
      <c r="T32" s="23">
        <f>'RESUMEN TOTAL'!Y34</f>
        <v>0</v>
      </c>
      <c r="U32" s="23">
        <f>'RESUMEN TOTAL'!Z34</f>
        <v>0</v>
      </c>
      <c r="V32" s="23">
        <f>'RESUMEN TOTAL'!AA34</f>
        <v>0</v>
      </c>
      <c r="W32" s="23">
        <f>'RESUMEN TOTAL'!AB34</f>
        <v>0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3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3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3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>
        <f>'RESUMEN TOTAL'!Z37</f>
        <v>0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3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>
        <f>'RESUMEN TOTAL'!N38</f>
        <v>0</v>
      </c>
      <c r="J36" s="23">
        <f>'RESUMEN TOTAL'!O38</f>
        <v>0</v>
      </c>
      <c r="K36" s="23">
        <f>'RESUMEN TOTAL'!P38</f>
        <v>0</v>
      </c>
      <c r="L36" s="23">
        <f>'RESUMEN TOTAL'!Q38</f>
        <v>0</v>
      </c>
      <c r="M36" s="23">
        <f>'RESUMEN TOTAL'!R38</f>
        <v>0</v>
      </c>
      <c r="N36" s="23">
        <f>'RESUMEN TOTAL'!S38</f>
        <v>0</v>
      </c>
      <c r="O36" s="23">
        <f>'RESUMEN TOTAL'!T38</f>
        <v>0</v>
      </c>
      <c r="P36" s="23">
        <f>'RESUMEN TOTAL'!U38</f>
        <v>0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3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3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>
        <f>'RESUMEN TOTAL'!N40</f>
        <v>0</v>
      </c>
      <c r="J38" s="23">
        <f>'RESUMEN TOTAL'!O40</f>
        <v>0</v>
      </c>
      <c r="K38" s="23">
        <f>'RESUMEN TOTAL'!P40</f>
        <v>0</v>
      </c>
      <c r="L38" s="23">
        <f>'RESUMEN TOTAL'!Q40</f>
        <v>0</v>
      </c>
      <c r="M38" s="23">
        <f>'RESUMEN TOTAL'!R40</f>
        <v>0</v>
      </c>
      <c r="N38" s="23">
        <f>'RESUMEN TOTAL'!S40</f>
        <v>0</v>
      </c>
      <c r="O38" s="23">
        <f>'RESUMEN TOTAL'!T40</f>
        <v>0</v>
      </c>
      <c r="P38" s="23">
        <f>'RESUMEN TOTAL'!U40</f>
        <v>0</v>
      </c>
      <c r="Q38" s="23">
        <f>'RESUMEN TOTAL'!V40</f>
        <v>0</v>
      </c>
      <c r="R38" s="23">
        <f>'RESUMEN TOTAL'!W40</f>
        <v>0</v>
      </c>
      <c r="S38" s="23">
        <f>'RESUMEN TOTAL'!X40</f>
        <v>0</v>
      </c>
      <c r="T38" s="23">
        <f>'RESUMEN TOTAL'!Y40</f>
        <v>0</v>
      </c>
      <c r="U38" s="23">
        <f>'RESUMEN TOTAL'!Z40</f>
        <v>0</v>
      </c>
      <c r="V38" s="23">
        <f>'RESUMEN TOTAL'!AA40</f>
        <v>0</v>
      </c>
      <c r="W38" s="23">
        <f>'RESUMEN TOTAL'!AB40</f>
        <v>0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3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3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3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>
        <f>'RESUMEN TOTAL'!T43</f>
        <v>0</v>
      </c>
      <c r="P41" s="23">
        <f>'RESUMEN TOTAL'!U43</f>
        <v>0</v>
      </c>
      <c r="Q41" s="23">
        <f>'RESUMEN TOTAL'!V43</f>
        <v>0</v>
      </c>
      <c r="R41" s="23">
        <f>'RESUMEN TOTAL'!W43</f>
        <v>0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3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3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3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3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>
        <f>'RESUMEN TOTAL'!T47</f>
        <v>0</v>
      </c>
      <c r="P45" s="23">
        <f>'RESUMEN TOTAL'!U47</f>
        <v>0</v>
      </c>
      <c r="Q45" s="23">
        <f>'RESUMEN TOTAL'!V47</f>
        <v>0</v>
      </c>
      <c r="R45" s="23">
        <f>'RESUMEN TOTAL'!W47</f>
        <v>0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3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>
        <f>'RESUMEN TOTAL'!N48</f>
        <v>0</v>
      </c>
      <c r="J46" s="23">
        <f>'RESUMEN TOTAL'!O48</f>
        <v>0</v>
      </c>
      <c r="K46" s="23">
        <f>'RESUMEN TOTAL'!P48</f>
        <v>0</v>
      </c>
      <c r="L46" s="23">
        <f>'RESUMEN TOTAL'!Q48</f>
        <v>0</v>
      </c>
      <c r="M46" s="23">
        <f>'RESUMEN TOTAL'!R48</f>
        <v>0</v>
      </c>
      <c r="N46" s="23">
        <f>'RESUMEN TOTAL'!S48</f>
        <v>0</v>
      </c>
      <c r="O46" s="23">
        <f>'RESUMEN TOTAL'!T48</f>
        <v>0</v>
      </c>
      <c r="P46" s="23">
        <f>'RESUMEN TOTAL'!U48</f>
        <v>0</v>
      </c>
      <c r="Q46" s="23">
        <f>'RESUMEN TOTAL'!V48</f>
        <v>0</v>
      </c>
      <c r="R46" s="23">
        <f>'RESUMEN TOTAL'!W48</f>
        <v>0</v>
      </c>
      <c r="S46" s="23">
        <f>'RESUMEN TOTAL'!X48</f>
        <v>0</v>
      </c>
      <c r="T46" s="23">
        <f>'RESUMEN TOTAL'!Y48</f>
        <v>0</v>
      </c>
      <c r="U46" s="23">
        <f>'RESUMEN TOTAL'!Z48</f>
        <v>0</v>
      </c>
      <c r="V46" s="23">
        <f>'RESUMEN TOTAL'!AA48</f>
        <v>0</v>
      </c>
      <c r="W46" s="23">
        <f>'RESUMEN TOTAL'!AB48</f>
        <v>0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3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>
        <f>'RESUMEN TOTAL'!N49</f>
        <v>0</v>
      </c>
      <c r="J47" s="23">
        <f>'RESUMEN TOTAL'!O49</f>
        <v>0</v>
      </c>
      <c r="K47" s="23">
        <f>'RESUMEN TOTAL'!P49</f>
        <v>0</v>
      </c>
      <c r="L47" s="23">
        <f>'RESUMEN TOTAL'!Q49</f>
        <v>0</v>
      </c>
      <c r="M47" s="23">
        <f>'RESUMEN TOTAL'!R49</f>
        <v>0</v>
      </c>
      <c r="N47" s="23">
        <f>'RESUMEN TOTAL'!S49</f>
        <v>0</v>
      </c>
      <c r="O47" s="23">
        <f>'RESUMEN TOTAL'!T49</f>
        <v>0</v>
      </c>
      <c r="P47" s="23">
        <f>'RESUMEN TOTAL'!U49</f>
        <v>0</v>
      </c>
      <c r="Q47" s="23">
        <f>'RESUMEN TOTAL'!V49</f>
        <v>0</v>
      </c>
      <c r="R47" s="23">
        <f>'RESUMEN TOTAL'!W49</f>
        <v>0</v>
      </c>
      <c r="S47" s="23">
        <f>'RESUMEN TOTAL'!X49</f>
        <v>0</v>
      </c>
      <c r="T47" s="23">
        <f>'RESUMEN TOTAL'!Y49</f>
        <v>0</v>
      </c>
      <c r="U47" s="23">
        <f>'RESUMEN TOTAL'!Z49</f>
        <v>0</v>
      </c>
      <c r="V47" s="23">
        <f>'RESUMEN TOTAL'!AA49</f>
        <v>0</v>
      </c>
      <c r="W47" s="23">
        <f>'RESUMEN TOTAL'!AB49</f>
        <v>0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3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3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>
        <f>'RESUMEN TOTAL'!N51</f>
        <v>0</v>
      </c>
      <c r="J49" s="23">
        <f>'RESUMEN TOTAL'!O51</f>
        <v>0</v>
      </c>
      <c r="K49" s="23">
        <f>'RESUMEN TOTAL'!P51</f>
        <v>0</v>
      </c>
      <c r="L49" s="23">
        <f>'RESUMEN TOTAL'!Q51</f>
        <v>0</v>
      </c>
      <c r="M49" s="23">
        <f>'RESUMEN TOTAL'!R51</f>
        <v>0</v>
      </c>
      <c r="N49" s="23">
        <f>'RESUMEN TOTAL'!S51</f>
        <v>0</v>
      </c>
      <c r="O49" s="23">
        <f>'RESUMEN TOTAL'!T51</f>
        <v>0</v>
      </c>
      <c r="P49" s="23">
        <f>'RESUMEN TOTAL'!U51</f>
        <v>0</v>
      </c>
      <c r="Q49" s="23">
        <f>'RESUMEN TOTAL'!V51</f>
        <v>0</v>
      </c>
      <c r="R49" s="23">
        <f>'RESUMEN TOTAL'!W51</f>
        <v>0</v>
      </c>
      <c r="S49" s="23">
        <f>'RESUMEN TOTAL'!X51</f>
        <v>0</v>
      </c>
      <c r="T49" s="23">
        <f>'RESUMEN TOTAL'!Y51</f>
        <v>0</v>
      </c>
      <c r="U49" s="23">
        <f>'RESUMEN TOTAL'!Z51</f>
        <v>0</v>
      </c>
      <c r="V49" s="23">
        <f>'RESUMEN TOTAL'!AA51</f>
        <v>0</v>
      </c>
      <c r="W49" s="23">
        <f>'RESUMEN TOTAL'!AB51</f>
        <v>0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3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>
        <f>'RESUMEN TOTAL'!T52</f>
        <v>0</v>
      </c>
      <c r="P50" s="23">
        <f>'RESUMEN TOTAL'!U52</f>
        <v>0</v>
      </c>
      <c r="Q50" s="23">
        <f>'RESUMEN TOTAL'!V52</f>
        <v>0</v>
      </c>
      <c r="R50" s="23">
        <f>'RESUMEN TOTAL'!W52</f>
        <v>0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3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3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>
        <f>'RESUMEN TOTAL'!N54</f>
        <v>0</v>
      </c>
      <c r="J52" s="23">
        <f>'RESUMEN TOTAL'!O54</f>
        <v>0</v>
      </c>
      <c r="K52" s="23">
        <f>'RESUMEN TOTAL'!P54</f>
        <v>0</v>
      </c>
      <c r="L52" s="23">
        <f>'RESUMEN TOTAL'!Q54</f>
        <v>0</v>
      </c>
      <c r="M52" s="23">
        <f>'RESUMEN TOTAL'!R54</f>
        <v>0</v>
      </c>
      <c r="N52" s="23">
        <f>'RESUMEN TOTAL'!S54</f>
        <v>0</v>
      </c>
      <c r="O52" s="23">
        <f>'RESUMEN TOTAL'!T54</f>
        <v>0</v>
      </c>
      <c r="P52" s="23">
        <f>'RESUMEN TOTAL'!U54</f>
        <v>0</v>
      </c>
      <c r="Q52" s="23">
        <f>'RESUMEN TOTAL'!V54</f>
        <v>0</v>
      </c>
      <c r="R52" s="23">
        <f>'RESUMEN TOTAL'!W54</f>
        <v>0</v>
      </c>
      <c r="S52" s="23">
        <f>'RESUMEN TOTAL'!X54</f>
        <v>0</v>
      </c>
      <c r="T52" s="23">
        <f>'RESUMEN TOTAL'!Y54</f>
        <v>0</v>
      </c>
      <c r="U52" s="23">
        <f>'RESUMEN TOTAL'!Z54</f>
        <v>0</v>
      </c>
      <c r="V52" s="23">
        <f>'RESUMEN TOTAL'!AA54</f>
        <v>0</v>
      </c>
      <c r="W52" s="23">
        <f>'RESUMEN TOTAL'!AB54</f>
        <v>0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3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3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>
        <f>'RESUMEN TOTAL'!N56</f>
        <v>0</v>
      </c>
      <c r="J54" s="23">
        <f>'RESUMEN TOTAL'!O56</f>
        <v>0</v>
      </c>
      <c r="K54" s="23">
        <f>'RESUMEN TOTAL'!P56</f>
        <v>0</v>
      </c>
      <c r="L54" s="23">
        <f>'RESUMEN TOTAL'!Q56</f>
        <v>0</v>
      </c>
      <c r="M54" s="23">
        <f>'RESUMEN TOTAL'!R56</f>
        <v>0</v>
      </c>
      <c r="N54" s="23">
        <f>'RESUMEN TOTAL'!S56</f>
        <v>0</v>
      </c>
      <c r="O54" s="23">
        <f>'RESUMEN TOTAL'!T56</f>
        <v>0</v>
      </c>
      <c r="P54" s="23">
        <f>'RESUMEN TOTAL'!U56</f>
        <v>0</v>
      </c>
      <c r="Q54" s="23">
        <f>'RESUMEN TOTAL'!V56</f>
        <v>0</v>
      </c>
      <c r="R54" s="23">
        <f>'RESUMEN TOTAL'!W56</f>
        <v>0</v>
      </c>
      <c r="S54" s="23">
        <f>'RESUMEN TOTAL'!X56</f>
        <v>0</v>
      </c>
      <c r="T54" s="23">
        <f>'RESUMEN TOTAL'!Y56</f>
        <v>0</v>
      </c>
      <c r="U54" s="23">
        <f>'RESUMEN TOTAL'!Z56</f>
        <v>0</v>
      </c>
      <c r="V54" s="23">
        <f>'RESUMEN TOTAL'!AA56</f>
        <v>0</v>
      </c>
      <c r="W54" s="23">
        <f>'RESUMEN TOTAL'!AB56</f>
        <v>0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3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3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3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3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>
        <f>'RESUMEN TOTAL'!Y60</f>
        <v>0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3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3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3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3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3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3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3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3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3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>
        <f>'RESUMEN TOTAL'!N69</f>
        <v>0</v>
      </c>
      <c r="J67" s="23">
        <f>'RESUMEN TOTAL'!O69</f>
        <v>0</v>
      </c>
      <c r="K67" s="23">
        <f>'RESUMEN TOTAL'!P69</f>
        <v>0</v>
      </c>
      <c r="L67" s="23">
        <f>'RESUMEN TOTAL'!Q69</f>
        <v>0</v>
      </c>
      <c r="M67" s="23">
        <f>'RESUMEN TOTAL'!R69</f>
        <v>0</v>
      </c>
      <c r="N67" s="23">
        <f>'RESUMEN TOTAL'!S69</f>
        <v>0</v>
      </c>
      <c r="O67" s="23">
        <f>'RESUMEN TOTAL'!T69</f>
        <v>0</v>
      </c>
      <c r="P67" s="23">
        <f>'RESUMEN TOTAL'!U69</f>
        <v>0</v>
      </c>
      <c r="Q67" s="23">
        <f>'RESUMEN TOTAL'!V69</f>
        <v>0</v>
      </c>
      <c r="R67" s="23">
        <f>'RESUMEN TOTAL'!W69</f>
        <v>0</v>
      </c>
      <c r="S67" s="23">
        <f>'RESUMEN TOTAL'!X69</f>
        <v>0</v>
      </c>
      <c r="T67" s="23">
        <f>'RESUMEN TOTAL'!Y69</f>
        <v>0</v>
      </c>
      <c r="U67" s="23">
        <f>'RESUMEN TOTAL'!Z69</f>
        <v>0</v>
      </c>
      <c r="V67" s="23">
        <f>'RESUMEN TOTAL'!AA69</f>
        <v>0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3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>
        <f>'RESUMEN TOTAL'!N70</f>
        <v>0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3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3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>
        <f>'RESUMEN TOTAL'!T72</f>
        <v>0</v>
      </c>
      <c r="P70" s="23">
        <f>'RESUMEN TOTAL'!U72</f>
        <v>0</v>
      </c>
      <c r="Q70" s="23">
        <f>'RESUMEN TOTAL'!V72</f>
        <v>0</v>
      </c>
      <c r="R70" s="23">
        <f>'RESUMEN TOTAL'!W72</f>
        <v>0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3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3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3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>
        <f>'RESUMEN TOTAL'!N75</f>
        <v>0</v>
      </c>
      <c r="J73" s="23">
        <f>'RESUMEN TOTAL'!O75</f>
        <v>0</v>
      </c>
      <c r="K73" s="23">
        <f>'RESUMEN TOTAL'!P75</f>
        <v>0</v>
      </c>
      <c r="L73" s="23">
        <f>'RESUMEN TOTAL'!Q75</f>
        <v>0</v>
      </c>
      <c r="M73" s="23">
        <f>'RESUMEN TOTAL'!R75</f>
        <v>0</v>
      </c>
      <c r="N73" s="23">
        <f>'RESUMEN TOTAL'!S75</f>
        <v>0</v>
      </c>
      <c r="O73" s="23">
        <f>'RESUMEN TOTAL'!T75</f>
        <v>0</v>
      </c>
      <c r="P73" s="23">
        <f>'RESUMEN TOTAL'!U75</f>
        <v>0</v>
      </c>
      <c r="Q73" s="23">
        <f>'RESUMEN TOTAL'!V75</f>
        <v>0</v>
      </c>
      <c r="R73" s="23">
        <f>'RESUMEN TOTAL'!W75</f>
        <v>0</v>
      </c>
      <c r="S73" s="23">
        <f>'RESUMEN TOTAL'!X75</f>
        <v>0</v>
      </c>
      <c r="T73" s="23">
        <f>'RESUMEN TOTAL'!Y75</f>
        <v>0</v>
      </c>
      <c r="U73" s="23">
        <f>'RESUMEN TOTAL'!Z75</f>
        <v>0</v>
      </c>
      <c r="V73" s="23">
        <f>'RESUMEN TOTAL'!AA75</f>
        <v>0</v>
      </c>
      <c r="W73" s="23">
        <f>'RESUMEN TOTAL'!AB75</f>
        <v>0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3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3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>
        <f>'RESUMEN TOTAL'!O77</f>
        <v>0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>
        <f>'RESUMEN TOTAL'!Z77</f>
        <v>0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3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3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3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3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3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3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3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3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>
        <f>'RESUMEN TOTAL'!Q85</f>
        <v>0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3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>
        <f>'RESUMEN TOTAL'!T86</f>
        <v>0</v>
      </c>
      <c r="P84" s="23">
        <f>'RESUMEN TOTAL'!U86</f>
        <v>0</v>
      </c>
      <c r="Q84" s="23">
        <f>'RESUMEN TOTAL'!V86</f>
        <v>0</v>
      </c>
      <c r="R84" s="23">
        <f>'RESUMEN TOTAL'!W86</f>
        <v>0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3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>
        <f>'RESUMEN TOTAL'!T87</f>
        <v>0</v>
      </c>
      <c r="P85" s="23">
        <f>'RESUMEN TOTAL'!U87</f>
        <v>0</v>
      </c>
      <c r="Q85" s="23">
        <f>'RESUMEN TOTAL'!V87</f>
        <v>0</v>
      </c>
      <c r="R85" s="23">
        <f>'RESUMEN TOTAL'!W87</f>
        <v>0</v>
      </c>
      <c r="S85" s="23">
        <f>'RESUMEN TOTAL'!X87</f>
        <v>0</v>
      </c>
      <c r="T85" s="23">
        <f>'RESUMEN TOTAL'!Y87</f>
        <v>0</v>
      </c>
      <c r="U85" s="23">
        <f>'RESUMEN TOTAL'!Z87</f>
        <v>0</v>
      </c>
      <c r="V85" s="23">
        <f>'RESUMEN TOTAL'!AA87</f>
        <v>0</v>
      </c>
      <c r="W85" s="23">
        <f>'RESUMEN TOTAL'!AB87</f>
        <v>0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3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>
        <f>'RESUMEN TOTAL'!T88</f>
        <v>0</v>
      </c>
      <c r="P86" s="23">
        <f>'RESUMEN TOTAL'!U88</f>
        <v>0</v>
      </c>
      <c r="Q86" s="23">
        <f>'RESUMEN TOTAL'!V88</f>
        <v>0</v>
      </c>
      <c r="R86" s="23">
        <f>'RESUMEN TOTAL'!W88</f>
        <v>0</v>
      </c>
      <c r="S86" s="23">
        <f>'RESUMEN TOTAL'!X88</f>
        <v>0</v>
      </c>
      <c r="T86" s="23">
        <f>'RESUMEN TOTAL'!Y88</f>
        <v>0</v>
      </c>
      <c r="U86" s="23">
        <f>'RESUMEN TOTAL'!Z88</f>
        <v>0</v>
      </c>
      <c r="V86" s="23">
        <f>'RESUMEN TOTAL'!AA88</f>
        <v>0</v>
      </c>
      <c r="W86" s="23">
        <f>'RESUMEN TOTAL'!AB88</f>
        <v>0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3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>
        <f>'RESUMEN TOTAL'!T89</f>
        <v>0</v>
      </c>
      <c r="P87" s="23">
        <f>'RESUMEN TOTAL'!U89</f>
        <v>0</v>
      </c>
      <c r="Q87" s="23">
        <f>'RESUMEN TOTAL'!V89</f>
        <v>0</v>
      </c>
      <c r="R87" s="23">
        <f>'RESUMEN TOTAL'!W89</f>
        <v>0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3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3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3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3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3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>
        <f>'RESUMEN TOTAL'!N94</f>
        <v>0</v>
      </c>
      <c r="J92" s="23">
        <f>'RESUMEN TOTAL'!O94</f>
        <v>0</v>
      </c>
      <c r="K92" s="23">
        <f>'RESUMEN TOTAL'!P94</f>
        <v>0</v>
      </c>
      <c r="L92" s="23">
        <f>'RESUMEN TOTAL'!Q94</f>
        <v>0</v>
      </c>
      <c r="M92" s="23">
        <f>'RESUMEN TOTAL'!R94</f>
        <v>0</v>
      </c>
      <c r="N92" s="23">
        <f>'RESUMEN TOTAL'!S94</f>
        <v>0</v>
      </c>
      <c r="O92" s="23">
        <f>'RESUMEN TOTAL'!T94</f>
        <v>0</v>
      </c>
      <c r="P92" s="23">
        <f>'RESUMEN TOTAL'!U94</f>
        <v>0</v>
      </c>
      <c r="Q92" s="23">
        <f>'RESUMEN TOTAL'!V94</f>
        <v>0</v>
      </c>
      <c r="R92" s="23">
        <f>'RESUMEN TOTAL'!W94</f>
        <v>0</v>
      </c>
      <c r="S92" s="23">
        <f>'RESUMEN TOTAL'!X94</f>
        <v>0</v>
      </c>
      <c r="T92" s="23">
        <f>'RESUMEN TOTAL'!Y94</f>
        <v>0</v>
      </c>
      <c r="U92" s="23">
        <f>'RESUMEN TOTAL'!Z94</f>
        <v>0</v>
      </c>
      <c r="V92" s="23">
        <f>'RESUMEN TOTAL'!AA94</f>
        <v>0</v>
      </c>
      <c r="W92" s="23">
        <f>'RESUMEN TOTAL'!AB94</f>
        <v>0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3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>
        <f>'RESUMEN TOTAL'!T95</f>
        <v>0</v>
      </c>
      <c r="P93" s="23">
        <f>'RESUMEN TOTAL'!U95</f>
        <v>0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3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3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3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>
        <f>'RESUMEN TOTAL'!N98</f>
        <v>0</v>
      </c>
      <c r="J96" s="23">
        <f>'RESUMEN TOTAL'!O98</f>
        <v>0</v>
      </c>
      <c r="K96" s="23">
        <f>'RESUMEN TOTAL'!P98</f>
        <v>0</v>
      </c>
      <c r="L96" s="23">
        <f>'RESUMEN TOTAL'!Q98</f>
        <v>0</v>
      </c>
      <c r="M96" s="23">
        <f>'RESUMEN TOTAL'!R98</f>
        <v>0</v>
      </c>
      <c r="N96" s="23">
        <f>'RESUMEN TOTAL'!S98</f>
        <v>0</v>
      </c>
      <c r="O96" s="23">
        <f>'RESUMEN TOTAL'!T98</f>
        <v>0</v>
      </c>
      <c r="P96" s="23">
        <f>'RESUMEN TOTAL'!U98</f>
        <v>0</v>
      </c>
      <c r="Q96" s="23">
        <f>'RESUMEN TOTAL'!V98</f>
        <v>0</v>
      </c>
      <c r="R96" s="23">
        <f>'RESUMEN TOTAL'!W98</f>
        <v>0</v>
      </c>
      <c r="S96" s="23">
        <f>'RESUMEN TOTAL'!X98</f>
        <v>0</v>
      </c>
      <c r="T96" s="23">
        <f>'RESUMEN TOTAL'!Y98</f>
        <v>0</v>
      </c>
      <c r="U96" s="23">
        <f>'RESUMEN TOTAL'!Z98</f>
        <v>0</v>
      </c>
      <c r="V96" s="23">
        <f>'RESUMEN TOTAL'!AA98</f>
        <v>0</v>
      </c>
      <c r="W96" s="23">
        <f>'RESUMEN TOTAL'!AB98</f>
        <v>0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3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3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3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>
        <f>'RESUMEN TOTAL'!N101</f>
        <v>0</v>
      </c>
      <c r="J99" s="23">
        <f>'RESUMEN TOTAL'!O101</f>
        <v>0</v>
      </c>
      <c r="K99" s="23">
        <f>'RESUMEN TOTAL'!P101</f>
        <v>0</v>
      </c>
      <c r="L99" s="23">
        <f>'RESUMEN TOTAL'!Q101</f>
        <v>0</v>
      </c>
      <c r="M99" s="23">
        <f>'RESUMEN TOTAL'!R101</f>
        <v>0</v>
      </c>
      <c r="N99" s="23">
        <f>'RESUMEN TOTAL'!S101</f>
        <v>0</v>
      </c>
      <c r="O99" s="23">
        <f>'RESUMEN TOTAL'!T101</f>
        <v>0</v>
      </c>
      <c r="P99" s="23">
        <f>'RESUMEN TOTAL'!U101</f>
        <v>0</v>
      </c>
      <c r="Q99" s="23">
        <f>'RESUMEN TOTAL'!V101</f>
        <v>0</v>
      </c>
      <c r="R99" s="23">
        <f>'RESUMEN TOTAL'!W101</f>
        <v>0</v>
      </c>
      <c r="S99" s="23">
        <f>'RESUMEN TOTAL'!X101</f>
        <v>0</v>
      </c>
      <c r="T99" s="23">
        <f>'RESUMEN TOTAL'!Y101</f>
        <v>0</v>
      </c>
      <c r="U99" s="23">
        <f>'RESUMEN TOTAL'!Z101</f>
        <v>0</v>
      </c>
      <c r="V99" s="23">
        <f>'RESUMEN TOTAL'!AA101</f>
        <v>0</v>
      </c>
      <c r="W99" s="23">
        <f>'RESUMEN TOTAL'!AB101</f>
        <v>0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3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>
        <f>'RESUMEN TOTAL'!N102</f>
        <v>0</v>
      </c>
      <c r="J100" s="23">
        <f>'RESUMEN TOTAL'!O102</f>
        <v>0</v>
      </c>
      <c r="K100" s="23">
        <f>'RESUMEN TOTAL'!P102</f>
        <v>0</v>
      </c>
      <c r="L100" s="23">
        <f>'RESUMEN TOTAL'!Q102</f>
        <v>0</v>
      </c>
      <c r="M100" s="23">
        <f>'RESUMEN TOTAL'!R102</f>
        <v>0</v>
      </c>
      <c r="N100" s="23">
        <f>'RESUMEN TOTAL'!S102</f>
        <v>0</v>
      </c>
      <c r="O100" s="23">
        <f>'RESUMEN TOTAL'!T102</f>
        <v>0</v>
      </c>
      <c r="P100" s="23">
        <f>'RESUMEN TOTAL'!U102</f>
        <v>0</v>
      </c>
      <c r="Q100" s="23">
        <f>'RESUMEN TOTAL'!V102</f>
        <v>0</v>
      </c>
      <c r="R100" s="23">
        <f>'RESUMEN TOTAL'!W102</f>
        <v>0</v>
      </c>
      <c r="S100" s="23">
        <f>'RESUMEN TOTAL'!X102</f>
        <v>0</v>
      </c>
      <c r="T100" s="23">
        <f>'RESUMEN TOTAL'!Y102</f>
        <v>0</v>
      </c>
      <c r="U100" s="23">
        <f>'RESUMEN TOTAL'!Z102</f>
        <v>0</v>
      </c>
      <c r="V100" s="23">
        <f>'RESUMEN TOTAL'!AA102</f>
        <v>0</v>
      </c>
      <c r="W100" s="23">
        <f>'RESUMEN TOTAL'!AB102</f>
        <v>0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3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>
        <f>'RESUMEN TOTAL'!V103</f>
        <v>0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3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3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3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3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3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>
        <f>'RESUMEN TOTAL'!W108</f>
        <v>0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3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3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3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3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3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3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>
        <f>'RESUMEN TOTAL'!T114</f>
        <v>0</v>
      </c>
      <c r="P112" s="23">
        <f>'RESUMEN TOTAL'!U114</f>
        <v>0</v>
      </c>
      <c r="Q112" s="23">
        <f>'RESUMEN TOTAL'!V114</f>
        <v>0</v>
      </c>
      <c r="R112" s="23">
        <f>'RESUMEN TOTAL'!W114</f>
        <v>0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3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>
        <f>'RESUMEN TOTAL'!T115</f>
        <v>0</v>
      </c>
      <c r="P113" s="23">
        <f>'RESUMEN TOTAL'!U115</f>
        <v>0</v>
      </c>
      <c r="Q113" s="23">
        <f>'RESUMEN TOTAL'!V115</f>
        <v>0</v>
      </c>
      <c r="R113" s="23">
        <f>'RESUMEN TOTAL'!W115</f>
        <v>0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3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3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3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>
        <f>'RESUMEN TOTAL'!AI118</f>
        <v>0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3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>
        <f>'RESUMEN TOTAL'!AI119</f>
        <v>0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3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>
        <f>'RESUMEN TOTAL'!AI120</f>
        <v>0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3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>
        <f>'RESUMEN TOTAL'!AI121</f>
        <v>0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3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>
        <f>'RESUMEN TOTAL'!T129</f>
        <v>0</v>
      </c>
      <c r="P120" s="23">
        <f>'RESUMEN TOTAL'!U129</f>
        <v>0</v>
      </c>
      <c r="Q120" s="23">
        <f>'RESUMEN TOTAL'!V129</f>
        <v>0</v>
      </c>
      <c r="R120" s="23">
        <f>'RESUMEN TOTAL'!W129</f>
        <v>0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3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>
        <f>'RESUMEN TOTAL'!P122</f>
        <v>0</v>
      </c>
      <c r="L121" s="23">
        <f>'RESUMEN TOTAL'!Q122</f>
        <v>0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>
        <f>'RESUMEN TOTAL'!V122</f>
        <v>0</v>
      </c>
      <c r="R121" s="23">
        <f>'RESUMEN TOTAL'!W122</f>
        <v>0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>
        <f>'RESUMEN TOTAL'!AA122</f>
        <v>0</v>
      </c>
      <c r="W121" s="23">
        <f>'RESUMEN TOTAL'!AB122</f>
        <v>0</v>
      </c>
      <c r="X121" s="23">
        <f>'RESUMEN TOTAL'!AC122</f>
        <v>0</v>
      </c>
      <c r="Y121" s="23">
        <f>'RESUMEN TOTAL'!AD122</f>
        <v>0</v>
      </c>
      <c r="Z121" s="23">
        <f>'RESUMEN TOTAL'!AE122</f>
        <v>0</v>
      </c>
      <c r="AA121" s="23">
        <f>'RESUMEN TOTAL'!AF122</f>
        <v>0</v>
      </c>
      <c r="AB121" s="23">
        <f>'RESUMEN TOTAL'!AG122</f>
        <v>0</v>
      </c>
      <c r="AC121" s="23">
        <f>'RESUMEN TOTAL'!AH122</f>
        <v>0</v>
      </c>
      <c r="AD121" s="23">
        <f>'RESUMEN TOTAL'!AI122</f>
        <v>0</v>
      </c>
      <c r="AE121" s="23">
        <f>'RESUMEN TOTAL'!AJ122</f>
        <v>0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3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3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>
        <f>'RESUMEN TOTAL'!T124</f>
        <v>0</v>
      </c>
      <c r="P123" s="23">
        <f>'RESUMEN TOTAL'!U124</f>
        <v>0</v>
      </c>
      <c r="Q123" s="23">
        <f>'RESUMEN TOTAL'!V124</f>
        <v>0</v>
      </c>
      <c r="R123" s="23">
        <f>'RESUMEN TOTAL'!W124</f>
        <v>0</v>
      </c>
      <c r="S123" s="23">
        <f>'RESUMEN TOTAL'!X124</f>
        <v>0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3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>
        <f>'RESUMEN TOTAL'!V125</f>
        <v>0</v>
      </c>
      <c r="R124" s="23">
        <f>'RESUMEN TOTAL'!W125</f>
        <v>0</v>
      </c>
      <c r="S124" s="23">
        <f>'RESUMEN TOTAL'!X125</f>
        <v>0</v>
      </c>
      <c r="T124" s="23">
        <f>'RESUMEN TOTAL'!Y125</f>
        <v>0</v>
      </c>
      <c r="U124" s="23">
        <f>'RESUMEN TOTAL'!Z125</f>
        <v>0</v>
      </c>
      <c r="V124" s="23">
        <f>'RESUMEN TOTAL'!AA125</f>
        <v>0</v>
      </c>
      <c r="W124" s="23">
        <f>'RESUMEN TOTAL'!AB125</f>
        <v>0</v>
      </c>
      <c r="X124" s="23">
        <f>'RESUMEN TOTAL'!AC125</f>
        <v>0</v>
      </c>
      <c r="Y124" s="23">
        <f>'RESUMEN TOTAL'!AD125</f>
        <v>0</v>
      </c>
      <c r="Z124" s="23">
        <f>'RESUMEN TOTAL'!AE125</f>
        <v>0</v>
      </c>
      <c r="AA124" s="23">
        <f>'RESUMEN TOTAL'!AF125</f>
        <v>0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3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3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3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3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3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3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3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3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3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3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3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3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>
        <f>'RESUMEN TOTAL'!AI138</f>
        <v>0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3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>
        <f>'RESUMEN TOTAL'!W139</f>
        <v>0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>
        <f>'RESUMEN TOTAL'!AI139</f>
        <v>0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3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3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3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3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>
        <f>'RESUMEN TOTAL'!AC152</f>
        <v>0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3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3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3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3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3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3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>
        <f>'RESUMEN TOTAL'!T141</f>
        <v>0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3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3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3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3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3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3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3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3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3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>
        <f>'RESUMEN TOTAL'!T158</f>
        <v>0</v>
      </c>
      <c r="P156" s="23">
        <f>'RESUMEN TOTAL'!U158</f>
        <v>0</v>
      </c>
      <c r="Q156" s="23">
        <f>'RESUMEN TOTAL'!V158</f>
        <v>0</v>
      </c>
      <c r="R156" s="23">
        <f>'RESUMEN TOTAL'!W158</f>
        <v>0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3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>
        <f>'RESUMEN TOTAL'!T159</f>
        <v>0</v>
      </c>
      <c r="P157" s="23">
        <f>'RESUMEN TOTAL'!U159</f>
        <v>0</v>
      </c>
      <c r="Q157" s="23">
        <f>'RESUMEN TOTAL'!V159</f>
        <v>0</v>
      </c>
      <c r="R157" s="23">
        <f>'RESUMEN TOTAL'!W159</f>
        <v>0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3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>
        <f>'RESUMEN TOTAL'!T160</f>
        <v>0</v>
      </c>
      <c r="P158" s="23">
        <f>'RESUMEN TOTAL'!U160</f>
        <v>0</v>
      </c>
      <c r="Q158" s="23">
        <f>'RESUMEN TOTAL'!V160</f>
        <v>0</v>
      </c>
      <c r="R158" s="23">
        <f>'RESUMEN TOTAL'!W160</f>
        <v>0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>
        <f>'RESUMEN TOTAL'!AC160</f>
        <v>0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3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3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3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3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3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>
        <f>'RESUMEN TOTAL'!N165</f>
        <v>0</v>
      </c>
      <c r="J163" s="23">
        <f>'RESUMEN TOTAL'!O165</f>
        <v>0</v>
      </c>
      <c r="K163" s="23">
        <f>'RESUMEN TOTAL'!P165</f>
        <v>0</v>
      </c>
      <c r="L163" s="23">
        <f>'RESUMEN TOTAL'!Q165</f>
        <v>0</v>
      </c>
      <c r="M163" s="23">
        <f>'RESUMEN TOTAL'!R165</f>
        <v>0</v>
      </c>
      <c r="N163" s="23">
        <f>'RESUMEN TOTAL'!S165</f>
        <v>0</v>
      </c>
      <c r="O163" s="23">
        <f>'RESUMEN TOTAL'!T165</f>
        <v>0</v>
      </c>
      <c r="P163" s="23">
        <f>'RESUMEN TOTAL'!U165</f>
        <v>0</v>
      </c>
      <c r="Q163" s="23">
        <f>'RESUMEN TOTAL'!V165</f>
        <v>0</v>
      </c>
      <c r="R163" s="23">
        <f>'RESUMEN TOTAL'!W165</f>
        <v>0</v>
      </c>
      <c r="S163" s="23">
        <f>'RESUMEN TOTAL'!X165</f>
        <v>0</v>
      </c>
      <c r="T163" s="23">
        <f>'RESUMEN TOTAL'!Y165</f>
        <v>0</v>
      </c>
      <c r="U163" s="23">
        <f>'RESUMEN TOTAL'!Z165</f>
        <v>0</v>
      </c>
      <c r="V163" s="23">
        <f>'RESUMEN TOTAL'!AA165</f>
        <v>0</v>
      </c>
      <c r="W163" s="23">
        <f>'RESUMEN TOTAL'!AB165</f>
        <v>0</v>
      </c>
      <c r="X163" s="23">
        <f>'RESUMEN TOTAL'!AC165</f>
        <v>0</v>
      </c>
      <c r="Y163" s="23">
        <f>'RESUMEN TOTAL'!AD165</f>
        <v>0</v>
      </c>
      <c r="Z163" s="23">
        <f>'RESUMEN TOTAL'!AE165</f>
        <v>0</v>
      </c>
      <c r="AA163" s="23">
        <f>'RESUMEN TOTAL'!AF165</f>
        <v>0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3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>
        <f>'RESUMEN TOTAL'!N166</f>
        <v>0</v>
      </c>
      <c r="J164" s="23">
        <f>'RESUMEN TOTAL'!O166</f>
        <v>0</v>
      </c>
      <c r="K164" s="23">
        <f>'RESUMEN TOTAL'!P166</f>
        <v>0</v>
      </c>
      <c r="L164" s="23">
        <f>'RESUMEN TOTAL'!Q166</f>
        <v>0</v>
      </c>
      <c r="M164" s="23">
        <f>'RESUMEN TOTAL'!R166</f>
        <v>0</v>
      </c>
      <c r="N164" s="23">
        <f>'RESUMEN TOTAL'!S166</f>
        <v>0</v>
      </c>
      <c r="O164" s="23">
        <f>'RESUMEN TOTAL'!T166</f>
        <v>0</v>
      </c>
      <c r="P164" s="23">
        <f>'RESUMEN TOTAL'!U166</f>
        <v>0</v>
      </c>
      <c r="Q164" s="23">
        <f>'RESUMEN TOTAL'!V166</f>
        <v>0</v>
      </c>
      <c r="R164" s="23">
        <f>'RESUMEN TOTAL'!W166</f>
        <v>0</v>
      </c>
      <c r="S164" s="23">
        <f>'RESUMEN TOTAL'!X166</f>
        <v>0</v>
      </c>
      <c r="T164" s="23">
        <f>'RESUMEN TOTAL'!Y166</f>
        <v>0</v>
      </c>
      <c r="U164" s="23">
        <f>'RESUMEN TOTAL'!Z166</f>
        <v>0</v>
      </c>
      <c r="V164" s="23">
        <f>'RESUMEN TOTAL'!AA166</f>
        <v>0</v>
      </c>
      <c r="W164" s="23">
        <f>'RESUMEN TOTAL'!AB166</f>
        <v>0</v>
      </c>
      <c r="X164" s="23">
        <f>'RESUMEN TOTAL'!AC166</f>
        <v>0</v>
      </c>
      <c r="Y164" s="23">
        <f>'RESUMEN TOTAL'!AD166</f>
        <v>0</v>
      </c>
      <c r="Z164" s="23">
        <f>'RESUMEN TOTAL'!AE166</f>
        <v>0</v>
      </c>
      <c r="AA164" s="23">
        <f>'RESUMEN TOTAL'!AF166</f>
        <v>0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3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3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3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3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3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3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3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3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3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>
        <f>'RESUMEN TOTAL'!N175</f>
        <v>0</v>
      </c>
      <c r="J173" s="23">
        <f>'RESUMEN TOTAL'!O175</f>
        <v>0</v>
      </c>
      <c r="K173" s="23">
        <f>'RESUMEN TOTAL'!P175</f>
        <v>0</v>
      </c>
      <c r="L173" s="23">
        <f>'RESUMEN TOTAL'!Q175</f>
        <v>0</v>
      </c>
      <c r="M173" s="23">
        <f>'RESUMEN TOTAL'!R175</f>
        <v>0</v>
      </c>
      <c r="N173" s="23">
        <f>'RESUMEN TOTAL'!S175</f>
        <v>0</v>
      </c>
      <c r="O173" s="23">
        <f>'RESUMEN TOTAL'!T175</f>
        <v>0</v>
      </c>
      <c r="P173" s="23">
        <f>'RESUMEN TOTAL'!U175</f>
        <v>0</v>
      </c>
      <c r="Q173" s="23">
        <f>'RESUMEN TOTAL'!V175</f>
        <v>0</v>
      </c>
      <c r="R173" s="23">
        <f>'RESUMEN TOTAL'!W175</f>
        <v>0</v>
      </c>
      <c r="S173" s="23">
        <f>'RESUMEN TOTAL'!X175</f>
        <v>0</v>
      </c>
      <c r="T173" s="23">
        <f>'RESUMEN TOTAL'!Y175</f>
        <v>0</v>
      </c>
      <c r="U173" s="23">
        <f>'RESUMEN TOTAL'!Z175</f>
        <v>0</v>
      </c>
      <c r="V173" s="23">
        <f>'RESUMEN TOTAL'!AA175</f>
        <v>0</v>
      </c>
      <c r="W173" s="23">
        <f>'RESUMEN TOTAL'!AB175</f>
        <v>0</v>
      </c>
      <c r="X173" s="23">
        <f>'RESUMEN TOTAL'!AC175</f>
        <v>0</v>
      </c>
      <c r="Y173" s="23">
        <f>'RESUMEN TOTAL'!AD175</f>
        <v>0</v>
      </c>
      <c r="Z173" s="23">
        <f>'RESUMEN TOTAL'!AE175</f>
        <v>0</v>
      </c>
      <c r="AA173" s="23">
        <f>'RESUMEN TOTAL'!AF175</f>
        <v>0</v>
      </c>
      <c r="AB173" s="23">
        <f>'RESUMEN TOTAL'!AG175</f>
        <v>0</v>
      </c>
      <c r="AC173" s="23">
        <f>'RESUMEN TOTAL'!AH175</f>
        <v>0</v>
      </c>
      <c r="AD173" s="23">
        <f>'RESUMEN TOTAL'!AI175</f>
        <v>0</v>
      </c>
      <c r="AE173" s="23">
        <f>'RESUMEN TOTAL'!AJ175</f>
        <v>0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3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>
        <f>'RESUMEN TOTAL'!AI176</f>
        <v>0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3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>
        <f>'RESUMEN TOTAL'!N177</f>
        <v>0</v>
      </c>
      <c r="J175" s="23">
        <f>'RESUMEN TOTAL'!O177</f>
        <v>0</v>
      </c>
      <c r="K175" s="23">
        <f>'RESUMEN TOTAL'!P177</f>
        <v>0</v>
      </c>
      <c r="L175" s="23">
        <f>'RESUMEN TOTAL'!Q177</f>
        <v>0</v>
      </c>
      <c r="M175" s="23">
        <f>'RESUMEN TOTAL'!R177</f>
        <v>0</v>
      </c>
      <c r="N175" s="23">
        <f>'RESUMEN TOTAL'!S177</f>
        <v>0</v>
      </c>
      <c r="O175" s="23">
        <f>'RESUMEN TOTAL'!T177</f>
        <v>0</v>
      </c>
      <c r="P175" s="23">
        <f>'RESUMEN TOTAL'!U177</f>
        <v>0</v>
      </c>
      <c r="Q175" s="23">
        <f>'RESUMEN TOTAL'!V177</f>
        <v>0</v>
      </c>
      <c r="R175" s="23">
        <f>'RESUMEN TOTAL'!W177</f>
        <v>0</v>
      </c>
      <c r="S175" s="23">
        <f>'RESUMEN TOTAL'!X177</f>
        <v>0</v>
      </c>
      <c r="T175" s="23">
        <f>'RESUMEN TOTAL'!Y177</f>
        <v>0</v>
      </c>
      <c r="U175" s="23">
        <f>'RESUMEN TOTAL'!Z177</f>
        <v>0</v>
      </c>
      <c r="V175" s="23">
        <f>'RESUMEN TOTAL'!AA177</f>
        <v>0</v>
      </c>
      <c r="W175" s="23">
        <f>'RESUMEN TOTAL'!AB177</f>
        <v>0</v>
      </c>
      <c r="X175" s="23">
        <f>'RESUMEN TOTAL'!AC177</f>
        <v>0</v>
      </c>
      <c r="Y175" s="23">
        <f>'RESUMEN TOTAL'!AD177</f>
        <v>0</v>
      </c>
      <c r="Z175" s="23">
        <f>'RESUMEN TOTAL'!AE177</f>
        <v>0</v>
      </c>
      <c r="AA175" s="23">
        <f>'RESUMEN TOTAL'!AF177</f>
        <v>0</v>
      </c>
      <c r="AB175" s="23">
        <f>'RESUMEN TOTAL'!AG177</f>
        <v>0</v>
      </c>
      <c r="AC175" s="23">
        <f>'RESUMEN TOTAL'!AH177</f>
        <v>0</v>
      </c>
      <c r="AD175" s="23">
        <f>'RESUMEN TOTAL'!AI177</f>
        <v>0</v>
      </c>
      <c r="AE175" s="23">
        <f>'RESUMEN TOTAL'!AJ177</f>
        <v>0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3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>
        <f>'RESUMEN TOTAL'!W178</f>
        <v>0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3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3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3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3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>
        <f>'RESUMEN TOTAL'!N182</f>
        <v>0</v>
      </c>
      <c r="J180" s="23">
        <f>'RESUMEN TOTAL'!O182</f>
        <v>0</v>
      </c>
      <c r="K180" s="23">
        <f>'RESUMEN TOTAL'!P182</f>
        <v>0</v>
      </c>
      <c r="L180" s="23">
        <f>'RESUMEN TOTAL'!Q182</f>
        <v>0</v>
      </c>
      <c r="M180" s="23">
        <f>'RESUMEN TOTAL'!R182</f>
        <v>0</v>
      </c>
      <c r="N180" s="23">
        <f>'RESUMEN TOTAL'!S182</f>
        <v>0</v>
      </c>
      <c r="O180" s="23">
        <f>'RESUMEN TOTAL'!T182</f>
        <v>0</v>
      </c>
      <c r="P180" s="23">
        <f>'RESUMEN TOTAL'!U182</f>
        <v>0</v>
      </c>
      <c r="Q180" s="23">
        <f>'RESUMEN TOTAL'!V182</f>
        <v>0</v>
      </c>
      <c r="R180" s="23">
        <f>'RESUMEN TOTAL'!W182</f>
        <v>0</v>
      </c>
      <c r="S180" s="23">
        <f>'RESUMEN TOTAL'!X182</f>
        <v>0</v>
      </c>
      <c r="T180" s="23">
        <f>'RESUMEN TOTAL'!Y182</f>
        <v>0</v>
      </c>
      <c r="U180" s="23">
        <f>'RESUMEN TOTAL'!Z182</f>
        <v>0</v>
      </c>
      <c r="V180" s="23">
        <f>'RESUMEN TOTAL'!AA182</f>
        <v>0</v>
      </c>
      <c r="W180" s="23">
        <f>'RESUMEN TOTAL'!AB182</f>
        <v>0</v>
      </c>
      <c r="X180" s="23">
        <f>'RESUMEN TOTAL'!AC182</f>
        <v>0</v>
      </c>
      <c r="Y180" s="23">
        <f>'RESUMEN TOTAL'!AD182</f>
        <v>0</v>
      </c>
      <c r="Z180" s="23">
        <f>'RESUMEN TOTAL'!AE182</f>
        <v>0</v>
      </c>
      <c r="AA180" s="23">
        <f>'RESUMEN TOTAL'!AF182</f>
        <v>0</v>
      </c>
      <c r="AB180" s="23">
        <f>'RESUMEN TOTAL'!AG182</f>
        <v>0</v>
      </c>
      <c r="AC180" s="23">
        <f>'RESUMEN TOTAL'!AH182</f>
        <v>0</v>
      </c>
      <c r="AD180" s="23">
        <f>'RESUMEN TOTAL'!AI182</f>
        <v>0</v>
      </c>
      <c r="AE180" s="23">
        <f>'RESUMEN TOTAL'!AJ182</f>
        <v>0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3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3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>
        <f>'RESUMEN TOTAL'!O184</f>
        <v>0</v>
      </c>
      <c r="K182" s="23">
        <f>'RESUMEN TOTAL'!P184</f>
        <v>0</v>
      </c>
      <c r="L182" s="23">
        <f>'RESUMEN TOTAL'!Q184</f>
        <v>0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>
        <f>'RESUMEN TOTAL'!V184</f>
        <v>0</v>
      </c>
      <c r="R182" s="23">
        <f>'RESUMEN TOTAL'!W184</f>
        <v>0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>
        <f>'RESUMEN TOTAL'!AE184</f>
        <v>0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>
        <f>'RESUMEN TOTAL'!AJ184</f>
        <v>0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3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>
        <f>'RESUMEN TOTAL'!N185</f>
        <v>0</v>
      </c>
      <c r="J183" s="23">
        <f>'RESUMEN TOTAL'!O185</f>
        <v>0</v>
      </c>
      <c r="K183" s="23">
        <f>'RESUMEN TOTAL'!P185</f>
        <v>0</v>
      </c>
      <c r="L183" s="23">
        <f>'RESUMEN TOTAL'!Q185</f>
        <v>0</v>
      </c>
      <c r="M183" s="23">
        <f>'RESUMEN TOTAL'!R185</f>
        <v>0</v>
      </c>
      <c r="N183" s="23">
        <f>'RESUMEN TOTAL'!S185</f>
        <v>0</v>
      </c>
      <c r="O183" s="23">
        <f>'RESUMEN TOTAL'!T185</f>
        <v>0</v>
      </c>
      <c r="P183" s="23">
        <f>'RESUMEN TOTAL'!U185</f>
        <v>0</v>
      </c>
      <c r="Q183" s="23">
        <f>'RESUMEN TOTAL'!V185</f>
        <v>0</v>
      </c>
      <c r="R183" s="23">
        <f>'RESUMEN TOTAL'!W185</f>
        <v>0</v>
      </c>
      <c r="S183" s="23">
        <f>'RESUMEN TOTAL'!X185</f>
        <v>0</v>
      </c>
      <c r="T183" s="23">
        <f>'RESUMEN TOTAL'!Y185</f>
        <v>0</v>
      </c>
      <c r="U183" s="23">
        <f>'RESUMEN TOTAL'!Z185</f>
        <v>0</v>
      </c>
      <c r="V183" s="23">
        <f>'RESUMEN TOTAL'!AA185</f>
        <v>0</v>
      </c>
      <c r="W183" s="23">
        <f>'RESUMEN TOTAL'!AB185</f>
        <v>0</v>
      </c>
      <c r="X183" s="23">
        <f>'RESUMEN TOTAL'!AC185</f>
        <v>0</v>
      </c>
      <c r="Y183" s="23">
        <f>'RESUMEN TOTAL'!AD185</f>
        <v>0</v>
      </c>
      <c r="Z183" s="23">
        <f>'RESUMEN TOTAL'!AE185</f>
        <v>0</v>
      </c>
      <c r="AA183" s="23">
        <f>'RESUMEN TOTAL'!AF185</f>
        <v>0</v>
      </c>
      <c r="AB183" s="23">
        <f>'RESUMEN TOTAL'!AG185</f>
        <v>0</v>
      </c>
      <c r="AC183" s="23">
        <f>'RESUMEN TOTAL'!AH185</f>
        <v>0</v>
      </c>
      <c r="AD183" s="23">
        <f>'RESUMEN TOTAL'!AI185</f>
        <v>0</v>
      </c>
      <c r="AE183" s="23">
        <f>'RESUMEN TOTAL'!AJ185</f>
        <v>0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3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3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>
        <f>'RESUMEN TOTAL'!N187</f>
        <v>0</v>
      </c>
      <c r="J185" s="23">
        <f>'RESUMEN TOTAL'!O187</f>
        <v>0</v>
      </c>
      <c r="K185" s="23">
        <f>'RESUMEN TOTAL'!P187</f>
        <v>0</v>
      </c>
      <c r="L185" s="23">
        <f>'RESUMEN TOTAL'!Q187</f>
        <v>0</v>
      </c>
      <c r="M185" s="23">
        <f>'RESUMEN TOTAL'!R187</f>
        <v>0</v>
      </c>
      <c r="N185" s="23">
        <f>'RESUMEN TOTAL'!S187</f>
        <v>0</v>
      </c>
      <c r="O185" s="23">
        <f>'RESUMEN TOTAL'!T187</f>
        <v>0</v>
      </c>
      <c r="P185" s="23">
        <f>'RESUMEN TOTAL'!U187</f>
        <v>0</v>
      </c>
      <c r="Q185" s="23">
        <f>'RESUMEN TOTAL'!V187</f>
        <v>0</v>
      </c>
      <c r="R185" s="23">
        <f>'RESUMEN TOTAL'!W187</f>
        <v>0</v>
      </c>
      <c r="S185" s="23">
        <f>'RESUMEN TOTAL'!X187</f>
        <v>0</v>
      </c>
      <c r="T185" s="23">
        <f>'RESUMEN TOTAL'!Y187</f>
        <v>0</v>
      </c>
      <c r="U185" s="23">
        <f>'RESUMEN TOTAL'!Z187</f>
        <v>0</v>
      </c>
      <c r="V185" s="23">
        <f>'RESUMEN TOTAL'!AA187</f>
        <v>0</v>
      </c>
      <c r="W185" s="23">
        <f>'RESUMEN TOTAL'!AB187</f>
        <v>0</v>
      </c>
      <c r="X185" s="23">
        <f>'RESUMEN TOTAL'!AC187</f>
        <v>0</v>
      </c>
      <c r="Y185" s="23">
        <f>'RESUMEN TOTAL'!AD187</f>
        <v>0</v>
      </c>
      <c r="Z185" s="23">
        <f>'RESUMEN TOTAL'!AE187</f>
        <v>0</v>
      </c>
      <c r="AA185" s="23">
        <f>'RESUMEN TOTAL'!AF187</f>
        <v>0</v>
      </c>
      <c r="AB185" s="23">
        <f>'RESUMEN TOTAL'!AG187</f>
        <v>0</v>
      </c>
      <c r="AC185" s="23">
        <f>'RESUMEN TOTAL'!AH187</f>
        <v>0</v>
      </c>
      <c r="AD185" s="23">
        <f>'RESUMEN TOTAL'!AI187</f>
        <v>0</v>
      </c>
      <c r="AE185" s="23">
        <f>'RESUMEN TOTAL'!AJ187</f>
        <v>0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3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>
        <f>'RESUMEN TOTAL'!AC188</f>
        <v>0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3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>
        <f>'RESUMEN TOTAL'!AC189</f>
        <v>0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3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3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3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3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>
        <f>'RESUMEN TOTAL'!T193</f>
        <v>0</v>
      </c>
      <c r="P191" s="23">
        <f>'RESUMEN TOTAL'!U193</f>
        <v>0</v>
      </c>
      <c r="Q191" s="23">
        <f>'RESUMEN TOTAL'!V193</f>
        <v>0</v>
      </c>
      <c r="R191" s="23">
        <f>'RESUMEN TOTAL'!W193</f>
        <v>0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3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>
        <f>'RESUMEN TOTAL'!T194</f>
        <v>0</v>
      </c>
      <c r="P192" s="23">
        <f>'RESUMEN TOTAL'!U194</f>
        <v>0</v>
      </c>
      <c r="Q192" s="23">
        <f>'RESUMEN TOTAL'!V194</f>
        <v>0</v>
      </c>
      <c r="R192" s="23">
        <f>'RESUMEN TOTAL'!W194</f>
        <v>0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3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3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3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>
        <f>'RESUMEN TOTAL'!T197</f>
        <v>0</v>
      </c>
      <c r="P195" s="23">
        <f>'RESUMEN TOTAL'!U197</f>
        <v>0</v>
      </c>
      <c r="Q195" s="23">
        <f>'RESUMEN TOTAL'!V197</f>
        <v>0</v>
      </c>
      <c r="R195" s="23">
        <f>'RESUMEN TOTAL'!W197</f>
        <v>0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3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>
        <f>'RESUMEN TOTAL'!N198</f>
        <v>0</v>
      </c>
      <c r="J196" s="23">
        <f>'RESUMEN TOTAL'!O198</f>
        <v>0</v>
      </c>
      <c r="K196" s="23">
        <f>'RESUMEN TOTAL'!P198</f>
        <v>0</v>
      </c>
      <c r="L196" s="23">
        <f>'RESUMEN TOTAL'!Q198</f>
        <v>0</v>
      </c>
      <c r="M196" s="23">
        <f>'RESUMEN TOTAL'!R198</f>
        <v>0</v>
      </c>
      <c r="N196" s="23">
        <f>'RESUMEN TOTAL'!S198</f>
        <v>0</v>
      </c>
      <c r="O196" s="23">
        <f>'RESUMEN TOTAL'!T198</f>
        <v>0</v>
      </c>
      <c r="P196" s="23">
        <f>'RESUMEN TOTAL'!U198</f>
        <v>0</v>
      </c>
      <c r="Q196" s="23">
        <f>'RESUMEN TOTAL'!V198</f>
        <v>0</v>
      </c>
      <c r="R196" s="23">
        <f>'RESUMEN TOTAL'!W198</f>
        <v>0</v>
      </c>
      <c r="S196" s="23">
        <f>'RESUMEN TOTAL'!X198</f>
        <v>0</v>
      </c>
      <c r="T196" s="23">
        <f>'RESUMEN TOTAL'!Y198</f>
        <v>0</v>
      </c>
      <c r="U196" s="23">
        <f>'RESUMEN TOTAL'!Z198</f>
        <v>0</v>
      </c>
      <c r="V196" s="23">
        <f>'RESUMEN TOTAL'!AA198</f>
        <v>0</v>
      </c>
      <c r="W196" s="23">
        <f>'RESUMEN TOTAL'!AB198</f>
        <v>0</v>
      </c>
      <c r="X196" s="23">
        <f>'RESUMEN TOTAL'!AC198</f>
        <v>0</v>
      </c>
      <c r="Y196" s="23">
        <f>'RESUMEN TOTAL'!AD198</f>
        <v>0</v>
      </c>
      <c r="Z196" s="23">
        <f>'RESUMEN TOTAL'!AE198</f>
        <v>0</v>
      </c>
      <c r="AA196" s="23">
        <f>'RESUMEN TOTAL'!AF198</f>
        <v>0</v>
      </c>
      <c r="AB196" s="23">
        <f>'RESUMEN TOTAL'!AG198</f>
        <v>0</v>
      </c>
      <c r="AC196" s="23">
        <f>'RESUMEN TOTAL'!AH198</f>
        <v>0</v>
      </c>
      <c r="AD196" s="23">
        <f>'RESUMEN TOTAL'!AI198</f>
        <v>0</v>
      </c>
      <c r="AE196" s="23">
        <f>'RESUMEN TOTAL'!AJ198</f>
        <v>0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3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3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>
        <f>'RESUMEN TOTAL'!T200</f>
        <v>0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3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>
        <f>'RESUMEN TOTAL'!T201</f>
        <v>0</v>
      </c>
      <c r="P199" s="23">
        <f>'RESUMEN TOTAL'!U201</f>
        <v>0</v>
      </c>
      <c r="Q199" s="23">
        <f>'RESUMEN TOTAL'!V201</f>
        <v>0</v>
      </c>
      <c r="R199" s="23">
        <f>'RESUMEN TOTAL'!W201</f>
        <v>0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3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>
        <f>'RESUMEN TOTAL'!T202</f>
        <v>0</v>
      </c>
      <c r="P200" s="23">
        <f>'RESUMEN TOTAL'!U202</f>
        <v>0</v>
      </c>
      <c r="Q200" s="23">
        <f>'RESUMEN TOTAL'!V202</f>
        <v>0</v>
      </c>
      <c r="R200" s="23">
        <f>'RESUMEN TOTAL'!W202</f>
        <v>0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3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>
        <f>'RESUMEN TOTAL'!T203</f>
        <v>0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3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>
        <f>'RESUMEN TOTAL'!T204</f>
        <v>0</v>
      </c>
      <c r="P202" s="23">
        <f>'RESUMEN TOTAL'!U204</f>
        <v>0</v>
      </c>
      <c r="Q202" s="23">
        <f>'RESUMEN TOTAL'!V204</f>
        <v>0</v>
      </c>
      <c r="R202" s="23">
        <f>'RESUMEN TOTAL'!W204</f>
        <v>0</v>
      </c>
      <c r="S202" s="23">
        <f>'RESUMEN TOTAL'!X204</f>
        <v>0</v>
      </c>
      <c r="T202" s="23">
        <f>'RESUMEN TOTAL'!Y204</f>
        <v>0</v>
      </c>
      <c r="U202" s="23">
        <f>'RESUMEN TOTAL'!Z204</f>
        <v>0</v>
      </c>
      <c r="V202" s="23">
        <f>'RESUMEN TOTAL'!AA204</f>
        <v>0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3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>
        <f>'RESUMEN TOTAL'!T205</f>
        <v>0</v>
      </c>
      <c r="P203" s="23">
        <f>'RESUMEN TOTAL'!U205</f>
        <v>0</v>
      </c>
      <c r="Q203" s="23">
        <f>'RESUMEN TOTAL'!V205</f>
        <v>0</v>
      </c>
      <c r="R203" s="23">
        <f>'RESUMEN TOTAL'!W205</f>
        <v>0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3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>
        <f>'RESUMEN TOTAL'!T206</f>
        <v>0</v>
      </c>
      <c r="P204" s="23">
        <f>'RESUMEN TOTAL'!U206</f>
        <v>0</v>
      </c>
      <c r="Q204" s="23">
        <f>'RESUMEN TOTAL'!V206</f>
        <v>0</v>
      </c>
      <c r="R204" s="23">
        <f>'RESUMEN TOTAL'!W206</f>
        <v>0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3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3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3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>
        <f>'RESUMEN TOTAL'!O209</f>
        <v>0</v>
      </c>
      <c r="K207" s="23">
        <f>'RESUMEN TOTAL'!P209</f>
        <v>0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3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3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>
        <f>'RESUMEN TOTAL'!T211</f>
        <v>0</v>
      </c>
      <c r="P209" s="23">
        <f>'RESUMEN TOTAL'!U211</f>
        <v>0</v>
      </c>
      <c r="Q209" s="23">
        <f>'RESUMEN TOTAL'!V211</f>
        <v>0</v>
      </c>
      <c r="R209" s="23">
        <f>'RESUMEN TOTAL'!W211</f>
        <v>0</v>
      </c>
      <c r="S209" s="23">
        <f>'RESUMEN TOTAL'!X211</f>
        <v>0</v>
      </c>
      <c r="T209" s="23">
        <f>'RESUMEN TOTAL'!Y211</f>
        <v>0</v>
      </c>
      <c r="U209" s="23">
        <f>'RESUMEN TOTAL'!Z211</f>
        <v>0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>
        <f>'RESUMEN TOTAL'!AG211</f>
        <v>0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3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>
        <f>'RESUMEN TOTAL'!AH212</f>
        <v>0</v>
      </c>
      <c r="AD210" s="23">
        <f>'RESUMEN TOTAL'!AI212</f>
        <v>0</v>
      </c>
      <c r="AE210" s="23">
        <f>'RESUMEN TOTAL'!AJ212</f>
        <v>0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3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3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3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3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>
        <f>'RESUMEN TOTAL'!AG216</f>
        <v>0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3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>
        <f>'RESUMEN TOTAL'!AG217</f>
        <v>0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3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>
        <f>'RESUMEN TOTAL'!S218</f>
        <v>0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3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>
        <f>'RESUMEN TOTAL'!S219</f>
        <v>0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3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>
        <f>'RESUMEN TOTAL'!AC220</f>
        <v>0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>
        <f>'RESUMEN TOTAL'!AI220</f>
        <v>0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3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>
        <f>'RESUMEN TOTAL'!AI221</f>
        <v>0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3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>
        <f>'RESUMEN TOTAL'!AI222</f>
        <v>0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3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>
        <f>'RESUMEN TOTAL'!AI223</f>
        <v>0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3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>
        <f>'RESUMEN TOTAL'!T224</f>
        <v>0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3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>
        <f>'RESUMEN TOTAL'!T225</f>
        <v>0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3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3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3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3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>
        <f>'RESUMEN TOTAL'!N229</f>
        <v>0</v>
      </c>
      <c r="J227" s="23">
        <f>'RESUMEN TOTAL'!O229</f>
        <v>0</v>
      </c>
      <c r="K227" s="23">
        <f>'RESUMEN TOTAL'!P229</f>
        <v>0</v>
      </c>
      <c r="L227" s="23">
        <f>'RESUMEN TOTAL'!Q229</f>
        <v>0</v>
      </c>
      <c r="M227" s="23">
        <f>'RESUMEN TOTAL'!R229</f>
        <v>0</v>
      </c>
      <c r="N227" s="23">
        <f>'RESUMEN TOTAL'!S229</f>
        <v>0</v>
      </c>
      <c r="O227" s="23">
        <f>'RESUMEN TOTAL'!T229</f>
        <v>0</v>
      </c>
      <c r="P227" s="23">
        <f>'RESUMEN TOTAL'!U229</f>
        <v>0</v>
      </c>
      <c r="Q227" s="23">
        <f>'RESUMEN TOTAL'!V229</f>
        <v>0</v>
      </c>
      <c r="R227" s="23">
        <f>'RESUMEN TOTAL'!W229</f>
        <v>0</v>
      </c>
      <c r="S227" s="23">
        <f>'RESUMEN TOTAL'!X229</f>
        <v>0</v>
      </c>
      <c r="T227" s="23">
        <f>'RESUMEN TOTAL'!Y229</f>
        <v>0</v>
      </c>
      <c r="U227" s="23">
        <f>'RESUMEN TOTAL'!Z229</f>
        <v>0</v>
      </c>
      <c r="V227" s="23">
        <f>'RESUMEN TOTAL'!AA229</f>
        <v>0</v>
      </c>
      <c r="W227" s="23">
        <f>'RESUMEN TOTAL'!AB229</f>
        <v>0</v>
      </c>
      <c r="X227" s="23">
        <f>'RESUMEN TOTAL'!AC229</f>
        <v>0</v>
      </c>
      <c r="Y227" s="23">
        <f>'RESUMEN TOTAL'!AD229</f>
        <v>0</v>
      </c>
      <c r="Z227" s="23">
        <f>'RESUMEN TOTAL'!AE229</f>
        <v>0</v>
      </c>
      <c r="AA227" s="23">
        <f>'RESUMEN TOTAL'!AF229</f>
        <v>0</v>
      </c>
      <c r="AB227" s="23">
        <f>'RESUMEN TOTAL'!AG229</f>
        <v>0</v>
      </c>
      <c r="AC227" s="23">
        <f>'RESUMEN TOTAL'!AH229</f>
        <v>0</v>
      </c>
      <c r="AD227" s="23">
        <f>'RESUMEN TOTAL'!AI229</f>
        <v>0</v>
      </c>
      <c r="AE227" s="23">
        <f>'RESUMEN TOTAL'!AJ229</f>
        <v>0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3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3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3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>
        <f>'RESUMEN TOTAL'!T232</f>
        <v>0</v>
      </c>
      <c r="P230" s="23">
        <f>'RESUMEN TOTAL'!U232</f>
        <v>0</v>
      </c>
      <c r="Q230" s="23">
        <f>'RESUMEN TOTAL'!V232</f>
        <v>0</v>
      </c>
      <c r="R230" s="23">
        <f>'RESUMEN TOTAL'!W232</f>
        <v>0</v>
      </c>
      <c r="S230" s="23">
        <f>'RESUMEN TOTAL'!X232</f>
        <v>0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3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>
        <f>'RESUMEN TOTAL'!X233</f>
        <v>0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3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3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3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>
        <f>'RESUMEN TOTAL'!N236</f>
        <v>0</v>
      </c>
      <c r="J234" s="23">
        <f>'RESUMEN TOTAL'!O236</f>
        <v>0</v>
      </c>
      <c r="K234" s="23">
        <f>'RESUMEN TOTAL'!P236</f>
        <v>0</v>
      </c>
      <c r="L234" s="23">
        <f>'RESUMEN TOTAL'!Q236</f>
        <v>0</v>
      </c>
      <c r="M234" s="23">
        <f>'RESUMEN TOTAL'!R236</f>
        <v>0</v>
      </c>
      <c r="N234" s="23">
        <f>'RESUMEN TOTAL'!S236</f>
        <v>0</v>
      </c>
      <c r="O234" s="23">
        <f>'RESUMEN TOTAL'!T236</f>
        <v>0</v>
      </c>
      <c r="P234" s="23">
        <f>'RESUMEN TOTAL'!U236</f>
        <v>0</v>
      </c>
      <c r="Q234" s="23">
        <f>'RESUMEN TOTAL'!V236</f>
        <v>0</v>
      </c>
      <c r="R234" s="23">
        <f>'RESUMEN TOTAL'!W236</f>
        <v>0</v>
      </c>
      <c r="S234" s="23">
        <f>'RESUMEN TOTAL'!X236</f>
        <v>0</v>
      </c>
      <c r="T234" s="23">
        <f>'RESUMEN TOTAL'!Y236</f>
        <v>0</v>
      </c>
      <c r="U234" s="23">
        <f>'RESUMEN TOTAL'!Z236</f>
        <v>0</v>
      </c>
      <c r="V234" s="23">
        <f>'RESUMEN TOTAL'!AA236</f>
        <v>0</v>
      </c>
      <c r="W234" s="23">
        <f>'RESUMEN TOTAL'!AB236</f>
        <v>0</v>
      </c>
      <c r="X234" s="23">
        <f>'RESUMEN TOTAL'!AC236</f>
        <v>0</v>
      </c>
      <c r="Y234" s="23">
        <f>'RESUMEN TOTAL'!AD236</f>
        <v>0</v>
      </c>
      <c r="Z234" s="23">
        <f>'RESUMEN TOTAL'!AE236</f>
        <v>0</v>
      </c>
      <c r="AA234" s="23">
        <f>'RESUMEN TOTAL'!AF236</f>
        <v>0</v>
      </c>
      <c r="AB234" s="23">
        <f>'RESUMEN TOTAL'!AG236</f>
        <v>0</v>
      </c>
      <c r="AC234" s="23">
        <f>'RESUMEN TOTAL'!AH236</f>
        <v>0</v>
      </c>
      <c r="AD234" s="23">
        <f>'RESUMEN TOTAL'!AI236</f>
        <v>0</v>
      </c>
      <c r="AE234" s="23">
        <f>'RESUMEN TOTAL'!AJ236</f>
        <v>0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3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>
        <f>'RESUMEN TOTAL'!AI237</f>
        <v>0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3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>
        <f>'RESUMEN TOTAL'!AI238</f>
        <v>0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3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3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3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>
        <f>'RESUMEN TOTAL'!AG241</f>
        <v>0</v>
      </c>
      <c r="AC239" s="23">
        <f>'RESUMEN TOTAL'!AH241</f>
        <v>0</v>
      </c>
      <c r="AD239" s="23">
        <f>'RESUMEN TOTAL'!AI241</f>
        <v>0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3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3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>
        <f>'RESUMEN TOTAL'!U243</f>
        <v>0</v>
      </c>
      <c r="Q241" s="23">
        <f>'RESUMEN TOTAL'!V243</f>
        <v>0</v>
      </c>
      <c r="R241" s="23">
        <f>'RESUMEN TOTAL'!W243</f>
        <v>0</v>
      </c>
      <c r="S241" s="23">
        <f>'RESUMEN TOTAL'!X243</f>
        <v>0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3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3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>
        <f>'RESUMEN TOTAL'!T245</f>
        <v>0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3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3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3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>
        <f>'RESUMEN TOTAL'!N248</f>
        <v>0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3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>
        <f>'RESUMEN TOTAL'!N249</f>
        <v>0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3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>
        <f>'RESUMEN TOTAL'!N250</f>
        <v>0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3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>
        <f>'RESUMEN TOTAL'!N251</f>
        <v>0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>
        <f>'RESUMEN TOTAL'!U251</f>
        <v>0</v>
      </c>
      <c r="Q249" s="23">
        <f>'RESUMEN TOTAL'!V251</f>
        <v>0</v>
      </c>
      <c r="R249" s="23">
        <f>'RESUMEN TOTAL'!W251</f>
        <v>0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3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3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3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>
        <f>'RESUMEN TOTAL'!AB254</f>
        <v>0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3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>
        <f>'RESUMEN TOTAL'!T255</f>
        <v>0</v>
      </c>
      <c r="P253" s="23">
        <f>'RESUMEN TOTAL'!U255</f>
        <v>0</v>
      </c>
      <c r="Q253" s="23">
        <f>'RESUMEN TOTAL'!V255</f>
        <v>0</v>
      </c>
      <c r="R253" s="23">
        <f>'RESUMEN TOTAL'!W255</f>
        <v>0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>
        <f>'RESUMEN TOTAL'!AB255</f>
        <v>0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3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>
        <f>'RESUMEN TOTAL'!N256</f>
        <v>0</v>
      </c>
      <c r="J254" s="23">
        <f>'RESUMEN TOTAL'!O256</f>
        <v>0</v>
      </c>
      <c r="K254" s="23">
        <f>'RESUMEN TOTAL'!P256</f>
        <v>0</v>
      </c>
      <c r="L254" s="23">
        <f>'RESUMEN TOTAL'!Q256</f>
        <v>0</v>
      </c>
      <c r="M254" s="23">
        <f>'RESUMEN TOTAL'!R256</f>
        <v>0</v>
      </c>
      <c r="N254" s="23">
        <f>'RESUMEN TOTAL'!S256</f>
        <v>0</v>
      </c>
      <c r="O254" s="23">
        <f>'RESUMEN TOTAL'!T256</f>
        <v>0</v>
      </c>
      <c r="P254" s="23">
        <f>'RESUMEN TOTAL'!U256</f>
        <v>0</v>
      </c>
      <c r="Q254" s="23">
        <f>'RESUMEN TOTAL'!V256</f>
        <v>0</v>
      </c>
      <c r="R254" s="23">
        <f>'RESUMEN TOTAL'!W256</f>
        <v>0</v>
      </c>
      <c r="S254" s="23">
        <f>'RESUMEN TOTAL'!X256</f>
        <v>0</v>
      </c>
      <c r="T254" s="23">
        <f>'RESUMEN TOTAL'!Y256</f>
        <v>0</v>
      </c>
      <c r="U254" s="23">
        <f>'RESUMEN TOTAL'!Z256</f>
        <v>0</v>
      </c>
      <c r="V254" s="23">
        <f>'RESUMEN TOTAL'!AA256</f>
        <v>0</v>
      </c>
      <c r="W254" s="23">
        <f>'RESUMEN TOTAL'!AB256</f>
        <v>0</v>
      </c>
      <c r="X254" s="23">
        <f>'RESUMEN TOTAL'!AC256</f>
        <v>0</v>
      </c>
      <c r="Y254" s="23">
        <f>'RESUMEN TOTAL'!AD256</f>
        <v>0</v>
      </c>
      <c r="Z254" s="23">
        <f>'RESUMEN TOTAL'!AE256</f>
        <v>0</v>
      </c>
      <c r="AA254" s="23">
        <f>'RESUMEN TOTAL'!AF256</f>
        <v>0</v>
      </c>
      <c r="AB254" s="23">
        <f>'RESUMEN TOTAL'!AG256</f>
        <v>0</v>
      </c>
      <c r="AC254" s="23">
        <f>'RESUMEN TOTAL'!AH256</f>
        <v>0</v>
      </c>
      <c r="AD254" s="23">
        <f>'RESUMEN TOTAL'!AI256</f>
        <v>0</v>
      </c>
      <c r="AE254" s="23">
        <f>'RESUMEN TOTAL'!AJ256</f>
        <v>0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3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3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3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3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3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3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3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3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3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3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>
        <f>'RESUMEN TOTAL'!AI267</f>
        <v>0</v>
      </c>
      <c r="AE264" s="23">
        <f>'RESUMEN TOTAL'!AJ267</f>
        <v>0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3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>
        <f>'RESUMEN TOTAL'!AI268</f>
        <v>0</v>
      </c>
      <c r="AE265" s="23">
        <f>'RESUMEN TOTAL'!AJ268</f>
        <v>0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3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3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3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3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3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3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3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>
        <f>'RESUMEN TOTAL'!T275</f>
        <v>0</v>
      </c>
      <c r="P272" s="23">
        <f>'RESUMEN TOTAL'!U275</f>
        <v>0</v>
      </c>
      <c r="Q272" s="23">
        <f>'RESUMEN TOTAL'!V275</f>
        <v>0</v>
      </c>
      <c r="R272" s="23">
        <f>'RESUMEN TOTAL'!W275</f>
        <v>0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>
        <f>'RESUMEN TOTAL'!AI275</f>
        <v>0</v>
      </c>
      <c r="AE272" s="23">
        <f>'RESUMEN TOTAL'!AJ275</f>
        <v>0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3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3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>
        <f>'RESUMEN TOTAL'!T277</f>
        <v>0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3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>
        <f>'RESUMEN TOTAL'!T278</f>
        <v>0</v>
      </c>
      <c r="P275" s="23">
        <f>'RESUMEN TOTAL'!U278</f>
        <v>0</v>
      </c>
      <c r="Q275" s="23">
        <f>'RESUMEN TOTAL'!V278</f>
        <v>0</v>
      </c>
      <c r="R275" s="23">
        <f>'RESUMEN TOTAL'!W278</f>
        <v>0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3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>
        <f>'RESUMEN TOTAL'!N279</f>
        <v>0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3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3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3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3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>
        <f>'RESUMEN TOTAL'!U283</f>
        <v>0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>
        <f>'RESUMEN TOTAL'!AG283</f>
        <v>0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3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3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>
        <f>'RESUMEN TOTAL'!V285</f>
        <v>0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3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3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3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>
        <f>'RESUMEN TOTAL'!AB288</f>
        <v>0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3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>
        <f>'RESUMEN TOTAL'!AB289</f>
        <v>0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3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3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3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3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3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>
        <f>'RESUMEN TOTAL'!AB294</f>
        <v>0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3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3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>
        <f>'RESUMEN TOTAL'!T296</f>
        <v>0</v>
      </c>
      <c r="P293" s="23">
        <f>'RESUMEN TOTAL'!U296</f>
        <v>0</v>
      </c>
      <c r="Q293" s="23">
        <f>'RESUMEN TOTAL'!V296</f>
        <v>0</v>
      </c>
      <c r="R293" s="23">
        <f>'RESUMEN TOTAL'!W296</f>
        <v>0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>
        <f>'RESUMEN TOTAL'!AB296</f>
        <v>0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3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>
        <f>'RESUMEN TOTAL'!T297</f>
        <v>0</v>
      </c>
      <c r="P294" s="23">
        <f>'RESUMEN TOTAL'!U297</f>
        <v>0</v>
      </c>
      <c r="Q294" s="23">
        <f>'RESUMEN TOTAL'!V297</f>
        <v>0</v>
      </c>
      <c r="R294" s="23">
        <f>'RESUMEN TOTAL'!W297</f>
        <v>0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3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>
        <f>'RESUMEN TOTAL'!T298</f>
        <v>0</v>
      </c>
      <c r="P295" s="23">
        <f>'RESUMEN TOTAL'!U298</f>
        <v>0</v>
      </c>
      <c r="Q295" s="23">
        <f>'RESUMEN TOTAL'!V298</f>
        <v>0</v>
      </c>
      <c r="R295" s="23">
        <f>'RESUMEN TOTAL'!W298</f>
        <v>0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3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3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3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3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>
        <f>'RESUMEN TOTAL'!T302</f>
        <v>0</v>
      </c>
      <c r="P299" s="23">
        <f>'RESUMEN TOTAL'!U302</f>
        <v>0</v>
      </c>
      <c r="Q299" s="23">
        <f>'RESUMEN TOTAL'!V302</f>
        <v>0</v>
      </c>
      <c r="R299" s="23">
        <f>'RESUMEN TOTAL'!W302</f>
        <v>0</v>
      </c>
      <c r="S299" s="23">
        <f>'RESUMEN TOTAL'!X302</f>
        <v>0</v>
      </c>
      <c r="T299" s="23">
        <f>'RESUMEN TOTAL'!Y302</f>
        <v>0</v>
      </c>
      <c r="U299" s="23">
        <f>'RESUMEN TOTAL'!Z302</f>
        <v>0</v>
      </c>
      <c r="V299" s="23">
        <f>'RESUMEN TOTAL'!AA302</f>
        <v>0</v>
      </c>
      <c r="W299" s="23">
        <f>'RESUMEN TOTAL'!AB302</f>
        <v>0</v>
      </c>
      <c r="X299" s="23">
        <f>'RESUMEN TOTAL'!AC302</f>
        <v>0</v>
      </c>
      <c r="Y299" s="23">
        <f>'RESUMEN TOTAL'!AD302</f>
        <v>0</v>
      </c>
      <c r="Z299" s="23">
        <f>'RESUMEN TOTAL'!AE302</f>
        <v>0</v>
      </c>
      <c r="AA299" s="23">
        <f>'RESUMEN TOTAL'!AF302</f>
        <v>0</v>
      </c>
      <c r="AB299" s="23">
        <f>'RESUMEN TOTAL'!AG302</f>
        <v>0</v>
      </c>
      <c r="AC299" s="23">
        <f>'RESUMEN TOTAL'!AH302</f>
        <v>0</v>
      </c>
      <c r="AD299" s="23">
        <f>'RESUMEN TOTAL'!AI302</f>
        <v>0</v>
      </c>
      <c r="AE299" s="23">
        <f>'RESUMEN TOTAL'!AJ302</f>
        <v>0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3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3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3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3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3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>
        <f>'RESUMEN TOTAL'!T307</f>
        <v>0</v>
      </c>
      <c r="P304" s="23">
        <f>'RESUMEN TOTAL'!U307</f>
        <v>0</v>
      </c>
      <c r="Q304" s="23">
        <f>'RESUMEN TOTAL'!V307</f>
        <v>0</v>
      </c>
      <c r="R304" s="23">
        <f>'RESUMEN TOTAL'!W307</f>
        <v>0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3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3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3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3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3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>
        <f>'RESUMEN TOTAL'!Y312</f>
        <v>0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3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3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3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>
        <f>'RESUMEN TOTAL'!O315</f>
        <v>0</v>
      </c>
      <c r="K312" s="23">
        <f>'RESUMEN TOTAL'!P315</f>
        <v>0</v>
      </c>
      <c r="L312" s="23">
        <f>'RESUMEN TOTAL'!Q315</f>
        <v>0</v>
      </c>
      <c r="M312" s="23">
        <f>'RESUMEN TOTAL'!R315</f>
        <v>0</v>
      </c>
      <c r="N312" s="23">
        <f>'RESUMEN TOTAL'!S315</f>
        <v>0</v>
      </c>
      <c r="O312" s="23">
        <f>'RESUMEN TOTAL'!T315</f>
        <v>0</v>
      </c>
      <c r="P312" s="23">
        <f>'RESUMEN TOTAL'!U315</f>
        <v>0</v>
      </c>
      <c r="Q312" s="23">
        <f>'RESUMEN TOTAL'!V315</f>
        <v>0</v>
      </c>
      <c r="R312" s="23">
        <f>'RESUMEN TOTAL'!W315</f>
        <v>0</v>
      </c>
      <c r="S312" s="23">
        <f>'RESUMEN TOTAL'!X315</f>
        <v>0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>
        <f>'RESUMEN TOTAL'!AI315</f>
        <v>0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3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>
        <f>'RESUMEN TOTAL'!O316</f>
        <v>0</v>
      </c>
      <c r="K313" s="23">
        <f>'RESUMEN TOTAL'!P316</f>
        <v>0</v>
      </c>
      <c r="L313" s="23">
        <f>'RESUMEN TOTAL'!Q316</f>
        <v>0</v>
      </c>
      <c r="M313" s="23">
        <f>'RESUMEN TOTAL'!R316</f>
        <v>0</v>
      </c>
      <c r="N313" s="23">
        <f>'RESUMEN TOTAL'!S316</f>
        <v>0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>
        <f>'RESUMEN TOTAL'!X316</f>
        <v>0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>
        <f>'RESUMEN TOTAL'!AI316</f>
        <v>0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3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3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3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3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3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>
        <f>'RESUMEN TOTAL'!AF321</f>
        <v>0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3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>
        <f>'RESUMEN TOTAL'!T322</f>
        <v>0</v>
      </c>
      <c r="P319" s="23">
        <f>'RESUMEN TOTAL'!U322</f>
        <v>0</v>
      </c>
      <c r="Q319" s="23">
        <f>'RESUMEN TOTAL'!V322</f>
        <v>0</v>
      </c>
      <c r="R319" s="23">
        <f>'RESUMEN TOTAL'!W322</f>
        <v>0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3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>
        <f>'RESUMEN TOTAL'!AG323</f>
        <v>0</v>
      </c>
      <c r="AC320" s="23">
        <f>'RESUMEN TOTAL'!AH323</f>
        <v>0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3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3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>
        <f>'RESUMEN TOTAL'!Q325</f>
        <v>0</v>
      </c>
      <c r="M322" s="23">
        <f>'RESUMEN TOTAL'!R325</f>
        <v>0</v>
      </c>
      <c r="N322" s="23">
        <f>'RESUMEN TOTAL'!S325</f>
        <v>0</v>
      </c>
      <c r="O322" s="23">
        <f>'RESUMEN TOTAL'!T325</f>
        <v>0</v>
      </c>
      <c r="P322" s="23">
        <f>'RESUMEN TOTAL'!U325</f>
        <v>0</v>
      </c>
      <c r="Q322" s="23">
        <f>'RESUMEN TOTAL'!V325</f>
        <v>0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>
        <f>'RESUMEN TOTAL'!Z325</f>
        <v>0</v>
      </c>
      <c r="V322" s="23">
        <f>'RESUMEN TOTAL'!AA325</f>
        <v>0</v>
      </c>
      <c r="W322" s="23">
        <f>'RESUMEN TOTAL'!AB325</f>
        <v>0</v>
      </c>
      <c r="X322" s="23">
        <f>'RESUMEN TOTAL'!AC325</f>
        <v>0</v>
      </c>
      <c r="Y322" s="23">
        <f>'RESUMEN TOTAL'!AD325</f>
        <v>0</v>
      </c>
      <c r="Z322" s="23">
        <f>'RESUMEN TOTAL'!AE325</f>
        <v>0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3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3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3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>
        <f>'RESUMEN TOTAL'!T328</f>
        <v>0</v>
      </c>
      <c r="P325" s="23">
        <f>'RESUMEN TOTAL'!U328</f>
        <v>0</v>
      </c>
      <c r="Q325" s="23">
        <f>'RESUMEN TOTAL'!V328</f>
        <v>0</v>
      </c>
      <c r="R325" s="23">
        <f>'RESUMEN TOTAL'!W328</f>
        <v>0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3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3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3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>
        <f>'RESUMEN TOTAL'!T331</f>
        <v>0</v>
      </c>
      <c r="P328" s="23">
        <f>'RESUMEN TOTAL'!U331</f>
        <v>0</v>
      </c>
      <c r="Q328" s="23">
        <f>'RESUMEN TOTAL'!V331</f>
        <v>0</v>
      </c>
      <c r="R328" s="23">
        <f>'RESUMEN TOTAL'!W331</f>
        <v>0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3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>
        <f>'RESUMEN TOTAL'!T332</f>
        <v>0</v>
      </c>
      <c r="P329" s="23">
        <f>'RESUMEN TOTAL'!U332</f>
        <v>0</v>
      </c>
      <c r="Q329" s="23">
        <f>'RESUMEN TOTAL'!V332</f>
        <v>0</v>
      </c>
      <c r="R329" s="23">
        <f>'RESUMEN TOTAL'!W332</f>
        <v>0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3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>
        <f>'RESUMEN TOTAL'!T333</f>
        <v>0</v>
      </c>
      <c r="P330" s="23">
        <f>'RESUMEN TOTAL'!U333</f>
        <v>0</v>
      </c>
      <c r="Q330" s="23">
        <f>'RESUMEN TOTAL'!V333</f>
        <v>0</v>
      </c>
      <c r="R330" s="23">
        <f>'RESUMEN TOTAL'!W333</f>
        <v>0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3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3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>
        <f>'RESUMEN TOTAL'!AH335</f>
        <v>0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3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>
        <f>'RESUMEN TOTAL'!AC336</f>
        <v>0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3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>
        <f>'RESUMEN TOTAL'!AC337</f>
        <v>0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3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3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3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3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3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3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3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3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>
        <f>'RESUMEN TOTAL'!T345</f>
        <v>0</v>
      </c>
      <c r="P342" s="23">
        <f>'RESUMEN TOTAL'!U345</f>
        <v>0</v>
      </c>
      <c r="Q342" s="23">
        <f>'RESUMEN TOTAL'!V345</f>
        <v>0</v>
      </c>
      <c r="R342" s="23">
        <f>'RESUMEN TOTAL'!W345</f>
        <v>0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>
        <f>'RESUMEN TOTAL'!AG345</f>
        <v>0</v>
      </c>
      <c r="AC342" s="23">
        <f>'RESUMEN TOTAL'!AH345</f>
        <v>0</v>
      </c>
      <c r="AD342" s="23">
        <f>'RESUMEN TOTAL'!AI345</f>
        <v>0</v>
      </c>
      <c r="AE342" s="23">
        <f>'RESUMEN TOTAL'!AJ345</f>
        <v>0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3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3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>
        <f>'RESUMEN TOTAL'!O347</f>
        <v>0</v>
      </c>
      <c r="K344" s="23">
        <f>'RESUMEN TOTAL'!P347</f>
        <v>0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>
        <f>'RESUMEN TOTAL'!AG347</f>
        <v>0</v>
      </c>
      <c r="AC344" s="23">
        <f>'RESUMEN TOTAL'!AH347</f>
        <v>0</v>
      </c>
      <c r="AD344" s="23">
        <f>'RESUMEN TOTAL'!AI347</f>
        <v>0</v>
      </c>
      <c r="AE344" s="23">
        <f>'RESUMEN TOTAL'!AJ347</f>
        <v>0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3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>
        <f>'RESUMEN TOTAL'!AG348</f>
        <v>0</v>
      </c>
      <c r="AC345" s="23">
        <f>'RESUMEN TOTAL'!AH348</f>
        <v>0</v>
      </c>
      <c r="AD345" s="23">
        <f>'RESUMEN TOTAL'!AI348</f>
        <v>0</v>
      </c>
      <c r="AE345" s="23">
        <f>'RESUMEN TOTAL'!AJ348</f>
        <v>0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3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>
        <f>'RESUMEN TOTAL'!AG349</f>
        <v>0</v>
      </c>
      <c r="AC346" s="23">
        <f>'RESUMEN TOTAL'!AH349</f>
        <v>0</v>
      </c>
      <c r="AD346" s="23">
        <f>'RESUMEN TOTAL'!AI349</f>
        <v>0</v>
      </c>
      <c r="AE346" s="23">
        <f>'RESUMEN TOTAL'!AJ349</f>
        <v>0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3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>
        <f>'RESUMEN TOTAL'!AG350</f>
        <v>0</v>
      </c>
      <c r="AC347" s="23">
        <f>'RESUMEN TOTAL'!AH350</f>
        <v>0</v>
      </c>
      <c r="AD347" s="23">
        <f>'RESUMEN TOTAL'!AI350</f>
        <v>0</v>
      </c>
      <c r="AE347" s="23">
        <f>'RESUMEN TOTAL'!AJ350</f>
        <v>0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3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>
        <f>'RESUMEN TOTAL'!AG351</f>
        <v>0</v>
      </c>
      <c r="AC348" s="23">
        <f>'RESUMEN TOTAL'!AH351</f>
        <v>0</v>
      </c>
      <c r="AD348" s="23">
        <f>'RESUMEN TOTAL'!AI351</f>
        <v>0</v>
      </c>
      <c r="AE348" s="23">
        <f>'RESUMEN TOTAL'!AJ351</f>
        <v>0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3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>
        <f>'RESUMEN TOTAL'!Y352</f>
        <v>0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3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>
        <f>'RESUMEN TOTAL'!Y353</f>
        <v>0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3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>
        <f>'RESUMEN TOTAL'!O354</f>
        <v>0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>
        <f>'RESUMEN TOTAL'!W354</f>
        <v>0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3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>
        <f>'RESUMEN TOTAL'!T355</f>
        <v>0</v>
      </c>
      <c r="P352" s="23">
        <f>'RESUMEN TOTAL'!U355</f>
        <v>0</v>
      </c>
      <c r="Q352" s="23">
        <f>'RESUMEN TOTAL'!V355</f>
        <v>0</v>
      </c>
      <c r="R352" s="23">
        <f>'RESUMEN TOTAL'!W355</f>
        <v>0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3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>
        <f>'RESUMEN TOTAL'!N356</f>
        <v>0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3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3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>
        <f>'RESUMEN TOTAL'!AG358</f>
        <v>0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3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3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>
        <f>'RESUMEN TOTAL'!N360</f>
        <v>0</v>
      </c>
      <c r="J357" s="23">
        <f>'RESUMEN TOTAL'!O360</f>
        <v>0</v>
      </c>
      <c r="K357" s="23">
        <f>'RESUMEN TOTAL'!P360</f>
        <v>0</v>
      </c>
      <c r="L357" s="23">
        <f>'RESUMEN TOTAL'!Q360</f>
        <v>0</v>
      </c>
      <c r="M357" s="23">
        <f>'RESUMEN TOTAL'!R360</f>
        <v>0</v>
      </c>
      <c r="N357" s="23">
        <f>'RESUMEN TOTAL'!S360</f>
        <v>0</v>
      </c>
      <c r="O357" s="23">
        <f>'RESUMEN TOTAL'!T360</f>
        <v>0</v>
      </c>
      <c r="P357" s="23">
        <f>'RESUMEN TOTAL'!U360</f>
        <v>0</v>
      </c>
      <c r="Q357" s="23">
        <f>'RESUMEN TOTAL'!V360</f>
        <v>0</v>
      </c>
      <c r="R357" s="23">
        <f>'RESUMEN TOTAL'!W360</f>
        <v>0</v>
      </c>
      <c r="S357" s="23">
        <f>'RESUMEN TOTAL'!X360</f>
        <v>0</v>
      </c>
      <c r="T357" s="23">
        <f>'RESUMEN TOTAL'!Y360</f>
        <v>0</v>
      </c>
      <c r="U357" s="23">
        <f>'RESUMEN TOTAL'!Z360</f>
        <v>0</v>
      </c>
      <c r="V357" s="23">
        <f>'RESUMEN TOTAL'!AA360</f>
        <v>0</v>
      </c>
      <c r="W357" s="23">
        <f>'RESUMEN TOTAL'!AB360</f>
        <v>0</v>
      </c>
      <c r="X357" s="23">
        <f>'RESUMEN TOTAL'!AC360</f>
        <v>0</v>
      </c>
      <c r="Y357" s="23">
        <f>'RESUMEN TOTAL'!AD360</f>
        <v>0</v>
      </c>
      <c r="Z357" s="23">
        <f>'RESUMEN TOTAL'!AE360</f>
        <v>0</v>
      </c>
      <c r="AA357" s="23">
        <f>'RESUMEN TOTAL'!AF360</f>
        <v>0</v>
      </c>
      <c r="AB357" s="23">
        <f>'RESUMEN TOTAL'!AG360</f>
        <v>0</v>
      </c>
      <c r="AC357" s="23">
        <f>'RESUMEN TOTAL'!AH360</f>
        <v>0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3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3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3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3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3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3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3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>
        <f>'RESUMEN TOTAL'!T367</f>
        <v>0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3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3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>
        <f>'RESUMEN TOTAL'!T369</f>
        <v>0</v>
      </c>
      <c r="P366" s="23">
        <f>'RESUMEN TOTAL'!U369</f>
        <v>0</v>
      </c>
      <c r="Q366" s="23">
        <f>'RESUMEN TOTAL'!V369</f>
        <v>0</v>
      </c>
      <c r="R366" s="23">
        <f>'RESUMEN TOTAL'!W369</f>
        <v>0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3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3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>
        <f>'RESUMEN TOTAL'!U371</f>
        <v>0</v>
      </c>
      <c r="Q368" s="23">
        <f>'RESUMEN TOTAL'!V371</f>
        <v>0</v>
      </c>
      <c r="R368" s="23">
        <f>'RESUMEN TOTAL'!W371</f>
        <v>0</v>
      </c>
      <c r="S368" s="23">
        <f>'RESUMEN TOTAL'!X371</f>
        <v>0</v>
      </c>
      <c r="T368" s="23">
        <f>'RESUMEN TOTAL'!Y371</f>
        <v>0</v>
      </c>
      <c r="U368" s="23">
        <f>'RESUMEN TOTAL'!Z371</f>
        <v>0</v>
      </c>
      <c r="V368" s="23">
        <f>'RESUMEN TOTAL'!AA371</f>
        <v>0</v>
      </c>
      <c r="W368" s="23">
        <f>'RESUMEN TOTAL'!AB371</f>
        <v>0</v>
      </c>
      <c r="X368" s="23">
        <f>'RESUMEN TOTAL'!AC371</f>
        <v>0</v>
      </c>
      <c r="Y368" s="23">
        <f>'RESUMEN TOTAL'!AD371</f>
        <v>0</v>
      </c>
      <c r="Z368" s="23">
        <f>'RESUMEN TOTAL'!AE371</f>
        <v>0</v>
      </c>
      <c r="AA368" s="23">
        <f>'RESUMEN TOTAL'!AF371</f>
        <v>0</v>
      </c>
      <c r="AB368" s="23">
        <f>'RESUMEN TOTAL'!AG371</f>
        <v>0</v>
      </c>
      <c r="AC368" s="23">
        <f>'RESUMEN TOTAL'!AH371</f>
        <v>0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3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>
        <f>'RESUMEN TOTAL'!P372</f>
        <v>0</v>
      </c>
      <c r="L369" s="23">
        <f>'RESUMEN TOTAL'!Q372</f>
        <v>0</v>
      </c>
      <c r="M369" s="23">
        <f>'RESUMEN TOTAL'!R372</f>
        <v>0</v>
      </c>
      <c r="N369" s="23">
        <f>'RESUMEN TOTAL'!S372</f>
        <v>0</v>
      </c>
      <c r="O369" s="23">
        <f>'RESUMEN TOTAL'!T372</f>
        <v>0</v>
      </c>
      <c r="P369" s="23">
        <f>'RESUMEN TOTAL'!U372</f>
        <v>0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3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>
        <f>'RESUMEN TOTAL'!T373</f>
        <v>0</v>
      </c>
      <c r="P370" s="23">
        <f>'RESUMEN TOTAL'!U373</f>
        <v>0</v>
      </c>
      <c r="Q370" s="23">
        <f>'RESUMEN TOTAL'!V373</f>
        <v>0</v>
      </c>
      <c r="R370" s="23">
        <f>'RESUMEN TOTAL'!W373</f>
        <v>0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3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>
        <f>'RESUMEN TOTAL'!S374</f>
        <v>0</v>
      </c>
      <c r="O371" s="23">
        <f>'RESUMEN TOTAL'!T374</f>
        <v>0</v>
      </c>
      <c r="P371" s="23">
        <f>'RESUMEN TOTAL'!U374</f>
        <v>0</v>
      </c>
      <c r="Q371" s="23">
        <f>'RESUMEN TOTAL'!V374</f>
        <v>0</v>
      </c>
      <c r="R371" s="23">
        <f>'RESUMEN TOTAL'!W374</f>
        <v>0</v>
      </c>
      <c r="S371" s="23">
        <f>'RESUMEN TOTAL'!X374</f>
        <v>0</v>
      </c>
      <c r="T371" s="23">
        <f>'RESUMEN TOTAL'!Y374</f>
        <v>0</v>
      </c>
      <c r="U371" s="23">
        <f>'RESUMEN TOTAL'!Z374</f>
        <v>0</v>
      </c>
      <c r="V371" s="23">
        <f>'RESUMEN TOTAL'!AA374</f>
        <v>0</v>
      </c>
      <c r="W371" s="23">
        <f>'RESUMEN TOTAL'!AB374</f>
        <v>0</v>
      </c>
      <c r="X371" s="23">
        <f>'RESUMEN TOTAL'!AC374</f>
        <v>0</v>
      </c>
      <c r="Y371" s="23">
        <f>'RESUMEN TOTAL'!AD374</f>
        <v>0</v>
      </c>
      <c r="Z371" s="23">
        <f>'RESUMEN TOTAL'!AE374</f>
        <v>0</v>
      </c>
      <c r="AA371" s="23">
        <f>'RESUMEN TOTAL'!AF374</f>
        <v>0</v>
      </c>
      <c r="AB371" s="23">
        <f>'RESUMEN TOTAL'!AG374</f>
        <v>0</v>
      </c>
      <c r="AC371" s="23">
        <f>'RESUMEN TOTAL'!AH374</f>
        <v>0</v>
      </c>
      <c r="AD371" s="23">
        <f>'RESUMEN TOTAL'!AI374</f>
        <v>0</v>
      </c>
      <c r="AE371" s="23">
        <f>'RESUMEN TOTAL'!AJ374</f>
        <v>0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3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3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>
        <f>'RESUMEN TOTAL'!Y376</f>
        <v>0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3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3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>
        <f>'RESUMEN TOTAL'!T378</f>
        <v>0</v>
      </c>
      <c r="P375" s="23">
        <f>'RESUMEN TOTAL'!U378</f>
        <v>0</v>
      </c>
      <c r="Q375" s="23">
        <f>'RESUMEN TOTAL'!V378</f>
        <v>0</v>
      </c>
      <c r="R375" s="23">
        <f>'RESUMEN TOTAL'!W378</f>
        <v>0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3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>
        <f>'RESUMEN TOTAL'!N379</f>
        <v>0</v>
      </c>
      <c r="J376" s="23">
        <f>'RESUMEN TOTAL'!O379</f>
        <v>0</v>
      </c>
      <c r="K376" s="23">
        <f>'RESUMEN TOTAL'!P379</f>
        <v>0</v>
      </c>
      <c r="L376" s="23">
        <f>'RESUMEN TOTAL'!Q379</f>
        <v>0</v>
      </c>
      <c r="M376" s="23">
        <f>'RESUMEN TOTAL'!R379</f>
        <v>0</v>
      </c>
      <c r="N376" s="23">
        <f>'RESUMEN TOTAL'!S379</f>
        <v>0</v>
      </c>
      <c r="O376" s="23">
        <f>'RESUMEN TOTAL'!T379</f>
        <v>0</v>
      </c>
      <c r="P376" s="23">
        <f>'RESUMEN TOTAL'!U379</f>
        <v>0</v>
      </c>
      <c r="Q376" s="23">
        <f>'RESUMEN TOTAL'!V379</f>
        <v>0</v>
      </c>
      <c r="R376" s="23">
        <f>'RESUMEN TOTAL'!W379</f>
        <v>0</v>
      </c>
      <c r="S376" s="23">
        <f>'RESUMEN TOTAL'!X379</f>
        <v>0</v>
      </c>
      <c r="T376" s="23">
        <f>'RESUMEN TOTAL'!Y379</f>
        <v>0</v>
      </c>
      <c r="U376" s="23">
        <f>'RESUMEN TOTAL'!Z379</f>
        <v>0</v>
      </c>
      <c r="V376" s="23">
        <f>'RESUMEN TOTAL'!AA379</f>
        <v>0</v>
      </c>
      <c r="W376" s="23">
        <f>'RESUMEN TOTAL'!AB379</f>
        <v>0</v>
      </c>
      <c r="X376" s="23">
        <f>'RESUMEN TOTAL'!AC379</f>
        <v>0</v>
      </c>
      <c r="Y376" s="23">
        <f>'RESUMEN TOTAL'!AD379</f>
        <v>0</v>
      </c>
      <c r="Z376" s="23">
        <f>'RESUMEN TOTAL'!AE379</f>
        <v>0</v>
      </c>
      <c r="AA376" s="23">
        <f>'RESUMEN TOTAL'!AF379</f>
        <v>0</v>
      </c>
      <c r="AB376" s="23">
        <f>'RESUMEN TOTAL'!AG379</f>
        <v>0</v>
      </c>
      <c r="AC376" s="23">
        <f>'RESUMEN TOTAL'!AH379</f>
        <v>0</v>
      </c>
      <c r="AD376" s="23">
        <f>'RESUMEN TOTAL'!AI379</f>
        <v>0</v>
      </c>
      <c r="AE376" s="23">
        <f>'RESUMEN TOTAL'!AJ379</f>
        <v>0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3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>
        <f>'RESUMEN TOTAL'!W380</f>
        <v>0</v>
      </c>
      <c r="S377" s="23">
        <f>'RESUMEN TOTAL'!X380</f>
        <v>0</v>
      </c>
      <c r="T377" s="23">
        <f>'RESUMEN TOTAL'!Y380</f>
        <v>0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3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>
        <f>'RESUMEN TOTAL'!Y381</f>
        <v>0</v>
      </c>
      <c r="U378" s="23">
        <f>'RESUMEN TOTAL'!Z381</f>
        <v>0</v>
      </c>
      <c r="V378" s="23">
        <f>'RESUMEN TOTAL'!AA381</f>
        <v>0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3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>
        <f>'RESUMEN TOTAL'!T382</f>
        <v>0</v>
      </c>
      <c r="P379" s="23">
        <f>'RESUMEN TOTAL'!U382</f>
        <v>0</v>
      </c>
      <c r="Q379" s="23">
        <f>'RESUMEN TOTAL'!V382</f>
        <v>0</v>
      </c>
      <c r="R379" s="23">
        <f>'RESUMEN TOTAL'!W382</f>
        <v>0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3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>
        <f>'RESUMEN TOTAL'!U383</f>
        <v>0</v>
      </c>
      <c r="Q380" s="23">
        <f>'RESUMEN TOTAL'!V383</f>
        <v>0</v>
      </c>
      <c r="R380" s="23">
        <f>'RESUMEN TOTAL'!W383</f>
        <v>0</v>
      </c>
      <c r="S380" s="23">
        <f>'RESUMEN TOTAL'!X383</f>
        <v>0</v>
      </c>
      <c r="T380" s="23">
        <f>'RESUMEN TOTAL'!Y383</f>
        <v>0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3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3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3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 ca="1"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3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>
        <f>'RESUMEN TOTAL'!O387</f>
        <v>0</v>
      </c>
      <c r="K384" s="23">
        <f>'RESUMEN TOTAL'!P387</f>
        <v>0</v>
      </c>
      <c r="L384" s="23">
        <f>'RESUMEN TOTAL'!Q387</f>
        <v>0</v>
      </c>
      <c r="M384" s="23">
        <f>'RESUMEN TOTAL'!R387</f>
        <v>0</v>
      </c>
      <c r="N384" s="23">
        <f>'RESUMEN TOTAL'!S387</f>
        <v>0</v>
      </c>
      <c r="O384" s="23">
        <f>'RESUMEN TOTAL'!T387</f>
        <v>0</v>
      </c>
      <c r="P384" s="23">
        <f>'RESUMEN TOTAL'!U387</f>
        <v>0</v>
      </c>
      <c r="Q384" s="23">
        <f>'RESUMEN TOTAL'!V387</f>
        <v>0</v>
      </c>
      <c r="R384" s="23">
        <f>'RESUMEN TOTAL'!W387</f>
        <v>0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3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3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3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>
        <f>'RESUMEN TOTAL'!U390</f>
        <v>0</v>
      </c>
      <c r="Q387" s="23">
        <f>'RESUMEN TOTAL'!V390</f>
        <v>0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>
        <f>'RESUMEN TOTAL'!Z390</f>
        <v>0</v>
      </c>
      <c r="V387" s="23">
        <f>'RESUMEN TOTAL'!AA390</f>
        <v>0</v>
      </c>
      <c r="W387" s="23">
        <f>'RESUMEN TOTAL'!AB390</f>
        <v>0</v>
      </c>
      <c r="X387" s="23">
        <f>'RESUMEN TOTAL'!AC390</f>
        <v>0</v>
      </c>
      <c r="Y387" s="23">
        <f>'RESUMEN TOTAL'!AD390</f>
        <v>0</v>
      </c>
      <c r="Z387" s="23">
        <f>'RESUMEN TOTAL'!AE390</f>
        <v>0</v>
      </c>
      <c r="AA387" s="23">
        <f>'RESUMEN TOTAL'!AF390</f>
        <v>0</v>
      </c>
      <c r="AB387" s="23">
        <f>'RESUMEN TOTAL'!AG390</f>
        <v>0</v>
      </c>
      <c r="AC387" s="23">
        <f>'RESUMEN TOTAL'!AH390</f>
        <v>0</v>
      </c>
      <c r="AD387" s="23">
        <f>'RESUMEN TOTAL'!AI390</f>
        <v>0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3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>
        <f>'RESUMEN TOTAL'!U391</f>
        <v>0</v>
      </c>
      <c r="Q388" s="23">
        <f>'RESUMEN TOTAL'!V391</f>
        <v>0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>
        <f>'RESUMEN TOTAL'!Z391</f>
        <v>0</v>
      </c>
      <c r="V388" s="23">
        <f>'RESUMEN TOTAL'!AA391</f>
        <v>0</v>
      </c>
      <c r="W388" s="23">
        <f>'RESUMEN TOTAL'!AB391</f>
        <v>0</v>
      </c>
      <c r="X388" s="23">
        <f>'RESUMEN TOTAL'!AC391</f>
        <v>0</v>
      </c>
      <c r="Y388" s="23">
        <f>'RESUMEN TOTAL'!AD391</f>
        <v>0</v>
      </c>
      <c r="Z388" s="23">
        <f>'RESUMEN TOTAL'!AE391</f>
        <v>0</v>
      </c>
      <c r="AA388" s="23">
        <f>'RESUMEN TOTAL'!AF391</f>
        <v>0</v>
      </c>
      <c r="AB388" s="23">
        <f>'RESUMEN TOTAL'!AG391</f>
        <v>0</v>
      </c>
      <c r="AC388" s="23">
        <f>'RESUMEN TOTAL'!AH391</f>
        <v>0</v>
      </c>
      <c r="AD388" s="23">
        <f>'RESUMEN TOTAL'!AI391</f>
        <v>0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3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3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3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>
        <f>'RESUMEN TOTAL'!T394</f>
        <v>0</v>
      </c>
      <c r="P391" s="23">
        <f>'RESUMEN TOTAL'!U394</f>
        <v>0</v>
      </c>
      <c r="Q391" s="23">
        <f>'RESUMEN TOTAL'!V394</f>
        <v>0</v>
      </c>
      <c r="R391" s="23">
        <f>'RESUMEN TOTAL'!W394</f>
        <v>0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3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>
        <f>'RESUMEN TOTAL'!T395</f>
        <v>0</v>
      </c>
      <c r="P392" s="23">
        <f>'RESUMEN TOTAL'!U395</f>
        <v>0</v>
      </c>
      <c r="Q392" s="23">
        <f>'RESUMEN TOTAL'!V395</f>
        <v>0</v>
      </c>
      <c r="R392" s="23">
        <f>'RESUMEN TOTAL'!W395</f>
        <v>0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3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3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3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>
        <f>'RESUMEN TOTAL'!T398</f>
        <v>0</v>
      </c>
      <c r="P395" s="23">
        <f>'RESUMEN TOTAL'!U398</f>
        <v>0</v>
      </c>
      <c r="Q395" s="23">
        <f>'RESUMEN TOTAL'!V398</f>
        <v>0</v>
      </c>
      <c r="R395" s="23">
        <f>'RESUMEN TOTAL'!W398</f>
        <v>0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>
        <f>'RESUMEN TOTAL'!AB398</f>
        <v>0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3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>
        <f>'RESUMEN TOTAL'!T399</f>
        <v>0</v>
      </c>
      <c r="P396" s="23">
        <f>'RESUMEN TOTAL'!U399</f>
        <v>0</v>
      </c>
      <c r="Q396" s="23">
        <f>'RESUMEN TOTAL'!V399</f>
        <v>0</v>
      </c>
      <c r="R396" s="23">
        <f>'RESUMEN TOTAL'!W399</f>
        <v>0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>
        <f>'RESUMEN TOTAL'!AB399</f>
        <v>0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3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>
        <f>'RESUMEN TOTAL'!AB400</f>
        <v>0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3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3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3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3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3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>
        <f>'RESUMEN TOTAL'!AG405</f>
        <v>0</v>
      </c>
      <c r="AC402" s="23">
        <f>'RESUMEN TOTAL'!AH405</f>
        <v>0</v>
      </c>
      <c r="AD402" s="23">
        <f>'RESUMEN TOTAL'!AI405</f>
        <v>0</v>
      </c>
      <c r="AE402" s="23">
        <f>'RESUMEN TOTAL'!AJ405</f>
        <v>0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3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3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>
        <f>'RESUMEN TOTAL'!N407</f>
        <v>0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>
        <f>'RESUMEN TOTAL'!S407</f>
        <v>0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3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>
        <f>'RESUMEN TOTAL'!N408</f>
        <v>0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>
        <f>'RESUMEN TOTAL'!S408</f>
        <v>0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3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>
        <f>'RESUMEN TOTAL'!O409</f>
        <v>0</v>
      </c>
      <c r="K406" s="23">
        <f>'RESUMEN TOTAL'!P409</f>
        <v>0</v>
      </c>
      <c r="L406" s="23">
        <f>'RESUMEN TOTAL'!Q409</f>
        <v>0</v>
      </c>
      <c r="M406" s="23">
        <f>'RESUMEN TOTAL'!R409</f>
        <v>0</v>
      </c>
      <c r="N406" s="23">
        <f>'RESUMEN TOTAL'!S409</f>
        <v>0</v>
      </c>
      <c r="O406" s="23">
        <f>'RESUMEN TOTAL'!T409</f>
        <v>0</v>
      </c>
      <c r="P406" s="23">
        <f>'RESUMEN TOTAL'!U409</f>
        <v>0</v>
      </c>
      <c r="Q406" s="23">
        <f>'RESUMEN TOTAL'!V409</f>
        <v>0</v>
      </c>
      <c r="R406" s="23">
        <f>'RESUMEN TOTAL'!W409</f>
        <v>0</v>
      </c>
      <c r="S406" s="23">
        <f>'RESUMEN TOTAL'!X409</f>
        <v>0</v>
      </c>
      <c r="T406" s="23">
        <f>'RESUMEN TOTAL'!Y409</f>
        <v>0</v>
      </c>
      <c r="U406" s="23">
        <f>'RESUMEN TOTAL'!Z409</f>
        <v>0</v>
      </c>
      <c r="V406" s="23">
        <f>'RESUMEN TOTAL'!AA409</f>
        <v>0</v>
      </c>
      <c r="W406" s="23">
        <f>'RESUMEN TOTAL'!AB409</f>
        <v>0</v>
      </c>
      <c r="X406" s="23">
        <f>'RESUMEN TOTAL'!AC409</f>
        <v>0</v>
      </c>
      <c r="Y406" s="23">
        <f>'RESUMEN TOTAL'!AD409</f>
        <v>0</v>
      </c>
      <c r="Z406" s="23">
        <f>'RESUMEN TOTAL'!AE409</f>
        <v>0</v>
      </c>
      <c r="AA406" s="23">
        <f>'RESUMEN TOTAL'!AF409</f>
        <v>0</v>
      </c>
      <c r="AB406" s="23">
        <f>'RESUMEN TOTAL'!AG409</f>
        <v>0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3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>
        <f>'RESUMEN TOTAL'!O410</f>
        <v>0</v>
      </c>
      <c r="K407" s="23">
        <f>'RESUMEN TOTAL'!P410</f>
        <v>0</v>
      </c>
      <c r="L407" s="23">
        <f>'RESUMEN TOTAL'!Q410</f>
        <v>0</v>
      </c>
      <c r="M407" s="23">
        <f>'RESUMEN TOTAL'!R410</f>
        <v>0</v>
      </c>
      <c r="N407" s="23">
        <f>'RESUMEN TOTAL'!S410</f>
        <v>0</v>
      </c>
      <c r="O407" s="23">
        <f>'RESUMEN TOTAL'!T410</f>
        <v>0</v>
      </c>
      <c r="P407" s="23">
        <f>'RESUMEN TOTAL'!U410</f>
        <v>0</v>
      </c>
      <c r="Q407" s="23">
        <f>'RESUMEN TOTAL'!V410</f>
        <v>0</v>
      </c>
      <c r="R407" s="23">
        <f>'RESUMEN TOTAL'!W410</f>
        <v>0</v>
      </c>
      <c r="S407" s="23">
        <f>'RESUMEN TOTAL'!X410</f>
        <v>0</v>
      </c>
      <c r="T407" s="23">
        <f>'RESUMEN TOTAL'!Y410</f>
        <v>0</v>
      </c>
      <c r="U407" s="23">
        <f>'RESUMEN TOTAL'!Z410</f>
        <v>0</v>
      </c>
      <c r="V407" s="23">
        <f>'RESUMEN TOTAL'!AA410</f>
        <v>0</v>
      </c>
      <c r="W407" s="23">
        <f>'RESUMEN TOTAL'!AB410</f>
        <v>0</v>
      </c>
      <c r="X407" s="23">
        <f>'RESUMEN TOTAL'!AC410</f>
        <v>0</v>
      </c>
      <c r="Y407" s="23">
        <f>'RESUMEN TOTAL'!AD410</f>
        <v>0</v>
      </c>
      <c r="Z407" s="23">
        <f>'RESUMEN TOTAL'!AE410</f>
        <v>0</v>
      </c>
      <c r="AA407" s="23">
        <f>'RESUMEN TOTAL'!AF410</f>
        <v>0</v>
      </c>
      <c r="AB407" s="23">
        <f>'RESUMEN TOTAL'!AG410</f>
        <v>0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3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3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>
        <f>'RESUMEN TOTAL'!R412</f>
        <v>0</v>
      </c>
      <c r="N409" s="23">
        <f>'RESUMEN TOTAL'!S412</f>
        <v>0</v>
      </c>
      <c r="O409" s="23">
        <f>'RESUMEN TOTAL'!T412</f>
        <v>0</v>
      </c>
      <c r="P409" s="23">
        <f>'RESUMEN TOTAL'!U412</f>
        <v>0</v>
      </c>
      <c r="Q409" s="23">
        <f>'RESUMEN TOTAL'!V412</f>
        <v>0</v>
      </c>
      <c r="R409" s="23">
        <f>'RESUMEN TOTAL'!W412</f>
        <v>0</v>
      </c>
      <c r="S409" s="23">
        <f>'RESUMEN TOTAL'!X412</f>
        <v>0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3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3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3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3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3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3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3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3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>
        <f>'RESUMEN TOTAL'!N420</f>
        <v>0</v>
      </c>
      <c r="J417" s="23">
        <f>'RESUMEN TOTAL'!O420</f>
        <v>0</v>
      </c>
      <c r="K417" s="23">
        <f>'RESUMEN TOTAL'!P420</f>
        <v>0</v>
      </c>
      <c r="L417" s="23">
        <f>'RESUMEN TOTAL'!Q420</f>
        <v>0</v>
      </c>
      <c r="M417" s="23">
        <f>'RESUMEN TOTAL'!R420</f>
        <v>0</v>
      </c>
      <c r="N417" s="23">
        <f>'RESUMEN TOTAL'!S420</f>
        <v>0</v>
      </c>
      <c r="O417" s="23">
        <f>'RESUMEN TOTAL'!T420</f>
        <v>0</v>
      </c>
      <c r="P417" s="23">
        <f>'RESUMEN TOTAL'!U420</f>
        <v>0</v>
      </c>
      <c r="Q417" s="23">
        <f>'RESUMEN TOTAL'!V420</f>
        <v>0</v>
      </c>
      <c r="R417" s="23">
        <f>'RESUMEN TOTAL'!W420</f>
        <v>0</v>
      </c>
      <c r="S417" s="23">
        <f>'RESUMEN TOTAL'!X420</f>
        <v>0</v>
      </c>
      <c r="T417" s="23">
        <f>'RESUMEN TOTAL'!Y420</f>
        <v>0</v>
      </c>
      <c r="U417" s="23">
        <f>'RESUMEN TOTAL'!Z420</f>
        <v>0</v>
      </c>
      <c r="V417" s="23">
        <f>'RESUMEN TOTAL'!AA420</f>
        <v>0</v>
      </c>
      <c r="W417" s="23">
        <f>'RESUMEN TOTAL'!AB420</f>
        <v>0</v>
      </c>
      <c r="X417" s="23">
        <f>'RESUMEN TOTAL'!AC420</f>
        <v>0</v>
      </c>
      <c r="Y417" s="23">
        <f>'RESUMEN TOTAL'!AD420</f>
        <v>0</v>
      </c>
      <c r="Z417" s="23">
        <f>'RESUMEN TOTAL'!AE420</f>
        <v>0</v>
      </c>
      <c r="AA417" s="23">
        <f>'RESUMEN TOTAL'!AF420</f>
        <v>0</v>
      </c>
      <c r="AB417" s="23">
        <f>'RESUMEN TOTAL'!AG420</f>
        <v>0</v>
      </c>
      <c r="AC417" s="23">
        <f>'RESUMEN TOTAL'!AH420</f>
        <v>0</v>
      </c>
      <c r="AD417" s="23">
        <f>'RESUMEN TOTAL'!AI420</f>
        <v>0</v>
      </c>
      <c r="AE417" s="23">
        <f>'RESUMEN TOTAL'!AJ420</f>
        <v>0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3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3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3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3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3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3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3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3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>
        <f>'RESUMEN TOTAL'!W428</f>
        <v>0</v>
      </c>
      <c r="S425" s="23">
        <f>'RESUMEN TOTAL'!X428</f>
        <v>0</v>
      </c>
      <c r="T425" s="23">
        <f>'RESUMEN TOTAL'!Y428</f>
        <v>0</v>
      </c>
      <c r="U425" s="23">
        <f>'RESUMEN TOTAL'!Z428</f>
        <v>0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3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>
        <f>'RESUMEN TOTAL'!T429</f>
        <v>0</v>
      </c>
      <c r="P426" s="23">
        <f>'RESUMEN TOTAL'!U429</f>
        <v>0</v>
      </c>
      <c r="Q426" s="23">
        <f>'RESUMEN TOTAL'!V429</f>
        <v>0</v>
      </c>
      <c r="R426" s="23">
        <f>'RESUMEN TOTAL'!W429</f>
        <v>0</v>
      </c>
      <c r="S426" s="23">
        <f>'RESUMEN TOTAL'!X429</f>
        <v>0</v>
      </c>
      <c r="T426" s="23">
        <f>'RESUMEN TOTAL'!Y429</f>
        <v>0</v>
      </c>
      <c r="U426" s="23">
        <f>'RESUMEN TOTAL'!Z429</f>
        <v>0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3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>
        <f>'RESUMEN TOTAL'!T430</f>
        <v>0</v>
      </c>
      <c r="P427" s="23">
        <f>'RESUMEN TOTAL'!U430</f>
        <v>0</v>
      </c>
      <c r="Q427" s="23">
        <f>'RESUMEN TOTAL'!V430</f>
        <v>0</v>
      </c>
      <c r="R427" s="23">
        <f>'RESUMEN TOTAL'!W430</f>
        <v>0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3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>
        <f>'RESUMEN TOTAL'!T431</f>
        <v>0</v>
      </c>
      <c r="P428" s="23">
        <f>'RESUMEN TOTAL'!U431</f>
        <v>0</v>
      </c>
      <c r="Q428" s="23">
        <f>'RESUMEN TOTAL'!V431</f>
        <v>0</v>
      </c>
      <c r="R428" s="23">
        <f>'RESUMEN TOTAL'!W431</f>
        <v>0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3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>
        <f>'RESUMEN TOTAL'!T432</f>
        <v>0</v>
      </c>
      <c r="P429" s="23">
        <f>'RESUMEN TOTAL'!U432</f>
        <v>0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>
        <f>'RESUMEN TOTAL'!AA432</f>
        <v>0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3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3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3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3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3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3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3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3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3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3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3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3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3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40"/>
  </cols>
  <sheetData>
    <row r="1" spans="1:35" ht="21" x14ac:dyDescent="0.4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0</v>
      </c>
      <c r="J1" s="19">
        <f t="shared" si="0"/>
        <v>0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ca="1" si="0"/>
        <v>1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3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3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3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3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3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3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3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3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3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3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3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3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3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3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3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3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3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3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3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3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3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3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3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3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3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3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3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3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3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3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3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3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3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3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3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3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3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3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3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3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3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3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3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3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3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3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3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3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3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3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3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3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3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3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3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3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3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3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3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3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3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3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3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3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3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3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3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3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3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3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3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3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3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3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3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3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3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3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3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3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3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3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3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3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3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3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3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3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3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3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3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3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3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3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3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3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3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3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3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3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3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3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3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>
        <f>ESTADISTICA!O379</f>
        <v>0</v>
      </c>
      <c r="P380" s="40">
        <f>ESTADISTICA!P379</f>
        <v>0</v>
      </c>
      <c r="Q380" s="40">
        <f>ESTADISTICA!Q379</f>
        <v>0</v>
      </c>
      <c r="R380" s="40">
        <f>ESTADISTICA!R379</f>
        <v>0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3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>
        <f>ESTADISTICA!P380</f>
        <v>0</v>
      </c>
      <c r="Q381" s="40">
        <f>ESTADISTICA!Q380</f>
        <v>0</v>
      </c>
      <c r="R381" s="40">
        <f>ESTADISTICA!R380</f>
        <v>0</v>
      </c>
      <c r="S381" s="40">
        <f>ESTADISTICA!S380</f>
        <v>0</v>
      </c>
      <c r="T381" s="40">
        <f>ESTADISTICA!T380</f>
        <v>0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3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3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3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 ca="1"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3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>
        <f>ESTADISTICA!J384</f>
        <v>0</v>
      </c>
      <c r="K385" s="40">
        <f>ESTADISTICA!K384</f>
        <v>0</v>
      </c>
      <c r="L385" s="40">
        <f>ESTADISTICA!L384</f>
        <v>0</v>
      </c>
      <c r="M385" s="40">
        <f>ESTADISTICA!M384</f>
        <v>0</v>
      </c>
      <c r="N385" s="40">
        <f>ESTADISTICA!N384</f>
        <v>0</v>
      </c>
      <c r="O385" s="40">
        <f>ESTADISTICA!O384</f>
        <v>0</v>
      </c>
      <c r="P385" s="40">
        <f>ESTADISTICA!P384</f>
        <v>0</v>
      </c>
      <c r="Q385" s="40">
        <f>ESTADISTICA!Q384</f>
        <v>0</v>
      </c>
      <c r="R385" s="40">
        <f>ESTADISTICA!R384</f>
        <v>0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3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3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3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>
        <f>ESTADISTICA!P387</f>
        <v>0</v>
      </c>
      <c r="Q388" s="40">
        <f>ESTADISTICA!Q387</f>
        <v>0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>
        <f>ESTADISTICA!U387</f>
        <v>0</v>
      </c>
      <c r="V388" s="40">
        <f>ESTADISTICA!V387</f>
        <v>0</v>
      </c>
      <c r="W388" s="40">
        <f>ESTADISTICA!W387</f>
        <v>0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3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>
        <f>ESTADISTICA!P388</f>
        <v>0</v>
      </c>
      <c r="Q389" s="40">
        <f>ESTADISTICA!Q388</f>
        <v>0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>
        <f>ESTADISTICA!U388</f>
        <v>0</v>
      </c>
      <c r="V389" s="40">
        <f>ESTADISTICA!V388</f>
        <v>0</v>
      </c>
      <c r="W389" s="40">
        <f>ESTADISTICA!W388</f>
        <v>0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3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3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3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>
        <f>ESTADISTICA!O391</f>
        <v>0</v>
      </c>
      <c r="P392" s="40">
        <f>ESTADISTICA!P391</f>
        <v>0</v>
      </c>
      <c r="Q392" s="40">
        <f>ESTADISTICA!Q391</f>
        <v>0</v>
      </c>
      <c r="R392" s="40">
        <f>ESTADISTICA!R391</f>
        <v>0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3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>
        <f>ESTADISTICA!O392</f>
        <v>0</v>
      </c>
      <c r="P393" s="40">
        <f>ESTADISTICA!P392</f>
        <v>0</v>
      </c>
      <c r="Q393" s="40">
        <f>ESTADISTICA!Q392</f>
        <v>0</v>
      </c>
      <c r="R393" s="40">
        <f>ESTADISTICA!R392</f>
        <v>0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3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3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3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>
        <f>ESTADISTICA!O395</f>
        <v>0</v>
      </c>
      <c r="P396" s="40">
        <f>ESTADISTICA!P395</f>
        <v>0</v>
      </c>
      <c r="Q396" s="40">
        <f>ESTADISTICA!Q395</f>
        <v>0</v>
      </c>
      <c r="R396" s="40">
        <f>ESTADISTICA!R395</f>
        <v>0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>
        <f>ESTADISTICA!W395</f>
        <v>0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3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>
        <f>ESTADISTICA!O396</f>
        <v>0</v>
      </c>
      <c r="P397" s="40">
        <f>ESTADISTICA!P396</f>
        <v>0</v>
      </c>
      <c r="Q397" s="40">
        <f>ESTADISTICA!Q396</f>
        <v>0</v>
      </c>
      <c r="R397" s="40">
        <f>ESTADISTICA!R396</f>
        <v>0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>
        <f>ESTADISTICA!W396</f>
        <v>0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3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>
        <f>ESTADISTICA!W397</f>
        <v>0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3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3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3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3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3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3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3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>
        <f>ESTADISTICA!I404</f>
        <v>0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>
        <f>ESTADISTICA!N404</f>
        <v>0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3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>
        <f>ESTADISTICA!I405</f>
        <v>0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>
        <f>ESTADISTICA!N405</f>
        <v>0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3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>
        <f>ESTADISTICA!J406</f>
        <v>0</v>
      </c>
      <c r="K407" s="40">
        <f>ESTADISTICA!K406</f>
        <v>0</v>
      </c>
      <c r="L407" s="40">
        <f>ESTADISTICA!L406</f>
        <v>0</v>
      </c>
      <c r="M407" s="40">
        <f>ESTADISTICA!M406</f>
        <v>0</v>
      </c>
      <c r="N407" s="40">
        <f>ESTADISTICA!N406</f>
        <v>0</v>
      </c>
      <c r="O407" s="40">
        <f>ESTADISTICA!O406</f>
        <v>0</v>
      </c>
      <c r="P407" s="40">
        <f>ESTADISTICA!P406</f>
        <v>0</v>
      </c>
      <c r="Q407" s="40">
        <f>ESTADISTICA!Q406</f>
        <v>0</v>
      </c>
      <c r="R407" s="40">
        <f>ESTADISTICA!R406</f>
        <v>0</v>
      </c>
      <c r="S407" s="40">
        <f>ESTADISTICA!S406</f>
        <v>0</v>
      </c>
      <c r="T407" s="40">
        <f>ESTADISTICA!T406</f>
        <v>0</v>
      </c>
      <c r="U407" s="40">
        <f>ESTADISTICA!U406</f>
        <v>0</v>
      </c>
      <c r="V407" s="40">
        <f>ESTADISTICA!V406</f>
        <v>0</v>
      </c>
      <c r="W407" s="40">
        <f>ESTADISTICA!W406</f>
        <v>0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3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>
        <f>ESTADISTICA!J407</f>
        <v>0</v>
      </c>
      <c r="K408" s="40">
        <f>ESTADISTICA!K407</f>
        <v>0</v>
      </c>
      <c r="L408" s="40">
        <f>ESTADISTICA!L407</f>
        <v>0</v>
      </c>
      <c r="M408" s="40">
        <f>ESTADISTICA!M407</f>
        <v>0</v>
      </c>
      <c r="N408" s="40">
        <f>ESTADISTICA!N407</f>
        <v>0</v>
      </c>
      <c r="O408" s="40">
        <f>ESTADISTICA!O407</f>
        <v>0</v>
      </c>
      <c r="P408" s="40">
        <f>ESTADISTICA!P407</f>
        <v>0</v>
      </c>
      <c r="Q408" s="40">
        <f>ESTADISTICA!Q407</f>
        <v>0</v>
      </c>
      <c r="R408" s="40">
        <f>ESTADISTICA!R407</f>
        <v>0</v>
      </c>
      <c r="S408" s="40">
        <f>ESTADISTICA!S407</f>
        <v>0</v>
      </c>
      <c r="T408" s="40">
        <f>ESTADISTICA!T407</f>
        <v>0</v>
      </c>
      <c r="U408" s="40">
        <f>ESTADISTICA!U407</f>
        <v>0</v>
      </c>
      <c r="V408" s="40">
        <f>ESTADISTICA!V407</f>
        <v>0</v>
      </c>
      <c r="W408" s="40">
        <f>ESTADISTICA!W407</f>
        <v>0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3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3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>
        <f>ESTADISTICA!M409</f>
        <v>0</v>
      </c>
      <c r="N410" s="40">
        <f>ESTADISTICA!N409</f>
        <v>0</v>
      </c>
      <c r="O410" s="40">
        <f>ESTADISTICA!O409</f>
        <v>0</v>
      </c>
      <c r="P410" s="40">
        <f>ESTADISTICA!P409</f>
        <v>0</v>
      </c>
      <c r="Q410" s="40">
        <f>ESTADISTICA!Q409</f>
        <v>0</v>
      </c>
      <c r="R410" s="40">
        <f>ESTADISTICA!R409</f>
        <v>0</v>
      </c>
      <c r="S410" s="40">
        <f>ESTADISTICA!S409</f>
        <v>0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3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3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3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3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3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3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3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3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>
        <f>ESTADISTICA!I417</f>
        <v>0</v>
      </c>
      <c r="J418" s="40">
        <f>ESTADISTICA!J417</f>
        <v>0</v>
      </c>
      <c r="K418" s="40">
        <f>ESTADISTICA!K417</f>
        <v>0</v>
      </c>
      <c r="L418" s="40">
        <f>ESTADISTICA!L417</f>
        <v>0</v>
      </c>
      <c r="M418" s="40">
        <f>ESTADISTICA!M417</f>
        <v>0</v>
      </c>
      <c r="N418" s="40">
        <f>ESTADISTICA!N417</f>
        <v>0</v>
      </c>
      <c r="O418" s="40">
        <f>ESTADISTICA!O417</f>
        <v>0</v>
      </c>
      <c r="P418" s="40">
        <f>ESTADISTICA!P417</f>
        <v>0</v>
      </c>
      <c r="Q418" s="40">
        <f>ESTADISTICA!Q417</f>
        <v>0</v>
      </c>
      <c r="R418" s="40">
        <f>ESTADISTICA!R417</f>
        <v>0</v>
      </c>
      <c r="S418" s="40">
        <f>ESTADISTICA!S417</f>
        <v>0</v>
      </c>
      <c r="T418" s="40">
        <f>ESTADISTICA!T417</f>
        <v>0</v>
      </c>
      <c r="U418" s="40">
        <f>ESTADISTICA!U417</f>
        <v>0</v>
      </c>
      <c r="V418" s="40">
        <f>ESTADISTICA!V417</f>
        <v>0</v>
      </c>
      <c r="W418" s="40">
        <f>ESTADISTICA!W417</f>
        <v>0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3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3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3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3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3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3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3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3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>
        <f>ESTADISTICA!R425</f>
        <v>0</v>
      </c>
      <c r="S426" s="40">
        <f>ESTADISTICA!S425</f>
        <v>0</v>
      </c>
      <c r="T426" s="40">
        <f>ESTADISTICA!T425</f>
        <v>0</v>
      </c>
      <c r="U426" s="40">
        <f>ESTADISTICA!U425</f>
        <v>0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3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>
        <f>ESTADISTICA!O426</f>
        <v>0</v>
      </c>
      <c r="P427" s="40">
        <f>ESTADISTICA!P426</f>
        <v>0</v>
      </c>
      <c r="Q427" s="40">
        <f>ESTADISTICA!Q426</f>
        <v>0</v>
      </c>
      <c r="R427" s="40">
        <f>ESTADISTICA!R426</f>
        <v>0</v>
      </c>
      <c r="S427" s="40">
        <f>ESTADISTICA!S426</f>
        <v>0</v>
      </c>
      <c r="T427" s="40">
        <f>ESTADISTICA!T426</f>
        <v>0</v>
      </c>
      <c r="U427" s="40">
        <f>ESTADISTICA!U426</f>
        <v>0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3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>
        <f>ESTADISTICA!O427</f>
        <v>0</v>
      </c>
      <c r="P428" s="40">
        <f>ESTADISTICA!P427</f>
        <v>0</v>
      </c>
      <c r="Q428" s="40">
        <f>ESTADISTICA!Q427</f>
        <v>0</v>
      </c>
      <c r="R428" s="40">
        <f>ESTADISTICA!R427</f>
        <v>0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3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>
        <f>ESTADISTICA!O428</f>
        <v>0</v>
      </c>
      <c r="P429" s="40">
        <f>ESTADISTICA!P428</f>
        <v>0</v>
      </c>
      <c r="Q429" s="40">
        <f>ESTADISTICA!Q428</f>
        <v>0</v>
      </c>
      <c r="R429" s="40">
        <f>ESTADISTICA!R428</f>
        <v>0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3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>
        <f>ESTADISTICA!O429</f>
        <v>0</v>
      </c>
      <c r="P430" s="40">
        <f>ESTADISTICA!P429</f>
        <v>0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>
        <f>ESTADISTICA!V429</f>
        <v>0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3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3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3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3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3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3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3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3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3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3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3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3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3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3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3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3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3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3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3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3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3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3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3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3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3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3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3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3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3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3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3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3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3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3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3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3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3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3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3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3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3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3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3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3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3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3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3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3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3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3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3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3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3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3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3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3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3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3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3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3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3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3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3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3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3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3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3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3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3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3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3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3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3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3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3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3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3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3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3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F198" activePane="bottomRight" state="frozen"/>
      <selection pane="topRight" activeCell="F1" sqref="F1"/>
      <selection pane="bottomLeft" activeCell="A8" sqref="A8"/>
      <selection pane="bottomRight" activeCell="H2" sqref="H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7" t="s">
        <v>986</v>
      </c>
      <c r="D1" s="38">
        <f>COUNTIFS(E4:E400,"=Fibra Optica")</f>
        <v>268</v>
      </c>
    </row>
    <row r="2" spans="1:35" ht="21" x14ac:dyDescent="0.4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COUNTIFS(I4:I400, "=APAGADO",E4:E400,"=Fibra Optica")</f>
        <v>0</v>
      </c>
      <c r="J2" s="19">
        <f>COUNTIFS(J4:J400, "=APAGADO",E4:E400,"=Fibra Optica")</f>
        <v>0</v>
      </c>
      <c r="K2" s="19">
        <f>COUNTIFS(K4:K400, "=APAGADO",E4:E400,"=Fibra Optica")</f>
        <v>0</v>
      </c>
      <c r="L2" s="19">
        <f>COUNTIFS(L4:L400, "=APAGADO",E4:E400,"=Fibra Optica")</f>
        <v>0</v>
      </c>
      <c r="M2" s="19">
        <f>COUNTIFS(M4:M400, "=APAGADO",E4:E400,"=Fibra Optica")</f>
        <v>0</v>
      </c>
      <c r="N2" s="19">
        <f>COUNTIFS(N4:N400, "=APAGADO",E4:E400,"=Fibra Optica")</f>
        <v>0</v>
      </c>
      <c r="O2" s="19">
        <f>COUNTIFS(O4:O400, "=APAGADO",E4:E400,"=Fibra Optica")</f>
        <v>0</v>
      </c>
      <c r="P2" s="19">
        <f>COUNTIFS(P4:P400, "=APAGADO",E4:E400,"=Fibra Optica")</f>
        <v>0</v>
      </c>
      <c r="Q2" s="19">
        <f>COUNTIFS(Q4:Q400, "=APAGADO",E4:E400,"=Fibra Optica")</f>
        <v>0</v>
      </c>
      <c r="R2" s="19">
        <f>COUNTIFS(R4:R400, "=APAGADO",E4:E400,"=Fibra Optica")</f>
        <v>0</v>
      </c>
      <c r="S2" s="19">
        <f>COUNTIFS(S4:S400, "=APAGADO",E4:E400,"=Fibra Optica")</f>
        <v>0</v>
      </c>
      <c r="T2" s="19">
        <f>COUNTIFS(T4:T400, "=APAGADO",E4:E400,"=Fibra Optica")</f>
        <v>0</v>
      </c>
      <c r="U2" s="19">
        <f>COUNTIFS(U4:U400, "=APAGADO",E4:E400,"=Fibra Optica")</f>
        <v>0</v>
      </c>
      <c r="V2" s="19">
        <f>COUNTIFS(V4:V400, "=APAGADO",E4:E400,"=Fibra Optica")</f>
        <v>0</v>
      </c>
      <c r="W2" s="19">
        <f>COUNTIFS(W4:W400, "=APAGADO",E4:E400,"=Fibra Optica")</f>
        <v>0</v>
      </c>
      <c r="X2" s="19">
        <f ca="1">COUNTIFS(X4:X400, "=APAGADO",E4:E400,"=Fibra Optica")</f>
        <v>0</v>
      </c>
      <c r="Y2" s="19">
        <f>COUNTIFS(Y4:Y400, "=APAGADO",E4:E400,"=Fibra Optica")</f>
        <v>0</v>
      </c>
      <c r="Z2" s="19">
        <f>COUNTIFS(Z4:Z400, "=APAGADO",E4:E400,"=Fibra Optica")</f>
        <v>0</v>
      </c>
      <c r="AA2" s="19">
        <f>COUNTIFS(AA4:AA400, "=APAGADO",E4:E400,"=Fibra Optica")</f>
        <v>0</v>
      </c>
      <c r="AB2" s="19">
        <f>COUNTIFS(AB4:AB400, "=APAGADO",E4:E400,"=Fibra Optica")</f>
        <v>0</v>
      </c>
      <c r="AC2" s="19">
        <f>COUNTIFS(AC4:AC400, "=APAGADO",E4:E400,"=Fibra Optica")</f>
        <v>0</v>
      </c>
      <c r="AD2" s="19">
        <f>COUNTIFS(AD4:AD400, "=APAGADO",E4:E400,"=Fibra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3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3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>
        <f>ESTADISTICA!I5</f>
        <v>0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3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3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3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3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3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3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3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>
        <f>ESTADISTICA!N12</f>
        <v>0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3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>
        <f>ESTADISTICA!J13</f>
        <v>0</v>
      </c>
      <c r="K15" s="40">
        <f>ESTADISTICA!K13</f>
        <v>0</v>
      </c>
      <c r="L15" s="40">
        <f>ESTADISTICA!L13</f>
        <v>0</v>
      </c>
      <c r="M15" s="40">
        <f>ESTADISTICA!M13</f>
        <v>0</v>
      </c>
      <c r="N15" s="40">
        <f>ESTADISTICA!N13</f>
        <v>0</v>
      </c>
      <c r="O15" s="40">
        <f>ESTADISTICA!O13</f>
        <v>0</v>
      </c>
      <c r="P15" s="40">
        <f>ESTADISTICA!P13</f>
        <v>0</v>
      </c>
      <c r="Q15" s="40">
        <f>ESTADISTICA!Q13</f>
        <v>0</v>
      </c>
      <c r="R15" s="40">
        <f>ESTADISTICA!R13</f>
        <v>0</v>
      </c>
      <c r="S15" s="40">
        <f>ESTADISTICA!S13</f>
        <v>0</v>
      </c>
      <c r="T15" s="40">
        <f>ESTADISTICA!T13</f>
        <v>0</v>
      </c>
      <c r="U15" s="40">
        <f>ESTADISTICA!U13</f>
        <v>0</v>
      </c>
      <c r="V15" s="40">
        <f>ESTADISTICA!V13</f>
        <v>0</v>
      </c>
      <c r="W15" s="40">
        <f>ESTADISTICA!W13</f>
        <v>0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3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>
        <f>ESTADISTICA!O14</f>
        <v>0</v>
      </c>
      <c r="P16" s="40">
        <f>ESTADISTICA!P14</f>
        <v>0</v>
      </c>
      <c r="Q16" s="40">
        <f>ESTADISTICA!Q14</f>
        <v>0</v>
      </c>
      <c r="R16" s="40">
        <f>ESTADISTICA!R14</f>
        <v>0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3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>
        <f>ESTADISTICA!O15</f>
        <v>0</v>
      </c>
      <c r="P17" s="40">
        <f>ESTADISTICA!P15</f>
        <v>0</v>
      </c>
      <c r="Q17" s="40">
        <f>ESTADISTICA!Q15</f>
        <v>0</v>
      </c>
      <c r="R17" s="40">
        <f>ESTADISTICA!R15</f>
        <v>0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3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>
        <f>ESTADISTICA!P16</f>
        <v>0</v>
      </c>
      <c r="Q18" s="40">
        <f>ESTADISTICA!Q16</f>
        <v>0</v>
      </c>
      <c r="R18" s="40">
        <f>ESTADISTICA!R16</f>
        <v>0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>
        <f>ESTADISTICA!V16</f>
        <v>0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3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>
        <f>ESTADISTICA!V17</f>
        <v>0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3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3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3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3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3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3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3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3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3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3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3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3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3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3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3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>
        <f>ESTADISTICA!I32</f>
        <v>0</v>
      </c>
      <c r="J34" s="40">
        <f>ESTADISTICA!J32</f>
        <v>0</v>
      </c>
      <c r="K34" s="40">
        <f>ESTADISTICA!K32</f>
        <v>0</v>
      </c>
      <c r="L34" s="40">
        <f>ESTADISTICA!L32</f>
        <v>0</v>
      </c>
      <c r="M34" s="40">
        <f>ESTADISTICA!M32</f>
        <v>0</v>
      </c>
      <c r="N34" s="40">
        <f>ESTADISTICA!N32</f>
        <v>0</v>
      </c>
      <c r="O34" s="40">
        <f>ESTADISTICA!O32</f>
        <v>0</v>
      </c>
      <c r="P34" s="40">
        <f>ESTADISTICA!P32</f>
        <v>0</v>
      </c>
      <c r="Q34" s="40">
        <f>ESTADISTICA!Q32</f>
        <v>0</v>
      </c>
      <c r="R34" s="40">
        <f>ESTADISTICA!R32</f>
        <v>0</v>
      </c>
      <c r="S34" s="40">
        <f>ESTADISTICA!S32</f>
        <v>0</v>
      </c>
      <c r="T34" s="40">
        <f>ESTADISTICA!T32</f>
        <v>0</v>
      </c>
      <c r="U34" s="40">
        <f>ESTADISTICA!U32</f>
        <v>0</v>
      </c>
      <c r="V34" s="40">
        <f>ESTADISTICA!V32</f>
        <v>0</v>
      </c>
      <c r="W34" s="40">
        <f>ESTADISTICA!W32</f>
        <v>0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3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3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3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>
        <f>ESTADISTICA!U35</f>
        <v>0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3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>
        <f>ESTADISTICA!I36</f>
        <v>0</v>
      </c>
      <c r="J38" s="40">
        <f>ESTADISTICA!J36</f>
        <v>0</v>
      </c>
      <c r="K38" s="40">
        <f>ESTADISTICA!K36</f>
        <v>0</v>
      </c>
      <c r="L38" s="40">
        <f>ESTADISTICA!L36</f>
        <v>0</v>
      </c>
      <c r="M38" s="40">
        <f>ESTADISTICA!M36</f>
        <v>0</v>
      </c>
      <c r="N38" s="40">
        <f>ESTADISTICA!N36</f>
        <v>0</v>
      </c>
      <c r="O38" s="40">
        <f>ESTADISTICA!O36</f>
        <v>0</v>
      </c>
      <c r="P38" s="40">
        <f>ESTADISTICA!P36</f>
        <v>0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3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3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>
        <f>ESTADISTICA!I38</f>
        <v>0</v>
      </c>
      <c r="J40" s="40">
        <f>ESTADISTICA!J38</f>
        <v>0</v>
      </c>
      <c r="K40" s="40">
        <f>ESTADISTICA!K38</f>
        <v>0</v>
      </c>
      <c r="L40" s="40">
        <f>ESTADISTICA!L38</f>
        <v>0</v>
      </c>
      <c r="M40" s="40">
        <f>ESTADISTICA!M38</f>
        <v>0</v>
      </c>
      <c r="N40" s="40">
        <f>ESTADISTICA!N38</f>
        <v>0</v>
      </c>
      <c r="O40" s="40">
        <f>ESTADISTICA!O38</f>
        <v>0</v>
      </c>
      <c r="P40" s="40">
        <f>ESTADISTICA!P38</f>
        <v>0</v>
      </c>
      <c r="Q40" s="40">
        <f>ESTADISTICA!Q38</f>
        <v>0</v>
      </c>
      <c r="R40" s="40">
        <f>ESTADISTICA!R38</f>
        <v>0</v>
      </c>
      <c r="S40" s="40">
        <f>ESTADISTICA!S38</f>
        <v>0</v>
      </c>
      <c r="T40" s="40">
        <f>ESTADISTICA!T38</f>
        <v>0</v>
      </c>
      <c r="U40" s="40">
        <f>ESTADISTICA!U38</f>
        <v>0</v>
      </c>
      <c r="V40" s="40">
        <f>ESTADISTICA!V38</f>
        <v>0</v>
      </c>
      <c r="W40" s="40">
        <f>ESTADISTICA!W38</f>
        <v>0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3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3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3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>
        <f>ESTADISTICA!O41</f>
        <v>0</v>
      </c>
      <c r="P43" s="40">
        <f>ESTADISTICA!P41</f>
        <v>0</v>
      </c>
      <c r="Q43" s="40">
        <f>ESTADISTICA!Q41</f>
        <v>0</v>
      </c>
      <c r="R43" s="40">
        <f>ESTADISTICA!R41</f>
        <v>0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3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3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3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3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>
        <f>ESTADISTICA!O45</f>
        <v>0</v>
      </c>
      <c r="P47" s="40">
        <f>ESTADISTICA!P45</f>
        <v>0</v>
      </c>
      <c r="Q47" s="40">
        <f>ESTADISTICA!Q45</f>
        <v>0</v>
      </c>
      <c r="R47" s="40">
        <f>ESTADISTICA!R45</f>
        <v>0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3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>
        <f>ESTADISTICA!I46</f>
        <v>0</v>
      </c>
      <c r="J48" s="40">
        <f>ESTADISTICA!J46</f>
        <v>0</v>
      </c>
      <c r="K48" s="40">
        <f>ESTADISTICA!K46</f>
        <v>0</v>
      </c>
      <c r="L48" s="40">
        <f>ESTADISTICA!L46</f>
        <v>0</v>
      </c>
      <c r="M48" s="40">
        <f>ESTADISTICA!M46</f>
        <v>0</v>
      </c>
      <c r="N48" s="40">
        <f>ESTADISTICA!N46</f>
        <v>0</v>
      </c>
      <c r="O48" s="40">
        <f>ESTADISTICA!O46</f>
        <v>0</v>
      </c>
      <c r="P48" s="40">
        <f>ESTADISTICA!P46</f>
        <v>0</v>
      </c>
      <c r="Q48" s="40">
        <f>ESTADISTICA!Q46</f>
        <v>0</v>
      </c>
      <c r="R48" s="40">
        <f>ESTADISTICA!R46</f>
        <v>0</v>
      </c>
      <c r="S48" s="40">
        <f>ESTADISTICA!S46</f>
        <v>0</v>
      </c>
      <c r="T48" s="40">
        <f>ESTADISTICA!T46</f>
        <v>0</v>
      </c>
      <c r="U48" s="40">
        <f>ESTADISTICA!U46</f>
        <v>0</v>
      </c>
      <c r="V48" s="40">
        <f>ESTADISTICA!V46</f>
        <v>0</v>
      </c>
      <c r="W48" s="40">
        <f>ESTADISTICA!W46</f>
        <v>0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3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>
        <f>ESTADISTICA!I47</f>
        <v>0</v>
      </c>
      <c r="J49" s="40">
        <f>ESTADISTICA!J47</f>
        <v>0</v>
      </c>
      <c r="K49" s="40">
        <f>ESTADISTICA!K47</f>
        <v>0</v>
      </c>
      <c r="L49" s="40">
        <f>ESTADISTICA!L47</f>
        <v>0</v>
      </c>
      <c r="M49" s="40">
        <f>ESTADISTICA!M47</f>
        <v>0</v>
      </c>
      <c r="N49" s="40">
        <f>ESTADISTICA!N47</f>
        <v>0</v>
      </c>
      <c r="O49" s="40">
        <f>ESTADISTICA!O47</f>
        <v>0</v>
      </c>
      <c r="P49" s="40">
        <f>ESTADISTICA!P47</f>
        <v>0</v>
      </c>
      <c r="Q49" s="40">
        <f>ESTADISTICA!Q47</f>
        <v>0</v>
      </c>
      <c r="R49" s="40">
        <f>ESTADISTICA!R47</f>
        <v>0</v>
      </c>
      <c r="S49" s="40">
        <f>ESTADISTICA!S47</f>
        <v>0</v>
      </c>
      <c r="T49" s="40">
        <f>ESTADISTICA!T47</f>
        <v>0</v>
      </c>
      <c r="U49" s="40">
        <f>ESTADISTICA!U47</f>
        <v>0</v>
      </c>
      <c r="V49" s="40">
        <f>ESTADISTICA!V47</f>
        <v>0</v>
      </c>
      <c r="W49" s="40">
        <f>ESTADISTICA!W47</f>
        <v>0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3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3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>
        <f>ESTADISTICA!I49</f>
        <v>0</v>
      </c>
      <c r="J51" s="40">
        <f>ESTADISTICA!J49</f>
        <v>0</v>
      </c>
      <c r="K51" s="40">
        <f>ESTADISTICA!K49</f>
        <v>0</v>
      </c>
      <c r="L51" s="40">
        <f>ESTADISTICA!L49</f>
        <v>0</v>
      </c>
      <c r="M51" s="40">
        <f>ESTADISTICA!M49</f>
        <v>0</v>
      </c>
      <c r="N51" s="40">
        <f>ESTADISTICA!N49</f>
        <v>0</v>
      </c>
      <c r="O51" s="40">
        <f>ESTADISTICA!O49</f>
        <v>0</v>
      </c>
      <c r="P51" s="40">
        <f>ESTADISTICA!P49</f>
        <v>0</v>
      </c>
      <c r="Q51" s="40">
        <f>ESTADISTICA!Q49</f>
        <v>0</v>
      </c>
      <c r="R51" s="40">
        <f>ESTADISTICA!R49</f>
        <v>0</v>
      </c>
      <c r="S51" s="40">
        <f>ESTADISTICA!S49</f>
        <v>0</v>
      </c>
      <c r="T51" s="40">
        <f>ESTADISTICA!T49</f>
        <v>0</v>
      </c>
      <c r="U51" s="40">
        <f>ESTADISTICA!U49</f>
        <v>0</v>
      </c>
      <c r="V51" s="40">
        <f>ESTADISTICA!V49</f>
        <v>0</v>
      </c>
      <c r="W51" s="40">
        <f>ESTADISTICA!W49</f>
        <v>0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3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>
        <f>ESTADISTICA!O50</f>
        <v>0</v>
      </c>
      <c r="P52" s="40">
        <f>ESTADISTICA!P50</f>
        <v>0</v>
      </c>
      <c r="Q52" s="40">
        <f>ESTADISTICA!Q50</f>
        <v>0</v>
      </c>
      <c r="R52" s="40">
        <f>ESTADISTICA!R50</f>
        <v>0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3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3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>
        <f>ESTADISTICA!I52</f>
        <v>0</v>
      </c>
      <c r="J54" s="40">
        <f>ESTADISTICA!J52</f>
        <v>0</v>
      </c>
      <c r="K54" s="40">
        <f>ESTADISTICA!K52</f>
        <v>0</v>
      </c>
      <c r="L54" s="40">
        <f>ESTADISTICA!L52</f>
        <v>0</v>
      </c>
      <c r="M54" s="40">
        <f>ESTADISTICA!M52</f>
        <v>0</v>
      </c>
      <c r="N54" s="40">
        <f>ESTADISTICA!N52</f>
        <v>0</v>
      </c>
      <c r="O54" s="40">
        <f>ESTADISTICA!O52</f>
        <v>0</v>
      </c>
      <c r="P54" s="40">
        <f>ESTADISTICA!P52</f>
        <v>0</v>
      </c>
      <c r="Q54" s="40">
        <f>ESTADISTICA!Q52</f>
        <v>0</v>
      </c>
      <c r="R54" s="40">
        <f>ESTADISTICA!R52</f>
        <v>0</v>
      </c>
      <c r="S54" s="40">
        <f>ESTADISTICA!S52</f>
        <v>0</v>
      </c>
      <c r="T54" s="40">
        <f>ESTADISTICA!T52</f>
        <v>0</v>
      </c>
      <c r="U54" s="40">
        <f>ESTADISTICA!U52</f>
        <v>0</v>
      </c>
      <c r="V54" s="40">
        <f>ESTADISTICA!V52</f>
        <v>0</v>
      </c>
      <c r="W54" s="40">
        <f>ESTADISTICA!W52</f>
        <v>0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3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3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>
        <f>ESTADISTICA!I54</f>
        <v>0</v>
      </c>
      <c r="J56" s="40">
        <f>ESTADISTICA!J54</f>
        <v>0</v>
      </c>
      <c r="K56" s="40">
        <f>ESTADISTICA!K54</f>
        <v>0</v>
      </c>
      <c r="L56" s="40">
        <f>ESTADISTICA!L54</f>
        <v>0</v>
      </c>
      <c r="M56" s="40">
        <f>ESTADISTICA!M54</f>
        <v>0</v>
      </c>
      <c r="N56" s="40">
        <f>ESTADISTICA!N54</f>
        <v>0</v>
      </c>
      <c r="O56" s="40">
        <f>ESTADISTICA!O54</f>
        <v>0</v>
      </c>
      <c r="P56" s="40">
        <f>ESTADISTICA!P54</f>
        <v>0</v>
      </c>
      <c r="Q56" s="40">
        <f>ESTADISTICA!Q54</f>
        <v>0</v>
      </c>
      <c r="R56" s="40">
        <f>ESTADISTICA!R54</f>
        <v>0</v>
      </c>
      <c r="S56" s="40">
        <f>ESTADISTICA!S54</f>
        <v>0</v>
      </c>
      <c r="T56" s="40">
        <f>ESTADISTICA!T54</f>
        <v>0</v>
      </c>
      <c r="U56" s="40">
        <f>ESTADISTICA!U54</f>
        <v>0</v>
      </c>
      <c r="V56" s="40">
        <f>ESTADISTICA!V54</f>
        <v>0</v>
      </c>
      <c r="W56" s="40">
        <f>ESTADISTICA!W54</f>
        <v>0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3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3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3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3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>
        <f>ESTADISTICA!T58</f>
        <v>0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3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3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3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3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3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3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3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3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3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>
        <f>ESTADISTICA!I67</f>
        <v>0</v>
      </c>
      <c r="J69" s="40">
        <f>ESTADISTICA!J67</f>
        <v>0</v>
      </c>
      <c r="K69" s="40">
        <f>ESTADISTICA!K67</f>
        <v>0</v>
      </c>
      <c r="L69" s="40">
        <f>ESTADISTICA!L67</f>
        <v>0</v>
      </c>
      <c r="M69" s="40">
        <f>ESTADISTICA!M67</f>
        <v>0</v>
      </c>
      <c r="N69" s="40">
        <f>ESTADISTICA!N67</f>
        <v>0</v>
      </c>
      <c r="O69" s="40">
        <f>ESTADISTICA!O67</f>
        <v>0</v>
      </c>
      <c r="P69" s="40">
        <f>ESTADISTICA!P67</f>
        <v>0</v>
      </c>
      <c r="Q69" s="40">
        <f>ESTADISTICA!Q67</f>
        <v>0</v>
      </c>
      <c r="R69" s="40">
        <f>ESTADISTICA!R67</f>
        <v>0</v>
      </c>
      <c r="S69" s="40">
        <f>ESTADISTICA!S67</f>
        <v>0</v>
      </c>
      <c r="T69" s="40">
        <f>ESTADISTICA!T67</f>
        <v>0</v>
      </c>
      <c r="U69" s="40">
        <f>ESTADISTICA!U67</f>
        <v>0</v>
      </c>
      <c r="V69" s="40">
        <f>ESTADISTICA!V67</f>
        <v>0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3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>
        <f>ESTADISTICA!I68</f>
        <v>0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3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3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>
        <f>ESTADISTICA!O70</f>
        <v>0</v>
      </c>
      <c r="P72" s="40">
        <f>ESTADISTICA!P70</f>
        <v>0</v>
      </c>
      <c r="Q72" s="40">
        <f>ESTADISTICA!Q70</f>
        <v>0</v>
      </c>
      <c r="R72" s="40">
        <f>ESTADISTICA!R70</f>
        <v>0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3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3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3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>
        <f>ESTADISTICA!I73</f>
        <v>0</v>
      </c>
      <c r="J75" s="40">
        <f>ESTADISTICA!J73</f>
        <v>0</v>
      </c>
      <c r="K75" s="40">
        <f>ESTADISTICA!K73</f>
        <v>0</v>
      </c>
      <c r="L75" s="40">
        <f>ESTADISTICA!L73</f>
        <v>0</v>
      </c>
      <c r="M75" s="40">
        <f>ESTADISTICA!M73</f>
        <v>0</v>
      </c>
      <c r="N75" s="40">
        <f>ESTADISTICA!N73</f>
        <v>0</v>
      </c>
      <c r="O75" s="40">
        <f>ESTADISTICA!O73</f>
        <v>0</v>
      </c>
      <c r="P75" s="40">
        <f>ESTADISTICA!P73</f>
        <v>0</v>
      </c>
      <c r="Q75" s="40">
        <f>ESTADISTICA!Q73</f>
        <v>0</v>
      </c>
      <c r="R75" s="40">
        <f>ESTADISTICA!R73</f>
        <v>0</v>
      </c>
      <c r="S75" s="40">
        <f>ESTADISTICA!S73</f>
        <v>0</v>
      </c>
      <c r="T75" s="40">
        <f>ESTADISTICA!T73</f>
        <v>0</v>
      </c>
      <c r="U75" s="40">
        <f>ESTADISTICA!U73</f>
        <v>0</v>
      </c>
      <c r="V75" s="40">
        <f>ESTADISTICA!V73</f>
        <v>0</v>
      </c>
      <c r="W75" s="40">
        <f>ESTADISTICA!W73</f>
        <v>0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3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3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>
        <f>ESTADISTICA!J75</f>
        <v>0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>
        <f>ESTADISTICA!U75</f>
        <v>0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3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3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3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3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3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3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3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3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>
        <f>ESTADISTICA!L83</f>
        <v>0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3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>
        <f>ESTADISTICA!O84</f>
        <v>0</v>
      </c>
      <c r="P86" s="40">
        <f>ESTADISTICA!P84</f>
        <v>0</v>
      </c>
      <c r="Q86" s="40">
        <f>ESTADISTICA!Q84</f>
        <v>0</v>
      </c>
      <c r="R86" s="40">
        <f>ESTADISTICA!R84</f>
        <v>0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3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>
        <f>ESTADISTICA!O85</f>
        <v>0</v>
      </c>
      <c r="P87" s="40">
        <f>ESTADISTICA!P85</f>
        <v>0</v>
      </c>
      <c r="Q87" s="40">
        <f>ESTADISTICA!Q85</f>
        <v>0</v>
      </c>
      <c r="R87" s="40">
        <f>ESTADISTICA!R85</f>
        <v>0</v>
      </c>
      <c r="S87" s="40">
        <f>ESTADISTICA!S85</f>
        <v>0</v>
      </c>
      <c r="T87" s="40">
        <f>ESTADISTICA!T85</f>
        <v>0</v>
      </c>
      <c r="U87" s="40">
        <f>ESTADISTICA!U85</f>
        <v>0</v>
      </c>
      <c r="V87" s="40">
        <f>ESTADISTICA!V85</f>
        <v>0</v>
      </c>
      <c r="W87" s="40">
        <f>ESTADISTICA!W85</f>
        <v>0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3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>
        <f>ESTADISTICA!O86</f>
        <v>0</v>
      </c>
      <c r="P88" s="40">
        <f>ESTADISTICA!P86</f>
        <v>0</v>
      </c>
      <c r="Q88" s="40">
        <f>ESTADISTICA!Q86</f>
        <v>0</v>
      </c>
      <c r="R88" s="40">
        <f>ESTADISTICA!R86</f>
        <v>0</v>
      </c>
      <c r="S88" s="40">
        <f>ESTADISTICA!S86</f>
        <v>0</v>
      </c>
      <c r="T88" s="40">
        <f>ESTADISTICA!T86</f>
        <v>0</v>
      </c>
      <c r="U88" s="40">
        <f>ESTADISTICA!U86</f>
        <v>0</v>
      </c>
      <c r="V88" s="40">
        <f>ESTADISTICA!V86</f>
        <v>0</v>
      </c>
      <c r="W88" s="40">
        <f>ESTADISTICA!W86</f>
        <v>0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3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>
        <f>ESTADISTICA!O87</f>
        <v>0</v>
      </c>
      <c r="P89" s="40">
        <f>ESTADISTICA!P87</f>
        <v>0</v>
      </c>
      <c r="Q89" s="40">
        <f>ESTADISTICA!Q87</f>
        <v>0</v>
      </c>
      <c r="R89" s="40">
        <f>ESTADISTICA!R87</f>
        <v>0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3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3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3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3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3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>
        <f>ESTADISTICA!I92</f>
        <v>0</v>
      </c>
      <c r="J94" s="40">
        <f>ESTADISTICA!J92</f>
        <v>0</v>
      </c>
      <c r="K94" s="40">
        <f>ESTADISTICA!K92</f>
        <v>0</v>
      </c>
      <c r="L94" s="40">
        <f>ESTADISTICA!L92</f>
        <v>0</v>
      </c>
      <c r="M94" s="40">
        <f>ESTADISTICA!M92</f>
        <v>0</v>
      </c>
      <c r="N94" s="40">
        <f>ESTADISTICA!N92</f>
        <v>0</v>
      </c>
      <c r="O94" s="40">
        <f>ESTADISTICA!O92</f>
        <v>0</v>
      </c>
      <c r="P94" s="40">
        <f>ESTADISTICA!P92</f>
        <v>0</v>
      </c>
      <c r="Q94" s="40">
        <f>ESTADISTICA!Q92</f>
        <v>0</v>
      </c>
      <c r="R94" s="40">
        <f>ESTADISTICA!R92</f>
        <v>0</v>
      </c>
      <c r="S94" s="40">
        <f>ESTADISTICA!S92</f>
        <v>0</v>
      </c>
      <c r="T94" s="40">
        <f>ESTADISTICA!T92</f>
        <v>0</v>
      </c>
      <c r="U94" s="40">
        <f>ESTADISTICA!U92</f>
        <v>0</v>
      </c>
      <c r="V94" s="40">
        <f>ESTADISTICA!V92</f>
        <v>0</v>
      </c>
      <c r="W94" s="40">
        <f>ESTADISTICA!W92</f>
        <v>0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3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>
        <f>ESTADISTICA!O93</f>
        <v>0</v>
      </c>
      <c r="P95" s="40">
        <f>ESTADISTICA!P93</f>
        <v>0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3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3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3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>
        <f>ESTADISTICA!I96</f>
        <v>0</v>
      </c>
      <c r="J98" s="40">
        <f>ESTADISTICA!J96</f>
        <v>0</v>
      </c>
      <c r="K98" s="40">
        <f>ESTADISTICA!K96</f>
        <v>0</v>
      </c>
      <c r="L98" s="40">
        <f>ESTADISTICA!L96</f>
        <v>0</v>
      </c>
      <c r="M98" s="40">
        <f>ESTADISTICA!M96</f>
        <v>0</v>
      </c>
      <c r="N98" s="40">
        <f>ESTADISTICA!N96</f>
        <v>0</v>
      </c>
      <c r="O98" s="40">
        <f>ESTADISTICA!O96</f>
        <v>0</v>
      </c>
      <c r="P98" s="40">
        <f>ESTADISTICA!P96</f>
        <v>0</v>
      </c>
      <c r="Q98" s="40">
        <f>ESTADISTICA!Q96</f>
        <v>0</v>
      </c>
      <c r="R98" s="40">
        <f>ESTADISTICA!R96</f>
        <v>0</v>
      </c>
      <c r="S98" s="40">
        <f>ESTADISTICA!S96</f>
        <v>0</v>
      </c>
      <c r="T98" s="40">
        <f>ESTADISTICA!T96</f>
        <v>0</v>
      </c>
      <c r="U98" s="40">
        <f>ESTADISTICA!U96</f>
        <v>0</v>
      </c>
      <c r="V98" s="40">
        <f>ESTADISTICA!V96</f>
        <v>0</v>
      </c>
      <c r="W98" s="40">
        <f>ESTADISTICA!W96</f>
        <v>0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3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3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3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>
        <f>ESTADISTICA!I99</f>
        <v>0</v>
      </c>
      <c r="J101" s="40">
        <f>ESTADISTICA!J99</f>
        <v>0</v>
      </c>
      <c r="K101" s="40">
        <f>ESTADISTICA!K99</f>
        <v>0</v>
      </c>
      <c r="L101" s="40">
        <f>ESTADISTICA!L99</f>
        <v>0</v>
      </c>
      <c r="M101" s="40">
        <f>ESTADISTICA!M99</f>
        <v>0</v>
      </c>
      <c r="N101" s="40">
        <f>ESTADISTICA!N99</f>
        <v>0</v>
      </c>
      <c r="O101" s="40">
        <f>ESTADISTICA!O99</f>
        <v>0</v>
      </c>
      <c r="P101" s="40">
        <f>ESTADISTICA!P99</f>
        <v>0</v>
      </c>
      <c r="Q101" s="40">
        <f>ESTADISTICA!Q99</f>
        <v>0</v>
      </c>
      <c r="R101" s="40">
        <f>ESTADISTICA!R99</f>
        <v>0</v>
      </c>
      <c r="S101" s="40">
        <f>ESTADISTICA!S99</f>
        <v>0</v>
      </c>
      <c r="T101" s="40">
        <f>ESTADISTICA!T99</f>
        <v>0</v>
      </c>
      <c r="U101" s="40">
        <f>ESTADISTICA!U99</f>
        <v>0</v>
      </c>
      <c r="V101" s="40">
        <f>ESTADISTICA!V99</f>
        <v>0</v>
      </c>
      <c r="W101" s="40">
        <f>ESTADISTICA!W99</f>
        <v>0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3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>
        <f>ESTADISTICA!I100</f>
        <v>0</v>
      </c>
      <c r="J102" s="40">
        <f>ESTADISTICA!J100</f>
        <v>0</v>
      </c>
      <c r="K102" s="40">
        <f>ESTADISTICA!K100</f>
        <v>0</v>
      </c>
      <c r="L102" s="40">
        <f>ESTADISTICA!L100</f>
        <v>0</v>
      </c>
      <c r="M102" s="40">
        <f>ESTADISTICA!M100</f>
        <v>0</v>
      </c>
      <c r="N102" s="40">
        <f>ESTADISTICA!N100</f>
        <v>0</v>
      </c>
      <c r="O102" s="40">
        <f>ESTADISTICA!O100</f>
        <v>0</v>
      </c>
      <c r="P102" s="40">
        <f>ESTADISTICA!P100</f>
        <v>0</v>
      </c>
      <c r="Q102" s="40">
        <f>ESTADISTICA!Q100</f>
        <v>0</v>
      </c>
      <c r="R102" s="40">
        <f>ESTADISTICA!R100</f>
        <v>0</v>
      </c>
      <c r="S102" s="40">
        <f>ESTADISTICA!S100</f>
        <v>0</v>
      </c>
      <c r="T102" s="40">
        <f>ESTADISTICA!T100</f>
        <v>0</v>
      </c>
      <c r="U102" s="40">
        <f>ESTADISTICA!U100</f>
        <v>0</v>
      </c>
      <c r="V102" s="40">
        <f>ESTADISTICA!V100</f>
        <v>0</v>
      </c>
      <c r="W102" s="40">
        <f>ESTADISTICA!W100</f>
        <v>0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3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>
        <f>ESTADISTICA!Q101</f>
        <v>0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3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3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3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3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3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>
        <f>ESTADISTICA!R106</f>
        <v>0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3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3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3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3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3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3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>
        <f>ESTADISTICA!O112</f>
        <v>0</v>
      </c>
      <c r="P114" s="40">
        <f>ESTADISTICA!P112</f>
        <v>0</v>
      </c>
      <c r="Q114" s="40">
        <f>ESTADISTICA!Q112</f>
        <v>0</v>
      </c>
      <c r="R114" s="40">
        <f>ESTADISTICA!R112</f>
        <v>0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3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>
        <f>ESTADISTICA!O113</f>
        <v>0</v>
      </c>
      <c r="P115" s="40">
        <f>ESTADISTICA!P113</f>
        <v>0</v>
      </c>
      <c r="Q115" s="40">
        <f>ESTADISTICA!Q113</f>
        <v>0</v>
      </c>
      <c r="R115" s="40">
        <f>ESTADISTICA!R113</f>
        <v>0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3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3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3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3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3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3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3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>
        <f>ESTADISTICA!O120</f>
        <v>0</v>
      </c>
      <c r="P122" s="40">
        <f>ESTADISTICA!P120</f>
        <v>0</v>
      </c>
      <c r="Q122" s="40">
        <f>ESTADISTICA!Q120</f>
        <v>0</v>
      </c>
      <c r="R122" s="40">
        <f>ESTADISTICA!R120</f>
        <v>0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3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>
        <f>ESTADISTICA!K121</f>
        <v>0</v>
      </c>
      <c r="L123" s="40">
        <f>ESTADISTICA!L121</f>
        <v>0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>
        <f>ESTADISTICA!Q121</f>
        <v>0</v>
      </c>
      <c r="R123" s="40">
        <f>ESTADISTICA!R121</f>
        <v>0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>
        <f>ESTADISTICA!V121</f>
        <v>0</v>
      </c>
      <c r="W123" s="40">
        <f>ESTADISTICA!W121</f>
        <v>0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3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3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>
        <f>ESTADISTICA!O123</f>
        <v>0</v>
      </c>
      <c r="P125" s="40">
        <f>ESTADISTICA!P123</f>
        <v>0</v>
      </c>
      <c r="Q125" s="40">
        <f>ESTADISTICA!Q123</f>
        <v>0</v>
      </c>
      <c r="R125" s="40">
        <f>ESTADISTICA!R123</f>
        <v>0</v>
      </c>
      <c r="S125" s="40">
        <f>ESTADISTICA!S123</f>
        <v>0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3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>
        <f>ESTADISTICA!Q124</f>
        <v>0</v>
      </c>
      <c r="R126" s="40">
        <f>ESTADISTICA!R124</f>
        <v>0</v>
      </c>
      <c r="S126" s="40">
        <f>ESTADISTICA!S124</f>
        <v>0</v>
      </c>
      <c r="T126" s="40">
        <f>ESTADISTICA!T124</f>
        <v>0</v>
      </c>
      <c r="U126" s="40">
        <f>ESTADISTICA!U124</f>
        <v>0</v>
      </c>
      <c r="V126" s="40">
        <f>ESTADISTICA!V124</f>
        <v>0</v>
      </c>
      <c r="W126" s="40">
        <f>ESTADISTICA!W124</f>
        <v>0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3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3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3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3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3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3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3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3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3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3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3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3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3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>
        <f>ESTADISTICA!R137</f>
        <v>0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3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3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3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3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3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3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3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3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3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3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>
        <f>ESTADISTICA!O147</f>
        <v>0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3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3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3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3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3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3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3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3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3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>
        <f>ESTADISTICA!O156</f>
        <v>0</v>
      </c>
      <c r="P158" s="40">
        <f>ESTADISTICA!P156</f>
        <v>0</v>
      </c>
      <c r="Q158" s="40">
        <f>ESTADISTICA!Q156</f>
        <v>0</v>
      </c>
      <c r="R158" s="40">
        <f>ESTADISTICA!R156</f>
        <v>0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3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>
        <f>ESTADISTICA!O157</f>
        <v>0</v>
      </c>
      <c r="P159" s="40">
        <f>ESTADISTICA!P157</f>
        <v>0</v>
      </c>
      <c r="Q159" s="40">
        <f>ESTADISTICA!Q157</f>
        <v>0</v>
      </c>
      <c r="R159" s="40">
        <f>ESTADISTICA!R157</f>
        <v>0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3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>
        <f>ESTADISTICA!O158</f>
        <v>0</v>
      </c>
      <c r="P160" s="40">
        <f>ESTADISTICA!P158</f>
        <v>0</v>
      </c>
      <c r="Q160" s="40">
        <f>ESTADISTICA!Q158</f>
        <v>0</v>
      </c>
      <c r="R160" s="40">
        <f>ESTADISTICA!R158</f>
        <v>0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3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3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3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3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3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>
        <f>ESTADISTICA!I163</f>
        <v>0</v>
      </c>
      <c r="J165" s="40">
        <f>ESTADISTICA!J163</f>
        <v>0</v>
      </c>
      <c r="K165" s="40">
        <f>ESTADISTICA!K163</f>
        <v>0</v>
      </c>
      <c r="L165" s="40">
        <f>ESTADISTICA!L163</f>
        <v>0</v>
      </c>
      <c r="M165" s="40">
        <f>ESTADISTICA!M163</f>
        <v>0</v>
      </c>
      <c r="N165" s="40">
        <f>ESTADISTICA!N163</f>
        <v>0</v>
      </c>
      <c r="O165" s="40">
        <f>ESTADISTICA!O163</f>
        <v>0</v>
      </c>
      <c r="P165" s="40">
        <f>ESTADISTICA!P163</f>
        <v>0</v>
      </c>
      <c r="Q165" s="40">
        <f>ESTADISTICA!Q163</f>
        <v>0</v>
      </c>
      <c r="R165" s="40">
        <f>ESTADISTICA!R163</f>
        <v>0</v>
      </c>
      <c r="S165" s="40">
        <f>ESTADISTICA!S163</f>
        <v>0</v>
      </c>
      <c r="T165" s="40">
        <f>ESTADISTICA!T163</f>
        <v>0</v>
      </c>
      <c r="U165" s="40">
        <f>ESTADISTICA!U163</f>
        <v>0</v>
      </c>
      <c r="V165" s="40">
        <f>ESTADISTICA!V163</f>
        <v>0</v>
      </c>
      <c r="W165" s="40">
        <f>ESTADISTICA!W163</f>
        <v>0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3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>
        <f>ESTADISTICA!I164</f>
        <v>0</v>
      </c>
      <c r="J166" s="40">
        <f>ESTADISTICA!J164</f>
        <v>0</v>
      </c>
      <c r="K166" s="40">
        <f>ESTADISTICA!K164</f>
        <v>0</v>
      </c>
      <c r="L166" s="40">
        <f>ESTADISTICA!L164</f>
        <v>0</v>
      </c>
      <c r="M166" s="40">
        <f>ESTADISTICA!M164</f>
        <v>0</v>
      </c>
      <c r="N166" s="40">
        <f>ESTADISTICA!N164</f>
        <v>0</v>
      </c>
      <c r="O166" s="40">
        <f>ESTADISTICA!O164</f>
        <v>0</v>
      </c>
      <c r="P166" s="40">
        <f>ESTADISTICA!P164</f>
        <v>0</v>
      </c>
      <c r="Q166" s="40">
        <f>ESTADISTICA!Q164</f>
        <v>0</v>
      </c>
      <c r="R166" s="40">
        <f>ESTADISTICA!R164</f>
        <v>0</v>
      </c>
      <c r="S166" s="40">
        <f>ESTADISTICA!S164</f>
        <v>0</v>
      </c>
      <c r="T166" s="40">
        <f>ESTADISTICA!T164</f>
        <v>0</v>
      </c>
      <c r="U166" s="40">
        <f>ESTADISTICA!U164</f>
        <v>0</v>
      </c>
      <c r="V166" s="40">
        <f>ESTADISTICA!V164</f>
        <v>0</v>
      </c>
      <c r="W166" s="40">
        <f>ESTADISTICA!W164</f>
        <v>0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3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3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3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3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3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3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3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3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3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>
        <f>ESTADISTICA!I173</f>
        <v>0</v>
      </c>
      <c r="J175" s="40">
        <f>ESTADISTICA!J173</f>
        <v>0</v>
      </c>
      <c r="K175" s="40">
        <f>ESTADISTICA!K173</f>
        <v>0</v>
      </c>
      <c r="L175" s="40">
        <f>ESTADISTICA!L173</f>
        <v>0</v>
      </c>
      <c r="M175" s="40">
        <f>ESTADISTICA!M173</f>
        <v>0</v>
      </c>
      <c r="N175" s="40">
        <f>ESTADISTICA!N173</f>
        <v>0</v>
      </c>
      <c r="O175" s="40">
        <f>ESTADISTICA!O173</f>
        <v>0</v>
      </c>
      <c r="P175" s="40">
        <f>ESTADISTICA!P173</f>
        <v>0</v>
      </c>
      <c r="Q175" s="40">
        <f>ESTADISTICA!Q173</f>
        <v>0</v>
      </c>
      <c r="R175" s="40">
        <f>ESTADISTICA!R173</f>
        <v>0</v>
      </c>
      <c r="S175" s="40">
        <f>ESTADISTICA!S173</f>
        <v>0</v>
      </c>
      <c r="T175" s="40">
        <f>ESTADISTICA!T173</f>
        <v>0</v>
      </c>
      <c r="U175" s="40">
        <f>ESTADISTICA!U173</f>
        <v>0</v>
      </c>
      <c r="V175" s="40">
        <f>ESTADISTICA!V173</f>
        <v>0</v>
      </c>
      <c r="W175" s="40">
        <f>ESTADISTICA!W173</f>
        <v>0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3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3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>
        <f>ESTADISTICA!I175</f>
        <v>0</v>
      </c>
      <c r="J177" s="40">
        <f>ESTADISTICA!J175</f>
        <v>0</v>
      </c>
      <c r="K177" s="40">
        <f>ESTADISTICA!K175</f>
        <v>0</v>
      </c>
      <c r="L177" s="40">
        <f>ESTADISTICA!L175</f>
        <v>0</v>
      </c>
      <c r="M177" s="40">
        <f>ESTADISTICA!M175</f>
        <v>0</v>
      </c>
      <c r="N177" s="40">
        <f>ESTADISTICA!N175</f>
        <v>0</v>
      </c>
      <c r="O177" s="40">
        <f>ESTADISTICA!O175</f>
        <v>0</v>
      </c>
      <c r="P177" s="40">
        <f>ESTADISTICA!P175</f>
        <v>0</v>
      </c>
      <c r="Q177" s="40">
        <f>ESTADISTICA!Q175</f>
        <v>0</v>
      </c>
      <c r="R177" s="40">
        <f>ESTADISTICA!R175</f>
        <v>0</v>
      </c>
      <c r="S177" s="40">
        <f>ESTADISTICA!S175</f>
        <v>0</v>
      </c>
      <c r="T177" s="40">
        <f>ESTADISTICA!T175</f>
        <v>0</v>
      </c>
      <c r="U177" s="40">
        <f>ESTADISTICA!U175</f>
        <v>0</v>
      </c>
      <c r="V177" s="40">
        <f>ESTADISTICA!V175</f>
        <v>0</v>
      </c>
      <c r="W177" s="40">
        <f>ESTADISTICA!W175</f>
        <v>0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3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>
        <f>ESTADISTICA!R176</f>
        <v>0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3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3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3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3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>
        <f>ESTADISTICA!I180</f>
        <v>0</v>
      </c>
      <c r="J182" s="40">
        <f>ESTADISTICA!J180</f>
        <v>0</v>
      </c>
      <c r="K182" s="40">
        <f>ESTADISTICA!K180</f>
        <v>0</v>
      </c>
      <c r="L182" s="40">
        <f>ESTADISTICA!L180</f>
        <v>0</v>
      </c>
      <c r="M182" s="40">
        <f>ESTADISTICA!M180</f>
        <v>0</v>
      </c>
      <c r="N182" s="40">
        <f>ESTADISTICA!N180</f>
        <v>0</v>
      </c>
      <c r="O182" s="40">
        <f>ESTADISTICA!O180</f>
        <v>0</v>
      </c>
      <c r="P182" s="40">
        <f>ESTADISTICA!P180</f>
        <v>0</v>
      </c>
      <c r="Q182" s="40">
        <f>ESTADISTICA!Q180</f>
        <v>0</v>
      </c>
      <c r="R182" s="40">
        <f>ESTADISTICA!R180</f>
        <v>0</v>
      </c>
      <c r="S182" s="40">
        <f>ESTADISTICA!S180</f>
        <v>0</v>
      </c>
      <c r="T182" s="40">
        <f>ESTADISTICA!T180</f>
        <v>0</v>
      </c>
      <c r="U182" s="40">
        <f>ESTADISTICA!U180</f>
        <v>0</v>
      </c>
      <c r="V182" s="40">
        <f>ESTADISTICA!V180</f>
        <v>0</v>
      </c>
      <c r="W182" s="40">
        <f>ESTADISTICA!W180</f>
        <v>0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3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3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>
        <f>ESTADISTICA!J182</f>
        <v>0</v>
      </c>
      <c r="K184" s="40">
        <f>ESTADISTICA!K182</f>
        <v>0</v>
      </c>
      <c r="L184" s="40">
        <f>ESTADISTICA!L182</f>
        <v>0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>
        <f>ESTADISTICA!Q182</f>
        <v>0</v>
      </c>
      <c r="R184" s="40">
        <f>ESTADISTICA!R182</f>
        <v>0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3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>
        <f>ESTADISTICA!I183</f>
        <v>0</v>
      </c>
      <c r="J185" s="40">
        <f>ESTADISTICA!J183</f>
        <v>0</v>
      </c>
      <c r="K185" s="40">
        <f>ESTADISTICA!K183</f>
        <v>0</v>
      </c>
      <c r="L185" s="40">
        <f>ESTADISTICA!L183</f>
        <v>0</v>
      </c>
      <c r="M185" s="40">
        <f>ESTADISTICA!M183</f>
        <v>0</v>
      </c>
      <c r="N185" s="40">
        <f>ESTADISTICA!N183</f>
        <v>0</v>
      </c>
      <c r="O185" s="40">
        <f>ESTADISTICA!O183</f>
        <v>0</v>
      </c>
      <c r="P185" s="40">
        <f>ESTADISTICA!P183</f>
        <v>0</v>
      </c>
      <c r="Q185" s="40">
        <f>ESTADISTICA!Q183</f>
        <v>0</v>
      </c>
      <c r="R185" s="40">
        <f>ESTADISTICA!R183</f>
        <v>0</v>
      </c>
      <c r="S185" s="40">
        <f>ESTADISTICA!S183</f>
        <v>0</v>
      </c>
      <c r="T185" s="40">
        <f>ESTADISTICA!T183</f>
        <v>0</v>
      </c>
      <c r="U185" s="40">
        <f>ESTADISTICA!U183</f>
        <v>0</v>
      </c>
      <c r="V185" s="40">
        <f>ESTADISTICA!V183</f>
        <v>0</v>
      </c>
      <c r="W185" s="40">
        <f>ESTADISTICA!W183</f>
        <v>0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3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3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>
        <f>ESTADISTICA!I185</f>
        <v>0</v>
      </c>
      <c r="J187" s="40">
        <f>ESTADISTICA!J185</f>
        <v>0</v>
      </c>
      <c r="K187" s="40">
        <f>ESTADISTICA!K185</f>
        <v>0</v>
      </c>
      <c r="L187" s="40">
        <f>ESTADISTICA!L185</f>
        <v>0</v>
      </c>
      <c r="M187" s="40">
        <f>ESTADISTICA!M185</f>
        <v>0</v>
      </c>
      <c r="N187" s="40">
        <f>ESTADISTICA!N185</f>
        <v>0</v>
      </c>
      <c r="O187" s="40">
        <f>ESTADISTICA!O185</f>
        <v>0</v>
      </c>
      <c r="P187" s="40">
        <f>ESTADISTICA!P185</f>
        <v>0</v>
      </c>
      <c r="Q187" s="40">
        <f>ESTADISTICA!Q185</f>
        <v>0</v>
      </c>
      <c r="R187" s="40">
        <f>ESTADISTICA!R185</f>
        <v>0</v>
      </c>
      <c r="S187" s="40">
        <f>ESTADISTICA!S185</f>
        <v>0</v>
      </c>
      <c r="T187" s="40">
        <f>ESTADISTICA!T185</f>
        <v>0</v>
      </c>
      <c r="U187" s="40">
        <f>ESTADISTICA!U185</f>
        <v>0</v>
      </c>
      <c r="V187" s="40">
        <f>ESTADISTICA!V185</f>
        <v>0</v>
      </c>
      <c r="W187" s="40">
        <f>ESTADISTICA!W185</f>
        <v>0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3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3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3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3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3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3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>
        <f>ESTADISTICA!O191</f>
        <v>0</v>
      </c>
      <c r="P193" s="40">
        <f>ESTADISTICA!P191</f>
        <v>0</v>
      </c>
      <c r="Q193" s="40">
        <f>ESTADISTICA!Q191</f>
        <v>0</v>
      </c>
      <c r="R193" s="40">
        <f>ESTADISTICA!R191</f>
        <v>0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3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>
        <f>ESTADISTICA!O192</f>
        <v>0</v>
      </c>
      <c r="P194" s="40">
        <f>ESTADISTICA!P192</f>
        <v>0</v>
      </c>
      <c r="Q194" s="40">
        <f>ESTADISTICA!Q192</f>
        <v>0</v>
      </c>
      <c r="R194" s="40">
        <f>ESTADISTICA!R192</f>
        <v>0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3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3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3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>
        <f>ESTADISTICA!O195</f>
        <v>0</v>
      </c>
      <c r="P197" s="40">
        <f>ESTADISTICA!P195</f>
        <v>0</v>
      </c>
      <c r="Q197" s="40">
        <f>ESTADISTICA!Q195</f>
        <v>0</v>
      </c>
      <c r="R197" s="40">
        <f>ESTADISTICA!R195</f>
        <v>0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3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>
        <f>ESTADISTICA!I196</f>
        <v>0</v>
      </c>
      <c r="J198" s="40">
        <f>ESTADISTICA!J196</f>
        <v>0</v>
      </c>
      <c r="K198" s="40">
        <f>ESTADISTICA!K196</f>
        <v>0</v>
      </c>
      <c r="L198" s="40">
        <f>ESTADISTICA!L196</f>
        <v>0</v>
      </c>
      <c r="M198" s="40">
        <f>ESTADISTICA!M196</f>
        <v>0</v>
      </c>
      <c r="N198" s="40">
        <f>ESTADISTICA!N196</f>
        <v>0</v>
      </c>
      <c r="O198" s="40">
        <f>ESTADISTICA!O196</f>
        <v>0</v>
      </c>
      <c r="P198" s="40">
        <f>ESTADISTICA!P196</f>
        <v>0</v>
      </c>
      <c r="Q198" s="40">
        <f>ESTADISTICA!Q196</f>
        <v>0</v>
      </c>
      <c r="R198" s="40">
        <f>ESTADISTICA!R196</f>
        <v>0</v>
      </c>
      <c r="S198" s="40">
        <f>ESTADISTICA!S196</f>
        <v>0</v>
      </c>
      <c r="T198" s="40">
        <f>ESTADISTICA!T196</f>
        <v>0</v>
      </c>
      <c r="U198" s="40">
        <f>ESTADISTICA!U196</f>
        <v>0</v>
      </c>
      <c r="V198" s="40">
        <f>ESTADISTICA!V196</f>
        <v>0</v>
      </c>
      <c r="W198" s="40">
        <f>ESTADISTICA!W196</f>
        <v>0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3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3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>
        <f>ESTADISTICA!O198</f>
        <v>0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3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>
        <f>ESTADISTICA!O199</f>
        <v>0</v>
      </c>
      <c r="P201" s="40">
        <f>ESTADISTICA!P199</f>
        <v>0</v>
      </c>
      <c r="Q201" s="40">
        <f>ESTADISTICA!Q199</f>
        <v>0</v>
      </c>
      <c r="R201" s="40">
        <f>ESTADISTICA!R199</f>
        <v>0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3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>
        <f>ESTADISTICA!O200</f>
        <v>0</v>
      </c>
      <c r="P202" s="40">
        <f>ESTADISTICA!P200</f>
        <v>0</v>
      </c>
      <c r="Q202" s="40">
        <f>ESTADISTICA!Q200</f>
        <v>0</v>
      </c>
      <c r="R202" s="40">
        <f>ESTADISTICA!R200</f>
        <v>0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3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>
        <f>ESTADISTICA!O201</f>
        <v>0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3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>
        <f>ESTADISTICA!O202</f>
        <v>0</v>
      </c>
      <c r="P204" s="40">
        <f>ESTADISTICA!P202</f>
        <v>0</v>
      </c>
      <c r="Q204" s="40">
        <f>ESTADISTICA!Q202</f>
        <v>0</v>
      </c>
      <c r="R204" s="40">
        <f>ESTADISTICA!R202</f>
        <v>0</v>
      </c>
      <c r="S204" s="40">
        <f>ESTADISTICA!S202</f>
        <v>0</v>
      </c>
      <c r="T204" s="40">
        <f>ESTADISTICA!T202</f>
        <v>0</v>
      </c>
      <c r="U204" s="40">
        <f>ESTADISTICA!U202</f>
        <v>0</v>
      </c>
      <c r="V204" s="40">
        <f>ESTADISTICA!V202</f>
        <v>0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3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>
        <f>ESTADISTICA!O203</f>
        <v>0</v>
      </c>
      <c r="P205" s="40">
        <f>ESTADISTICA!P203</f>
        <v>0</v>
      </c>
      <c r="Q205" s="40">
        <f>ESTADISTICA!Q203</f>
        <v>0</v>
      </c>
      <c r="R205" s="40">
        <f>ESTADISTICA!R203</f>
        <v>0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3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>
        <f>ESTADISTICA!O204</f>
        <v>0</v>
      </c>
      <c r="P206" s="40">
        <f>ESTADISTICA!P204</f>
        <v>0</v>
      </c>
      <c r="Q206" s="40">
        <f>ESTADISTICA!Q204</f>
        <v>0</v>
      </c>
      <c r="R206" s="40">
        <f>ESTADISTICA!R204</f>
        <v>0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3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3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3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>
        <f>ESTADISTICA!J207</f>
        <v>0</v>
      </c>
      <c r="K209" s="40">
        <f>ESTADISTICA!K207</f>
        <v>0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3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3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>
        <f>ESTADISTICA!O209</f>
        <v>0</v>
      </c>
      <c r="P211" s="40">
        <f>ESTADISTICA!P209</f>
        <v>0</v>
      </c>
      <c r="Q211" s="40">
        <f>ESTADISTICA!Q209</f>
        <v>0</v>
      </c>
      <c r="R211" s="40">
        <f>ESTADISTICA!R209</f>
        <v>0</v>
      </c>
      <c r="S211" s="40">
        <f>ESTADISTICA!S209</f>
        <v>0</v>
      </c>
      <c r="T211" s="40">
        <f>ESTADISTICA!T209</f>
        <v>0</v>
      </c>
      <c r="U211" s="40">
        <f>ESTADISTICA!U209</f>
        <v>0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3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3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3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3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3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3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3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>
        <f>ESTADISTICA!N216</f>
        <v>0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3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>
        <f>ESTADISTICA!N217</f>
        <v>0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3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3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3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3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3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>
        <f>ESTADISTICA!O222</f>
        <v>0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3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>
        <f>ESTADISTICA!O223</f>
        <v>0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3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3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3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3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>
        <f>ESTADISTICA!I227</f>
        <v>0</v>
      </c>
      <c r="J229" s="40">
        <f>ESTADISTICA!J227</f>
        <v>0</v>
      </c>
      <c r="K229" s="40">
        <f>ESTADISTICA!K227</f>
        <v>0</v>
      </c>
      <c r="L229" s="40">
        <f>ESTADISTICA!L227</f>
        <v>0</v>
      </c>
      <c r="M229" s="40">
        <f>ESTADISTICA!M227</f>
        <v>0</v>
      </c>
      <c r="N229" s="40">
        <f>ESTADISTICA!N227</f>
        <v>0</v>
      </c>
      <c r="O229" s="40">
        <f>ESTADISTICA!O227</f>
        <v>0</v>
      </c>
      <c r="P229" s="40">
        <f>ESTADISTICA!P227</f>
        <v>0</v>
      </c>
      <c r="Q229" s="40">
        <f>ESTADISTICA!Q227</f>
        <v>0</v>
      </c>
      <c r="R229" s="40">
        <f>ESTADISTICA!R227</f>
        <v>0</v>
      </c>
      <c r="S229" s="40">
        <f>ESTADISTICA!S227</f>
        <v>0</v>
      </c>
      <c r="T229" s="40">
        <f>ESTADISTICA!T227</f>
        <v>0</v>
      </c>
      <c r="U229" s="40">
        <f>ESTADISTICA!U227</f>
        <v>0</v>
      </c>
      <c r="V229" s="40">
        <f>ESTADISTICA!V227</f>
        <v>0</v>
      </c>
      <c r="W229" s="40">
        <f>ESTADISTICA!W227</f>
        <v>0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3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3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3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>
        <f>ESTADISTICA!O230</f>
        <v>0</v>
      </c>
      <c r="P232" s="40">
        <f>ESTADISTICA!P230</f>
        <v>0</v>
      </c>
      <c r="Q232" s="40">
        <f>ESTADISTICA!Q230</f>
        <v>0</v>
      </c>
      <c r="R232" s="40">
        <f>ESTADISTICA!R230</f>
        <v>0</v>
      </c>
      <c r="S232" s="40">
        <f>ESTADISTICA!S230</f>
        <v>0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3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>
        <f>ESTADISTICA!S231</f>
        <v>0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3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3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3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>
        <f>ESTADISTICA!I234</f>
        <v>0</v>
      </c>
      <c r="J236" s="40">
        <f>ESTADISTICA!J234</f>
        <v>0</v>
      </c>
      <c r="K236" s="40">
        <f>ESTADISTICA!K234</f>
        <v>0</v>
      </c>
      <c r="L236" s="40">
        <f>ESTADISTICA!L234</f>
        <v>0</v>
      </c>
      <c r="M236" s="40">
        <f>ESTADISTICA!M234</f>
        <v>0</v>
      </c>
      <c r="N236" s="40">
        <f>ESTADISTICA!N234</f>
        <v>0</v>
      </c>
      <c r="O236" s="40">
        <f>ESTADISTICA!O234</f>
        <v>0</v>
      </c>
      <c r="P236" s="40">
        <f>ESTADISTICA!P234</f>
        <v>0</v>
      </c>
      <c r="Q236" s="40">
        <f>ESTADISTICA!Q234</f>
        <v>0</v>
      </c>
      <c r="R236" s="40">
        <f>ESTADISTICA!R234</f>
        <v>0</v>
      </c>
      <c r="S236" s="40">
        <f>ESTADISTICA!S234</f>
        <v>0</v>
      </c>
      <c r="T236" s="40">
        <f>ESTADISTICA!T234</f>
        <v>0</v>
      </c>
      <c r="U236" s="40">
        <f>ESTADISTICA!U234</f>
        <v>0</v>
      </c>
      <c r="V236" s="40">
        <f>ESTADISTICA!V234</f>
        <v>0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3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3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3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3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3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3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3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>
        <f>ESTADISTICA!P241</f>
        <v>0</v>
      </c>
      <c r="Q243" s="40">
        <f>ESTADISTICA!Q241</f>
        <v>0</v>
      </c>
      <c r="R243" s="40">
        <f>ESTADISTICA!R241</f>
        <v>0</v>
      </c>
      <c r="S243" s="40">
        <f>ESTADISTICA!S241</f>
        <v>0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3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3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>
        <f>ESTADISTICA!O243</f>
        <v>0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3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3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3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>
        <f>ESTADISTICA!I246</f>
        <v>0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3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>
        <f>ESTADISTICA!I247</f>
        <v>0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3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>
        <f>ESTADISTICA!I248</f>
        <v>0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3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>
        <f>ESTADISTICA!I249</f>
        <v>0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>
        <f>ESTADISTICA!P249</f>
        <v>0</v>
      </c>
      <c r="Q251" s="40">
        <f>ESTADISTICA!Q249</f>
        <v>0</v>
      </c>
      <c r="R251" s="40">
        <f>ESTADISTICA!R249</f>
        <v>0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3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3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3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>
        <f>ESTADISTICA!W252</f>
        <v>0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3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>
        <f>ESTADISTICA!O253</f>
        <v>0</v>
      </c>
      <c r="P255" s="40">
        <f>ESTADISTICA!P253</f>
        <v>0</v>
      </c>
      <c r="Q255" s="40">
        <f>ESTADISTICA!Q253</f>
        <v>0</v>
      </c>
      <c r="R255" s="40">
        <f>ESTADISTICA!R253</f>
        <v>0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>
        <f>ESTADISTICA!W253</f>
        <v>0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3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>
        <f>ESTADISTICA!I254</f>
        <v>0</v>
      </c>
      <c r="J256" s="40">
        <f>ESTADISTICA!J254</f>
        <v>0</v>
      </c>
      <c r="K256" s="40">
        <f>ESTADISTICA!K254</f>
        <v>0</v>
      </c>
      <c r="L256" s="40">
        <f>ESTADISTICA!L254</f>
        <v>0</v>
      </c>
      <c r="M256" s="40">
        <f>ESTADISTICA!M254</f>
        <v>0</v>
      </c>
      <c r="N256" s="40">
        <f>ESTADISTICA!N254</f>
        <v>0</v>
      </c>
      <c r="O256" s="40">
        <f>ESTADISTICA!O254</f>
        <v>0</v>
      </c>
      <c r="P256" s="40">
        <f>ESTADISTICA!P254</f>
        <v>0</v>
      </c>
      <c r="Q256" s="40">
        <f>ESTADISTICA!Q254</f>
        <v>0</v>
      </c>
      <c r="R256" s="40">
        <f>ESTADISTICA!R254</f>
        <v>0</v>
      </c>
      <c r="S256" s="40">
        <f>ESTADISTICA!S254</f>
        <v>0</v>
      </c>
      <c r="T256" s="40">
        <f>ESTADISTICA!T254</f>
        <v>0</v>
      </c>
      <c r="U256" s="40">
        <f>ESTADISTICA!U254</f>
        <v>0</v>
      </c>
      <c r="V256" s="40">
        <f>ESTADISTICA!V254</f>
        <v>0</v>
      </c>
      <c r="W256" s="40">
        <f>ESTADISTICA!W254</f>
        <v>0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3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3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3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3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3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3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3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3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3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3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3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3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3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3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3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3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3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3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>
        <f>ESTADISTICA!O272</f>
        <v>0</v>
      </c>
      <c r="P274" s="40">
        <f>ESTADISTICA!P272</f>
        <v>0</v>
      </c>
      <c r="Q274" s="40">
        <f>ESTADISTICA!Q272</f>
        <v>0</v>
      </c>
      <c r="R274" s="40">
        <f>ESTADISTICA!R272</f>
        <v>0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3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3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>
        <f>ESTADISTICA!O274</f>
        <v>0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3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>
        <f>ESTADISTICA!O275</f>
        <v>0</v>
      </c>
      <c r="P277" s="40">
        <f>ESTADISTICA!P275</f>
        <v>0</v>
      </c>
      <c r="Q277" s="40">
        <f>ESTADISTICA!Q275</f>
        <v>0</v>
      </c>
      <c r="R277" s="40">
        <f>ESTADISTICA!R275</f>
        <v>0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3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>
        <f>ESTADISTICA!I276</f>
        <v>0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3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3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3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3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>
        <f>ESTADISTICA!P280</f>
        <v>0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3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3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>
        <f>ESTADISTICA!Q282</f>
        <v>0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3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3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3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>
        <f>ESTADISTICA!W285</f>
        <v>0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3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>
        <f>ESTADISTICA!W286</f>
        <v>0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3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3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3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3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3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>
        <f>ESTADISTICA!W291</f>
        <v>0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3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3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>
        <f>ESTADISTICA!O293</f>
        <v>0</v>
      </c>
      <c r="P295" s="40">
        <f>ESTADISTICA!P293</f>
        <v>0</v>
      </c>
      <c r="Q295" s="40">
        <f>ESTADISTICA!Q293</f>
        <v>0</v>
      </c>
      <c r="R295" s="40">
        <f>ESTADISTICA!R293</f>
        <v>0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>
        <f>ESTADISTICA!W293</f>
        <v>0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3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>
        <f>ESTADISTICA!O294</f>
        <v>0</v>
      </c>
      <c r="P296" s="40">
        <f>ESTADISTICA!P294</f>
        <v>0</v>
      </c>
      <c r="Q296" s="40">
        <f>ESTADISTICA!Q294</f>
        <v>0</v>
      </c>
      <c r="R296" s="40">
        <f>ESTADISTICA!R294</f>
        <v>0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3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>
        <f>ESTADISTICA!O295</f>
        <v>0</v>
      </c>
      <c r="P297" s="40">
        <f>ESTADISTICA!P295</f>
        <v>0</v>
      </c>
      <c r="Q297" s="40">
        <f>ESTADISTICA!Q295</f>
        <v>0</v>
      </c>
      <c r="R297" s="40">
        <f>ESTADISTICA!R295</f>
        <v>0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3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3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3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3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>
        <f>ESTADISTICA!O299</f>
        <v>0</v>
      </c>
      <c r="P301" s="40">
        <f>ESTADISTICA!P299</f>
        <v>0</v>
      </c>
      <c r="Q301" s="40">
        <f>ESTADISTICA!Q299</f>
        <v>0</v>
      </c>
      <c r="R301" s="40">
        <f>ESTADISTICA!R299</f>
        <v>0</v>
      </c>
      <c r="S301" s="40">
        <f>ESTADISTICA!S299</f>
        <v>0</v>
      </c>
      <c r="T301" s="40">
        <f>ESTADISTICA!T299</f>
        <v>0</v>
      </c>
      <c r="U301" s="40">
        <f>ESTADISTICA!U299</f>
        <v>0</v>
      </c>
      <c r="V301" s="40">
        <f>ESTADISTICA!V299</f>
        <v>0</v>
      </c>
      <c r="W301" s="40">
        <f>ESTADISTICA!W299</f>
        <v>0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3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3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3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3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3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>
        <f>ESTADISTICA!O304</f>
        <v>0</v>
      </c>
      <c r="P306" s="40">
        <f>ESTADISTICA!P304</f>
        <v>0</v>
      </c>
      <c r="Q306" s="40">
        <f>ESTADISTICA!Q304</f>
        <v>0</v>
      </c>
      <c r="R306" s="40">
        <f>ESTADISTICA!R304</f>
        <v>0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3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3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3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3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3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>
        <f>ESTADISTICA!T309</f>
        <v>0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3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3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3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>
        <f>ESTADISTICA!J312</f>
        <v>0</v>
      </c>
      <c r="K314" s="40">
        <f>ESTADISTICA!K312</f>
        <v>0</v>
      </c>
      <c r="L314" s="40">
        <f>ESTADISTICA!L312</f>
        <v>0</v>
      </c>
      <c r="M314" s="40">
        <f>ESTADISTICA!M312</f>
        <v>0</v>
      </c>
      <c r="N314" s="40">
        <f>ESTADISTICA!N312</f>
        <v>0</v>
      </c>
      <c r="O314" s="40">
        <f>ESTADISTICA!O312</f>
        <v>0</v>
      </c>
      <c r="P314" s="40">
        <f>ESTADISTICA!P312</f>
        <v>0</v>
      </c>
      <c r="Q314" s="40">
        <f>ESTADISTICA!Q312</f>
        <v>0</v>
      </c>
      <c r="R314" s="40">
        <f>ESTADISTICA!R312</f>
        <v>0</v>
      </c>
      <c r="S314" s="40">
        <f>ESTADISTICA!S312</f>
        <v>0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3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>
        <f>ESTADISTICA!J313</f>
        <v>0</v>
      </c>
      <c r="K315" s="40">
        <f>ESTADISTICA!K313</f>
        <v>0</v>
      </c>
      <c r="L315" s="40">
        <f>ESTADISTICA!L313</f>
        <v>0</v>
      </c>
      <c r="M315" s="40">
        <f>ESTADISTICA!M313</f>
        <v>0</v>
      </c>
      <c r="N315" s="40">
        <f>ESTADISTICA!N313</f>
        <v>0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>
        <f>ESTADISTICA!S313</f>
        <v>0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3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3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3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3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3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3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>
        <f>ESTADISTICA!O319</f>
        <v>0</v>
      </c>
      <c r="P321" s="40">
        <f>ESTADISTICA!P319</f>
        <v>0</v>
      </c>
      <c r="Q321" s="40">
        <f>ESTADISTICA!Q319</f>
        <v>0</v>
      </c>
      <c r="R321" s="40">
        <f>ESTADISTICA!R319</f>
        <v>0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3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3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3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>
        <f>ESTADISTICA!L322</f>
        <v>0</v>
      </c>
      <c r="M324" s="40">
        <f>ESTADISTICA!M322</f>
        <v>0</v>
      </c>
      <c r="N324" s="40">
        <f>ESTADISTICA!N322</f>
        <v>0</v>
      </c>
      <c r="O324" s="40">
        <f>ESTADISTICA!O322</f>
        <v>0</v>
      </c>
      <c r="P324" s="40">
        <f>ESTADISTICA!P322</f>
        <v>0</v>
      </c>
      <c r="Q324" s="40">
        <f>ESTADISTICA!Q322</f>
        <v>0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>
        <f>ESTADISTICA!U322</f>
        <v>0</v>
      </c>
      <c r="V324" s="40">
        <f>ESTADISTICA!V322</f>
        <v>0</v>
      </c>
      <c r="W324" s="40">
        <f>ESTADISTICA!W322</f>
        <v>0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3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3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3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>
        <f>ESTADISTICA!O325</f>
        <v>0</v>
      </c>
      <c r="P327" s="40">
        <f>ESTADISTICA!P325</f>
        <v>0</v>
      </c>
      <c r="Q327" s="40">
        <f>ESTADISTICA!Q325</f>
        <v>0</v>
      </c>
      <c r="R327" s="40">
        <f>ESTADISTICA!R325</f>
        <v>0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3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3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3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>
        <f>ESTADISTICA!O328</f>
        <v>0</v>
      </c>
      <c r="P330" s="40">
        <f>ESTADISTICA!P328</f>
        <v>0</v>
      </c>
      <c r="Q330" s="40">
        <f>ESTADISTICA!Q328</f>
        <v>0</v>
      </c>
      <c r="R330" s="40">
        <f>ESTADISTICA!R328</f>
        <v>0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3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>
        <f>ESTADISTICA!O329</f>
        <v>0</v>
      </c>
      <c r="P331" s="40">
        <f>ESTADISTICA!P329</f>
        <v>0</v>
      </c>
      <c r="Q331" s="40">
        <f>ESTADISTICA!Q329</f>
        <v>0</v>
      </c>
      <c r="R331" s="40">
        <f>ESTADISTICA!R329</f>
        <v>0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3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>
        <f>ESTADISTICA!O330</f>
        <v>0</v>
      </c>
      <c r="P332" s="40">
        <f>ESTADISTICA!P330</f>
        <v>0</v>
      </c>
      <c r="Q332" s="40">
        <f>ESTADISTICA!Q330</f>
        <v>0</v>
      </c>
      <c r="R332" s="40">
        <f>ESTADISTICA!R330</f>
        <v>0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3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3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3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3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3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3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3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3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3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3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3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3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>
        <f>ESTADISTICA!O342</f>
        <v>0</v>
      </c>
      <c r="P344" s="40">
        <f>ESTADISTICA!P342</f>
        <v>0</v>
      </c>
      <c r="Q344" s="40">
        <f>ESTADISTICA!Q342</f>
        <v>0</v>
      </c>
      <c r="R344" s="40">
        <f>ESTADISTICA!R342</f>
        <v>0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3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3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>
        <f>ESTADISTICA!J344</f>
        <v>0</v>
      </c>
      <c r="K346" s="40">
        <f>ESTADISTICA!K344</f>
        <v>0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3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3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3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3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3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>
        <f>ESTADISTICA!T349</f>
        <v>0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3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>
        <f>ESTADISTICA!T350</f>
        <v>0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3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>
        <f>ESTADISTICA!J351</f>
        <v>0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>
        <f>ESTADISTICA!R351</f>
        <v>0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3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>
        <f>ESTADISTICA!O352</f>
        <v>0</v>
      </c>
      <c r="P354" s="40">
        <f>ESTADISTICA!P352</f>
        <v>0</v>
      </c>
      <c r="Q354" s="40">
        <f>ESTADISTICA!Q352</f>
        <v>0</v>
      </c>
      <c r="R354" s="40">
        <f>ESTADISTICA!R352</f>
        <v>0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3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>
        <f>ESTADISTICA!I353</f>
        <v>0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3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3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3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3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>
        <f>ESTADISTICA!I357</f>
        <v>0</v>
      </c>
      <c r="J359" s="40">
        <f>ESTADISTICA!J357</f>
        <v>0</v>
      </c>
      <c r="K359" s="40">
        <f>ESTADISTICA!K357</f>
        <v>0</v>
      </c>
      <c r="L359" s="40">
        <f>ESTADISTICA!L357</f>
        <v>0</v>
      </c>
      <c r="M359" s="40">
        <f>ESTADISTICA!M357</f>
        <v>0</v>
      </c>
      <c r="N359" s="40">
        <f>ESTADISTICA!N357</f>
        <v>0</v>
      </c>
      <c r="O359" s="40">
        <f>ESTADISTICA!O357</f>
        <v>0</v>
      </c>
      <c r="P359" s="40">
        <f>ESTADISTICA!P357</f>
        <v>0</v>
      </c>
      <c r="Q359" s="40">
        <f>ESTADISTICA!Q357</f>
        <v>0</v>
      </c>
      <c r="R359" s="40">
        <f>ESTADISTICA!R357</f>
        <v>0</v>
      </c>
      <c r="S359" s="40">
        <f>ESTADISTICA!S357</f>
        <v>0</v>
      </c>
      <c r="T359" s="40">
        <f>ESTADISTICA!T357</f>
        <v>0</v>
      </c>
      <c r="U359" s="40">
        <f>ESTADISTICA!U357</f>
        <v>0</v>
      </c>
      <c r="V359" s="40">
        <f>ESTADISTICA!V357</f>
        <v>0</v>
      </c>
      <c r="W359" s="40">
        <f>ESTADISTICA!W357</f>
        <v>0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3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3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3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3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3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3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3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>
        <f>ESTADISTICA!O364</f>
        <v>0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3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3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>
        <f>ESTADISTICA!O366</f>
        <v>0</v>
      </c>
      <c r="P368" s="40">
        <f>ESTADISTICA!P366</f>
        <v>0</v>
      </c>
      <c r="Q368" s="40">
        <f>ESTADISTICA!Q366</f>
        <v>0</v>
      </c>
      <c r="R368" s="40">
        <f>ESTADISTICA!R366</f>
        <v>0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3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>
        <f>ESTADISTICA!I417</f>
        <v>0</v>
      </c>
      <c r="J419" s="40">
        <f>ESTADISTICA!J417</f>
        <v>0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F416" activePane="bottomRight" state="frozenSplit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9" t="s">
        <v>1161</v>
      </c>
      <c r="D1" s="39"/>
    </row>
    <row r="2" spans="1:35" ht="21" x14ac:dyDescent="0.4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COUNTIFS(I4:I400, "=APAGADO",E4:E400,"=PTO A FO")</f>
        <v>0</v>
      </c>
      <c r="J2" s="19">
        <f>COUNTIFS(J4:J400, "=APAGADO",E4:E400,"=PTO A FO")</f>
        <v>0</v>
      </c>
      <c r="K2" s="19">
        <f>COUNTIFS(K4:K400, "=APAGADO",E4:E400,"=PTO A FO")</f>
        <v>0</v>
      </c>
      <c r="L2" s="19">
        <f>COUNTIFS(L4:L400, "=APAGADO",E4:E400,"=PTO A FO")</f>
        <v>0</v>
      </c>
      <c r="M2" s="19">
        <f>COUNTIFS(M4:M400, "=APAGADO",E4:E400,"=PTO A FO")</f>
        <v>0</v>
      </c>
      <c r="N2" s="19">
        <f>COUNTIFS(N4:N400, "=APAGADO",E4:E400,"=PTO A FO")</f>
        <v>0</v>
      </c>
      <c r="O2" s="19">
        <f>COUNTIFS(O4:O500, "=APAGADO",E4:E500,"=PTO A FO")</f>
        <v>0</v>
      </c>
      <c r="P2" s="19">
        <f>COUNTIFS(P4:P400, "=APAGADO",E4:E400,"=PTO A FO")</f>
        <v>0</v>
      </c>
      <c r="Q2" s="19">
        <f>COUNTIFS(Q4:Q400, "=APAGADO",E4:E400,"=PTO A FO")</f>
        <v>0</v>
      </c>
      <c r="R2" s="19">
        <f>COUNTIFS(R4:R400, "=APAGADO",E4:E400,"=PTO A FO")</f>
        <v>0</v>
      </c>
      <c r="S2" s="19">
        <f>COUNTIFS(S4:S400, "=APAGADO",E4:E400,"=PTO A FO")</f>
        <v>0</v>
      </c>
      <c r="T2" s="19">
        <f>COUNTIFS(T4:T400, "=APAGADO",E4:E400,"=PTO A FO")</f>
        <v>0</v>
      </c>
      <c r="U2" s="19">
        <f>COUNTIFS(U4:U400, "=APAGADO",E4:E400,"=PTO A FO")</f>
        <v>0</v>
      </c>
      <c r="V2" s="19">
        <f>COUNTIFS(V4:V400, "=APAGADO",E4:E400,"=PTO A FO")</f>
        <v>0</v>
      </c>
      <c r="W2" s="19">
        <f>COUNTIFS(W4:W400, "=APAGADO",E4:E400,"=PTO A FO")</f>
        <v>0</v>
      </c>
      <c r="X2" s="19">
        <f ca="1">COUNTIFS(X4:X400, "=APAGADO",E4:E400,"=PTO A FO")</f>
        <v>0</v>
      </c>
      <c r="Y2" s="19">
        <f>COUNTIFS(Y4:Y400, "=APAGADO",E4:E400,"=PTO A FO")</f>
        <v>0</v>
      </c>
      <c r="Z2" s="19">
        <f>COUNTIFS(Z4:Z400, "=APAGADO",E4:E400,"=PTO A FO")</f>
        <v>0</v>
      </c>
      <c r="AA2" s="19">
        <f>COUNTIFS(AA4:AA400, "=APAGADO",E4:E400,"=PTO A FO")</f>
        <v>0</v>
      </c>
      <c r="AB2" s="19">
        <f>COUNTIFS(AB4:AB400, "=APAGADO",E4:E400,"=PTO A FO")</f>
        <v>0</v>
      </c>
      <c r="AC2" s="19">
        <f>COUNTIFS(AC4:AC400, "=APAGADO",E4:E400,"=PTO A FO")</f>
        <v>0</v>
      </c>
      <c r="AD2" s="19">
        <f>COUNTIFS(AD4:AD400, "=APAGADO",E4:E400,"=PTO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>
        <f>ESTADISTICA!I417</f>
        <v>0</v>
      </c>
      <c r="J419" s="40">
        <f>ESTADISTICA!J417</f>
        <v>0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3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3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3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3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3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3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3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3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3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3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3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3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3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3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3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3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3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9" t="s">
        <v>987</v>
      </c>
      <c r="D1" s="39">
        <f>COUNTIFS(E4:E400,"=radio")</f>
        <v>93</v>
      </c>
    </row>
    <row r="2" spans="1:35" ht="21" x14ac:dyDescent="0.4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0</v>
      </c>
      <c r="J2" s="19">
        <f>COUNTIFS(J4:J500, "=APAGADO",E4:E500,"=radio")</f>
        <v>0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COUNTIFS(R4:R367, "=APAGADO",E4:E367,"=radio")</f>
        <v>0</v>
      </c>
      <c r="S2" s="19">
        <f>COUNTIFS(S4:S367, "=APAGADO",E4:E367,"=radio")</f>
        <v>0</v>
      </c>
      <c r="T2" s="19">
        <f>COUNTIFS(T4:T367, "=APAGADO",E4:E367,"=radio")</f>
        <v>0</v>
      </c>
      <c r="U2" s="19">
        <f>COUNTIFS(U4:U367, "=APAGADO",E4:E367,"=radio")</f>
        <v>0</v>
      </c>
      <c r="V2" s="19">
        <f>COUNTIFS(V4:V367, "=APAGADO",E4:E367,"=radio")</f>
        <v>0</v>
      </c>
      <c r="W2" s="19">
        <f>COUNTIFS(W4:W367, "=APAGADO",E4:E367,"=radio")</f>
        <v>0</v>
      </c>
      <c r="X2" s="19">
        <f>COUNTIFS(X4:X367, "=APAGADO",E4:E367,"=radio")</f>
        <v>0</v>
      </c>
      <c r="Y2" s="19">
        <f>COUNTIFS(Y4:Y367, "=APAGADO",E4:E367,"=radio")</f>
        <v>0</v>
      </c>
      <c r="Z2" s="19">
        <f>COUNTIFS(Z4:Z367, "=APAGADO",E4:E367,"=radio")</f>
        <v>0</v>
      </c>
      <c r="AA2" s="19">
        <f>COUNTIFS(AA4:AA367, "=APAGADO",E4:E367,"=radio")</f>
        <v>0</v>
      </c>
      <c r="AB2" s="19">
        <f>COUNTIFS(AB4:AB367, "=APAGADO",E4:E367,"=radio")</f>
        <v>0</v>
      </c>
      <c r="AC2" s="19">
        <f>COUNTIFS(AC4:AC367, "=APAGADO",E4:E367,"=radio")</f>
        <v>0</v>
      </c>
      <c r="AD2" s="19">
        <f>COUNTIFS(AD4:AD367, "=APAGADO",E4:E367,"=radio")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>
        <f>ESTADISTICA!I417</f>
        <v>0</v>
      </c>
      <c r="J419" s="40">
        <f>ESTADISTICA!J417</f>
        <v>0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F14" sqref="F14"/>
    </sheetView>
  </sheetViews>
  <sheetFormatPr baseColWidth="10" defaultColWidth="11.5546875" defaultRowHeight="14.4" x14ac:dyDescent="0.3"/>
  <cols>
    <col min="1" max="1" width="20.33203125" style="72" bestFit="1" customWidth="1"/>
    <col min="2" max="2" width="11.5546875" style="125"/>
    <col min="3" max="3" width="11.5546875" style="73"/>
    <col min="4" max="4" width="11.5546875" style="74"/>
    <col min="5" max="6" width="11.5546875" style="72"/>
    <col min="7" max="7" width="30.6640625" style="72" bestFit="1" customWidth="1"/>
    <col min="8" max="8" width="33.6640625" style="72" bestFit="1" customWidth="1"/>
    <col min="9" max="10" width="11.5546875" style="72"/>
    <col min="11" max="12" width="13.6640625" style="72" bestFit="1" customWidth="1"/>
    <col min="13" max="16384" width="11.5546875" style="72"/>
  </cols>
  <sheetData>
    <row r="1" spans="1:13" ht="15" thickBot="1" x14ac:dyDescent="0.35">
      <c r="B1" s="73" t="s">
        <v>1002</v>
      </c>
      <c r="D1" s="74" t="s">
        <v>1003</v>
      </c>
    </row>
    <row r="2" spans="1:13" ht="15.6" thickTop="1" thickBot="1" x14ac:dyDescent="0.35">
      <c r="A2" s="75" t="s">
        <v>999</v>
      </c>
      <c r="B2" s="76">
        <v>430</v>
      </c>
      <c r="C2" s="77"/>
      <c r="D2" s="78"/>
      <c r="E2" s="128">
        <v>44866</v>
      </c>
    </row>
    <row r="3" spans="1:13" ht="15" customHeight="1" thickTop="1" x14ac:dyDescent="0.3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29"/>
      <c r="G3" s="83"/>
      <c r="H3" s="84"/>
      <c r="I3" s="84"/>
      <c r="J3" s="84"/>
      <c r="K3" s="85"/>
      <c r="L3" s="86"/>
      <c r="M3" s="133"/>
    </row>
    <row r="4" spans="1:13" x14ac:dyDescent="0.3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29"/>
      <c r="G4" s="87"/>
      <c r="H4" s="88"/>
      <c r="I4" s="88"/>
      <c r="J4" s="88"/>
      <c r="K4" s="89"/>
      <c r="L4" s="90"/>
      <c r="M4" s="134"/>
    </row>
    <row r="5" spans="1:13" x14ac:dyDescent="0.3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29"/>
      <c r="G5" s="87"/>
      <c r="H5" s="88"/>
      <c r="I5" s="88"/>
      <c r="J5" s="88"/>
      <c r="K5" s="89"/>
      <c r="L5" s="90"/>
      <c r="M5" s="134"/>
    </row>
    <row r="6" spans="1:13" ht="15" thickBot="1" x14ac:dyDescent="0.35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30"/>
      <c r="G6" s="87"/>
      <c r="H6" s="88"/>
      <c r="I6" s="88"/>
      <c r="J6" s="88"/>
      <c r="K6" s="89"/>
      <c r="L6" s="90"/>
      <c r="M6" s="134"/>
    </row>
    <row r="7" spans="1:13" ht="15" customHeight="1" thickTop="1" x14ac:dyDescent="0.3">
      <c r="A7" s="75" t="s">
        <v>999</v>
      </c>
      <c r="B7" s="76">
        <v>430</v>
      </c>
      <c r="C7" s="77"/>
      <c r="D7" s="78"/>
      <c r="E7" s="128">
        <v>44868</v>
      </c>
      <c r="G7" s="87"/>
      <c r="H7" s="88"/>
      <c r="I7" s="88"/>
      <c r="J7" s="88"/>
      <c r="K7" s="89"/>
      <c r="L7" s="90"/>
      <c r="M7" s="134"/>
    </row>
    <row r="8" spans="1:13" ht="15" thickBot="1" x14ac:dyDescent="0.35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29"/>
      <c r="G8" s="95"/>
      <c r="H8" s="96"/>
      <c r="I8" s="96"/>
      <c r="J8" s="96"/>
      <c r="K8" s="97"/>
      <c r="L8" s="98"/>
      <c r="M8" s="136"/>
    </row>
    <row r="9" spans="1:13" ht="15.6" thickTop="1" thickBot="1" x14ac:dyDescent="0.35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29"/>
      <c r="G9" s="99"/>
      <c r="H9" s="100"/>
      <c r="I9" s="100"/>
      <c r="J9" s="100"/>
      <c r="K9" s="101"/>
      <c r="L9" s="100"/>
      <c r="M9" s="102"/>
    </row>
    <row r="10" spans="1:13" ht="15" thickTop="1" x14ac:dyDescent="0.3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29"/>
      <c r="G10" s="103"/>
      <c r="H10" s="104"/>
      <c r="I10" s="104"/>
      <c r="J10" s="104"/>
      <c r="K10" s="105"/>
      <c r="L10" s="106"/>
      <c r="M10" s="133"/>
    </row>
    <row r="11" spans="1:13" ht="15" thickBot="1" x14ac:dyDescent="0.35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30"/>
      <c r="G11" s="107"/>
      <c r="H11" s="100"/>
      <c r="I11" s="100"/>
      <c r="J11" s="100"/>
      <c r="K11" s="101"/>
      <c r="L11" s="108"/>
      <c r="M11" s="134"/>
    </row>
    <row r="12" spans="1:13" ht="15" thickTop="1" x14ac:dyDescent="0.3">
      <c r="A12" s="75"/>
      <c r="B12" s="76"/>
      <c r="C12" s="77"/>
      <c r="D12" s="78"/>
      <c r="E12" s="128"/>
      <c r="G12" s="107"/>
      <c r="H12" s="100"/>
      <c r="I12" s="100"/>
      <c r="J12" s="100"/>
      <c r="K12" s="101"/>
      <c r="L12" s="108"/>
      <c r="M12" s="134"/>
    </row>
    <row r="13" spans="1:13" x14ac:dyDescent="0.3">
      <c r="A13" s="79"/>
      <c r="B13" s="80"/>
      <c r="C13" s="81"/>
      <c r="D13" s="82"/>
      <c r="E13" s="129"/>
      <c r="G13" s="107"/>
      <c r="H13" s="100"/>
      <c r="I13" s="100"/>
      <c r="J13" s="100"/>
      <c r="K13" s="101"/>
      <c r="L13" s="108"/>
      <c r="M13" s="134"/>
    </row>
    <row r="14" spans="1:13" x14ac:dyDescent="0.3">
      <c r="A14" s="79"/>
      <c r="B14" s="80"/>
      <c r="C14" s="81"/>
      <c r="D14" s="82"/>
      <c r="E14" s="129"/>
      <c r="G14" s="107"/>
      <c r="H14" s="100"/>
      <c r="I14" s="100"/>
      <c r="J14" s="100"/>
      <c r="K14" s="101"/>
      <c r="L14" s="108"/>
      <c r="M14" s="134"/>
    </row>
    <row r="15" spans="1:13" ht="15" customHeight="1" thickBot="1" x14ac:dyDescent="0.35">
      <c r="A15" s="79"/>
      <c r="B15" s="80"/>
      <c r="C15" s="81"/>
      <c r="D15" s="82"/>
      <c r="E15" s="129"/>
      <c r="G15" s="109"/>
      <c r="H15" s="110"/>
      <c r="I15" s="110"/>
      <c r="J15" s="110"/>
      <c r="K15" s="110"/>
      <c r="L15" s="111"/>
      <c r="M15" s="135"/>
    </row>
    <row r="16" spans="1:13" ht="15.6" thickTop="1" thickBot="1" x14ac:dyDescent="0.35">
      <c r="A16" s="91"/>
      <c r="B16" s="92"/>
      <c r="C16" s="93"/>
      <c r="D16" s="82"/>
      <c r="E16" s="130"/>
      <c r="G16" s="112"/>
      <c r="H16" s="113"/>
      <c r="I16" s="113"/>
      <c r="J16" s="113"/>
      <c r="K16" s="114"/>
      <c r="L16" s="115"/>
      <c r="M16" s="133"/>
    </row>
    <row r="17" spans="1:14" ht="15" thickTop="1" x14ac:dyDescent="0.3">
      <c r="A17" s="75"/>
      <c r="B17" s="76"/>
      <c r="C17" s="77"/>
      <c r="D17" s="78"/>
      <c r="E17" s="128"/>
      <c r="G17" s="116"/>
      <c r="H17" s="100"/>
      <c r="I17" s="100"/>
      <c r="J17" s="100"/>
      <c r="K17" s="101"/>
      <c r="L17" s="117"/>
      <c r="M17" s="134"/>
    </row>
    <row r="18" spans="1:14" x14ac:dyDescent="0.3">
      <c r="A18" s="79"/>
      <c r="B18" s="80"/>
      <c r="C18" s="81"/>
      <c r="D18" s="82"/>
      <c r="E18" s="129"/>
      <c r="G18" s="116"/>
      <c r="H18" s="100"/>
      <c r="I18" s="100"/>
      <c r="J18" s="100"/>
      <c r="K18" s="101"/>
      <c r="L18" s="117"/>
      <c r="M18" s="134"/>
    </row>
    <row r="19" spans="1:14" x14ac:dyDescent="0.3">
      <c r="A19" s="79"/>
      <c r="B19" s="80"/>
      <c r="C19" s="81"/>
      <c r="D19" s="82"/>
      <c r="E19" s="129"/>
      <c r="G19" s="116"/>
      <c r="H19" s="100"/>
      <c r="I19" s="100"/>
      <c r="J19" s="100"/>
      <c r="K19" s="101"/>
      <c r="L19" s="117"/>
      <c r="M19" s="134"/>
    </row>
    <row r="20" spans="1:14" x14ac:dyDescent="0.3">
      <c r="A20" s="79"/>
      <c r="B20" s="80"/>
      <c r="C20" s="81"/>
      <c r="D20" s="82"/>
      <c r="E20" s="129"/>
      <c r="G20" s="116"/>
      <c r="H20" s="100"/>
      <c r="I20" s="100"/>
      <c r="J20" s="100"/>
      <c r="K20" s="101"/>
      <c r="L20" s="117"/>
      <c r="M20" s="134"/>
    </row>
    <row r="21" spans="1:14" ht="15" thickBot="1" x14ac:dyDescent="0.35">
      <c r="A21" s="91"/>
      <c r="B21" s="92"/>
      <c r="C21" s="93"/>
      <c r="D21" s="82"/>
      <c r="E21" s="130"/>
      <c r="G21" s="109"/>
      <c r="H21" s="110"/>
      <c r="I21" s="110"/>
      <c r="J21" s="110"/>
      <c r="K21" s="110"/>
      <c r="L21" s="111"/>
      <c r="M21" s="135"/>
    </row>
    <row r="22" spans="1:14" ht="15" thickTop="1" x14ac:dyDescent="0.3">
      <c r="A22" s="75" t="s">
        <v>999</v>
      </c>
      <c r="B22" s="76"/>
      <c r="C22" s="77"/>
      <c r="D22" s="78"/>
      <c r="E22" s="128"/>
    </row>
    <row r="23" spans="1:14" ht="15" thickBot="1" x14ac:dyDescent="0.35">
      <c r="A23" s="79" t="s">
        <v>6</v>
      </c>
      <c r="B23" s="80"/>
      <c r="C23" s="81"/>
      <c r="D23" s="82"/>
      <c r="E23" s="129"/>
    </row>
    <row r="24" spans="1:14" ht="15" thickTop="1" x14ac:dyDescent="0.3">
      <c r="A24" s="79" t="s">
        <v>1001</v>
      </c>
      <c r="B24" s="80"/>
      <c r="C24" s="81"/>
      <c r="D24" s="82"/>
      <c r="E24" s="129"/>
      <c r="G24" s="103"/>
      <c r="H24" s="104"/>
      <c r="I24" s="104"/>
      <c r="J24" s="104"/>
      <c r="K24" s="105"/>
      <c r="L24" s="106"/>
      <c r="M24" s="133"/>
    </row>
    <row r="25" spans="1:14" x14ac:dyDescent="0.3">
      <c r="A25" s="79" t="s">
        <v>1000</v>
      </c>
      <c r="B25" s="80"/>
      <c r="C25" s="81"/>
      <c r="D25" s="82"/>
      <c r="E25" s="129"/>
      <c r="G25" s="107"/>
      <c r="H25" s="100"/>
      <c r="I25" s="100"/>
      <c r="J25" s="100"/>
      <c r="K25" s="101"/>
      <c r="L25" s="108"/>
      <c r="M25" s="134"/>
    </row>
    <row r="26" spans="1:14" ht="15" thickBot="1" x14ac:dyDescent="0.35">
      <c r="A26" s="91" t="s">
        <v>16</v>
      </c>
      <c r="B26" s="92"/>
      <c r="C26" s="93"/>
      <c r="D26" s="94"/>
      <c r="E26" s="130"/>
      <c r="G26" s="107"/>
      <c r="H26" s="100"/>
      <c r="I26" s="100"/>
      <c r="J26" s="100"/>
      <c r="K26" s="101"/>
      <c r="L26" s="108"/>
      <c r="M26" s="134"/>
    </row>
    <row r="27" spans="1:14" ht="15" thickTop="1" x14ac:dyDescent="0.3">
      <c r="A27" s="75" t="s">
        <v>999</v>
      </c>
      <c r="B27" s="76"/>
      <c r="C27" s="77"/>
      <c r="D27" s="78"/>
      <c r="E27" s="128"/>
      <c r="G27" s="107"/>
      <c r="H27" s="100"/>
      <c r="I27" s="100"/>
      <c r="J27" s="100"/>
      <c r="K27" s="101"/>
      <c r="L27" s="108"/>
      <c r="M27" s="134"/>
    </row>
    <row r="28" spans="1:14" x14ac:dyDescent="0.3">
      <c r="A28" s="79" t="s">
        <v>6</v>
      </c>
      <c r="B28" s="80"/>
      <c r="C28" s="81"/>
      <c r="D28" s="82"/>
      <c r="E28" s="129"/>
      <c r="G28" s="107"/>
      <c r="H28" s="100"/>
      <c r="I28" s="100"/>
      <c r="J28" s="100"/>
      <c r="K28" s="101"/>
      <c r="L28" s="108"/>
      <c r="M28" s="134"/>
    </row>
    <row r="29" spans="1:14" ht="15" thickBot="1" x14ac:dyDescent="0.35">
      <c r="A29" s="79" t="s">
        <v>1001</v>
      </c>
      <c r="B29" s="80"/>
      <c r="C29" s="81"/>
      <c r="D29" s="82"/>
      <c r="E29" s="129"/>
      <c r="G29" s="109"/>
      <c r="H29" s="110"/>
      <c r="I29" s="110"/>
      <c r="J29" s="110"/>
      <c r="K29" s="110"/>
      <c r="L29" s="111"/>
      <c r="M29" s="135"/>
    </row>
    <row r="30" spans="1:14" ht="15.6" thickTop="1" thickBot="1" x14ac:dyDescent="0.35">
      <c r="A30" s="79" t="s">
        <v>1000</v>
      </c>
      <c r="B30" s="80"/>
      <c r="C30" s="81"/>
      <c r="D30" s="82"/>
      <c r="E30" s="129"/>
    </row>
    <row r="31" spans="1:14" ht="15.6" thickTop="1" thickBot="1" x14ac:dyDescent="0.35">
      <c r="A31" s="91" t="s">
        <v>16</v>
      </c>
      <c r="B31" s="92"/>
      <c r="C31" s="93"/>
      <c r="D31" s="94"/>
      <c r="E31" s="130"/>
      <c r="G31" s="112"/>
      <c r="H31" s="118"/>
      <c r="I31" s="113"/>
      <c r="J31" s="113"/>
      <c r="K31" s="113"/>
      <c r="L31" s="114"/>
      <c r="M31" s="115"/>
      <c r="N31" s="131"/>
    </row>
    <row r="32" spans="1:14" ht="15" thickTop="1" x14ac:dyDescent="0.3">
      <c r="A32" s="75" t="s">
        <v>999</v>
      </c>
      <c r="B32" s="76"/>
      <c r="C32" s="77"/>
      <c r="D32" s="78"/>
      <c r="E32" s="128"/>
      <c r="G32" s="116"/>
      <c r="H32" s="99"/>
      <c r="I32" s="100"/>
      <c r="J32" s="100"/>
      <c r="K32" s="100"/>
      <c r="L32" s="101"/>
      <c r="M32" s="117"/>
      <c r="N32" s="132"/>
    </row>
    <row r="33" spans="1:14" ht="15" thickBot="1" x14ac:dyDescent="0.35">
      <c r="A33" s="79" t="s">
        <v>6</v>
      </c>
      <c r="B33" s="80"/>
      <c r="C33" s="81"/>
      <c r="D33" s="82"/>
      <c r="E33" s="129"/>
      <c r="G33" s="119"/>
      <c r="H33" s="120"/>
      <c r="I33" s="110"/>
      <c r="J33" s="110"/>
      <c r="K33" s="110"/>
      <c r="L33" s="121"/>
      <c r="M33" s="111"/>
      <c r="N33" s="132"/>
    </row>
    <row r="34" spans="1:14" ht="15" thickTop="1" x14ac:dyDescent="0.3">
      <c r="A34" s="79" t="s">
        <v>1001</v>
      </c>
      <c r="B34" s="80"/>
      <c r="C34" s="81"/>
      <c r="D34" s="82"/>
      <c r="E34" s="129"/>
      <c r="G34" s="122"/>
      <c r="K34" s="123"/>
    </row>
    <row r="35" spans="1:14" x14ac:dyDescent="0.3">
      <c r="A35" s="79" t="s">
        <v>1000</v>
      </c>
      <c r="B35" s="80"/>
      <c r="C35" s="81"/>
      <c r="D35" s="82"/>
      <c r="E35" s="129"/>
      <c r="G35" s="122"/>
      <c r="K35" s="123"/>
    </row>
    <row r="36" spans="1:14" ht="15" thickBot="1" x14ac:dyDescent="0.35">
      <c r="A36" s="91" t="s">
        <v>16</v>
      </c>
      <c r="B36" s="92"/>
      <c r="C36" s="93"/>
      <c r="D36" s="94"/>
      <c r="E36" s="130"/>
      <c r="G36" s="122"/>
      <c r="K36" s="123"/>
    </row>
    <row r="37" spans="1:14" ht="15" thickTop="1" x14ac:dyDescent="0.3">
      <c r="A37" s="75" t="s">
        <v>999</v>
      </c>
      <c r="B37" s="76"/>
      <c r="C37" s="77"/>
      <c r="D37" s="78"/>
      <c r="E37" s="128"/>
      <c r="G37" s="122"/>
      <c r="K37" s="123"/>
    </row>
    <row r="38" spans="1:14" x14ac:dyDescent="0.3">
      <c r="A38" s="79" t="s">
        <v>6</v>
      </c>
      <c r="B38" s="80"/>
      <c r="C38" s="81"/>
      <c r="D38" s="82"/>
      <c r="E38" s="129"/>
      <c r="G38" s="122"/>
      <c r="K38" s="123"/>
      <c r="L38" s="124"/>
    </row>
    <row r="39" spans="1:14" ht="15" thickBot="1" x14ac:dyDescent="0.35">
      <c r="A39" s="79" t="s">
        <v>1001</v>
      </c>
      <c r="B39" s="80"/>
      <c r="C39" s="81"/>
      <c r="D39" s="82"/>
      <c r="E39" s="129"/>
    </row>
    <row r="40" spans="1:14" ht="15" thickTop="1" x14ac:dyDescent="0.3">
      <c r="A40" s="79" t="s">
        <v>1000</v>
      </c>
      <c r="B40" s="80"/>
      <c r="C40" s="81"/>
      <c r="D40" s="82"/>
      <c r="E40" s="129"/>
      <c r="G40" s="103"/>
      <c r="H40" s="104"/>
      <c r="I40" s="104"/>
      <c r="J40" s="104"/>
      <c r="K40" s="105"/>
      <c r="L40" s="106"/>
      <c r="M40" s="133"/>
    </row>
    <row r="41" spans="1:14" ht="15" thickBot="1" x14ac:dyDescent="0.35">
      <c r="A41" s="91" t="s">
        <v>16</v>
      </c>
      <c r="B41" s="92"/>
      <c r="C41" s="93"/>
      <c r="D41" s="94"/>
      <c r="E41" s="130"/>
      <c r="G41" s="107"/>
      <c r="H41" s="100"/>
      <c r="I41" s="100"/>
      <c r="J41" s="100"/>
      <c r="K41" s="101"/>
      <c r="L41" s="108"/>
      <c r="M41" s="134"/>
    </row>
    <row r="42" spans="1:14" ht="15" customHeight="1" thickTop="1" x14ac:dyDescent="0.3">
      <c r="A42" s="75" t="s">
        <v>999</v>
      </c>
      <c r="B42" s="76"/>
      <c r="C42" s="77"/>
      <c r="D42" s="78"/>
      <c r="E42" s="128"/>
      <c r="G42" s="107"/>
      <c r="H42" s="100"/>
      <c r="I42" s="100"/>
      <c r="J42" s="100"/>
      <c r="K42" s="101"/>
      <c r="L42" s="108"/>
      <c r="M42" s="134"/>
    </row>
    <row r="43" spans="1:14" x14ac:dyDescent="0.3">
      <c r="A43" s="79" t="s">
        <v>6</v>
      </c>
      <c r="B43" s="80"/>
      <c r="C43" s="81"/>
      <c r="D43" s="82"/>
      <c r="E43" s="129"/>
      <c r="G43" s="107"/>
      <c r="H43" s="100"/>
      <c r="I43" s="100"/>
      <c r="J43" s="100"/>
      <c r="K43" s="101"/>
      <c r="L43" s="108"/>
      <c r="M43" s="134"/>
    </row>
    <row r="44" spans="1:14" x14ac:dyDescent="0.3">
      <c r="A44" s="79" t="s">
        <v>1001</v>
      </c>
      <c r="B44" s="80"/>
      <c r="C44" s="81"/>
      <c r="D44" s="82"/>
      <c r="E44" s="129"/>
      <c r="G44" s="107"/>
      <c r="H44" s="100"/>
      <c r="I44" s="100"/>
      <c r="J44" s="100"/>
      <c r="K44" s="101"/>
      <c r="L44" s="108"/>
      <c r="M44" s="134"/>
    </row>
    <row r="45" spans="1:14" ht="15" thickBot="1" x14ac:dyDescent="0.35">
      <c r="A45" s="79" t="s">
        <v>1000</v>
      </c>
      <c r="B45" s="80"/>
      <c r="C45" s="81"/>
      <c r="D45" s="82"/>
      <c r="E45" s="129"/>
      <c r="G45" s="109"/>
      <c r="H45" s="110"/>
      <c r="I45" s="110"/>
      <c r="J45" s="110"/>
      <c r="K45" s="110"/>
      <c r="L45" s="111"/>
      <c r="M45" s="135"/>
    </row>
    <row r="46" spans="1:14" ht="15.6" thickTop="1" thickBot="1" x14ac:dyDescent="0.35">
      <c r="A46" s="91" t="s">
        <v>16</v>
      </c>
      <c r="B46" s="92"/>
      <c r="C46" s="93"/>
      <c r="D46" s="94"/>
      <c r="E46" s="130"/>
    </row>
    <row r="47" spans="1:14" ht="15" thickTop="1" x14ac:dyDescent="0.3">
      <c r="A47" s="75" t="s">
        <v>999</v>
      </c>
      <c r="B47" s="76"/>
      <c r="C47" s="77"/>
      <c r="D47" s="78"/>
      <c r="E47" s="128"/>
      <c r="G47" s="122"/>
      <c r="K47" s="123"/>
    </row>
    <row r="48" spans="1:14" x14ac:dyDescent="0.3">
      <c r="A48" s="79" t="s">
        <v>6</v>
      </c>
      <c r="B48" s="80"/>
      <c r="C48" s="81"/>
      <c r="D48" s="82"/>
      <c r="E48" s="129"/>
      <c r="G48" s="122"/>
      <c r="K48" s="123"/>
    </row>
    <row r="49" spans="1:11" x14ac:dyDescent="0.3">
      <c r="A49" s="79" t="s">
        <v>1001</v>
      </c>
      <c r="B49" s="80"/>
      <c r="C49" s="81"/>
      <c r="D49" s="82"/>
      <c r="E49" s="129"/>
      <c r="G49" s="122"/>
      <c r="K49" s="123"/>
    </row>
    <row r="50" spans="1:11" x14ac:dyDescent="0.3">
      <c r="A50" s="79" t="s">
        <v>1000</v>
      </c>
      <c r="B50" s="80"/>
      <c r="C50" s="81"/>
      <c r="D50" s="82"/>
      <c r="E50" s="129"/>
      <c r="G50" s="122"/>
      <c r="K50" s="123"/>
    </row>
    <row r="51" spans="1:11" ht="15" thickBot="1" x14ac:dyDescent="0.35">
      <c r="A51" s="91" t="s">
        <v>16</v>
      </c>
      <c r="B51" s="92"/>
      <c r="C51" s="93"/>
      <c r="D51" s="94"/>
      <c r="E51" s="130"/>
      <c r="G51" s="122"/>
      <c r="K51" s="123"/>
    </row>
    <row r="52" spans="1:11" ht="15" thickTop="1" x14ac:dyDescent="0.3">
      <c r="A52" s="75" t="s">
        <v>999</v>
      </c>
      <c r="B52" s="76"/>
      <c r="C52" s="77"/>
      <c r="D52" s="78"/>
      <c r="E52" s="128"/>
      <c r="G52" s="122"/>
      <c r="K52" s="123"/>
    </row>
    <row r="53" spans="1:11" x14ac:dyDescent="0.3">
      <c r="A53" s="79" t="s">
        <v>6</v>
      </c>
      <c r="B53" s="80"/>
      <c r="C53" s="81"/>
      <c r="D53" s="82"/>
      <c r="E53" s="129"/>
      <c r="G53" s="122"/>
      <c r="K53" s="123"/>
    </row>
    <row r="54" spans="1:11" x14ac:dyDescent="0.3">
      <c r="A54" s="79" t="s">
        <v>1001</v>
      </c>
      <c r="B54" s="80"/>
      <c r="C54" s="81"/>
      <c r="D54" s="82"/>
      <c r="E54" s="129"/>
    </row>
    <row r="55" spans="1:11" x14ac:dyDescent="0.3">
      <c r="A55" s="79" t="s">
        <v>1000</v>
      </c>
      <c r="B55" s="80"/>
      <c r="C55" s="81"/>
      <c r="D55" s="82"/>
      <c r="E55" s="129"/>
    </row>
    <row r="56" spans="1:11" ht="15" thickBot="1" x14ac:dyDescent="0.35">
      <c r="A56" s="91" t="s">
        <v>16</v>
      </c>
      <c r="B56" s="92"/>
      <c r="C56" s="93"/>
      <c r="D56" s="94"/>
      <c r="E56" s="130"/>
    </row>
    <row r="57" spans="1:11" ht="15" thickTop="1" x14ac:dyDescent="0.3">
      <c r="A57" s="75" t="s">
        <v>999</v>
      </c>
      <c r="B57" s="76"/>
      <c r="C57" s="77"/>
      <c r="D57" s="78"/>
      <c r="E57" s="128"/>
    </row>
    <row r="58" spans="1:11" x14ac:dyDescent="0.3">
      <c r="A58" s="79" t="s">
        <v>6</v>
      </c>
      <c r="B58" s="80"/>
      <c r="C58" s="81"/>
      <c r="D58" s="82"/>
      <c r="E58" s="129"/>
    </row>
    <row r="59" spans="1:11" x14ac:dyDescent="0.3">
      <c r="A59" s="79" t="s">
        <v>1001</v>
      </c>
      <c r="B59" s="80"/>
      <c r="C59" s="81"/>
      <c r="D59" s="82"/>
      <c r="E59" s="129"/>
    </row>
    <row r="60" spans="1:11" x14ac:dyDescent="0.3">
      <c r="A60" s="79" t="s">
        <v>1000</v>
      </c>
      <c r="B60" s="80"/>
      <c r="C60" s="81"/>
      <c r="D60" s="82"/>
      <c r="E60" s="129"/>
    </row>
    <row r="61" spans="1:11" ht="15" thickBot="1" x14ac:dyDescent="0.35">
      <c r="A61" s="91" t="s">
        <v>16</v>
      </c>
      <c r="B61" s="92"/>
      <c r="C61" s="93"/>
      <c r="D61" s="94"/>
      <c r="E61" s="130"/>
    </row>
    <row r="62" spans="1:11" ht="15" thickTop="1" x14ac:dyDescent="0.3">
      <c r="A62" s="75" t="s">
        <v>999</v>
      </c>
      <c r="B62" s="76"/>
      <c r="C62" s="77"/>
      <c r="D62" s="78"/>
      <c r="E62" s="128"/>
    </row>
    <row r="63" spans="1:11" x14ac:dyDescent="0.3">
      <c r="A63" s="79" t="s">
        <v>6</v>
      </c>
      <c r="B63" s="80"/>
      <c r="C63" s="81"/>
      <c r="D63" s="82"/>
      <c r="E63" s="129"/>
    </row>
    <row r="64" spans="1:11" x14ac:dyDescent="0.3">
      <c r="A64" s="79" t="s">
        <v>1001</v>
      </c>
      <c r="B64" s="80"/>
      <c r="C64" s="81"/>
      <c r="D64" s="82"/>
      <c r="E64" s="129"/>
    </row>
    <row r="65" spans="1:5" x14ac:dyDescent="0.3">
      <c r="A65" s="79" t="s">
        <v>1000</v>
      </c>
      <c r="B65" s="80"/>
      <c r="C65" s="81"/>
      <c r="D65" s="82"/>
      <c r="E65" s="129"/>
    </row>
    <row r="66" spans="1:5" ht="15" thickBot="1" x14ac:dyDescent="0.35">
      <c r="A66" s="91" t="s">
        <v>16</v>
      </c>
      <c r="B66" s="92"/>
      <c r="C66" s="93"/>
      <c r="D66" s="94"/>
      <c r="E66" s="130"/>
    </row>
    <row r="67" spans="1:5" ht="15" thickTop="1" x14ac:dyDescent="0.3">
      <c r="A67" s="75" t="s">
        <v>999</v>
      </c>
      <c r="B67" s="76"/>
      <c r="C67" s="77"/>
      <c r="D67" s="78"/>
      <c r="E67" s="128"/>
    </row>
    <row r="68" spans="1:5" x14ac:dyDescent="0.3">
      <c r="A68" s="79" t="s">
        <v>6</v>
      </c>
      <c r="B68" s="80"/>
      <c r="C68" s="81"/>
      <c r="D68" s="82"/>
      <c r="E68" s="129"/>
    </row>
    <row r="69" spans="1:5" x14ac:dyDescent="0.3">
      <c r="A69" s="79" t="s">
        <v>1001</v>
      </c>
      <c r="B69" s="80"/>
      <c r="C69" s="81"/>
      <c r="D69" s="82"/>
      <c r="E69" s="129"/>
    </row>
    <row r="70" spans="1:5" x14ac:dyDescent="0.3">
      <c r="A70" s="79" t="s">
        <v>1000</v>
      </c>
      <c r="B70" s="80"/>
      <c r="C70" s="81"/>
      <c r="D70" s="82"/>
      <c r="E70" s="129"/>
    </row>
    <row r="71" spans="1:5" ht="15" thickBot="1" x14ac:dyDescent="0.35">
      <c r="A71" s="91" t="s">
        <v>16</v>
      </c>
      <c r="B71" s="92"/>
      <c r="C71" s="93"/>
      <c r="D71" s="94"/>
      <c r="E71" s="130"/>
    </row>
    <row r="72" spans="1:5" ht="15" thickTop="1" x14ac:dyDescent="0.3">
      <c r="A72" s="75" t="s">
        <v>999</v>
      </c>
      <c r="B72" s="76"/>
      <c r="C72" s="77"/>
      <c r="D72" s="78"/>
      <c r="E72" s="128"/>
    </row>
    <row r="73" spans="1:5" x14ac:dyDescent="0.3">
      <c r="A73" s="79" t="s">
        <v>6</v>
      </c>
      <c r="B73" s="80"/>
      <c r="C73" s="81"/>
      <c r="D73" s="82"/>
      <c r="E73" s="129"/>
    </row>
    <row r="74" spans="1:5" x14ac:dyDescent="0.3">
      <c r="A74" s="79" t="s">
        <v>1001</v>
      </c>
      <c r="B74" s="80"/>
      <c r="C74" s="81"/>
      <c r="D74" s="82"/>
      <c r="E74" s="129"/>
    </row>
    <row r="75" spans="1:5" x14ac:dyDescent="0.3">
      <c r="A75" s="79" t="s">
        <v>1000</v>
      </c>
      <c r="B75" s="80"/>
      <c r="C75" s="81"/>
      <c r="D75" s="82"/>
      <c r="E75" s="129"/>
    </row>
    <row r="76" spans="1:5" ht="15" thickBot="1" x14ac:dyDescent="0.35">
      <c r="A76" s="91" t="s">
        <v>16</v>
      </c>
      <c r="B76" s="92"/>
      <c r="C76" s="93"/>
      <c r="D76" s="94"/>
      <c r="E76" s="130"/>
    </row>
    <row r="77" spans="1:5" ht="15" thickTop="1" x14ac:dyDescent="0.3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5" sqref="F5"/>
    </sheetView>
  </sheetViews>
  <sheetFormatPr baseColWidth="10" defaultRowHeight="14.4" x14ac:dyDescent="0.3"/>
  <cols>
    <col min="5" max="5" width="15.6640625" bestFit="1" customWidth="1"/>
    <col min="7" max="7" width="11.5546875" style="4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3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3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3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3">
      <c r="A5" s="18">
        <f>'APAGADOS RADIO'!I3</f>
        <v>44869</v>
      </c>
      <c r="B5" s="40"/>
      <c r="C5" s="40"/>
      <c r="D5" s="40"/>
      <c r="E5" s="40"/>
      <c r="F5" s="40"/>
    </row>
    <row r="6" spans="1:7" x14ac:dyDescent="0.3">
      <c r="A6" s="18">
        <f>'APAGADOS RADIO'!J3</f>
        <v>44870</v>
      </c>
      <c r="B6" s="40"/>
      <c r="C6" s="40"/>
      <c r="D6" s="40"/>
      <c r="E6" s="40"/>
      <c r="F6" s="40"/>
    </row>
    <row r="7" spans="1:7" x14ac:dyDescent="0.3">
      <c r="A7" s="18">
        <f>'APAGADOS RADIO'!K3</f>
        <v>44871</v>
      </c>
      <c r="B7" s="40"/>
      <c r="C7" s="40"/>
      <c r="D7" s="40"/>
      <c r="E7" s="40"/>
      <c r="F7" s="40"/>
    </row>
    <row r="8" spans="1:7" x14ac:dyDescent="0.3">
      <c r="A8" s="18">
        <f>'APAGADOS RADIO'!L3</f>
        <v>44872</v>
      </c>
      <c r="B8" s="40"/>
      <c r="C8" s="40"/>
      <c r="D8" s="40"/>
      <c r="E8" s="40"/>
      <c r="F8" s="40"/>
    </row>
    <row r="9" spans="1:7" x14ac:dyDescent="0.3">
      <c r="A9" s="18">
        <f>'APAGADOS RADIO'!M3</f>
        <v>44873</v>
      </c>
      <c r="B9" s="40"/>
      <c r="C9" s="40"/>
      <c r="D9" s="40"/>
      <c r="E9" s="40"/>
      <c r="F9" s="40"/>
    </row>
    <row r="10" spans="1:7" x14ac:dyDescent="0.3">
      <c r="A10" s="18">
        <f>'APAGADOS RADIO'!N3</f>
        <v>44874</v>
      </c>
      <c r="B10" s="40"/>
      <c r="C10" s="40"/>
      <c r="D10" s="40"/>
      <c r="E10" s="40"/>
      <c r="F10" s="40"/>
    </row>
    <row r="11" spans="1:7" x14ac:dyDescent="0.3">
      <c r="A11" s="18">
        <f>'APAGADOS RADIO'!O3</f>
        <v>44875</v>
      </c>
      <c r="B11" s="40"/>
      <c r="C11" s="40"/>
      <c r="D11" s="40"/>
      <c r="E11" s="40"/>
      <c r="F11" s="40"/>
    </row>
    <row r="12" spans="1:7" x14ac:dyDescent="0.3">
      <c r="A12" s="18">
        <f>'APAGADOS RADIO'!P3</f>
        <v>44876</v>
      </c>
      <c r="B12" s="40"/>
      <c r="C12" s="40"/>
      <c r="D12" s="40"/>
      <c r="E12" s="40"/>
      <c r="F12" s="40"/>
    </row>
    <row r="13" spans="1:7" x14ac:dyDescent="0.3">
      <c r="A13" s="18">
        <f>'APAGADOS RADIO'!Q3</f>
        <v>44877</v>
      </c>
      <c r="B13" s="40"/>
      <c r="C13" s="40"/>
      <c r="D13" s="40"/>
      <c r="E13" s="40"/>
      <c r="F13" s="40"/>
    </row>
    <row r="14" spans="1:7" x14ac:dyDescent="0.3">
      <c r="A14" s="18">
        <f>'APAGADOS RADIO'!R3</f>
        <v>44878</v>
      </c>
      <c r="B14" s="40"/>
      <c r="C14" s="40"/>
      <c r="D14" s="40"/>
      <c r="E14" s="40"/>
      <c r="F14" s="40"/>
    </row>
    <row r="15" spans="1:7" x14ac:dyDescent="0.3">
      <c r="A15" s="18">
        <f>'APAGADOS RADIO'!S3</f>
        <v>44879</v>
      </c>
      <c r="B15" s="40"/>
      <c r="C15" s="40"/>
      <c r="D15" s="40"/>
      <c r="E15" s="40"/>
      <c r="F15" s="40"/>
    </row>
    <row r="16" spans="1:7" x14ac:dyDescent="0.3">
      <c r="A16" s="18">
        <f>'APAGADOS RADIO'!T3</f>
        <v>44880</v>
      </c>
      <c r="B16" s="40"/>
      <c r="C16" s="40"/>
      <c r="D16" s="40"/>
      <c r="E16" s="40"/>
      <c r="F16" s="40"/>
    </row>
    <row r="17" spans="1:6" x14ac:dyDescent="0.3">
      <c r="A17" s="18">
        <f>'APAGADOS RADIO'!U3</f>
        <v>44881</v>
      </c>
      <c r="B17" s="40"/>
      <c r="C17" s="40"/>
      <c r="D17" s="40"/>
      <c r="E17" s="40"/>
      <c r="F17" s="40"/>
    </row>
    <row r="18" spans="1:6" x14ac:dyDescent="0.3">
      <c r="A18" s="18">
        <f>'APAGADOS RADIO'!V3</f>
        <v>44882</v>
      </c>
      <c r="B18" s="40"/>
      <c r="C18" s="40"/>
      <c r="D18" s="40"/>
      <c r="E18" s="40"/>
      <c r="F18" s="40"/>
    </row>
    <row r="19" spans="1:6" x14ac:dyDescent="0.3">
      <c r="A19" s="18">
        <f>'APAGADOS RADIO'!W3</f>
        <v>44883</v>
      </c>
      <c r="B19" s="40"/>
      <c r="C19" s="40"/>
      <c r="D19" s="40"/>
      <c r="E19" s="40"/>
      <c r="F19" s="40"/>
    </row>
    <row r="20" spans="1:6" x14ac:dyDescent="0.3">
      <c r="A20" s="18">
        <f>'APAGADOS RADIO'!X3</f>
        <v>44884</v>
      </c>
      <c r="B20" s="40"/>
      <c r="C20" s="40"/>
      <c r="D20" s="40"/>
      <c r="E20" s="40"/>
      <c r="F20" s="40"/>
    </row>
    <row r="21" spans="1:6" x14ac:dyDescent="0.3">
      <c r="A21" s="18">
        <f>'APAGADOS RADIO'!Y3</f>
        <v>44885</v>
      </c>
      <c r="B21" s="40"/>
      <c r="C21" s="40"/>
      <c r="D21" s="40"/>
      <c r="E21" s="40"/>
      <c r="F21" s="40"/>
    </row>
    <row r="22" spans="1:6" x14ac:dyDescent="0.3">
      <c r="A22" s="18">
        <f>'APAGADOS RADIO'!Z3</f>
        <v>44886</v>
      </c>
      <c r="B22" s="40"/>
      <c r="C22" s="40"/>
      <c r="D22" s="40"/>
      <c r="E22" s="40"/>
      <c r="F22" s="40"/>
    </row>
    <row r="23" spans="1:6" x14ac:dyDescent="0.3">
      <c r="A23" s="18">
        <f>'APAGADOS RADIO'!AA3</f>
        <v>44887</v>
      </c>
      <c r="B23" s="40"/>
      <c r="C23" s="40"/>
      <c r="D23" s="40"/>
      <c r="E23" s="40"/>
      <c r="F23" s="40"/>
    </row>
    <row r="24" spans="1:6" x14ac:dyDescent="0.3">
      <c r="A24" s="18">
        <f>'APAGADOS RADIO'!AB3</f>
        <v>44888</v>
      </c>
      <c r="B24" s="40"/>
      <c r="C24" s="40"/>
      <c r="D24" s="40"/>
      <c r="E24" s="40"/>
      <c r="F24" s="40"/>
    </row>
    <row r="25" spans="1:6" x14ac:dyDescent="0.3">
      <c r="A25" s="18">
        <f>'APAGADOS RADIO'!AC3</f>
        <v>44889</v>
      </c>
      <c r="B25" s="40"/>
      <c r="C25" s="40"/>
      <c r="D25" s="40"/>
      <c r="E25" s="40"/>
      <c r="F25" s="40"/>
    </row>
    <row r="26" spans="1:6" x14ac:dyDescent="0.3">
      <c r="A26" s="18">
        <f>'APAGADOS RADIO'!AD3</f>
        <v>44890</v>
      </c>
      <c r="B26" s="40"/>
      <c r="C26" s="40"/>
      <c r="D26" s="40"/>
      <c r="E26" s="40"/>
      <c r="F26" s="40"/>
    </row>
    <row r="27" spans="1:6" x14ac:dyDescent="0.3">
      <c r="A27" s="18">
        <f>'APAGADOS RADIO'!AE3</f>
        <v>44891</v>
      </c>
      <c r="B27" s="40"/>
      <c r="C27" s="40"/>
      <c r="D27" s="40"/>
      <c r="E27" s="40"/>
      <c r="F27" s="40"/>
    </row>
    <row r="28" spans="1:6" x14ac:dyDescent="0.3">
      <c r="A28" s="18">
        <f>'APAGADOS RADIO'!AF3</f>
        <v>44892</v>
      </c>
      <c r="B28" s="40"/>
      <c r="C28" s="40"/>
      <c r="D28" s="40"/>
      <c r="E28" s="40"/>
      <c r="F28" s="40"/>
    </row>
    <row r="29" spans="1:6" x14ac:dyDescent="0.3">
      <c r="A29" s="18">
        <f>'APAGADOS RADIO'!AG3</f>
        <v>44893</v>
      </c>
      <c r="B29" s="40"/>
      <c r="C29" s="40"/>
      <c r="D29" s="40"/>
      <c r="E29" s="40"/>
      <c r="F29" s="40"/>
    </row>
    <row r="30" spans="1:6" x14ac:dyDescent="0.3">
      <c r="A30" s="18">
        <f>'APAGADOS RADIO'!AH3</f>
        <v>44894</v>
      </c>
      <c r="B30" s="40"/>
      <c r="C30" s="40"/>
      <c r="D30" s="40"/>
      <c r="E30" s="40"/>
      <c r="F30" s="40"/>
    </row>
    <row r="31" spans="1:6" x14ac:dyDescent="0.3">
      <c r="A31" s="18">
        <f>'APAGADOS RADIO'!AI3</f>
        <v>44895</v>
      </c>
      <c r="B31" s="40"/>
      <c r="C31" s="40"/>
      <c r="D31" s="40"/>
      <c r="E31" s="40"/>
      <c r="F31" s="40"/>
    </row>
    <row r="32" spans="1:6" x14ac:dyDescent="0.3">
      <c r="A32" s="18"/>
      <c r="B32" s="40"/>
      <c r="C32" s="40"/>
      <c r="D32" s="40"/>
      <c r="E32" s="40"/>
      <c r="F32" s="40"/>
    </row>
    <row r="33" spans="1:30" x14ac:dyDescent="0.3">
      <c r="A33" s="24"/>
      <c r="B33" s="24"/>
      <c r="C33" s="24"/>
      <c r="D33" s="24"/>
      <c r="E33" s="24"/>
      <c r="F33" s="24"/>
    </row>
    <row r="34" spans="1:30" x14ac:dyDescent="0.3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3">
      <c r="G35" s="44"/>
    </row>
    <row r="36" spans="1:30" s="23" customFormat="1" x14ac:dyDescent="0.3">
      <c r="A36" s="14"/>
      <c r="B36" s="14"/>
      <c r="C36" s="14"/>
      <c r="D36" s="14"/>
      <c r="E36" s="14"/>
      <c r="F36" s="14"/>
      <c r="G36" s="44"/>
    </row>
    <row r="37" spans="1:30" s="14" customFormat="1" x14ac:dyDescent="0.3">
      <c r="A37"/>
      <c r="B37"/>
      <c r="C37"/>
      <c r="D37"/>
      <c r="E37"/>
      <c r="F37"/>
      <c r="G37" s="44"/>
    </row>
    <row r="39" spans="1:30" x14ac:dyDescent="0.3">
      <c r="A39" s="40"/>
      <c r="B39" s="40"/>
    </row>
    <row r="40" spans="1:30" x14ac:dyDescent="0.3">
      <c r="A40" s="40"/>
      <c r="B40" s="40"/>
      <c r="D40" s="18"/>
      <c r="E40" s="44"/>
    </row>
    <row r="41" spans="1:30" x14ac:dyDescent="0.3">
      <c r="A41" s="40"/>
      <c r="B41" s="40"/>
      <c r="D41" s="18"/>
      <c r="E41" s="44"/>
    </row>
    <row r="42" spans="1:30" x14ac:dyDescent="0.3">
      <c r="A42" s="40"/>
      <c r="B42" s="40"/>
      <c r="D42" s="18"/>
      <c r="E42" s="44"/>
    </row>
    <row r="43" spans="1:30" x14ac:dyDescent="0.3">
      <c r="A43" s="40"/>
      <c r="B43" s="40"/>
      <c r="D43" s="18"/>
      <c r="E43" s="44"/>
    </row>
    <row r="44" spans="1:30" x14ac:dyDescent="0.3">
      <c r="A44" s="40"/>
      <c r="B44" s="40"/>
      <c r="D44" s="18"/>
      <c r="E44" s="44"/>
    </row>
    <row r="45" spans="1:30" x14ac:dyDescent="0.3">
      <c r="A45" s="40"/>
      <c r="B45" s="40"/>
      <c r="D45" s="18"/>
      <c r="E45" s="44"/>
    </row>
    <row r="46" spans="1:30" x14ac:dyDescent="0.3">
      <c r="A46" s="40"/>
      <c r="B46" s="40"/>
      <c r="D46" s="18"/>
      <c r="E46" s="44"/>
    </row>
    <row r="47" spans="1:30" x14ac:dyDescent="0.3">
      <c r="A47" s="40"/>
      <c r="B47" s="40"/>
      <c r="D47" s="18"/>
      <c r="E47" s="44"/>
    </row>
    <row r="48" spans="1:30" x14ac:dyDescent="0.3">
      <c r="A48" s="40"/>
      <c r="B48" s="40"/>
      <c r="D48" s="18"/>
      <c r="E48" s="44"/>
    </row>
    <row r="49" spans="1:5" x14ac:dyDescent="0.3">
      <c r="A49" s="40"/>
      <c r="B49" s="40"/>
      <c r="D49" s="18"/>
      <c r="E49" s="44"/>
    </row>
    <row r="50" spans="1:5" x14ac:dyDescent="0.3">
      <c r="A50" s="40"/>
      <c r="B50" s="40"/>
      <c r="D50" s="18"/>
      <c r="E50" s="44"/>
    </row>
    <row r="51" spans="1:5" x14ac:dyDescent="0.3">
      <c r="A51" s="40"/>
      <c r="B51" s="40"/>
      <c r="D51" s="18"/>
      <c r="E51" s="44"/>
    </row>
    <row r="52" spans="1:5" x14ac:dyDescent="0.3">
      <c r="A52" s="40"/>
      <c r="B52" s="40"/>
      <c r="D52" s="18"/>
      <c r="E52" s="44"/>
    </row>
    <row r="53" spans="1:5" x14ac:dyDescent="0.3">
      <c r="A53" s="40"/>
      <c r="B53" s="40"/>
      <c r="D53" s="18"/>
      <c r="E53" s="44"/>
    </row>
    <row r="54" spans="1:5" x14ac:dyDescent="0.3">
      <c r="A54" s="40"/>
      <c r="B54" s="40"/>
      <c r="D54" s="18"/>
      <c r="E54" s="44"/>
    </row>
    <row r="55" spans="1:5" x14ac:dyDescent="0.3">
      <c r="A55" s="40"/>
      <c r="B55" s="40"/>
      <c r="D55" s="18"/>
      <c r="E55" s="44"/>
    </row>
    <row r="56" spans="1:5" x14ac:dyDescent="0.3">
      <c r="A56" s="40"/>
      <c r="B56" s="40"/>
      <c r="D56" s="18"/>
      <c r="E56" s="44"/>
    </row>
    <row r="57" spans="1:5" x14ac:dyDescent="0.3">
      <c r="A57" s="40"/>
      <c r="B57" s="40"/>
      <c r="D57" s="18"/>
      <c r="E57" s="44"/>
    </row>
    <row r="58" spans="1:5" x14ac:dyDescent="0.3">
      <c r="A58" s="40"/>
      <c r="B58" s="40"/>
      <c r="D58" s="18"/>
      <c r="E58" s="44"/>
    </row>
    <row r="59" spans="1:5" x14ac:dyDescent="0.3">
      <c r="A59" s="40"/>
      <c r="B59" s="40"/>
      <c r="D59" s="18"/>
      <c r="E59" s="44"/>
    </row>
    <row r="60" spans="1:5" x14ac:dyDescent="0.3">
      <c r="A60" s="40"/>
      <c r="B60" s="40"/>
      <c r="D60" s="18"/>
    </row>
    <row r="61" spans="1:5" x14ac:dyDescent="0.3">
      <c r="A61" s="40"/>
      <c r="B61" s="40"/>
      <c r="D61" s="18"/>
    </row>
    <row r="62" spans="1:5" x14ac:dyDescent="0.3">
      <c r="A62" s="40"/>
      <c r="B62" s="40"/>
      <c r="D62" s="18"/>
    </row>
    <row r="63" spans="1:5" x14ac:dyDescent="0.3">
      <c r="A63" s="40"/>
      <c r="B63" s="40"/>
      <c r="D63" s="18"/>
    </row>
    <row r="64" spans="1:5" x14ac:dyDescent="0.3">
      <c r="A64" s="40"/>
      <c r="B64" s="40"/>
      <c r="D64" s="18"/>
    </row>
    <row r="65" spans="1:4" x14ac:dyDescent="0.3">
      <c r="A65" s="40"/>
      <c r="B65" s="40"/>
      <c r="D65" s="18"/>
    </row>
    <row r="66" spans="1:4" x14ac:dyDescent="0.3">
      <c r="A66" s="40"/>
      <c r="B66" s="40"/>
      <c r="D66" s="18"/>
    </row>
    <row r="67" spans="1:4" x14ac:dyDescent="0.3">
      <c r="A67" s="40"/>
      <c r="B67" s="40"/>
      <c r="D67" s="18"/>
    </row>
    <row r="68" spans="1:4" x14ac:dyDescent="0.3">
      <c r="A68" s="40"/>
      <c r="B68" s="40"/>
      <c r="D68" s="18"/>
    </row>
    <row r="69" spans="1:4" x14ac:dyDescent="0.3">
      <c r="A69" s="40"/>
      <c r="B69" s="40"/>
      <c r="D69" s="18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56"/>
      <c r="C3" s="60" t="s">
        <v>1168</v>
      </c>
      <c r="D3" s="51">
        <v>44835</v>
      </c>
    </row>
    <row r="4" spans="2:4" ht="15" thickTop="1" x14ac:dyDescent="0.3">
      <c r="B4" s="68" t="s">
        <v>1159</v>
      </c>
      <c r="C4" s="57">
        <f>COUNTIFS('RESUMEN TOTAL'!C5:C501,"=BONOMO")</f>
        <v>225</v>
      </c>
      <c r="D4" s="64">
        <v>29</v>
      </c>
    </row>
    <row r="5" spans="2:4" ht="15" thickBot="1" x14ac:dyDescent="0.35">
      <c r="B5" s="58"/>
      <c r="C5" s="59"/>
      <c r="D5" s="71">
        <v>0.12888888888888889</v>
      </c>
    </row>
    <row r="6" spans="2:4" ht="15" thickTop="1" x14ac:dyDescent="0.3">
      <c r="B6" s="67" t="s">
        <v>1160</v>
      </c>
      <c r="C6" s="57">
        <f>COUNTIFS('RESUMEN TOTAL'!C5:C501,"=COSEIDI")</f>
        <v>205</v>
      </c>
      <c r="D6" s="66">
        <v>12</v>
      </c>
    </row>
    <row r="7" spans="2:4" ht="15" thickBot="1" x14ac:dyDescent="0.35">
      <c r="B7" s="58"/>
      <c r="C7" s="59"/>
      <c r="D7" s="52">
        <v>5.8536585365853662E-2</v>
      </c>
    </row>
    <row r="8" spans="2:4" ht="15" thickTop="1" x14ac:dyDescent="0.3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F2" sqref="F2:F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5.6" thickTop="1" thickBot="1" x14ac:dyDescent="0.35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5.6" thickTop="1" thickBot="1" x14ac:dyDescent="0.35">
      <c r="A2" s="68" t="s">
        <v>1159</v>
      </c>
      <c r="B2" s="57">
        <f>COUNTIFS('RESUMEN TOTAL'!C5:C500,"=BONOMO")</f>
        <v>225</v>
      </c>
      <c r="F2" s="50">
        <v>44835</v>
      </c>
      <c r="G2" s="51">
        <v>44836</v>
      </c>
      <c r="H2" s="51">
        <v>44837</v>
      </c>
      <c r="I2" s="51">
        <v>44838</v>
      </c>
      <c r="J2" s="51">
        <v>44839</v>
      </c>
      <c r="K2" s="51">
        <v>44840</v>
      </c>
      <c r="L2" s="51">
        <v>44841</v>
      </c>
      <c r="M2" s="51">
        <v>44842</v>
      </c>
      <c r="N2" s="51">
        <v>44843</v>
      </c>
      <c r="O2" s="51">
        <v>44844</v>
      </c>
      <c r="P2" s="51">
        <v>44845</v>
      </c>
      <c r="Q2" s="51">
        <v>44846</v>
      </c>
      <c r="R2" s="51">
        <v>44847</v>
      </c>
      <c r="S2" s="51">
        <v>44848</v>
      </c>
      <c r="T2" s="51">
        <v>44849</v>
      </c>
      <c r="U2" s="51">
        <v>44850</v>
      </c>
      <c r="V2" s="51">
        <v>44851</v>
      </c>
      <c r="W2" s="51">
        <v>44852</v>
      </c>
      <c r="X2" s="51">
        <v>44853</v>
      </c>
      <c r="Y2" s="51">
        <v>44854</v>
      </c>
      <c r="Z2" s="51">
        <v>44855</v>
      </c>
      <c r="AA2" s="51">
        <v>44856</v>
      </c>
      <c r="AB2" s="51">
        <v>44857</v>
      </c>
      <c r="AC2" s="51">
        <v>44858</v>
      </c>
      <c r="AD2" s="51">
        <v>44859</v>
      </c>
      <c r="AE2" s="51">
        <v>44860</v>
      </c>
      <c r="AF2" s="51">
        <v>44861</v>
      </c>
      <c r="AG2" s="51">
        <v>44862</v>
      </c>
      <c r="AH2" s="51">
        <v>44863</v>
      </c>
      <c r="AI2" s="51">
        <v>44864</v>
      </c>
    </row>
    <row r="3" spans="1:35" ht="15.6" thickTop="1" thickBot="1" x14ac:dyDescent="0.35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0</v>
      </c>
      <c r="J3" s="63">
        <f>COUNTIFS('RESUMEN TOTAL'!C7:C501, "=BONOMO",'RESUMEN TOTAL'!O7:O501,"=APAGADO")</f>
        <v>0</v>
      </c>
      <c r="K3" s="63">
        <f>COUNTIFS('RESUMEN TOTAL'!D7:D501, "=BONOMO",'RESUMEN TOTAL'!P7:P501,"=APAGADO")</f>
        <v>0</v>
      </c>
      <c r="L3" s="63">
        <f>COUNTIFS('RESUMEN TOTAL'!C7:C501, "=BONOMO",'RESUMEN TOTAL'!Q7:Q501,"=APAGADO")</f>
        <v>0</v>
      </c>
      <c r="M3" s="63">
        <f>COUNTIFS('RESUMEN TOTAL'!D7:D501, "=BONOMO",'RESUMEN TOTAL'!R7:R501,"=APAGADO")</f>
        <v>0</v>
      </c>
      <c r="N3" s="63">
        <f>COUNTIFS('RESUMEN TOTAL'!C7:C501, "=BONOMO",'RESUMEN TOTAL'!S7:S501,"=APAGADO")</f>
        <v>0</v>
      </c>
      <c r="O3" s="63">
        <f>COUNTIFS('RESUMEN TOTAL'!C7:C501, "=BONOMO",'RESUMEN TOTAL'!T7:T501,"=APAGADO")</f>
        <v>0</v>
      </c>
      <c r="P3" s="64">
        <f>COUNTIFS('RESUMEN TOTAL'!C7:C501, "=BONOMO",'RESUMEN TOTAL'!U7:U501,"=APAGADO")</f>
        <v>0</v>
      </c>
      <c r="Q3" s="64">
        <f>COUNTIFS('RESUMEN TOTAL'!C7:C501, "=BONOMO",'RESUMEN TOTAL'!V7:V501,"=APAGADO")</f>
        <v>0</v>
      </c>
      <c r="R3" s="64">
        <f>COUNTIFS('RESUMEN TOTAL'!C7:C501, "=BONOMO",'RESUMEN TOTAL'!W7:W501,"=APAGADO")</f>
        <v>0</v>
      </c>
      <c r="S3" s="64">
        <f>COUNTIFS('RESUMEN TOTAL'!C7:C501, "=BONOMO",'RESUMEN TOTAL'!X7:X501,"=APAGADO")</f>
        <v>0</v>
      </c>
      <c r="T3" s="64">
        <f>COUNTIFS('RESUMEN TOTAL'!C7:C501, "=BONOMO",'RESUMEN TOTAL'!Y7:Y501,"=APAGADO")</f>
        <v>0</v>
      </c>
      <c r="U3" s="64">
        <f>COUNTIFS('RESUMEN TOTAL'!C7:C501, "=BONOMO",'RESUMEN TOTAL'!Z7:Z501,"=APAGADO")</f>
        <v>0</v>
      </c>
      <c r="V3" s="64">
        <f>COUNTIFS('RESUMEN TOTAL'!D7:D501, "=BONOMO",'RESUMEN TOTAL'!AA7:AA501,"=APAGADO")</f>
        <v>0</v>
      </c>
      <c r="W3" s="64">
        <f>COUNTIFS('RESUMEN TOTAL'!C7:C501, "=BONOMO",'RESUMEN TOTAL'!AB7:AB501,"=APAGADO")</f>
        <v>0</v>
      </c>
      <c r="X3" s="64">
        <f>COUNTIFS('RESUMEN TOTAL'!C7:C501, "=BONOMO",'RESUMEN TOTAL'!AC7:AC501,"=APAGADO")</f>
        <v>0</v>
      </c>
      <c r="Y3" s="64">
        <f>COUNTIFS('RESUMEN TOTAL'!C7:C501, "=BONOMO",'RESUMEN TOTAL'!AD7:AD501,"=APAGADO")</f>
        <v>0</v>
      </c>
      <c r="Z3" s="64">
        <f>COUNTIFS('RESUMEN TOTAL'!C7:C501, "=BONOMO",'RESUMEN TOTAL'!AE7:AE501,"=APAGADO")</f>
        <v>0</v>
      </c>
      <c r="AA3" s="64">
        <f>COUNTIFS('RESUMEN TOTAL'!C7:C501, "=BONOMO",'RESUMEN TOTAL'!AF7:AF501,"=APAGADO")</f>
        <v>0</v>
      </c>
      <c r="AB3" s="64">
        <f>COUNTIFS('RESUMEN TOTAL'!C7:C501, "=BONOMO",'RESUMEN TOTAL'!AG7:AG501,"=APAGADO")</f>
        <v>0</v>
      </c>
      <c r="AC3" s="64">
        <f>COUNTIFS('RESUMEN TOTAL'!C7:C501, "=BONOMO",'RESUMEN TOTAL'!AH7:AH501,"=APAGADO")</f>
        <v>0</v>
      </c>
      <c r="AD3" s="64">
        <f>COUNTIFS('RESUMEN TOTAL'!C7:C501, "=BONOMO",'RESUMEN TOTAL'!AI7:AI501,"=APAGADO")</f>
        <v>0</v>
      </c>
      <c r="AE3" s="64">
        <f>COUNTIFS('RESUMEN TOTAL'!C7:C501, "=BONOMO",'RESUMEN TOTAL'!AJ7:AJ501,"=APAGADO")</f>
        <v>0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5.6" thickTop="1" thickBot="1" x14ac:dyDescent="0.35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</v>
      </c>
      <c r="J4" s="70">
        <f t="shared" si="0"/>
        <v>0</v>
      </c>
      <c r="K4" s="70">
        <f t="shared" ref="K4" si="1">K3/BONOMOcam</f>
        <v>0</v>
      </c>
      <c r="L4" s="70">
        <f t="shared" si="0"/>
        <v>0</v>
      </c>
      <c r="M4" s="70">
        <f t="shared" ref="M4" si="2">M3/BONOMOcam</f>
        <v>0</v>
      </c>
      <c r="N4" s="70">
        <f t="shared" si="0"/>
        <v>0</v>
      </c>
      <c r="O4" s="70">
        <f t="shared" si="0"/>
        <v>0</v>
      </c>
      <c r="P4" s="71">
        <f t="shared" si="0"/>
        <v>0</v>
      </c>
      <c r="Q4" s="71">
        <f t="shared" ref="Q4" si="3">Q3/BONOMOcam</f>
        <v>0</v>
      </c>
      <c r="R4" s="71">
        <f t="shared" si="0"/>
        <v>0</v>
      </c>
      <c r="S4" s="71">
        <f t="shared" si="0"/>
        <v>0</v>
      </c>
      <c r="T4" s="71">
        <f t="shared" si="0"/>
        <v>0</v>
      </c>
      <c r="U4" s="71">
        <f t="shared" si="0"/>
        <v>0</v>
      </c>
      <c r="V4" s="71">
        <f t="shared" ref="V4" si="4">V3/BONOMOcam</f>
        <v>0</v>
      </c>
      <c r="W4" s="71">
        <f t="shared" si="0"/>
        <v>0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5.6" thickTop="1" thickBot="1" x14ac:dyDescent="0.35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0</v>
      </c>
      <c r="J5" s="66">
        <f>COUNTIFS('RESUMEN TOTAL'!C10:C421, "=COSEIDI",'RESUMEN TOTAL'!O10:O421,"=APAGADO")</f>
        <v>0</v>
      </c>
      <c r="K5" s="66">
        <f>COUNTIFS('RESUMEN TOTAL'!D10:D421, "=COSEIDI",'RESUMEN TOTAL'!P10:P421,"=APAGADO")</f>
        <v>0</v>
      </c>
      <c r="L5" s="66">
        <f>COUNTIFS('RESUMEN TOTAL'!C10:C421, "=COSEIDI",'RESUMEN TOTAL'!Q10:Q421,"=APAGADO")</f>
        <v>0</v>
      </c>
      <c r="M5" s="66">
        <f>COUNTIFS('RESUMEN TOTAL'!D10:D421, "=COSEIDI",'RESUMEN TOTAL'!R10:R421,"=APAGADO")</f>
        <v>0</v>
      </c>
      <c r="N5" s="66">
        <f>COUNTIFS('RESUMEN TOTAL'!C10:C421, "=COSEIDI",'RESUMEN TOTAL'!S10:S421,"=APAGADO")</f>
        <v>0</v>
      </c>
      <c r="O5" s="66">
        <f>COUNTIFS('RESUMEN TOTAL'!C10:C421, "=COSEIDI",'RESUMEN TOTAL'!T10:T421,"=APAGADO")</f>
        <v>0</v>
      </c>
      <c r="P5" s="66">
        <f>COUNTIFS('RESUMEN TOTAL'!C10:C421, "=COSEIDI",'RESUMEN TOTAL'!U10:U421,"=APAGADO")</f>
        <v>0</v>
      </c>
      <c r="Q5" s="66">
        <f>COUNTIFS('RESUMEN TOTAL'!C10:C421, "=COSEIDI",'RESUMEN TOTAL'!V10:V421,"=APAGADO")</f>
        <v>0</v>
      </c>
      <c r="R5" s="66">
        <f>COUNTIFS('RESUMEN TOTAL'!C10:C421, "=COSEIDI",'RESUMEN TOTAL'!W10:W421,"=APAGADO")</f>
        <v>0</v>
      </c>
      <c r="S5" s="66">
        <f>COUNTIFS('RESUMEN TOTAL'!C10:C421, "=COSEIDI",'RESUMEN TOTAL'!X10:X421,"=APAGADO")</f>
        <v>0</v>
      </c>
      <c r="T5" s="66">
        <f>COUNTIFS('RESUMEN TOTAL'!C10:C421, "=COSEIDI",'RESUMEN TOTAL'!Y10:Y421,"=APAGADO")</f>
        <v>0</v>
      </c>
      <c r="U5" s="66">
        <f>COUNTIFS('RESUMEN TOTAL'!C10:C421, "=COSEIDI",'RESUMEN TOTAL'!Z10:Z421,"=APAGADO")</f>
        <v>0</v>
      </c>
      <c r="V5" s="66">
        <f>COUNTIFS('RESUMEN TOTAL'!D10:D421, "=COSEIDI",'RESUMEN TOTAL'!AA10:AA421,"=APAGADO")</f>
        <v>0</v>
      </c>
      <c r="W5" s="66">
        <f>COUNTIFS('RESUMEN TOTAL'!C10:C421, "=COSEIDI",'RESUMEN TOTAL'!AB10:AB421,"=APAGADO")</f>
        <v>0</v>
      </c>
      <c r="X5" s="66">
        <f ca="1">COUNTIFS('RESUMEN TOTAL'!C10:C421, "=COSEIDI",'RESUMEN TOTAL'!AC10:AC421,"=APAGADO")</f>
        <v>0</v>
      </c>
      <c r="Y5" s="66">
        <f>COUNTIFS('RESUMEN TOTAL'!C10:C421, "=COSEIDI",'RESUMEN TOTAL'!AD10:AD421,"=APAGADO")</f>
        <v>0</v>
      </c>
      <c r="Z5" s="66">
        <f>COUNTIFS('RESUMEN TOTAL'!C10:C421, "=COSEIDI",'RESUMEN TOTAL'!AE10:AE421,"=APAGADO")</f>
        <v>0</v>
      </c>
      <c r="AA5" s="66">
        <f>COUNTIFS('RESUMEN TOTAL'!C10:C421, "=COSEIDI",'RESUMEN TOTAL'!AF10:AF421,"=APAGADO")</f>
        <v>0</v>
      </c>
      <c r="AB5" s="66">
        <f>COUNTIFS('RESUMEN TOTAL'!C10:C421, "=COSEIDI",'RESUMEN TOTAL'!AG10:AG421,"=APAGADO")</f>
        <v>0</v>
      </c>
      <c r="AC5" s="66">
        <f>COUNTIFS('RESUMEN TOTAL'!C10:C421, "=COSEIDI",'RESUMEN TOTAL'!AH10:AH421,"=APAGADO")</f>
        <v>0</v>
      </c>
      <c r="AD5" s="66">
        <f>COUNTIFS('RESUMEN TOTAL'!C10:C421, "=COSEIDI",'RESUMEN TOTAL'!AI10:AI421,"=APAGADO")</f>
        <v>0</v>
      </c>
      <c r="AE5" s="66">
        <f>COUNTIFS('RESUMEN TOTAL'!C10:C421, "=COSEIDI",'RESUMEN TOTAL'!AJ10:AJ421,"=APAGADO")</f>
        <v>0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5.6" thickTop="1" thickBot="1" x14ac:dyDescent="0.35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0</v>
      </c>
      <c r="J6" s="70">
        <f t="shared" si="5"/>
        <v>0</v>
      </c>
      <c r="K6" s="70">
        <f t="shared" ref="K6" si="6">K5/COSEIDIcam</f>
        <v>0</v>
      </c>
      <c r="L6" s="70">
        <f t="shared" si="5"/>
        <v>0</v>
      </c>
      <c r="M6" s="70">
        <f t="shared" ref="M6" si="7">M5/COSEIDIcam</f>
        <v>0</v>
      </c>
      <c r="N6" s="70">
        <f t="shared" si="5"/>
        <v>0</v>
      </c>
      <c r="O6" s="70">
        <f t="shared" si="5"/>
        <v>0</v>
      </c>
      <c r="P6" s="70">
        <f t="shared" si="5"/>
        <v>0</v>
      </c>
      <c r="Q6" s="70">
        <f t="shared" ref="Q6" si="8">Q5/COSEIDIcam</f>
        <v>0</v>
      </c>
      <c r="R6" s="70">
        <f t="shared" si="5"/>
        <v>0</v>
      </c>
      <c r="S6" s="70">
        <f t="shared" si="5"/>
        <v>0</v>
      </c>
      <c r="T6" s="70">
        <f t="shared" si="5"/>
        <v>0</v>
      </c>
      <c r="U6" s="70">
        <f t="shared" si="5"/>
        <v>0</v>
      </c>
      <c r="V6" s="70">
        <f t="shared" ref="V6" si="9">V5/COSEIDIcam</f>
        <v>0</v>
      </c>
      <c r="W6" s="70">
        <f t="shared" si="5"/>
        <v>0</v>
      </c>
      <c r="X6" s="70">
        <f t="shared" ca="1" si="5"/>
        <v>0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2022-11-03T15:51:37Z</dcterms:modified>
</cp:coreProperties>
</file>