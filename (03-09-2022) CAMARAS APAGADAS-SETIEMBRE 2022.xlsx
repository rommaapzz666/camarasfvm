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15550715-BA01-4BB7-8DAB-C92C7760988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6" i="2" l="1"/>
  <c r="I336" i="2"/>
  <c r="N2" i="2"/>
  <c r="O2" i="2"/>
  <c r="O1" i="2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G398" i="21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F398" i="11" l="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3" i="2"/>
  <c r="P1" i="2" s="1"/>
  <c r="Q3" i="2"/>
  <c r="Q1" i="2" s="1"/>
  <c r="R3" i="2"/>
  <c r="R1" i="2" s="1"/>
  <c r="S3" i="2"/>
  <c r="S1" i="2" s="1"/>
  <c r="T3" i="2"/>
  <c r="T1" i="2" s="1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O2" i="21" l="1"/>
  <c r="AI2" i="21"/>
  <c r="AH2" i="21"/>
  <c r="AC2" i="21"/>
  <c r="U2" i="21"/>
  <c r="M2" i="21"/>
  <c r="S2" i="21"/>
  <c r="AB2" i="21"/>
  <c r="T2" i="21"/>
  <c r="L2" i="21"/>
  <c r="Z2" i="21"/>
  <c r="R2" i="21"/>
  <c r="J2" i="21"/>
  <c r="AA2" i="21"/>
  <c r="Y2" i="21"/>
  <c r="Q2" i="21"/>
  <c r="I2" i="21"/>
  <c r="K2" i="21"/>
  <c r="X2" i="21"/>
  <c r="P2" i="21"/>
  <c r="H2" i="21"/>
  <c r="W2" i="21"/>
  <c r="G2" i="2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Y1" i="9"/>
  <c r="Z2" i="10"/>
  <c r="S2" i="10"/>
  <c r="T2" i="10"/>
  <c r="M1" i="9"/>
  <c r="N1" i="9"/>
  <c r="AF2" i="21"/>
  <c r="AE1" i="9"/>
  <c r="AG2" i="10"/>
  <c r="H1" i="9"/>
  <c r="I2" i="10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B2" i="14" l="1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<sst xmlns="http://schemas.openxmlformats.org/spreadsheetml/2006/main" count="2952" uniqueCount="1204">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</sst>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M205" activePane="bottomRight" state="frozen"/>
      <selection pane="topRight" activeCell="M1" sqref="M1"/>
      <selection pane="bottomLeft" activeCell="A5" sqref="A5"/>
      <selection pane="bottomRight" activeCell="M218" sqref="M21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395</v>
      </c>
      <c r="O2" s="10">
        <f t="shared" si="1"/>
        <v>395</v>
      </c>
      <c r="P2" s="10">
        <f t="shared" si="1"/>
        <v>395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0</v>
      </c>
      <c r="O3" s="14"/>
      <c r="P3" s="14">
        <f t="shared" ref="P3:AN3" si="2">COUNTIF(P4:P447, "apagado")</f>
        <v>0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si="2"/>
        <v>0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30</v>
      </c>
      <c r="I6" s="16">
        <f t="shared" si="3"/>
        <v>0</v>
      </c>
      <c r="J6" s="17">
        <f t="shared" si="4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27</v>
      </c>
      <c r="I10" s="16">
        <f t="shared" si="3"/>
        <v>3</v>
      </c>
      <c r="J10" s="17">
        <f t="shared" si="4"/>
        <v>0.9</v>
      </c>
      <c r="K10" s="26" t="s">
        <v>1200</v>
      </c>
      <c r="L10" s="8" t="s">
        <v>1200</v>
      </c>
      <c r="M10" s="8" t="s">
        <v>1200</v>
      </c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27</v>
      </c>
      <c r="I13" s="16">
        <f t="shared" si="3"/>
        <v>3</v>
      </c>
      <c r="J13" s="17">
        <f t="shared" si="4"/>
        <v>0.9</v>
      </c>
      <c r="K13" s="26" t="s">
        <v>1200</v>
      </c>
      <c r="L13" s="8" t="s">
        <v>1200</v>
      </c>
      <c r="M13" s="8" t="s">
        <v>1200</v>
      </c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28</v>
      </c>
      <c r="I16" s="16">
        <f t="shared" si="3"/>
        <v>2</v>
      </c>
      <c r="J16" s="17">
        <f t="shared" si="4"/>
        <v>0.93333333333333335</v>
      </c>
      <c r="K16" s="26" t="s">
        <v>1200</v>
      </c>
      <c r="L16" s="8" t="s">
        <v>1200</v>
      </c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29</v>
      </c>
      <c r="I21" s="16">
        <f t="shared" si="3"/>
        <v>1</v>
      </c>
      <c r="J21" s="17">
        <f t="shared" si="4"/>
        <v>0.96666666666666667</v>
      </c>
      <c r="K21" s="26"/>
      <c r="L21" s="8"/>
      <c r="M21" s="8" t="s">
        <v>1200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30</v>
      </c>
      <c r="I23" s="16">
        <f t="shared" si="3"/>
        <v>0</v>
      </c>
      <c r="J23" s="17">
        <f t="shared" si="4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29</v>
      </c>
      <c r="I25" s="16">
        <f t="shared" si="3"/>
        <v>1</v>
      </c>
      <c r="J25" s="17">
        <f t="shared" si="4"/>
        <v>0.96666666666666667</v>
      </c>
      <c r="K25" s="26"/>
      <c r="L25" s="8"/>
      <c r="M25" s="8" t="s">
        <v>1200</v>
      </c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28</v>
      </c>
      <c r="I31" s="16">
        <f t="shared" si="3"/>
        <v>2</v>
      </c>
      <c r="J31" s="17">
        <f t="shared" si="4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27</v>
      </c>
      <c r="I34" s="16">
        <f t="shared" si="3"/>
        <v>3</v>
      </c>
      <c r="J34" s="17">
        <f t="shared" si="4"/>
        <v>0.9</v>
      </c>
      <c r="K34" s="26" t="s">
        <v>1200</v>
      </c>
      <c r="L34" s="8" t="s">
        <v>1200</v>
      </c>
      <c r="M34" s="8" t="s">
        <v>1200</v>
      </c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 t="s">
        <v>1200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29</v>
      </c>
      <c r="I38" s="16">
        <f t="shared" si="3"/>
        <v>1</v>
      </c>
      <c r="J38" s="17">
        <f t="shared" si="4"/>
        <v>0.96666666666666667</v>
      </c>
      <c r="K38" s="26"/>
      <c r="L38" s="8"/>
      <c r="M38" s="8" t="s">
        <v>1200</v>
      </c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29</v>
      </c>
      <c r="I42" s="16">
        <f t="shared" si="3"/>
        <v>1</v>
      </c>
      <c r="J42" s="17">
        <f t="shared" si="4"/>
        <v>0.96666666666666667</v>
      </c>
      <c r="K42" s="26"/>
      <c r="L42" s="8"/>
      <c r="M42" s="8" t="s">
        <v>1200</v>
      </c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29</v>
      </c>
      <c r="I50" s="16">
        <f t="shared" si="3"/>
        <v>1</v>
      </c>
      <c r="J50" s="17">
        <f t="shared" si="4"/>
        <v>0.96666666666666667</v>
      </c>
      <c r="K50" s="26"/>
      <c r="L50" s="8"/>
      <c r="M50" s="8" t="s">
        <v>1200</v>
      </c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30</v>
      </c>
      <c r="I52" s="16">
        <f t="shared" si="3"/>
        <v>0</v>
      </c>
      <c r="J52" s="17">
        <f t="shared" si="4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30</v>
      </c>
      <c r="I54" s="16">
        <f t="shared" si="3"/>
        <v>0</v>
      </c>
      <c r="J54" s="17">
        <f t="shared" si="4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30</v>
      </c>
      <c r="I57" s="16">
        <f t="shared" si="3"/>
        <v>0</v>
      </c>
      <c r="J57" s="17">
        <f t="shared" si="4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29</v>
      </c>
      <c r="I58" s="16">
        <f t="shared" si="3"/>
        <v>1</v>
      </c>
      <c r="J58" s="17">
        <f t="shared" si="4"/>
        <v>0.96666666666666667</v>
      </c>
      <c r="K58" s="26"/>
      <c r="L58" s="8" t="s">
        <v>1200</v>
      </c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29</v>
      </c>
      <c r="I59" s="16">
        <f t="shared" si="3"/>
        <v>1</v>
      </c>
      <c r="J59" s="17">
        <f t="shared" si="4"/>
        <v>0.96666666666666667</v>
      </c>
      <c r="K59" s="26" t="s">
        <v>1200</v>
      </c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29</v>
      </c>
      <c r="I62" s="16">
        <f t="shared" si="3"/>
        <v>1</v>
      </c>
      <c r="J62" s="17">
        <f t="shared" si="4"/>
        <v>0.96666666666666667</v>
      </c>
      <c r="K62" s="26"/>
      <c r="L62" s="8"/>
      <c r="M62" s="8" t="s">
        <v>1200</v>
      </c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29</v>
      </c>
      <c r="I63" s="16">
        <f t="shared" si="3"/>
        <v>1</v>
      </c>
      <c r="J63" s="17">
        <f t="shared" si="4"/>
        <v>0.96666666666666667</v>
      </c>
      <c r="K63" s="26"/>
      <c r="L63" s="8"/>
      <c r="M63" s="8" t="s">
        <v>1200</v>
      </c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29</v>
      </c>
      <c r="I65" s="16">
        <f t="shared" si="3"/>
        <v>1</v>
      </c>
      <c r="J65" s="17">
        <f t="shared" si="4"/>
        <v>0.96666666666666667</v>
      </c>
      <c r="K65" s="26"/>
      <c r="L65" s="8"/>
      <c r="M65" s="8" t="s">
        <v>1200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27</v>
      </c>
      <c r="I67" s="16">
        <f t="shared" si="3"/>
        <v>3</v>
      </c>
      <c r="J67" s="17">
        <f t="shared" si="4"/>
        <v>0.9</v>
      </c>
      <c r="K67" s="26" t="s">
        <v>1200</v>
      </c>
      <c r="L67" s="8" t="s">
        <v>1200</v>
      </c>
      <c r="M67" s="8" t="s">
        <v>1200</v>
      </c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30</v>
      </c>
      <c r="I73" s="16">
        <f t="shared" si="6"/>
        <v>0</v>
      </c>
      <c r="J73" s="17">
        <f t="shared" si="7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29</v>
      </c>
      <c r="I76" s="16">
        <f t="shared" si="6"/>
        <v>1</v>
      </c>
      <c r="J76" s="17">
        <f t="shared" si="7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27</v>
      </c>
      <c r="I79" s="16">
        <f t="shared" si="6"/>
        <v>3</v>
      </c>
      <c r="J79" s="17">
        <f t="shared" si="7"/>
        <v>0.9</v>
      </c>
      <c r="K79" s="26" t="s">
        <v>1200</v>
      </c>
      <c r="L79" s="8" t="s">
        <v>1200</v>
      </c>
      <c r="M79" s="8" t="s">
        <v>1200</v>
      </c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28</v>
      </c>
      <c r="I87" s="16">
        <f t="shared" si="6"/>
        <v>2</v>
      </c>
      <c r="J87" s="17">
        <f t="shared" si="7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29</v>
      </c>
      <c r="I91" s="16">
        <f t="shared" si="6"/>
        <v>1</v>
      </c>
      <c r="J91" s="17">
        <f t="shared" si="7"/>
        <v>0.96666666666666667</v>
      </c>
      <c r="K91" s="26"/>
      <c r="L91" s="8"/>
      <c r="M91" s="8" t="s">
        <v>1200</v>
      </c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27</v>
      </c>
      <c r="I96" s="16">
        <f t="shared" si="6"/>
        <v>3</v>
      </c>
      <c r="J96" s="17">
        <f t="shared" si="7"/>
        <v>0.9</v>
      </c>
      <c r="K96" s="26" t="s">
        <v>1200</v>
      </c>
      <c r="L96" s="8" t="s">
        <v>1200</v>
      </c>
      <c r="M96" s="8" t="s">
        <v>1200</v>
      </c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29</v>
      </c>
      <c r="I102" s="16">
        <f t="shared" si="6"/>
        <v>1</v>
      </c>
      <c r="J102" s="17">
        <f t="shared" si="7"/>
        <v>0.96666666666666667</v>
      </c>
      <c r="K102" s="26"/>
      <c r="L102" s="8"/>
      <c r="M102" s="8" t="s">
        <v>1200</v>
      </c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29</v>
      </c>
      <c r="I103" s="16">
        <f t="shared" si="6"/>
        <v>1</v>
      </c>
      <c r="J103" s="17">
        <f t="shared" si="7"/>
        <v>0.96666666666666667</v>
      </c>
      <c r="K103" s="26"/>
      <c r="L103" s="8"/>
      <c r="M103" s="8" t="s">
        <v>1200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29</v>
      </c>
      <c r="I109" s="16">
        <f t="shared" si="6"/>
        <v>1</v>
      </c>
      <c r="J109" s="17">
        <f t="shared" si="7"/>
        <v>0.96666666666666667</v>
      </c>
      <c r="K109" s="26"/>
      <c r="L109" s="8"/>
      <c r="M109" s="8" t="s">
        <v>1200</v>
      </c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29</v>
      </c>
      <c r="I112" s="16">
        <f t="shared" si="6"/>
        <v>1</v>
      </c>
      <c r="J112" s="17">
        <f t="shared" si="7"/>
        <v>0.96666666666666667</v>
      </c>
      <c r="K112" s="26"/>
      <c r="L112" s="8"/>
      <c r="M112" s="8" t="s">
        <v>1200</v>
      </c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27</v>
      </c>
      <c r="I134" s="16">
        <f t="shared" si="9"/>
        <v>3</v>
      </c>
      <c r="J134" s="17">
        <f t="shared" si="10"/>
        <v>0.9</v>
      </c>
      <c r="K134" s="26" t="s">
        <v>1200</v>
      </c>
      <c r="L134" s="8" t="s">
        <v>1200</v>
      </c>
      <c r="M134" s="8" t="s">
        <v>1200</v>
      </c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 t="s">
        <v>1200</v>
      </c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1200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29</v>
      </c>
      <c r="I143" s="16">
        <f t="shared" si="9"/>
        <v>1</v>
      </c>
      <c r="J143" s="17">
        <f t="shared" si="10"/>
        <v>0.96666666666666667</v>
      </c>
      <c r="K143" s="26"/>
      <c r="L143" s="8"/>
      <c r="M143" s="8" t="s">
        <v>1200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30</v>
      </c>
      <c r="I154" s="16">
        <f t="shared" si="9"/>
        <v>0</v>
      </c>
      <c r="J154" s="17">
        <f t="shared" si="10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30</v>
      </c>
      <c r="I155" s="16">
        <f t="shared" si="9"/>
        <v>0</v>
      </c>
      <c r="J155" s="17">
        <f t="shared" si="10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27</v>
      </c>
      <c r="I156" s="16">
        <f t="shared" si="9"/>
        <v>3</v>
      </c>
      <c r="J156" s="17">
        <f t="shared" si="10"/>
        <v>0.9</v>
      </c>
      <c r="K156" s="26" t="s">
        <v>1200</v>
      </c>
      <c r="L156" s="8" t="s">
        <v>1200</v>
      </c>
      <c r="M156" s="8" t="s">
        <v>1200</v>
      </c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27</v>
      </c>
      <c r="I157" s="16">
        <f t="shared" si="9"/>
        <v>3</v>
      </c>
      <c r="J157" s="17">
        <f t="shared" si="10"/>
        <v>0.9</v>
      </c>
      <c r="K157" s="26" t="s">
        <v>1200</v>
      </c>
      <c r="L157" s="8" t="s">
        <v>1200</v>
      </c>
      <c r="M157" s="8" t="s">
        <v>1200</v>
      </c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27</v>
      </c>
      <c r="I158" s="16">
        <f t="shared" si="9"/>
        <v>3</v>
      </c>
      <c r="J158" s="17">
        <f t="shared" si="10"/>
        <v>0.9</v>
      </c>
      <c r="K158" s="26" t="s">
        <v>1200</v>
      </c>
      <c r="L158" s="8" t="s">
        <v>1200</v>
      </c>
      <c r="M158" s="8" t="s">
        <v>1200</v>
      </c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29</v>
      </c>
      <c r="I159" s="16">
        <f t="shared" si="9"/>
        <v>1</v>
      </c>
      <c r="J159" s="17">
        <f t="shared" si="10"/>
        <v>0.96666666666666667</v>
      </c>
      <c r="K159" s="26"/>
      <c r="L159" s="8"/>
      <c r="M159" s="8" t="s">
        <v>1200</v>
      </c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28</v>
      </c>
      <c r="I162" s="16">
        <f t="shared" si="9"/>
        <v>2</v>
      </c>
      <c r="J162" s="17">
        <f t="shared" si="10"/>
        <v>0.93333333333333335</v>
      </c>
      <c r="K162" s="26"/>
      <c r="L162" s="8" t="s">
        <v>1200</v>
      </c>
      <c r="M162" s="8" t="s">
        <v>1200</v>
      </c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27</v>
      </c>
      <c r="I163" s="16">
        <f t="shared" si="9"/>
        <v>3</v>
      </c>
      <c r="J163" s="17">
        <f t="shared" si="10"/>
        <v>0.9</v>
      </c>
      <c r="K163" s="26" t="s">
        <v>1200</v>
      </c>
      <c r="L163" s="8" t="s">
        <v>1200</v>
      </c>
      <c r="M163" s="8" t="s">
        <v>1200</v>
      </c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29</v>
      </c>
      <c r="I165" s="16">
        <f t="shared" si="9"/>
        <v>1</v>
      </c>
      <c r="J165" s="17">
        <f t="shared" si="10"/>
        <v>0.96666666666666667</v>
      </c>
      <c r="K165" s="26"/>
      <c r="L165" s="8"/>
      <c r="M165" s="8" t="s">
        <v>1200</v>
      </c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27</v>
      </c>
      <c r="I166" s="16">
        <f t="shared" si="9"/>
        <v>3</v>
      </c>
      <c r="J166" s="17">
        <f t="shared" si="10"/>
        <v>0.9</v>
      </c>
      <c r="K166" s="26" t="s">
        <v>1200</v>
      </c>
      <c r="L166" s="8" t="s">
        <v>1200</v>
      </c>
      <c r="M166" s="8" t="s">
        <v>1200</v>
      </c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29</v>
      </c>
      <c r="I174" s="16">
        <f t="shared" si="9"/>
        <v>1</v>
      </c>
      <c r="J174" s="17">
        <f t="shared" si="10"/>
        <v>0.96666666666666667</v>
      </c>
      <c r="K174" s="26"/>
      <c r="L174" s="8"/>
      <c r="M174" s="8" t="s">
        <v>1200</v>
      </c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29</v>
      </c>
      <c r="I175" s="16">
        <f t="shared" si="9"/>
        <v>1</v>
      </c>
      <c r="J175" s="17">
        <f t="shared" si="10"/>
        <v>0.96666666666666667</v>
      </c>
      <c r="K175" s="26"/>
      <c r="L175" s="8"/>
      <c r="M175" s="8" t="s">
        <v>1200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30</v>
      </c>
      <c r="I177" s="16">
        <f t="shared" si="9"/>
        <v>0</v>
      </c>
      <c r="J177" s="17">
        <f t="shared" si="10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29</v>
      </c>
      <c r="I179" s="16">
        <f t="shared" si="9"/>
        <v>1</v>
      </c>
      <c r="J179" s="17">
        <f t="shared" si="10"/>
        <v>0.96666666666666667</v>
      </c>
      <c r="K179" s="26"/>
      <c r="L179" s="8"/>
      <c r="M179" s="8" t="s">
        <v>1200</v>
      </c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29</v>
      </c>
      <c r="I182" s="16">
        <f t="shared" si="9"/>
        <v>1</v>
      </c>
      <c r="J182" s="17">
        <f t="shared" si="10"/>
        <v>0.96666666666666667</v>
      </c>
      <c r="K182" s="26"/>
      <c r="L182" s="8"/>
      <c r="M182" s="8" t="s">
        <v>1200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29</v>
      </c>
      <c r="I183" s="16">
        <f t="shared" si="9"/>
        <v>1</v>
      </c>
      <c r="J183" s="17">
        <f t="shared" si="10"/>
        <v>0.96666666666666667</v>
      </c>
      <c r="K183" s="26"/>
      <c r="L183" s="8"/>
      <c r="M183" s="8" t="s">
        <v>1200</v>
      </c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29</v>
      </c>
      <c r="I185" s="16">
        <f t="shared" si="9"/>
        <v>1</v>
      </c>
      <c r="J185" s="17">
        <f t="shared" si="10"/>
        <v>0.96666666666666667</v>
      </c>
      <c r="K185" s="26"/>
      <c r="L185" s="8"/>
      <c r="M185" s="8" t="s">
        <v>1200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29</v>
      </c>
      <c r="I186" s="16">
        <f t="shared" si="9"/>
        <v>1</v>
      </c>
      <c r="J186" s="17">
        <f t="shared" si="10"/>
        <v>0.96666666666666667</v>
      </c>
      <c r="K186" s="26"/>
      <c r="L186" s="8"/>
      <c r="M186" s="8" t="s">
        <v>1200</v>
      </c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29</v>
      </c>
      <c r="I187" s="16">
        <f t="shared" si="9"/>
        <v>1</v>
      </c>
      <c r="J187" s="17">
        <f t="shared" si="10"/>
        <v>0.96666666666666667</v>
      </c>
      <c r="K187" s="26"/>
      <c r="L187" s="8"/>
      <c r="M187" s="8" t="s">
        <v>1200</v>
      </c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29</v>
      </c>
      <c r="I188" s="16">
        <f t="shared" si="9"/>
        <v>1</v>
      </c>
      <c r="J188" s="17">
        <f t="shared" si="10"/>
        <v>0.96666666666666667</v>
      </c>
      <c r="K188" s="26"/>
      <c r="L188" s="8"/>
      <c r="M188" s="8" t="s">
        <v>1200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29</v>
      </c>
      <c r="I191" s="16">
        <f t="shared" si="9"/>
        <v>1</v>
      </c>
      <c r="J191" s="17">
        <f t="shared" si="10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30</v>
      </c>
      <c r="I205" s="16">
        <f t="shared" si="12"/>
        <v>0</v>
      </c>
      <c r="J205" s="17">
        <f t="shared" si="1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30</v>
      </c>
      <c r="I206" s="16">
        <f t="shared" si="12"/>
        <v>0</v>
      </c>
      <c r="J206" s="17">
        <f t="shared" si="1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30</v>
      </c>
      <c r="I208" s="16">
        <f t="shared" si="12"/>
        <v>0</v>
      </c>
      <c r="J208" s="17">
        <f t="shared" si="13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30</v>
      </c>
      <c r="I209" s="16">
        <f t="shared" si="12"/>
        <v>0</v>
      </c>
      <c r="J209" s="17">
        <f t="shared" si="13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27</v>
      </c>
      <c r="I210" s="16">
        <f t="shared" si="12"/>
        <v>3</v>
      </c>
      <c r="J210" s="17">
        <f t="shared" si="13"/>
        <v>0.9</v>
      </c>
      <c r="K210" s="26" t="s">
        <v>1200</v>
      </c>
      <c r="L210" s="8" t="s">
        <v>1200</v>
      </c>
      <c r="M210" s="8" t="s">
        <v>1200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29</v>
      </c>
      <c r="I213" s="16">
        <f t="shared" si="12"/>
        <v>1</v>
      </c>
      <c r="J213" s="17">
        <f t="shared" si="13"/>
        <v>0.96666666666666667</v>
      </c>
      <c r="K213" s="26"/>
      <c r="L213" s="8"/>
      <c r="M213" s="8" t="s">
        <v>1200</v>
      </c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30</v>
      </c>
      <c r="I215" s="16">
        <f t="shared" si="12"/>
        <v>0</v>
      </c>
      <c r="J215" s="17">
        <f t="shared" si="13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27</v>
      </c>
      <c r="I216" s="16">
        <f t="shared" si="12"/>
        <v>3</v>
      </c>
      <c r="J216" s="17">
        <f t="shared" si="13"/>
        <v>0.9</v>
      </c>
      <c r="K216" s="26" t="s">
        <v>1200</v>
      </c>
      <c r="L216" s="8" t="s">
        <v>1200</v>
      </c>
      <c r="M216" s="8" t="s">
        <v>1200</v>
      </c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27</v>
      </c>
      <c r="I217" s="16">
        <f t="shared" si="12"/>
        <v>3</v>
      </c>
      <c r="J217" s="17">
        <f t="shared" si="13"/>
        <v>0.9</v>
      </c>
      <c r="K217" s="26" t="s">
        <v>1200</v>
      </c>
      <c r="L217" s="8" t="s">
        <v>1200</v>
      </c>
      <c r="M217" s="8" t="s">
        <v>1200</v>
      </c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30</v>
      </c>
      <c r="I222" s="16">
        <f t="shared" si="12"/>
        <v>0</v>
      </c>
      <c r="J222" s="17">
        <f t="shared" si="13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30</v>
      </c>
      <c r="I225" s="16">
        <f t="shared" si="12"/>
        <v>0</v>
      </c>
      <c r="J225" s="17">
        <f t="shared" si="13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30</v>
      </c>
      <c r="I226" s="16">
        <f t="shared" si="12"/>
        <v>0</v>
      </c>
      <c r="J226" s="17">
        <f t="shared" si="1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29</v>
      </c>
      <c r="I232" s="16">
        <f t="shared" si="12"/>
        <v>1</v>
      </c>
      <c r="J232" s="17">
        <f t="shared" si="13"/>
        <v>0.96666666666666667</v>
      </c>
      <c r="K232" s="26"/>
      <c r="L232" s="8"/>
      <c r="M232" s="8" t="s">
        <v>1200</v>
      </c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29</v>
      </c>
      <c r="I241" s="16">
        <f t="shared" si="12"/>
        <v>1</v>
      </c>
      <c r="J241" s="17">
        <f t="shared" si="13"/>
        <v>0.96666666666666667</v>
      </c>
      <c r="K241" s="26"/>
      <c r="L241" s="8"/>
      <c r="M241" s="8" t="s">
        <v>1200</v>
      </c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27</v>
      </c>
      <c r="I244" s="16">
        <f t="shared" si="12"/>
        <v>3</v>
      </c>
      <c r="J244" s="17">
        <f t="shared" si="13"/>
        <v>0.9</v>
      </c>
      <c r="K244" s="26" t="s">
        <v>1200</v>
      </c>
      <c r="L244" s="8" t="s">
        <v>1200</v>
      </c>
      <c r="M244" s="8" t="s">
        <v>1200</v>
      </c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27</v>
      </c>
      <c r="I245" s="16">
        <f t="shared" si="12"/>
        <v>3</v>
      </c>
      <c r="J245" s="17">
        <f t="shared" si="13"/>
        <v>0.9</v>
      </c>
      <c r="K245" s="26" t="s">
        <v>1200</v>
      </c>
      <c r="L245" s="26" t="s">
        <v>1200</v>
      </c>
      <c r="M245" s="26" t="s">
        <v>1200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28</v>
      </c>
      <c r="I249" s="16">
        <f t="shared" si="12"/>
        <v>2</v>
      </c>
      <c r="J249" s="17">
        <f t="shared" si="13"/>
        <v>0.93333333333333335</v>
      </c>
      <c r="K249" s="26"/>
      <c r="L249" s="8" t="s">
        <v>1200</v>
      </c>
      <c r="M249" s="8" t="s">
        <v>1200</v>
      </c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30</v>
      </c>
      <c r="I252" s="16">
        <f t="shared" si="12"/>
        <v>0</v>
      </c>
      <c r="J252" s="17">
        <f t="shared" si="13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28</v>
      </c>
      <c r="I253" s="16">
        <f t="shared" si="12"/>
        <v>2</v>
      </c>
      <c r="J253" s="17">
        <f t="shared" si="13"/>
        <v>0.93333333333333335</v>
      </c>
      <c r="K253" s="26"/>
      <c r="L253" s="8" t="s">
        <v>1200</v>
      </c>
      <c r="M253" s="8" t="s">
        <v>1200</v>
      </c>
      <c r="N253" s="8"/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27</v>
      </c>
      <c r="I254" s="16">
        <f t="shared" si="12"/>
        <v>3</v>
      </c>
      <c r="J254" s="17">
        <f t="shared" si="13"/>
        <v>0.9</v>
      </c>
      <c r="K254" s="26" t="s">
        <v>1200</v>
      </c>
      <c r="L254" s="8" t="s">
        <v>1200</v>
      </c>
      <c r="M254" s="8" t="s">
        <v>1200</v>
      </c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27</v>
      </c>
      <c r="I255" s="16">
        <f t="shared" si="12"/>
        <v>3</v>
      </c>
      <c r="J255" s="17">
        <f t="shared" si="13"/>
        <v>0.9</v>
      </c>
      <c r="K255" s="26" t="s">
        <v>1200</v>
      </c>
      <c r="L255" s="8" t="s">
        <v>1200</v>
      </c>
      <c r="M255" s="8" t="s">
        <v>1200</v>
      </c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28</v>
      </c>
      <c r="I263" s="16">
        <f t="shared" ref="I263:I326" si="16">COUNTIF(K263:AL263,"APAGADO")</f>
        <v>2</v>
      </c>
      <c r="J263" s="17">
        <f t="shared" ref="J263:J326" si="17">(H263)/(I263+H263)</f>
        <v>0.93333333333333335</v>
      </c>
      <c r="K263" s="26"/>
      <c r="L263" s="8" t="s">
        <v>1200</v>
      </c>
      <c r="M263" s="8" t="s">
        <v>1200</v>
      </c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29</v>
      </c>
      <c r="I271" s="16">
        <f t="shared" si="16"/>
        <v>1</v>
      </c>
      <c r="J271" s="17">
        <f t="shared" si="17"/>
        <v>0.96666666666666667</v>
      </c>
      <c r="K271" s="26"/>
      <c r="L271" s="8"/>
      <c r="M271" s="8" t="s">
        <v>1200</v>
      </c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29</v>
      </c>
      <c r="I272" s="16">
        <f t="shared" si="16"/>
        <v>1</v>
      </c>
      <c r="J272" s="17">
        <f t="shared" si="17"/>
        <v>0.96666666666666667</v>
      </c>
      <c r="K272" s="26"/>
      <c r="L272" s="8"/>
      <c r="M272" s="8" t="s">
        <v>1200</v>
      </c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29</v>
      </c>
      <c r="I276" s="16">
        <f t="shared" si="16"/>
        <v>1</v>
      </c>
      <c r="J276" s="17">
        <f t="shared" si="17"/>
        <v>0.96666666666666667</v>
      </c>
      <c r="K276" s="26"/>
      <c r="L276" s="8"/>
      <c r="M276" s="8" t="s">
        <v>1200</v>
      </c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30</v>
      </c>
      <c r="I277" s="16">
        <f t="shared" si="16"/>
        <v>0</v>
      </c>
      <c r="J277" s="17">
        <f t="shared" si="17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30</v>
      </c>
      <c r="I278" s="16">
        <f t="shared" si="16"/>
        <v>0</v>
      </c>
      <c r="J278" s="17">
        <f t="shared" si="17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30</v>
      </c>
      <c r="I279" s="16">
        <f t="shared" si="16"/>
        <v>0</v>
      </c>
      <c r="J279" s="17">
        <f t="shared" si="17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30</v>
      </c>
      <c r="I280" s="16">
        <f t="shared" si="16"/>
        <v>0</v>
      </c>
      <c r="J280" s="17">
        <f t="shared" si="17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29</v>
      </c>
      <c r="I281" s="16">
        <f t="shared" si="16"/>
        <v>1</v>
      </c>
      <c r="J281" s="17">
        <f t="shared" si="17"/>
        <v>0.96666666666666667</v>
      </c>
      <c r="K281" s="26"/>
      <c r="L281" s="8"/>
      <c r="M281" s="8" t="s">
        <v>1200</v>
      </c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27</v>
      </c>
      <c r="I289" s="16">
        <f t="shared" si="16"/>
        <v>3</v>
      </c>
      <c r="J289" s="17">
        <f t="shared" si="17"/>
        <v>0.9</v>
      </c>
      <c r="K289" s="26" t="s">
        <v>1200</v>
      </c>
      <c r="L289" s="8" t="s">
        <v>1200</v>
      </c>
      <c r="M289" s="8" t="s">
        <v>1200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27</v>
      </c>
      <c r="I290" s="16">
        <f t="shared" si="16"/>
        <v>3</v>
      </c>
      <c r="J290" s="17">
        <f t="shared" si="17"/>
        <v>0.9</v>
      </c>
      <c r="K290" s="26" t="s">
        <v>1200</v>
      </c>
      <c r="L290" s="8" t="s">
        <v>1200</v>
      </c>
      <c r="M290" s="8" t="s">
        <v>1200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27</v>
      </c>
      <c r="I291" s="16">
        <f t="shared" si="16"/>
        <v>3</v>
      </c>
      <c r="J291" s="17">
        <f t="shared" si="17"/>
        <v>0.9</v>
      </c>
      <c r="K291" s="26" t="s">
        <v>1200</v>
      </c>
      <c r="L291" s="8" t="s">
        <v>1200</v>
      </c>
      <c r="M291" s="8" t="s">
        <v>1200</v>
      </c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27</v>
      </c>
      <c r="I292" s="16">
        <f t="shared" si="16"/>
        <v>3</v>
      </c>
      <c r="J292" s="17">
        <f t="shared" si="17"/>
        <v>0.9</v>
      </c>
      <c r="K292" s="26" t="s">
        <v>1200</v>
      </c>
      <c r="L292" s="8" t="s">
        <v>1200</v>
      </c>
      <c r="M292" s="8" t="s">
        <v>1200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29</v>
      </c>
      <c r="I294" s="16">
        <f t="shared" si="16"/>
        <v>1</v>
      </c>
      <c r="J294" s="17">
        <f t="shared" si="17"/>
        <v>0.96666666666666667</v>
      </c>
      <c r="K294" s="26"/>
      <c r="L294" s="8"/>
      <c r="M294" s="8" t="s">
        <v>1200</v>
      </c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30</v>
      </c>
      <c r="I298" s="16">
        <f t="shared" si="16"/>
        <v>0</v>
      </c>
      <c r="J298" s="17">
        <f t="shared" si="17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30</v>
      </c>
      <c r="I299" s="16">
        <f t="shared" si="16"/>
        <v>0</v>
      </c>
      <c r="J299" s="17">
        <f t="shared" si="17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30</v>
      </c>
      <c r="I300" s="16">
        <f t="shared" si="16"/>
        <v>0</v>
      </c>
      <c r="J300" s="17">
        <f t="shared" si="17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29</v>
      </c>
      <c r="I303" s="16">
        <f t="shared" si="16"/>
        <v>1</v>
      </c>
      <c r="J303" s="17">
        <f t="shared" si="17"/>
        <v>0.96666666666666667</v>
      </c>
      <c r="K303" s="26"/>
      <c r="L303" s="8"/>
      <c r="M303" s="8" t="s">
        <v>1200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29</v>
      </c>
      <c r="I304" s="16">
        <f t="shared" si="16"/>
        <v>1</v>
      </c>
      <c r="J304" s="17">
        <f t="shared" si="17"/>
        <v>0.96666666666666667</v>
      </c>
      <c r="K304" s="26"/>
      <c r="L304" s="8"/>
      <c r="M304" s="8" t="s">
        <v>1200</v>
      </c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29</v>
      </c>
      <c r="I305" s="16">
        <f t="shared" si="16"/>
        <v>1</v>
      </c>
      <c r="J305" s="17">
        <f t="shared" si="17"/>
        <v>0.96666666666666667</v>
      </c>
      <c r="K305" s="26"/>
      <c r="L305" s="8"/>
      <c r="M305" s="8" t="s">
        <v>1200</v>
      </c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5"/>
        <v>30</v>
      </c>
      <c r="I314" s="16">
        <f t="shared" si="16"/>
        <v>0</v>
      </c>
      <c r="J314" s="17">
        <f t="shared" si="17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5"/>
        <v>29</v>
      </c>
      <c r="I316" s="16">
        <f t="shared" si="16"/>
        <v>1</v>
      </c>
      <c r="J316" s="17">
        <f t="shared" si="17"/>
        <v>0.96666666666666667</v>
      </c>
      <c r="K316" s="26"/>
      <c r="L316" s="8"/>
      <c r="M316" s="8" t="s">
        <v>1200</v>
      </c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5"/>
        <v>30</v>
      </c>
      <c r="I317" s="16">
        <f t="shared" si="16"/>
        <v>0</v>
      </c>
      <c r="J317" s="17">
        <f t="shared" si="17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5"/>
        <v>28</v>
      </c>
      <c r="I324" s="16">
        <f t="shared" si="16"/>
        <v>2</v>
      </c>
      <c r="J324" s="17">
        <f t="shared" si="17"/>
        <v>0.93333333333333335</v>
      </c>
      <c r="K324" s="26" t="s">
        <v>1200</v>
      </c>
      <c r="L324" s="8"/>
      <c r="M324" s="8" t="s">
        <v>1200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5"/>
        <v>30</v>
      </c>
      <c r="I325" s="16">
        <f t="shared" si="16"/>
        <v>0</v>
      </c>
      <c r="J325" s="17">
        <f t="shared" si="17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8">COUNTIF(K326:AN326,"")</f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8"/>
        <v>29</v>
      </c>
      <c r="I327" s="16">
        <f t="shared" ref="I327:I375" si="19">COUNTIF(K327:AL327,"APAGADO")</f>
        <v>1</v>
      </c>
      <c r="J327" s="17">
        <f t="shared" ref="J327:J375" si="20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8"/>
        <v>29</v>
      </c>
      <c r="I328" s="16">
        <f t="shared" si="19"/>
        <v>1</v>
      </c>
      <c r="J328" s="17">
        <f t="shared" si="20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8"/>
        <v>30</v>
      </c>
      <c r="I329" s="16">
        <f t="shared" si="19"/>
        <v>0</v>
      </c>
      <c r="J329" s="17">
        <f t="shared" si="20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8"/>
        <v>30</v>
      </c>
      <c r="I330" s="16">
        <f t="shared" si="19"/>
        <v>0</v>
      </c>
      <c r="J330" s="17">
        <f t="shared" si="20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8"/>
        <v>30</v>
      </c>
      <c r="I331" s="16">
        <f t="shared" si="19"/>
        <v>0</v>
      </c>
      <c r="J331" s="17">
        <f t="shared" si="20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8"/>
        <v>30</v>
      </c>
      <c r="I332" s="16">
        <f t="shared" si="19"/>
        <v>0</v>
      </c>
      <c r="J332" s="17">
        <f t="shared" si="20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8"/>
        <v>30</v>
      </c>
      <c r="I333" s="16">
        <f t="shared" si="19"/>
        <v>0</v>
      </c>
      <c r="J333" s="17">
        <f t="shared" si="20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.75" thickBot="1" x14ac:dyDescent="0.3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1">COUNTIF(K336:AN336,"")</f>
        <v>30</v>
      </c>
      <c r="I336" s="52">
        <f t="shared" ref="I336" si="22">COUNTIF(K336:AL336,"APAGADO")</f>
        <v>0</v>
      </c>
      <c r="J336" s="53">
        <f t="shared" ref="J336" si="23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8"/>
        <v>30</v>
      </c>
      <c r="I337" s="16">
        <f t="shared" si="19"/>
        <v>0</v>
      </c>
      <c r="J337" s="17">
        <f t="shared" si="20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8"/>
        <v>30</v>
      </c>
      <c r="I338" s="16">
        <f t="shared" si="19"/>
        <v>0</v>
      </c>
      <c r="J338" s="17">
        <f t="shared" si="20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8"/>
        <v>29</v>
      </c>
      <c r="I339" s="16">
        <f t="shared" si="19"/>
        <v>1</v>
      </c>
      <c r="J339" s="17">
        <f t="shared" si="20"/>
        <v>0.96666666666666667</v>
      </c>
      <c r="K339" s="26"/>
      <c r="L339" s="8"/>
      <c r="M339" s="8" t="s">
        <v>1200</v>
      </c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8"/>
        <v>29</v>
      </c>
      <c r="I340" s="16">
        <f t="shared" si="19"/>
        <v>1</v>
      </c>
      <c r="J340" s="17">
        <f t="shared" si="20"/>
        <v>0.96666666666666667</v>
      </c>
      <c r="K340" s="26"/>
      <c r="L340" s="8"/>
      <c r="M340" s="8" t="s">
        <v>1200</v>
      </c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8"/>
        <v>30</v>
      </c>
      <c r="I341" s="16">
        <f t="shared" si="19"/>
        <v>0</v>
      </c>
      <c r="J341" s="17">
        <f t="shared" si="20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8"/>
        <v>29</v>
      </c>
      <c r="I342" s="16">
        <f t="shared" si="19"/>
        <v>1</v>
      </c>
      <c r="J342" s="17">
        <f t="shared" si="20"/>
        <v>0.96666666666666667</v>
      </c>
      <c r="K342" s="26"/>
      <c r="L342" s="8"/>
      <c r="M342" s="8" t="s">
        <v>1200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8"/>
        <v>30</v>
      </c>
      <c r="I343" s="16">
        <f t="shared" si="19"/>
        <v>0</v>
      </c>
      <c r="J343" s="17">
        <f t="shared" si="20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8"/>
        <v>30</v>
      </c>
      <c r="I344" s="16">
        <f t="shared" si="19"/>
        <v>0</v>
      </c>
      <c r="J344" s="17">
        <f t="shared" si="20"/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8"/>
        <v>30</v>
      </c>
      <c r="I345" s="16">
        <f t="shared" si="19"/>
        <v>0</v>
      </c>
      <c r="J345" s="17">
        <f t="shared" si="20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8"/>
        <v>29</v>
      </c>
      <c r="I346" s="16">
        <f t="shared" si="19"/>
        <v>1</v>
      </c>
      <c r="J346" s="17">
        <f t="shared" si="20"/>
        <v>0.96666666666666667</v>
      </c>
      <c r="K346" s="26"/>
      <c r="L346" s="8"/>
      <c r="M346" s="8" t="s">
        <v>1200</v>
      </c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8"/>
        <v>30</v>
      </c>
      <c r="I347" s="16">
        <f t="shared" si="19"/>
        <v>0</v>
      </c>
      <c r="J347" s="17">
        <f t="shared" si="20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8"/>
        <v>30</v>
      </c>
      <c r="I348" s="16">
        <f t="shared" si="19"/>
        <v>0</v>
      </c>
      <c r="J348" s="17">
        <f t="shared" si="20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8"/>
        <v>30</v>
      </c>
      <c r="I349" s="16">
        <f t="shared" si="19"/>
        <v>0</v>
      </c>
      <c r="J349" s="17">
        <f t="shared" si="20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8"/>
        <v>29</v>
      </c>
      <c r="I350" s="16">
        <f t="shared" si="19"/>
        <v>1</v>
      </c>
      <c r="J350" s="17">
        <f t="shared" si="20"/>
        <v>0.96666666666666667</v>
      </c>
      <c r="K350" s="26"/>
      <c r="L350" s="8"/>
      <c r="M350" s="8" t="s">
        <v>1200</v>
      </c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8"/>
        <v>28</v>
      </c>
      <c r="I351" s="16">
        <f t="shared" si="19"/>
        <v>2</v>
      </c>
      <c r="J351" s="17">
        <f t="shared" si="20"/>
        <v>0.93333333333333335</v>
      </c>
      <c r="K351" s="26"/>
      <c r="L351" s="8" t="s">
        <v>1200</v>
      </c>
      <c r="M351" s="8" t="s">
        <v>1200</v>
      </c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8"/>
        <v>30</v>
      </c>
      <c r="I352" s="16">
        <f t="shared" si="19"/>
        <v>0</v>
      </c>
      <c r="J352" s="17">
        <f t="shared" si="20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8"/>
        <v>30</v>
      </c>
      <c r="I353" s="16">
        <f t="shared" si="19"/>
        <v>0</v>
      </c>
      <c r="J353" s="17">
        <f t="shared" si="20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8"/>
        <v>29</v>
      </c>
      <c r="I354" s="16">
        <f t="shared" si="19"/>
        <v>1</v>
      </c>
      <c r="J354" s="17">
        <f t="shared" si="20"/>
        <v>0.96666666666666667</v>
      </c>
      <c r="K354" s="26"/>
      <c r="L354" s="8"/>
      <c r="M354" s="8" t="s">
        <v>1200</v>
      </c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8"/>
        <v>30</v>
      </c>
      <c r="I355" s="16">
        <f t="shared" si="19"/>
        <v>0</v>
      </c>
      <c r="J355" s="17">
        <f t="shared" si="20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8"/>
        <v>30</v>
      </c>
      <c r="I356" s="16">
        <f t="shared" si="19"/>
        <v>0</v>
      </c>
      <c r="J356" s="17">
        <f t="shared" si="20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8"/>
        <v>30</v>
      </c>
      <c r="I357" s="16">
        <f t="shared" si="19"/>
        <v>0</v>
      </c>
      <c r="J357" s="17">
        <f t="shared" si="20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8"/>
        <v>30</v>
      </c>
      <c r="I358" s="16">
        <f t="shared" si="19"/>
        <v>0</v>
      </c>
      <c r="J358" s="17">
        <f t="shared" si="20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8"/>
        <v>28</v>
      </c>
      <c r="I359" s="16">
        <f t="shared" si="19"/>
        <v>2</v>
      </c>
      <c r="J359" s="17">
        <f t="shared" si="20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8"/>
        <v>28</v>
      </c>
      <c r="I360" s="16">
        <f t="shared" si="19"/>
        <v>2</v>
      </c>
      <c r="J360" s="17">
        <f t="shared" si="20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8"/>
        <v>28</v>
      </c>
      <c r="I361" s="16">
        <f t="shared" si="19"/>
        <v>2</v>
      </c>
      <c r="J361" s="17">
        <f t="shared" si="20"/>
        <v>0.93333333333333335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8"/>
        <v>29</v>
      </c>
      <c r="I362" s="16">
        <f t="shared" si="19"/>
        <v>1</v>
      </c>
      <c r="J362" s="17">
        <f t="shared" si="20"/>
        <v>0.96666666666666667</v>
      </c>
      <c r="K362" s="26"/>
      <c r="L362" s="8" t="s">
        <v>1200</v>
      </c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8"/>
        <v>29</v>
      </c>
      <c r="I363" s="16">
        <f t="shared" si="19"/>
        <v>1</v>
      </c>
      <c r="J363" s="17">
        <f t="shared" si="20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8"/>
        <v>28</v>
      </c>
      <c r="I364" s="16">
        <f t="shared" si="19"/>
        <v>2</v>
      </c>
      <c r="J364" s="17">
        <f t="shared" si="20"/>
        <v>0.93333333333333335</v>
      </c>
      <c r="K364" s="26"/>
      <c r="L364" s="8" t="s">
        <v>1200</v>
      </c>
      <c r="M364" s="8" t="s">
        <v>1200</v>
      </c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8"/>
        <v>28</v>
      </c>
      <c r="I365" s="16">
        <f t="shared" si="19"/>
        <v>2</v>
      </c>
      <c r="J365" s="17">
        <f t="shared" si="20"/>
        <v>0.93333333333333335</v>
      </c>
      <c r="K365" s="26"/>
      <c r="L365" s="8" t="s">
        <v>1200</v>
      </c>
      <c r="M365" s="8" t="s">
        <v>1200</v>
      </c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8"/>
        <v>29</v>
      </c>
      <c r="I366" s="16">
        <f t="shared" si="19"/>
        <v>1</v>
      </c>
      <c r="J366" s="17">
        <f t="shared" si="20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8"/>
        <v>29</v>
      </c>
      <c r="I367" s="16">
        <f t="shared" si="19"/>
        <v>1</v>
      </c>
      <c r="J367" s="17">
        <f t="shared" si="20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8"/>
        <v>29</v>
      </c>
      <c r="I368" s="16">
        <f t="shared" si="19"/>
        <v>1</v>
      </c>
      <c r="J368" s="17">
        <f t="shared" si="20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8"/>
        <v>30</v>
      </c>
      <c r="I369" s="16">
        <f t="shared" si="19"/>
        <v>0</v>
      </c>
      <c r="J369" s="17">
        <f t="shared" si="20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8"/>
        <v>30</v>
      </c>
      <c r="I370" s="16">
        <f t="shared" si="19"/>
        <v>0</v>
      </c>
      <c r="J370" s="17">
        <f t="shared" si="20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8"/>
        <v>30</v>
      </c>
      <c r="I371" s="16">
        <f t="shared" si="19"/>
        <v>0</v>
      </c>
      <c r="J371" s="17">
        <f t="shared" si="20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8"/>
        <v>30</v>
      </c>
      <c r="I372" s="16">
        <f t="shared" si="19"/>
        <v>0</v>
      </c>
      <c r="J372" s="17">
        <f t="shared" si="20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8"/>
        <v>30</v>
      </c>
      <c r="I373" s="16">
        <f t="shared" si="19"/>
        <v>0</v>
      </c>
      <c r="J373" s="17">
        <f t="shared" si="20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.75" thickBot="1" x14ac:dyDescent="0.3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8"/>
        <v>30</v>
      </c>
      <c r="I374" s="16">
        <f t="shared" si="19"/>
        <v>0</v>
      </c>
      <c r="J374" s="17">
        <f t="shared" si="20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8"/>
        <v>30</v>
      </c>
      <c r="I375" s="16">
        <f t="shared" si="19"/>
        <v>0</v>
      </c>
      <c r="J375" s="17">
        <f t="shared" si="20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.75" thickBot="1" x14ac:dyDescent="0.3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8"/>
        <v>30</v>
      </c>
      <c r="I376" s="52">
        <f t="shared" ref="I376:I382" si="24">COUNTIF(K376:AL376,"APAGADO")</f>
        <v>0</v>
      </c>
      <c r="J376" s="53">
        <f t="shared" ref="J376:J382" si="25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8"/>
        <v>30</v>
      </c>
      <c r="I377" s="52">
        <f t="shared" si="24"/>
        <v>0</v>
      </c>
      <c r="J377" s="53">
        <f t="shared" si="25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8"/>
        <v>30</v>
      </c>
      <c r="I378" s="52">
        <f t="shared" si="24"/>
        <v>0</v>
      </c>
      <c r="J378" s="53">
        <f t="shared" si="25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8"/>
        <v>30</v>
      </c>
      <c r="I379" s="52">
        <f t="shared" si="24"/>
        <v>0</v>
      </c>
      <c r="J379" s="53">
        <f t="shared" si="25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8"/>
        <v>30</v>
      </c>
      <c r="I380" s="52">
        <f t="shared" si="24"/>
        <v>0</v>
      </c>
      <c r="J380" s="53">
        <f t="shared" si="25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8"/>
        <v>30</v>
      </c>
      <c r="I381" s="52">
        <f t="shared" si="24"/>
        <v>0</v>
      </c>
      <c r="J381" s="53">
        <f t="shared" si="25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8"/>
        <v>30</v>
      </c>
      <c r="I382" s="52">
        <f t="shared" si="24"/>
        <v>0</v>
      </c>
      <c r="J382" s="53">
        <f t="shared" si="25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.75" thickBot="1" x14ac:dyDescent="0.3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6">COUNTIF(K383:AN383,"")</f>
        <v>30</v>
      </c>
      <c r="I383" s="52">
        <f t="shared" ref="I383:I399" si="27">COUNTIF(K383:AL383,"APAGADO")</f>
        <v>0</v>
      </c>
      <c r="J383" s="53">
        <f t="shared" ref="J383:J399" si="28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6"/>
        <v>30</v>
      </c>
      <c r="I384" s="52">
        <f t="shared" si="27"/>
        <v>0</v>
      </c>
      <c r="J384" s="53">
        <f t="shared" si="28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6"/>
        <v>30</v>
      </c>
      <c r="I385" s="52">
        <f t="shared" si="27"/>
        <v>0</v>
      </c>
      <c r="J385" s="53">
        <f t="shared" si="28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6"/>
        <v>30</v>
      </c>
      <c r="I386" s="52">
        <f t="shared" si="27"/>
        <v>0</v>
      </c>
      <c r="J386" s="53">
        <f t="shared" si="28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6"/>
        <v>30</v>
      </c>
      <c r="I387" s="52">
        <f t="shared" si="27"/>
        <v>0</v>
      </c>
      <c r="J387" s="53">
        <f t="shared" si="28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6"/>
        <v>30</v>
      </c>
      <c r="I388" s="52">
        <f t="shared" si="27"/>
        <v>0</v>
      </c>
      <c r="J388" s="53">
        <f t="shared" si="28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6"/>
        <v>30</v>
      </c>
      <c r="I389" s="52">
        <f t="shared" si="27"/>
        <v>0</v>
      </c>
      <c r="J389" s="53">
        <f t="shared" si="28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6"/>
        <v>30</v>
      </c>
      <c r="I390" s="52">
        <f t="shared" si="27"/>
        <v>0</v>
      </c>
      <c r="J390" s="53">
        <f t="shared" si="28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6"/>
        <v>30</v>
      </c>
      <c r="I391" s="52">
        <f t="shared" si="27"/>
        <v>0</v>
      </c>
      <c r="J391" s="53">
        <f t="shared" si="28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6"/>
        <v>30</v>
      </c>
      <c r="I392" s="52">
        <f t="shared" si="27"/>
        <v>0</v>
      </c>
      <c r="J392" s="53">
        <f t="shared" si="28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6"/>
        <v>30</v>
      </c>
      <c r="I393" s="52">
        <f t="shared" si="27"/>
        <v>0</v>
      </c>
      <c r="J393" s="53">
        <f t="shared" si="28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6"/>
        <v>30</v>
      </c>
      <c r="I394" s="52">
        <f t="shared" si="27"/>
        <v>0</v>
      </c>
      <c r="J394" s="53">
        <f t="shared" si="28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6"/>
        <v>30</v>
      </c>
      <c r="I395" s="52">
        <f t="shared" si="27"/>
        <v>0</v>
      </c>
      <c r="J395" s="53">
        <f t="shared" si="2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6"/>
        <v>30</v>
      </c>
      <c r="I396" s="52">
        <f t="shared" si="27"/>
        <v>0</v>
      </c>
      <c r="J396" s="53">
        <f t="shared" si="2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6"/>
        <v>29</v>
      </c>
      <c r="I397" s="52">
        <f t="shared" si="27"/>
        <v>1</v>
      </c>
      <c r="J397" s="53">
        <f t="shared" si="28"/>
        <v>0.96666666666666667</v>
      </c>
      <c r="K397" s="26"/>
      <c r="L397" s="26"/>
      <c r="M397" s="26" t="s">
        <v>1200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6"/>
        <v>30</v>
      </c>
      <c r="I398" s="52">
        <f t="shared" si="27"/>
        <v>0</v>
      </c>
      <c r="J398" s="53">
        <f t="shared" si="28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6"/>
        <v>30</v>
      </c>
      <c r="I399" s="52">
        <f t="shared" si="27"/>
        <v>0</v>
      </c>
      <c r="J399" s="53">
        <f t="shared" si="28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25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>
        <f>'RESUMEN TOTAL'!N337</f>
        <v>0</v>
      </c>
      <c r="J331">
        <f>'RESUMEN TOTAL'!O337</f>
        <v>0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25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25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>
        <f>'RESUMEN TOTAL'!N339</f>
        <v>0</v>
      </c>
      <c r="J333">
        <f>'RESUMEN TOTAL'!O339</f>
        <v>0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25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>
        <f>'RESUMEN TOTAL'!N340</f>
        <v>0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25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25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>
        <f>'RESUMEN TOTAL'!N342</f>
        <v>0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25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>
        <f>'RESUMEN TOTAL'!N343</f>
        <v>0</v>
      </c>
      <c r="J337">
        <f>'RESUMEN TOTAL'!O343</f>
        <v>0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25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>
        <f>'RESUMEN TOTAL'!N344</f>
        <v>0</v>
      </c>
      <c r="J338">
        <f>'RESUMEN TOTAL'!O344</f>
        <v>0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25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25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>
        <f>'RESUMEN TOTAL'!N346</f>
        <v>0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25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>
        <f>'RESUMEN TOTAL'!N347</f>
        <v>0</v>
      </c>
      <c r="J341">
        <f>'RESUMEN TOTAL'!O347</f>
        <v>0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25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>
        <f>'RESUMEN TOTAL'!N348</f>
        <v>0</v>
      </c>
      <c r="J342">
        <f>'RESUMEN TOTAL'!O348</f>
        <v>0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25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25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>
        <f>'RESUMEN TOTAL'!N350</f>
        <v>0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25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>
        <f>'RESUMEN TOTAL'!N351</f>
        <v>0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25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25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25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>
        <f>'RESUMEN TOTAL'!N354</f>
        <v>0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25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25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25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>
        <f>'RESUMEN TOTAL'!N357</f>
        <v>0</v>
      </c>
      <c r="J351">
        <f>'RESUMEN TOTAL'!O357</f>
        <v>0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25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25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25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25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>
        <f>'RESUMEN TOTAL'!N361</f>
        <v>0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25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>
        <f>'RESUMEN TOTAL'!N362</f>
        <v>0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25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25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>
        <f>'RESUMEN TOTAL'!N364</f>
        <v>0</v>
      </c>
      <c r="J358">
        <f>'RESUMEN TOTAL'!O364</f>
        <v>0</v>
      </c>
      <c r="K358">
        <f>'RESUMEN TOTAL'!P364</f>
        <v>0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25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>
        <f>'RESUMEN TOTAL'!N365</f>
        <v>0</v>
      </c>
      <c r="J359">
        <f>'RESUMEN TOTAL'!O365</f>
        <v>0</v>
      </c>
      <c r="K359">
        <f>'RESUMEN TOTAL'!P365</f>
        <v>0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25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25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25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25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25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25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25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25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25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25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25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25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25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25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25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25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25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25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25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25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25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25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25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25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25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25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>
        <f>'RESUMEN TOTAL'!N394</f>
        <v>0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25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>
        <f>'RESUMEN TOTAL'!N397</f>
        <v>0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25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25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25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25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25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25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264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2" sqref="A2:E6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/>
      <c r="B7" s="88"/>
      <c r="C7" s="89"/>
      <c r="D7" s="90"/>
      <c r="E7" s="142"/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/>
      <c r="B8" s="92"/>
      <c r="C8" s="93"/>
      <c r="D8" s="94"/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/>
      <c r="B9" s="92"/>
      <c r="C9" s="93"/>
      <c r="D9" s="94"/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/>
      <c r="B10" s="92"/>
      <c r="C10" s="93"/>
      <c r="D10" s="94"/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/>
      <c r="B11" s="104"/>
      <c r="C11" s="105"/>
      <c r="D11" s="106"/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/>
      <c r="B12" s="88"/>
      <c r="C12" s="89"/>
      <c r="D12" s="90"/>
      <c r="E12" s="142"/>
      <c r="G12" s="119"/>
      <c r="H12" s="112"/>
      <c r="I12" s="112"/>
      <c r="J12" s="112"/>
      <c r="K12" s="113"/>
      <c r="L12" s="120"/>
      <c r="M12" s="139"/>
    </row>
    <row r="13" spans="1:13" x14ac:dyDescent="0.25">
      <c r="A13" s="91"/>
      <c r="B13" s="92"/>
      <c r="C13" s="93"/>
      <c r="D13" s="94"/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/>
      <c r="B14" s="92"/>
      <c r="C14" s="93"/>
      <c r="D14" s="94"/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/>
      <c r="B15" s="92"/>
      <c r="C15" s="93"/>
      <c r="D15" s="94"/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/>
      <c r="B16" s="104"/>
      <c r="C16" s="105"/>
      <c r="D16" s="106"/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/>
      <c r="B17" s="88"/>
      <c r="C17" s="89"/>
      <c r="D17" s="90"/>
      <c r="E17" s="142"/>
      <c r="G17" s="128"/>
      <c r="H17" s="112"/>
      <c r="I17" s="112"/>
      <c r="J17" s="112"/>
      <c r="K17" s="113"/>
      <c r="L17" s="129"/>
      <c r="M17" s="139"/>
    </row>
    <row r="18" spans="1:14" x14ac:dyDescent="0.25">
      <c r="A18" s="91"/>
      <c r="B18" s="92"/>
      <c r="C18" s="93"/>
      <c r="D18" s="94"/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/>
      <c r="B19" s="92"/>
      <c r="C19" s="93"/>
      <c r="D19" s="94"/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/>
      <c r="B20" s="92"/>
      <c r="C20" s="93"/>
      <c r="D20" s="94"/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/>
      <c r="B21" s="104"/>
      <c r="C21" s="105"/>
      <c r="D21" s="106"/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D15" sqref="D1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25">
      <c r="A3" s="24">
        <f>'APAGADOS RADIO'!G3</f>
        <v>44806</v>
      </c>
      <c r="B3" s="50"/>
      <c r="C3" s="50"/>
      <c r="D3" s="50"/>
      <c r="E3" s="50"/>
      <c r="F3" s="50"/>
    </row>
    <row r="4" spans="1:7" x14ac:dyDescent="0.25">
      <c r="A4" s="24">
        <f>'APAGADOS RADIO'!H3</f>
        <v>44807</v>
      </c>
      <c r="B4" s="50"/>
      <c r="C4" s="50"/>
      <c r="D4" s="50"/>
      <c r="E4" s="50"/>
      <c r="F4" s="50"/>
    </row>
    <row r="5" spans="1:7" x14ac:dyDescent="0.25">
      <c r="A5" s="24">
        <f>'APAGADOS RADIO'!I3</f>
        <v>44808</v>
      </c>
      <c r="B5" s="50"/>
      <c r="C5" s="50"/>
      <c r="D5" s="50"/>
      <c r="E5" s="50"/>
      <c r="F5" s="50"/>
    </row>
    <row r="6" spans="1:7" x14ac:dyDescent="0.25">
      <c r="A6" s="24">
        <f>'APAGADOS RADIO'!J3</f>
        <v>44809</v>
      </c>
      <c r="B6" s="50"/>
      <c r="C6" s="50"/>
      <c r="D6" s="50"/>
      <c r="E6" s="50"/>
      <c r="F6" s="50"/>
    </row>
    <row r="7" spans="1:7" x14ac:dyDescent="0.25">
      <c r="A7" s="24">
        <f>'APAGADOS RADIO'!K3</f>
        <v>44810</v>
      </c>
      <c r="B7" s="50"/>
      <c r="C7" s="50"/>
      <c r="D7" s="50"/>
      <c r="E7" s="50"/>
      <c r="F7" s="50"/>
    </row>
    <row r="8" spans="1:7" x14ac:dyDescent="0.25">
      <c r="A8" s="24">
        <f>'APAGADOS RADIO'!L3</f>
        <v>44811</v>
      </c>
      <c r="B8" s="50"/>
      <c r="C8" s="50"/>
      <c r="D8" s="50"/>
      <c r="E8" s="50"/>
      <c r="F8" s="50"/>
    </row>
    <row r="9" spans="1:7" x14ac:dyDescent="0.25">
      <c r="A9" s="24">
        <f>'APAGADOS RADIO'!M3</f>
        <v>44812</v>
      </c>
      <c r="B9" s="50"/>
      <c r="C9" s="50"/>
      <c r="D9" s="50"/>
      <c r="E9" s="50"/>
      <c r="F9" s="50"/>
    </row>
    <row r="10" spans="1:7" x14ac:dyDescent="0.25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0</v>
      </c>
      <c r="J3" s="75">
        <f>COUNTIFS('RESUMEN TOTAL'!C5:C399, "=BONOMO",'RESUMEN TOTAL'!O5:O399,"=APAGADO")</f>
        <v>0</v>
      </c>
      <c r="K3" s="75">
        <f>COUNTIFS('RESUMEN TOTAL'!C5:C399, "=BONOMO",'RESUMEN TOTAL'!P5:P399,"=APAGADO")</f>
        <v>0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</v>
      </c>
      <c r="J4" s="82">
        <f t="shared" si="0"/>
        <v>0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0</v>
      </c>
      <c r="J5" s="78">
        <f>COUNTIFS('RESUMEN TOTAL'!C7:C399, "=COSEIDI",'RESUMEN TOTAL'!O7:O399,"=APAGADO")</f>
        <v>0</v>
      </c>
      <c r="K5" s="78">
        <f>COUNTIFS('RESUMEN TOTAL'!C7:C399, "=COSEIDI",'RESUMEN TOTAL'!P7:P399,"=APAGADO")</f>
        <v>0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2022-09-05T11:04:44Z</dcterms:modified>
</cp:coreProperties>
</file>