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DC42C35D-3EA1-4A54-8EDC-365D1DE8CEB6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2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D13" i="14"/>
  <c r="B13" i="14" s="1"/>
  <c r="E13" i="14" s="1"/>
  <c r="C13" i="14"/>
  <c r="D11" i="14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43" i="2" l="1"/>
  <c r="N355" i="2"/>
  <c r="N289" i="2"/>
  <c r="N352" i="2"/>
  <c r="E11" i="14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<sst xmlns="http://schemas.openxmlformats.org/spreadsheetml/2006/main" count="3113" uniqueCount="1351">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</sst>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C194" activePane="bottomRight" state="frozen"/>
      <selection pane="topRight" activeCell="M1" sqref="M1"/>
      <selection pane="bottomLeft" activeCell="A5" sqref="A5"/>
      <selection pane="bottomRight" activeCell="AC207" sqref="AC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16</v>
      </c>
      <c r="M7" s="17">
        <f t="shared" si="6"/>
        <v>12</v>
      </c>
      <c r="N7" s="18">
        <f t="shared" si="7"/>
        <v>0.5714285714285714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24</v>
      </c>
      <c r="M10" s="17">
        <f t="shared" si="6"/>
        <v>4</v>
      </c>
      <c r="N10" s="18">
        <f t="shared" si="7"/>
        <v>0.8571428571428571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27</v>
      </c>
      <c r="M12" s="17">
        <f t="shared" si="6"/>
        <v>1</v>
      </c>
      <c r="N12" s="18">
        <f t="shared" si="7"/>
        <v>0.9642857142857143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27</v>
      </c>
      <c r="M13" s="17">
        <f t="shared" si="6"/>
        <v>1</v>
      </c>
      <c r="N13" s="18">
        <f t="shared" si="7"/>
        <v>0.9642857142857143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26</v>
      </c>
      <c r="M24" s="17">
        <f t="shared" si="6"/>
        <v>2</v>
      </c>
      <c r="N24" s="18">
        <f t="shared" si="7"/>
        <v>0.9285714285714286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15</v>
      </c>
      <c r="M80" s="17">
        <f t="shared" si="9"/>
        <v>13</v>
      </c>
      <c r="N80" s="18">
        <f t="shared" si="10"/>
        <v>0.5357142857142857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27</v>
      </c>
      <c r="M102" s="17">
        <f t="shared" si="9"/>
        <v>1</v>
      </c>
      <c r="N102" s="18">
        <f t="shared" si="10"/>
        <v>0.9642857142857143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15</v>
      </c>
      <c r="M133" s="17">
        <f t="shared" ref="M133:M196" si="12">COUNTIF(O133:AP133,"APAGADO")</f>
        <v>13</v>
      </c>
      <c r="N133" s="18">
        <f t="shared" ref="N133:N196" si="13">(L133)/(M133+L133)</f>
        <v>0.5357142857142857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23</v>
      </c>
      <c r="M157" s="17">
        <f t="shared" si="12"/>
        <v>5</v>
      </c>
      <c r="N157" s="18">
        <f t="shared" si="13"/>
        <v>0.8214285714285714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26</v>
      </c>
      <c r="M161" s="17">
        <f t="shared" si="12"/>
        <v>2</v>
      </c>
      <c r="N161" s="18">
        <f t="shared" si="13"/>
        <v>0.9285714285714286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25</v>
      </c>
      <c r="M168" s="17">
        <f t="shared" si="12"/>
        <v>3</v>
      </c>
      <c r="N168" s="18">
        <f t="shared" si="13"/>
        <v>0.8928571428571429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23</v>
      </c>
      <c r="M177" s="17">
        <f t="shared" si="12"/>
        <v>5</v>
      </c>
      <c r="N177" s="18">
        <f t="shared" si="13"/>
        <v>0.8214285714285714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15</v>
      </c>
      <c r="M191" s="17">
        <f t="shared" si="12"/>
        <v>13</v>
      </c>
      <c r="N191" s="18">
        <f t="shared" si="13"/>
        <v>0.5357142857142857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15</v>
      </c>
      <c r="M192" s="17">
        <f t="shared" si="12"/>
        <v>13</v>
      </c>
      <c r="N192" s="18">
        <f t="shared" si="13"/>
        <v>0.5357142857142857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20</v>
      </c>
      <c r="M194" s="17">
        <f t="shared" si="12"/>
        <v>8</v>
      </c>
      <c r="N194" s="18">
        <f t="shared" si="13"/>
        <v>0.7142857142857143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25</v>
      </c>
      <c r="M199" s="17">
        <f t="shared" si="15"/>
        <v>3</v>
      </c>
      <c r="N199" s="18">
        <f t="shared" si="16"/>
        <v>0.8928571428571429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25</v>
      </c>
      <c r="M200" s="17">
        <f t="shared" si="15"/>
        <v>3</v>
      </c>
      <c r="N200" s="18">
        <f t="shared" si="16"/>
        <v>0.8928571428571429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25</v>
      </c>
      <c r="M203" s="17">
        <f t="shared" si="15"/>
        <v>3</v>
      </c>
      <c r="N203" s="18">
        <f t="shared" si="16"/>
        <v>0.8928571428571429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15</v>
      </c>
      <c r="M206" s="17">
        <f t="shared" si="15"/>
        <v>13</v>
      </c>
      <c r="N206" s="18">
        <f t="shared" si="16"/>
        <v>0.5357142857142857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15</v>
      </c>
      <c r="M207" s="17">
        <f t="shared" si="15"/>
        <v>13</v>
      </c>
      <c r="N207" s="18">
        <f t="shared" si="16"/>
        <v>0.5357142857142857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25</v>
      </c>
      <c r="M213" s="17">
        <f t="shared" si="15"/>
        <v>3</v>
      </c>
      <c r="N213" s="18">
        <f t="shared" si="16"/>
        <v>0.8928571428571429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26</v>
      </c>
      <c r="M241" s="17">
        <f t="shared" si="15"/>
        <v>2</v>
      </c>
      <c r="N241" s="18">
        <f t="shared" si="16"/>
        <v>0.9285714285714286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27</v>
      </c>
      <c r="M242" s="17">
        <f t="shared" si="15"/>
        <v>1</v>
      </c>
      <c r="N242" s="18">
        <f t="shared" si="16"/>
        <v>0.9642857142857143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27</v>
      </c>
      <c r="M243" s="17">
        <f t="shared" si="15"/>
        <v>1</v>
      </c>
      <c r="N243" s="18">
        <f t="shared" si="16"/>
        <v>0.9642857142857143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26</v>
      </c>
      <c r="M244" s="17">
        <f t="shared" si="15"/>
        <v>2</v>
      </c>
      <c r="N244" s="18">
        <f t="shared" si="16"/>
        <v>0.9285714285714286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25</v>
      </c>
      <c r="M289" s="17">
        <f t="shared" si="18"/>
        <v>3</v>
      </c>
      <c r="N289" s="18">
        <f t="shared" si="19"/>
        <v>0.8928571428571429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15</v>
      </c>
      <c r="M303" s="17">
        <f t="shared" si="18"/>
        <v>13</v>
      </c>
      <c r="N303" s="18">
        <f t="shared" si="19"/>
        <v>0.5357142857142857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25</v>
      </c>
      <c r="M343" s="17">
        <f t="shared" si="21"/>
        <v>3</v>
      </c>
      <c r="N343" s="18">
        <f t="shared" si="22"/>
        <v>0.8928571428571429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15</v>
      </c>
      <c r="M352" s="17">
        <f t="shared" si="21"/>
        <v>13</v>
      </c>
      <c r="N352" s="18">
        <f t="shared" si="22"/>
        <v>0.5357142857142857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E33" sqref="E33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13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C14" s="30"/>
      <c r="F14">
        <f>'RESUMEN TOTAL'!C1</f>
        <v>373</v>
      </c>
    </row>
    <row r="15" spans="1:7" x14ac:dyDescent="0.25">
      <c r="A15" s="25">
        <f>'APAGADOS RADIO'!S3</f>
        <v>44665</v>
      </c>
      <c r="C15" s="30"/>
      <c r="F15">
        <f>'RESUMEN TOTAL'!C1</f>
        <v>373</v>
      </c>
    </row>
    <row r="16" spans="1:7" x14ac:dyDescent="0.25">
      <c r="A16" s="25">
        <f>'APAGADOS RADIO'!T3</f>
        <v>44666</v>
      </c>
      <c r="C16" s="30"/>
      <c r="F16">
        <f>'RESUMEN TOTAL'!C1</f>
        <v>373</v>
      </c>
    </row>
    <row r="17" spans="1:6" x14ac:dyDescent="0.25">
      <c r="A17" s="25">
        <f>'APAGADOS RADIO'!U3</f>
        <v>44667</v>
      </c>
      <c r="C17" s="30"/>
      <c r="F17">
        <f>'RESUMEN TOTAL'!C1</f>
        <v>373</v>
      </c>
    </row>
    <row r="18" spans="1:6" x14ac:dyDescent="0.25">
      <c r="A18" s="25">
        <f>'APAGADOS RADIO'!V3</f>
        <v>44668</v>
      </c>
      <c r="C18" s="30"/>
      <c r="F18">
        <f>'RESUMEN TOTAL'!C1</f>
        <v>373</v>
      </c>
    </row>
    <row r="19" spans="1:6" x14ac:dyDescent="0.25">
      <c r="A19" s="25">
        <f>'APAGADOS RADIO'!W3</f>
        <v>44669</v>
      </c>
      <c r="C19" s="30"/>
      <c r="F19">
        <f>'RESUMEN TOTAL'!C1</f>
        <v>373</v>
      </c>
    </row>
    <row r="20" spans="1:6" x14ac:dyDescent="0.25">
      <c r="A20" s="25">
        <f>'APAGADOS RADIO'!X3</f>
        <v>44670</v>
      </c>
      <c r="C20" s="30"/>
      <c r="F20">
        <f>'RESUMEN TOTAL'!C1</f>
        <v>373</v>
      </c>
    </row>
    <row r="21" spans="1:6" x14ac:dyDescent="0.25">
      <c r="A21" s="25">
        <f>'APAGADOS RADIO'!Y3</f>
        <v>44671</v>
      </c>
      <c r="C21" s="30"/>
      <c r="F21">
        <f>'RESUMEN TOTAL'!C1</f>
        <v>373</v>
      </c>
    </row>
    <row r="22" spans="1:6" x14ac:dyDescent="0.25">
      <c r="A22" s="25">
        <f>'APAGADOS RADIO'!Z3</f>
        <v>44672</v>
      </c>
      <c r="C22" s="30"/>
      <c r="F22">
        <f>'RESUMEN TOTAL'!C1</f>
        <v>373</v>
      </c>
    </row>
    <row r="23" spans="1:6" x14ac:dyDescent="0.25">
      <c r="A23" s="25">
        <f>'APAGADOS RADIO'!AA3</f>
        <v>44673</v>
      </c>
      <c r="C23" s="30"/>
      <c r="F23">
        <f>'RESUMEN TOTAL'!C1</f>
        <v>373</v>
      </c>
    </row>
    <row r="24" spans="1:6" x14ac:dyDescent="0.25">
      <c r="A24" s="25">
        <f>'APAGADOS RADIO'!AB3</f>
        <v>44674</v>
      </c>
      <c r="C24" s="30"/>
      <c r="F24">
        <f>'RESUMEN TOTAL'!C1</f>
        <v>373</v>
      </c>
    </row>
    <row r="25" spans="1:6" x14ac:dyDescent="0.25">
      <c r="A25" s="25">
        <f>'APAGADOS RADIO'!AC3</f>
        <v>44675</v>
      </c>
      <c r="C25" s="30"/>
      <c r="F25">
        <f>'RESUMEN TOTAL'!C1</f>
        <v>373</v>
      </c>
    </row>
    <row r="26" spans="1:6" x14ac:dyDescent="0.25">
      <c r="A26" s="25">
        <f>'APAGADOS RADIO'!AD3</f>
        <v>44676</v>
      </c>
      <c r="C26" s="30"/>
      <c r="F26">
        <f>'RESUMEN TOTAL'!C1</f>
        <v>373</v>
      </c>
    </row>
    <row r="27" spans="1:6" x14ac:dyDescent="0.25">
      <c r="A27" s="25">
        <f>'APAGADOS RADIO'!AE3</f>
        <v>44677</v>
      </c>
      <c r="C27" s="30"/>
      <c r="F27">
        <f>'RESUMEN TOTAL'!C1</f>
        <v>373</v>
      </c>
    </row>
    <row r="28" spans="1:6" x14ac:dyDescent="0.25">
      <c r="A28" s="25">
        <f>'APAGADOS RADIO'!AF3</f>
        <v>44678</v>
      </c>
      <c r="C28" s="30"/>
      <c r="F28">
        <f>'RESUMEN TOTAL'!C1</f>
        <v>373</v>
      </c>
    </row>
    <row r="29" spans="1:6" x14ac:dyDescent="0.25">
      <c r="A29" s="25">
        <f>'APAGADOS RADIO'!AG3</f>
        <v>44679</v>
      </c>
      <c r="C29" s="30"/>
      <c r="F29">
        <f>'RESUMEN TOTAL'!C1</f>
        <v>373</v>
      </c>
    </row>
    <row r="30" spans="1:6" x14ac:dyDescent="0.25">
      <c r="A30" s="25">
        <f>'APAGADOS RADIO'!AH3</f>
        <v>44680</v>
      </c>
      <c r="C30" s="30"/>
      <c r="F30">
        <f>'RESUMEN TOTAL'!C1</f>
        <v>373</v>
      </c>
    </row>
    <row r="31" spans="1:6" x14ac:dyDescent="0.25">
      <c r="A31" s="25">
        <f>'APAGADOS RADIO'!AI3</f>
        <v>44681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6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6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6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6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6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6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6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6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6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6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6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6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6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6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6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6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6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6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6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6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2022-04-18T10:28:56Z</dcterms:modified>
</cp:coreProperties>
</file>