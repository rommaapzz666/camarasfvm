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D1430400-20EB-4B99-8E2F-83720EFD901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" i="2" l="1"/>
  <c r="N373" i="2"/>
  <c r="N374" i="2"/>
  <c r="N375" i="2"/>
  <c r="N376" i="2"/>
  <c r="M373" i="2"/>
  <c r="M374" i="2"/>
  <c r="M375" i="2"/>
  <c r="M376" i="2"/>
  <c r="L373" i="2"/>
  <c r="L374" i="2"/>
  <c r="L375" i="2"/>
  <c r="L376" i="2"/>
  <c r="AI2" i="11"/>
  <c r="AI2" i="21"/>
  <c r="D31" i="14" s="1"/>
  <c r="AI2" i="10"/>
  <c r="C31" i="14" s="1"/>
  <c r="AJ4" i="11"/>
  <c r="AI5" i="11"/>
  <c r="AJ5" i="11"/>
  <c r="AI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3" i="11"/>
  <c r="AJ63" i="11"/>
  <c r="AI65" i="11"/>
  <c r="AJ65" i="11"/>
  <c r="AI66" i="11"/>
  <c r="AJ66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3" i="11"/>
  <c r="AJ133" i="11"/>
  <c r="AI134" i="11"/>
  <c r="AJ134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3" i="11"/>
  <c r="AJ153" i="11"/>
  <c r="AI154" i="11"/>
  <c r="AJ154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1" i="11"/>
  <c r="AJ171" i="11"/>
  <c r="AI172" i="11"/>
  <c r="AJ172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2" i="11"/>
  <c r="AI193" i="11"/>
  <c r="AI194" i="11"/>
  <c r="AJ194" i="11"/>
  <c r="AI195" i="11"/>
  <c r="AJ195" i="11"/>
  <c r="AI197" i="11"/>
  <c r="AJ197" i="11"/>
  <c r="AI198" i="11"/>
  <c r="AJ198" i="11"/>
  <c r="AI199" i="11"/>
  <c r="AJ199" i="11"/>
  <c r="AI202" i="11"/>
  <c r="AJ202" i="11"/>
  <c r="AI203" i="11"/>
  <c r="AJ203" i="11"/>
  <c r="AI204" i="11"/>
  <c r="AJ204" i="11"/>
  <c r="AI207" i="11"/>
  <c r="AJ207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2" i="11"/>
  <c r="AJ352" i="11"/>
  <c r="AI353" i="11"/>
  <c r="AJ353" i="11"/>
  <c r="AI354" i="11"/>
  <c r="AJ354" i="11"/>
  <c r="AI355" i="11"/>
  <c r="AJ355" i="11"/>
  <c r="AI356" i="11"/>
  <c r="AJ356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9" i="11"/>
  <c r="AJ369" i="11"/>
  <c r="AJ4" i="21"/>
  <c r="AI5" i="21"/>
  <c r="AJ5" i="21"/>
  <c r="AI6" i="21"/>
  <c r="AI7" i="21"/>
  <c r="AJ7" i="21"/>
  <c r="AI8" i="21"/>
  <c r="AJ8" i="21"/>
  <c r="AI9" i="21"/>
  <c r="AJ9" i="21"/>
  <c r="AI10" i="21"/>
  <c r="AJ10" i="21"/>
  <c r="AI11" i="21"/>
  <c r="AJ11" i="21"/>
  <c r="AI12" i="21"/>
  <c r="AJ12" i="21"/>
  <c r="AI13" i="21"/>
  <c r="AJ13" i="21"/>
  <c r="AI14" i="21"/>
  <c r="AJ14" i="21"/>
  <c r="AI15" i="21"/>
  <c r="AJ15" i="21"/>
  <c r="AI16" i="21"/>
  <c r="AJ16" i="21"/>
  <c r="AI17" i="21"/>
  <c r="AJ17" i="21"/>
  <c r="AI18" i="21"/>
  <c r="AJ18" i="21"/>
  <c r="AI19" i="21"/>
  <c r="AJ19" i="21"/>
  <c r="AI20" i="21"/>
  <c r="AJ20" i="21"/>
  <c r="AI21" i="21"/>
  <c r="AJ21" i="21"/>
  <c r="AI22" i="21"/>
  <c r="AJ22" i="21"/>
  <c r="AI23" i="21"/>
  <c r="AJ23" i="21"/>
  <c r="AI24" i="21"/>
  <c r="AJ24" i="21"/>
  <c r="AI25" i="21"/>
  <c r="AJ25" i="21"/>
  <c r="AI26" i="21"/>
  <c r="AJ26" i="21"/>
  <c r="AI27" i="21"/>
  <c r="AJ27" i="21"/>
  <c r="AI28" i="21"/>
  <c r="AJ28" i="21"/>
  <c r="AI30" i="21"/>
  <c r="AJ30" i="21"/>
  <c r="AI31" i="21"/>
  <c r="AJ31" i="21"/>
  <c r="AI32" i="21"/>
  <c r="AJ32" i="21"/>
  <c r="AI33" i="21"/>
  <c r="AJ33" i="21"/>
  <c r="AI34" i="21"/>
  <c r="AJ34" i="21"/>
  <c r="AI35" i="21"/>
  <c r="AJ35" i="21"/>
  <c r="AI36" i="21"/>
  <c r="AJ36" i="21"/>
  <c r="AI37" i="21"/>
  <c r="AJ37" i="21"/>
  <c r="AI38" i="21"/>
  <c r="AJ38" i="21"/>
  <c r="AI39" i="21"/>
  <c r="AJ39" i="21"/>
  <c r="AI40" i="21"/>
  <c r="AJ40" i="21"/>
  <c r="AI41" i="21"/>
  <c r="AJ41" i="21"/>
  <c r="AI42" i="21"/>
  <c r="AJ42" i="21"/>
  <c r="AI43" i="21"/>
  <c r="AJ43" i="21"/>
  <c r="AI44" i="21"/>
  <c r="AJ44" i="21"/>
  <c r="AI45" i="21"/>
  <c r="AJ45" i="21"/>
  <c r="AI46" i="21"/>
  <c r="AJ46" i="21"/>
  <c r="AI47" i="21"/>
  <c r="AJ47" i="21"/>
  <c r="AI48" i="21"/>
  <c r="AJ48" i="21"/>
  <c r="AI49" i="21"/>
  <c r="AJ49" i="21"/>
  <c r="AI50" i="21"/>
  <c r="AJ50" i="21"/>
  <c r="AI51" i="21"/>
  <c r="AJ51" i="21"/>
  <c r="AI52" i="21"/>
  <c r="AJ52" i="21"/>
  <c r="AI53" i="21"/>
  <c r="AJ53" i="21"/>
  <c r="AI54" i="21"/>
  <c r="AJ54" i="21"/>
  <c r="AI55" i="21"/>
  <c r="AJ55" i="21"/>
  <c r="AI56" i="21"/>
  <c r="AJ56" i="21"/>
  <c r="AI57" i="21"/>
  <c r="AJ57" i="21"/>
  <c r="AI58" i="21"/>
  <c r="AJ58" i="21"/>
  <c r="AI59" i="21"/>
  <c r="AJ59" i="21"/>
  <c r="AI60" i="21"/>
  <c r="AJ60" i="21"/>
  <c r="AI63" i="21"/>
  <c r="AJ63" i="21"/>
  <c r="AI65" i="21"/>
  <c r="AJ65" i="21"/>
  <c r="AI66" i="21"/>
  <c r="AJ66" i="21"/>
  <c r="AI68" i="21"/>
  <c r="AJ68" i="21"/>
  <c r="AI69" i="21"/>
  <c r="AJ69" i="21"/>
  <c r="AI70" i="21"/>
  <c r="AJ70" i="21"/>
  <c r="AI71" i="21"/>
  <c r="AJ71" i="21"/>
  <c r="AI72" i="21"/>
  <c r="AJ72" i="21"/>
  <c r="AI73" i="21"/>
  <c r="AJ73" i="21"/>
  <c r="AI74" i="21"/>
  <c r="AJ74" i="21"/>
  <c r="AI75" i="21"/>
  <c r="AJ75" i="21"/>
  <c r="AI76" i="21"/>
  <c r="AJ76" i="21"/>
  <c r="AI77" i="21"/>
  <c r="AJ77" i="21"/>
  <c r="AI78" i="21"/>
  <c r="AJ78" i="21"/>
  <c r="AI80" i="21"/>
  <c r="AJ80" i="21"/>
  <c r="AI81" i="21"/>
  <c r="AJ81" i="21"/>
  <c r="AI82" i="21"/>
  <c r="AJ82" i="21"/>
  <c r="AI83" i="21"/>
  <c r="AJ83" i="21"/>
  <c r="AI84" i="21"/>
  <c r="AJ84" i="21"/>
  <c r="AI85" i="21"/>
  <c r="AJ85" i="21"/>
  <c r="AI86" i="21"/>
  <c r="AJ86" i="21"/>
  <c r="AI87" i="21"/>
  <c r="AJ87" i="21"/>
  <c r="AI88" i="21"/>
  <c r="AJ88" i="21"/>
  <c r="AI89" i="21"/>
  <c r="AJ89" i="21"/>
  <c r="AI92" i="21"/>
  <c r="AJ92" i="21"/>
  <c r="AI93" i="21"/>
  <c r="AJ93" i="21"/>
  <c r="AI94" i="21"/>
  <c r="AJ94" i="21"/>
  <c r="AI95" i="21"/>
  <c r="AJ95" i="21"/>
  <c r="AI96" i="21"/>
  <c r="AJ96" i="21"/>
  <c r="AI97" i="21"/>
  <c r="AJ97" i="21"/>
  <c r="AI98" i="21"/>
  <c r="AJ98" i="21"/>
  <c r="AI99" i="21"/>
  <c r="AJ99" i="21"/>
  <c r="AI100" i="21"/>
  <c r="AJ100" i="21"/>
  <c r="AI101" i="21"/>
  <c r="AJ101" i="21"/>
  <c r="AI102" i="21"/>
  <c r="AJ102" i="21"/>
  <c r="AI103" i="21"/>
  <c r="AJ103" i="21"/>
  <c r="AI104" i="21"/>
  <c r="AJ104" i="21"/>
  <c r="AI105" i="21"/>
  <c r="AJ105" i="21"/>
  <c r="AI106" i="21"/>
  <c r="AJ106" i="21"/>
  <c r="AI107" i="21"/>
  <c r="AJ107" i="21"/>
  <c r="AI108" i="21"/>
  <c r="AJ108" i="21"/>
  <c r="AI109" i="21"/>
  <c r="AJ109" i="21"/>
  <c r="AI110" i="21"/>
  <c r="AJ110" i="21"/>
  <c r="AI111" i="21"/>
  <c r="AJ111" i="21"/>
  <c r="AI112" i="21"/>
  <c r="AJ112" i="21"/>
  <c r="AI113" i="21"/>
  <c r="AJ113" i="21"/>
  <c r="AI114" i="21"/>
  <c r="AJ114" i="21"/>
  <c r="AI115" i="21"/>
  <c r="AJ115" i="21"/>
  <c r="AI116" i="21"/>
  <c r="AJ116" i="21"/>
  <c r="AI117" i="21"/>
  <c r="AJ117" i="21"/>
  <c r="AI118" i="21"/>
  <c r="AJ118" i="21"/>
  <c r="AI119" i="21"/>
  <c r="AJ119" i="21"/>
  <c r="AI120" i="21"/>
  <c r="AJ120" i="21"/>
  <c r="AI121" i="21"/>
  <c r="AJ121" i="21"/>
  <c r="AI122" i="21"/>
  <c r="AJ122" i="21"/>
  <c r="AI123" i="21"/>
  <c r="AJ123" i="21"/>
  <c r="AI124" i="21"/>
  <c r="AJ124" i="21"/>
  <c r="AI125" i="21"/>
  <c r="AJ125" i="21"/>
  <c r="AI126" i="21"/>
  <c r="AJ126" i="21"/>
  <c r="AI127" i="21"/>
  <c r="AJ127" i="21"/>
  <c r="AI128" i="21"/>
  <c r="AJ128" i="21"/>
  <c r="AI129" i="21"/>
  <c r="AJ129" i="21"/>
  <c r="AI130" i="21"/>
  <c r="AJ130" i="21"/>
  <c r="AI131" i="21"/>
  <c r="AJ131" i="21"/>
  <c r="AJ132" i="21"/>
  <c r="AI133" i="21"/>
  <c r="AJ133" i="21"/>
  <c r="AI134" i="21"/>
  <c r="AJ134" i="21"/>
  <c r="AI136" i="21"/>
  <c r="AJ136" i="21"/>
  <c r="AI137" i="21"/>
  <c r="AJ137" i="21"/>
  <c r="AI138" i="21"/>
  <c r="AJ138" i="21"/>
  <c r="AI139" i="21"/>
  <c r="AJ139" i="21"/>
  <c r="AI140" i="21"/>
  <c r="AJ140" i="21"/>
  <c r="AI141" i="21"/>
  <c r="AJ141" i="21"/>
  <c r="AI142" i="21"/>
  <c r="AJ142" i="21"/>
  <c r="AI143" i="21"/>
  <c r="AJ143" i="21"/>
  <c r="AI144" i="21"/>
  <c r="AJ144" i="21"/>
  <c r="AI145" i="21"/>
  <c r="AJ145" i="21"/>
  <c r="AI146" i="21"/>
  <c r="AJ146" i="21"/>
  <c r="AI147" i="21"/>
  <c r="AJ147" i="21"/>
  <c r="AI148" i="21"/>
  <c r="AJ148" i="21"/>
  <c r="AI149" i="21"/>
  <c r="AJ149" i="21"/>
  <c r="AI150" i="21"/>
  <c r="AJ150" i="21"/>
  <c r="AI151" i="21"/>
  <c r="AJ151" i="21"/>
  <c r="AI153" i="21"/>
  <c r="AJ153" i="21"/>
  <c r="AI154" i="21"/>
  <c r="AJ154" i="21"/>
  <c r="AI156" i="21"/>
  <c r="AJ156" i="21"/>
  <c r="AI157" i="21"/>
  <c r="AJ157" i="21"/>
  <c r="AI158" i="21"/>
  <c r="AJ158" i="21"/>
  <c r="AI159" i="21"/>
  <c r="AJ159" i="21"/>
  <c r="AI160" i="21"/>
  <c r="AJ160" i="21"/>
  <c r="AI161" i="21"/>
  <c r="AJ161" i="21"/>
  <c r="AI162" i="21"/>
  <c r="AJ162" i="21"/>
  <c r="AI163" i="21"/>
  <c r="AJ163" i="21"/>
  <c r="AI164" i="21"/>
  <c r="AJ164" i="21"/>
  <c r="AI165" i="21"/>
  <c r="AJ165" i="21"/>
  <c r="AI166" i="21"/>
  <c r="AJ166" i="21"/>
  <c r="AI167" i="21"/>
  <c r="AJ167" i="21"/>
  <c r="AI168" i="21"/>
  <c r="AJ168" i="21"/>
  <c r="AI169" i="21"/>
  <c r="AJ169" i="21"/>
  <c r="AI171" i="21"/>
  <c r="AJ171" i="21"/>
  <c r="AI172" i="21"/>
  <c r="AJ172" i="21"/>
  <c r="AI174" i="21"/>
  <c r="AJ174" i="21"/>
  <c r="AI175" i="21"/>
  <c r="AJ175" i="21"/>
  <c r="AI176" i="21"/>
  <c r="AJ176" i="21"/>
  <c r="AI177" i="21"/>
  <c r="AJ177" i="21"/>
  <c r="AI178" i="21"/>
  <c r="AJ178" i="21"/>
  <c r="AI179" i="21"/>
  <c r="AJ179" i="21"/>
  <c r="AI180" i="21"/>
  <c r="AJ180" i="21"/>
  <c r="AI181" i="21"/>
  <c r="AJ181" i="21"/>
  <c r="AI182" i="21"/>
  <c r="AJ182" i="21"/>
  <c r="AI183" i="21"/>
  <c r="AJ183" i="21"/>
  <c r="AI184" i="21"/>
  <c r="AJ184" i="21"/>
  <c r="AI185" i="21"/>
  <c r="AJ185" i="21"/>
  <c r="AI186" i="21"/>
  <c r="AJ186" i="21"/>
  <c r="AI187" i="21"/>
  <c r="AJ187" i="21"/>
  <c r="AI188" i="21"/>
  <c r="AJ188" i="21"/>
  <c r="AI189" i="21"/>
  <c r="AJ189" i="21"/>
  <c r="AI192" i="21"/>
  <c r="AI193" i="21"/>
  <c r="AI194" i="21"/>
  <c r="AJ194" i="21"/>
  <c r="AI195" i="21"/>
  <c r="AJ195" i="21"/>
  <c r="AI197" i="21"/>
  <c r="AJ197" i="21"/>
  <c r="AI198" i="21"/>
  <c r="AJ198" i="21"/>
  <c r="AI199" i="21"/>
  <c r="AJ199" i="21"/>
  <c r="AI202" i="21"/>
  <c r="AJ202" i="21"/>
  <c r="AI203" i="21"/>
  <c r="AJ203" i="21"/>
  <c r="AI204" i="21"/>
  <c r="AJ204" i="21"/>
  <c r="AI207" i="21"/>
  <c r="AJ207" i="21"/>
  <c r="AI210" i="21"/>
  <c r="AJ210" i="21"/>
  <c r="AI211" i="21"/>
  <c r="AJ211" i="21"/>
  <c r="AI212" i="21"/>
  <c r="AJ212" i="21"/>
  <c r="AI213" i="21"/>
  <c r="AJ213" i="21"/>
  <c r="AI214" i="21"/>
  <c r="AJ214" i="21"/>
  <c r="AI215" i="21"/>
  <c r="AJ215" i="21"/>
  <c r="AI216" i="21"/>
  <c r="AJ216" i="21"/>
  <c r="AI217" i="21"/>
  <c r="AJ217" i="21"/>
  <c r="AI218" i="21"/>
  <c r="AJ218" i="21"/>
  <c r="AI219" i="21"/>
  <c r="AJ219" i="21"/>
  <c r="AI220" i="21"/>
  <c r="AJ220" i="21"/>
  <c r="AI221" i="21"/>
  <c r="AJ221" i="21"/>
  <c r="AI222" i="21"/>
  <c r="AJ222" i="21"/>
  <c r="AJ223" i="21"/>
  <c r="AI224" i="21"/>
  <c r="AJ224" i="21"/>
  <c r="AI225" i="21"/>
  <c r="AJ225" i="21"/>
  <c r="AI226" i="21"/>
  <c r="AJ226" i="21"/>
  <c r="AI227" i="21"/>
  <c r="AJ227" i="21"/>
  <c r="AI228" i="21"/>
  <c r="AJ228" i="21"/>
  <c r="AI229" i="21"/>
  <c r="AJ229" i="21"/>
  <c r="AI230" i="21"/>
  <c r="AJ230" i="21"/>
  <c r="AI231" i="21"/>
  <c r="AJ231" i="21"/>
  <c r="AI232" i="21"/>
  <c r="AJ232" i="21"/>
  <c r="AI233" i="21"/>
  <c r="AJ233" i="21"/>
  <c r="AI234" i="21"/>
  <c r="AJ234" i="21"/>
  <c r="AI235" i="21"/>
  <c r="AJ235" i="21"/>
  <c r="AI236" i="21"/>
  <c r="AJ236" i="21"/>
  <c r="AI237" i="21"/>
  <c r="AJ237" i="21"/>
  <c r="AI238" i="21"/>
  <c r="AJ238" i="21"/>
  <c r="AI239" i="21"/>
  <c r="AJ239" i="21"/>
  <c r="AI240" i="21"/>
  <c r="AJ240" i="21"/>
  <c r="AI241" i="21"/>
  <c r="AJ241" i="21"/>
  <c r="AI242" i="21"/>
  <c r="AJ242" i="21"/>
  <c r="AI243" i="21"/>
  <c r="AJ243" i="21"/>
  <c r="AI244" i="21"/>
  <c r="AJ244" i="21"/>
  <c r="AI245" i="21"/>
  <c r="AJ245" i="21"/>
  <c r="AI246" i="21"/>
  <c r="AJ246" i="21"/>
  <c r="AI247" i="21"/>
  <c r="AJ247" i="21"/>
  <c r="AI248" i="21"/>
  <c r="AJ248" i="21"/>
  <c r="AI249" i="21"/>
  <c r="AJ249" i="21"/>
  <c r="AI250" i="21"/>
  <c r="AJ250" i="21"/>
  <c r="AI251" i="21"/>
  <c r="AJ251" i="21"/>
  <c r="AI252" i="21"/>
  <c r="AJ252" i="21"/>
  <c r="AI253" i="21"/>
  <c r="AJ253" i="21"/>
  <c r="AI254" i="21"/>
  <c r="AJ254" i="21"/>
  <c r="AI255" i="21"/>
  <c r="AJ255" i="21"/>
  <c r="AI256" i="21"/>
  <c r="AJ256" i="21"/>
  <c r="AI257" i="21"/>
  <c r="AJ258" i="21"/>
  <c r="AI259" i="21"/>
  <c r="AJ259" i="21"/>
  <c r="AI260" i="21"/>
  <c r="AJ260" i="21"/>
  <c r="AI261" i="21"/>
  <c r="AJ261" i="21"/>
  <c r="AI262" i="21"/>
  <c r="AJ262" i="21"/>
  <c r="AI263" i="21"/>
  <c r="AJ263" i="21"/>
  <c r="AI264" i="21"/>
  <c r="AJ264" i="21"/>
  <c r="AI265" i="21"/>
  <c r="AJ265" i="21"/>
  <c r="AI266" i="21"/>
  <c r="AJ266" i="21"/>
  <c r="AI267" i="21"/>
  <c r="AJ267" i="21"/>
  <c r="AI268" i="21"/>
  <c r="AJ268" i="21"/>
  <c r="AI269" i="21"/>
  <c r="AJ269" i="21"/>
  <c r="AI270" i="21"/>
  <c r="AJ270" i="21"/>
  <c r="AI271" i="21"/>
  <c r="AJ271" i="21"/>
  <c r="AI272" i="21"/>
  <c r="AJ272" i="21"/>
  <c r="AI273" i="21"/>
  <c r="AJ273" i="21"/>
  <c r="AI274" i="21"/>
  <c r="AJ274" i="21"/>
  <c r="AI275" i="21"/>
  <c r="AJ275" i="21"/>
  <c r="AI276" i="21"/>
  <c r="AJ276" i="21"/>
  <c r="AI277" i="21"/>
  <c r="AJ277" i="21"/>
  <c r="AI278" i="21"/>
  <c r="AJ278" i="21"/>
  <c r="AI279" i="21"/>
  <c r="AJ279" i="21"/>
  <c r="AI280" i="21"/>
  <c r="AJ280" i="21"/>
  <c r="AI281" i="21"/>
  <c r="AJ281" i="21"/>
  <c r="AI283" i="21"/>
  <c r="AJ283" i="21"/>
  <c r="AI284" i="21"/>
  <c r="AJ284" i="21"/>
  <c r="AI285" i="21"/>
  <c r="AJ285" i="21"/>
  <c r="AI286" i="21"/>
  <c r="AJ286" i="21"/>
  <c r="AI287" i="21"/>
  <c r="AJ287" i="21"/>
  <c r="AI288" i="21"/>
  <c r="AJ288" i="21"/>
  <c r="AI289" i="21"/>
  <c r="AJ289" i="21"/>
  <c r="AI295" i="21"/>
  <c r="AJ295" i="21"/>
  <c r="AI296" i="21"/>
  <c r="AJ296" i="21"/>
  <c r="AI297" i="21"/>
  <c r="AJ297" i="21"/>
  <c r="AI298" i="21"/>
  <c r="AJ298" i="21"/>
  <c r="AI299" i="21"/>
  <c r="AJ299" i="21"/>
  <c r="AI300" i="21"/>
  <c r="AJ300" i="21"/>
  <c r="AI301" i="21"/>
  <c r="AJ301" i="21"/>
  <c r="AI303" i="21"/>
  <c r="AJ303" i="21"/>
  <c r="AI304" i="21"/>
  <c r="AJ304" i="21"/>
  <c r="AI305" i="21"/>
  <c r="AJ305" i="21"/>
  <c r="AI306" i="21"/>
  <c r="AJ306" i="21"/>
  <c r="AI307" i="21"/>
  <c r="AJ307" i="21"/>
  <c r="AI308" i="21"/>
  <c r="AJ308" i="21"/>
  <c r="AI309" i="21"/>
  <c r="AJ309" i="21"/>
  <c r="AI310" i="21"/>
  <c r="AJ310" i="21"/>
  <c r="AI311" i="21"/>
  <c r="AJ311" i="21"/>
  <c r="AI312" i="21"/>
  <c r="AJ312" i="21"/>
  <c r="AI313" i="21"/>
  <c r="AJ313" i="21"/>
  <c r="AI314" i="21"/>
  <c r="AJ314" i="21"/>
  <c r="AI315" i="21"/>
  <c r="AJ315" i="21"/>
  <c r="AI316" i="21"/>
  <c r="AJ316" i="21"/>
  <c r="AI317" i="21"/>
  <c r="AJ317" i="21"/>
  <c r="AI318" i="21"/>
  <c r="AJ318" i="21"/>
  <c r="AI319" i="21"/>
  <c r="AJ319" i="21"/>
  <c r="AI320" i="21"/>
  <c r="AJ320" i="21"/>
  <c r="AI321" i="21"/>
  <c r="AJ321" i="21"/>
  <c r="AI322" i="21"/>
  <c r="AJ322" i="21"/>
  <c r="AI323" i="21"/>
  <c r="AJ323" i="21"/>
  <c r="AI324" i="21"/>
  <c r="AJ324" i="21"/>
  <c r="AI325" i="21"/>
  <c r="AJ325" i="21"/>
  <c r="AI326" i="21"/>
  <c r="AJ326" i="21"/>
  <c r="AI327" i="21"/>
  <c r="AJ327" i="21"/>
  <c r="AI328" i="21"/>
  <c r="AJ328" i="21"/>
  <c r="AI329" i="21"/>
  <c r="AJ329" i="21"/>
  <c r="AI330" i="21"/>
  <c r="AJ330" i="21"/>
  <c r="AI331" i="21"/>
  <c r="AJ331" i="21"/>
  <c r="AI332" i="21"/>
  <c r="AJ332" i="21"/>
  <c r="AI333" i="21"/>
  <c r="AJ333" i="21"/>
  <c r="AI334" i="21"/>
  <c r="AJ334" i="21"/>
  <c r="AI335" i="21"/>
  <c r="AJ335" i="21"/>
  <c r="AI336" i="21"/>
  <c r="AJ336" i="21"/>
  <c r="AI337" i="21"/>
  <c r="AJ337" i="21"/>
  <c r="AI338" i="21"/>
  <c r="AJ338" i="21"/>
  <c r="AI339" i="21"/>
  <c r="AJ339" i="21"/>
  <c r="AI340" i="21"/>
  <c r="AJ340" i="21"/>
  <c r="AI341" i="21"/>
  <c r="AJ341" i="21"/>
  <c r="AI342" i="21"/>
  <c r="AJ342" i="21"/>
  <c r="AI343" i="21"/>
  <c r="AJ343" i="21"/>
  <c r="AI344" i="21"/>
  <c r="AJ344" i="21"/>
  <c r="AI345" i="21"/>
  <c r="AJ345" i="21"/>
  <c r="AI346" i="21"/>
  <c r="AJ346" i="21"/>
  <c r="AI347" i="21"/>
  <c r="AJ347" i="21"/>
  <c r="AI348" i="21"/>
  <c r="AJ348" i="21"/>
  <c r="AI349" i="21"/>
  <c r="AJ349" i="21"/>
  <c r="AI350" i="21"/>
  <c r="AJ350" i="21"/>
  <c r="AI352" i="21"/>
  <c r="AJ352" i="21"/>
  <c r="AI353" i="21"/>
  <c r="AJ353" i="21"/>
  <c r="AI354" i="21"/>
  <c r="AJ354" i="21"/>
  <c r="AI355" i="21"/>
  <c r="AJ355" i="21"/>
  <c r="AI356" i="21"/>
  <c r="AJ356" i="21"/>
  <c r="AI358" i="21"/>
  <c r="AJ358" i="21"/>
  <c r="AI359" i="21"/>
  <c r="AJ359" i="21"/>
  <c r="AI360" i="21"/>
  <c r="AJ360" i="21"/>
  <c r="AI361" i="21"/>
  <c r="AJ361" i="21"/>
  <c r="AI362" i="21"/>
  <c r="AJ362" i="21"/>
  <c r="AI363" i="21"/>
  <c r="AJ363" i="21"/>
  <c r="AI364" i="21"/>
  <c r="AJ364" i="21"/>
  <c r="AI365" i="21"/>
  <c r="AJ365" i="21"/>
  <c r="AI366" i="21"/>
  <c r="AJ366" i="21"/>
  <c r="AI367" i="21"/>
  <c r="AJ367" i="21"/>
  <c r="AI369" i="21"/>
  <c r="AJ369" i="21"/>
  <c r="AJ362" i="10"/>
  <c r="AI362" i="10"/>
  <c r="AJ361" i="10"/>
  <c r="AI361" i="10"/>
  <c r="AJ360" i="10"/>
  <c r="AI360" i="10"/>
  <c r="AJ359" i="10"/>
  <c r="AI359" i="10"/>
  <c r="AJ358" i="10"/>
  <c r="AI358" i="10"/>
  <c r="AJ356" i="10"/>
  <c r="AI356" i="10"/>
  <c r="AJ355" i="10"/>
  <c r="AI355" i="10"/>
  <c r="AJ352" i="10"/>
  <c r="AI352" i="10"/>
  <c r="AJ350" i="10"/>
  <c r="AI350" i="10"/>
  <c r="AJ349" i="10"/>
  <c r="AI349" i="10"/>
  <c r="AJ348" i="10"/>
  <c r="AI348" i="10"/>
  <c r="AJ347" i="10"/>
  <c r="AI347" i="10"/>
  <c r="AJ346" i="10"/>
  <c r="AI346" i="10"/>
  <c r="AJ345" i="10"/>
  <c r="AI345" i="10"/>
  <c r="AJ344" i="10"/>
  <c r="AI344" i="10"/>
  <c r="AJ339" i="10"/>
  <c r="AI339" i="10"/>
  <c r="AJ338" i="10"/>
  <c r="AI338" i="10"/>
  <c r="AJ337" i="10"/>
  <c r="AI337" i="10"/>
  <c r="AJ336" i="10"/>
  <c r="AI336" i="10"/>
  <c r="AJ335" i="10"/>
  <c r="AI335" i="10"/>
  <c r="AJ334" i="10"/>
  <c r="AI334" i="10"/>
  <c r="AJ333" i="10"/>
  <c r="AI333" i="10"/>
  <c r="AJ332" i="10"/>
  <c r="AI332" i="10"/>
  <c r="AJ331" i="10"/>
  <c r="AI331" i="10"/>
  <c r="AJ330" i="10"/>
  <c r="AI330" i="10"/>
  <c r="AJ329" i="10"/>
  <c r="AI329" i="10"/>
  <c r="AJ328" i="10"/>
  <c r="AI328" i="10"/>
  <c r="AJ327" i="10"/>
  <c r="AI327" i="10"/>
  <c r="AJ326" i="10"/>
  <c r="AI326" i="10"/>
  <c r="AJ325" i="10"/>
  <c r="AI325" i="10"/>
  <c r="AJ324" i="10"/>
  <c r="AI324" i="10"/>
  <c r="AJ323" i="10"/>
  <c r="AI323" i="10"/>
  <c r="AJ322" i="10"/>
  <c r="AI322" i="10"/>
  <c r="AJ320" i="10"/>
  <c r="AI320" i="10"/>
  <c r="AJ318" i="10"/>
  <c r="AI318" i="10"/>
  <c r="AJ317" i="10"/>
  <c r="AI317" i="10"/>
  <c r="AJ316" i="10"/>
  <c r="AI316" i="10"/>
  <c r="AJ315" i="10"/>
  <c r="AI315" i="10"/>
  <c r="AJ306" i="10"/>
  <c r="AI306" i="10"/>
  <c r="AJ305" i="10"/>
  <c r="AI305" i="10"/>
  <c r="AJ304" i="10"/>
  <c r="AI304" i="10"/>
  <c r="AJ303" i="10"/>
  <c r="AI303" i="10"/>
  <c r="AJ289" i="10"/>
  <c r="AI289" i="10"/>
  <c r="AJ288" i="10"/>
  <c r="AI288" i="10"/>
  <c r="AJ286" i="10"/>
  <c r="AI286" i="10"/>
  <c r="AJ285" i="10"/>
  <c r="AI285" i="10"/>
  <c r="AJ284" i="10"/>
  <c r="AI284" i="10"/>
  <c r="AJ283" i="10"/>
  <c r="AI283" i="10"/>
  <c r="AJ273" i="10"/>
  <c r="AI273" i="10"/>
  <c r="AJ272" i="10"/>
  <c r="AI272" i="10"/>
  <c r="AJ269" i="10"/>
  <c r="AI269" i="10"/>
  <c r="AJ268" i="10"/>
  <c r="AI268" i="10"/>
  <c r="AJ267" i="10"/>
  <c r="AI267" i="10"/>
  <c r="AJ265" i="10"/>
  <c r="AI265" i="10"/>
  <c r="AJ264" i="10"/>
  <c r="AI264" i="10"/>
  <c r="AJ263" i="10"/>
  <c r="AI263" i="10"/>
  <c r="AJ262" i="10"/>
  <c r="AI262" i="10"/>
  <c r="AJ258" i="10"/>
  <c r="AI257" i="10"/>
  <c r="AJ253" i="10"/>
  <c r="AI253" i="10"/>
  <c r="AJ252" i="10"/>
  <c r="AI252" i="10"/>
  <c r="AJ251" i="10"/>
  <c r="AI251" i="10"/>
  <c r="AJ250" i="10"/>
  <c r="AI250" i="10"/>
  <c r="AJ245" i="10"/>
  <c r="AI245" i="10"/>
  <c r="AH245" i="10"/>
  <c r="AJ244" i="10"/>
  <c r="AI244" i="10"/>
  <c r="AJ243" i="10"/>
  <c r="AI243" i="10"/>
  <c r="AJ242" i="10"/>
  <c r="AI242" i="10"/>
  <c r="AJ241" i="10"/>
  <c r="AI241" i="10"/>
  <c r="AJ240" i="10"/>
  <c r="AI240" i="10"/>
  <c r="AJ239" i="10"/>
  <c r="AI239" i="10"/>
  <c r="AJ238" i="10"/>
  <c r="AI238" i="10"/>
  <c r="AJ236" i="10"/>
  <c r="AI236" i="10"/>
  <c r="AJ235" i="10"/>
  <c r="AI235" i="10"/>
  <c r="AJ234" i="10"/>
  <c r="AI234" i="10"/>
  <c r="AJ231" i="10"/>
  <c r="AI231" i="10"/>
  <c r="AJ230" i="10"/>
  <c r="AI230" i="10"/>
  <c r="AJ229" i="10"/>
  <c r="AI229" i="10"/>
  <c r="AJ228" i="10"/>
  <c r="AI228" i="10"/>
  <c r="AJ226" i="10"/>
  <c r="AI226" i="10"/>
  <c r="AJ225" i="10"/>
  <c r="AI225" i="10"/>
  <c r="AJ224" i="10"/>
  <c r="AI224" i="10"/>
  <c r="AJ223" i="10"/>
  <c r="AJ222" i="10"/>
  <c r="AI222" i="10"/>
  <c r="AJ221" i="10"/>
  <c r="AI221" i="10"/>
  <c r="AJ220" i="10"/>
  <c r="AI220" i="10"/>
  <c r="AJ219" i="10"/>
  <c r="AI219" i="10"/>
  <c r="AJ218" i="10"/>
  <c r="AI218" i="10"/>
  <c r="AJ217" i="10"/>
  <c r="AI217" i="10"/>
  <c r="AJ216" i="10"/>
  <c r="AI216" i="10"/>
  <c r="AJ215" i="10"/>
  <c r="AI215" i="10"/>
  <c r="AJ214" i="10"/>
  <c r="AI214" i="10"/>
  <c r="AJ213" i="10"/>
  <c r="AI213" i="10"/>
  <c r="AJ212" i="10"/>
  <c r="AI212" i="10"/>
  <c r="AJ211" i="10"/>
  <c r="AI211" i="10"/>
  <c r="AJ210" i="10"/>
  <c r="AI210" i="10"/>
  <c r="AJ204" i="10"/>
  <c r="AI204" i="10"/>
  <c r="AJ203" i="10"/>
  <c r="AI203" i="10"/>
  <c r="AJ202" i="10"/>
  <c r="AI202" i="10"/>
  <c r="AI201" i="10"/>
  <c r="AJ199" i="10"/>
  <c r="AI199" i="10"/>
  <c r="AJ198" i="10"/>
  <c r="AI198" i="10"/>
  <c r="AJ197" i="10"/>
  <c r="AI197" i="10"/>
  <c r="AJ195" i="10"/>
  <c r="AI195" i="10"/>
  <c r="AJ194" i="10"/>
  <c r="AI194" i="10"/>
  <c r="AI193" i="10"/>
  <c r="AI192" i="10"/>
  <c r="AJ189" i="10"/>
  <c r="AI189" i="10"/>
  <c r="AJ188" i="10"/>
  <c r="AI188" i="10"/>
  <c r="AJ187" i="10"/>
  <c r="AI187" i="10"/>
  <c r="AJ186" i="10"/>
  <c r="AI186" i="10"/>
  <c r="AJ185" i="10"/>
  <c r="AI185" i="10"/>
  <c r="AJ184" i="10"/>
  <c r="AI184" i="10"/>
  <c r="AJ179" i="10"/>
  <c r="AI179" i="10"/>
  <c r="AJ174" i="10"/>
  <c r="AI174" i="10"/>
  <c r="AJ172" i="10"/>
  <c r="AI172" i="10"/>
  <c r="AJ171" i="10"/>
  <c r="AI171" i="10"/>
  <c r="AJ169" i="10"/>
  <c r="AI169" i="10"/>
  <c r="AJ168" i="10"/>
  <c r="AI168" i="10"/>
  <c r="AJ167" i="10"/>
  <c r="AI167" i="10"/>
  <c r="AJ164" i="10"/>
  <c r="AI164" i="10"/>
  <c r="AJ163" i="10"/>
  <c r="AI163" i="10"/>
  <c r="AJ162" i="10"/>
  <c r="AI162" i="10"/>
  <c r="AJ161" i="10"/>
  <c r="AI161" i="10"/>
  <c r="AJ160" i="10"/>
  <c r="AI160" i="10"/>
  <c r="AJ159" i="10"/>
  <c r="AI159" i="10"/>
  <c r="AJ158" i="10"/>
  <c r="AI158" i="10"/>
  <c r="AJ157" i="10"/>
  <c r="AI157" i="10"/>
  <c r="AJ156" i="10"/>
  <c r="AI156" i="10"/>
  <c r="AJ154" i="10"/>
  <c r="AI154" i="10"/>
  <c r="AJ153" i="10"/>
  <c r="AI153" i="10"/>
  <c r="AJ151" i="10"/>
  <c r="AI151" i="10"/>
  <c r="AJ150" i="10"/>
  <c r="AI150" i="10"/>
  <c r="AJ149" i="10"/>
  <c r="AI149" i="10"/>
  <c r="AJ148" i="10"/>
  <c r="AI148" i="10"/>
  <c r="AJ147" i="10"/>
  <c r="AI147" i="10"/>
  <c r="AJ146" i="10"/>
  <c r="AI146" i="10"/>
  <c r="AJ136" i="10"/>
  <c r="AI136" i="10"/>
  <c r="AJ123" i="10"/>
  <c r="AI123" i="10"/>
  <c r="AJ122" i="10"/>
  <c r="AI122" i="10"/>
  <c r="AJ121" i="10"/>
  <c r="AI121" i="10"/>
  <c r="AJ120" i="10"/>
  <c r="AI120" i="10"/>
  <c r="AJ119" i="10"/>
  <c r="AI119" i="10"/>
  <c r="AJ118" i="10"/>
  <c r="AI118" i="10"/>
  <c r="AJ117" i="10"/>
  <c r="AI117" i="10"/>
  <c r="AH117" i="10"/>
  <c r="AJ115" i="10"/>
  <c r="AI115" i="10"/>
  <c r="AJ114" i="10"/>
  <c r="AI114" i="10"/>
  <c r="AJ108" i="10"/>
  <c r="AI108" i="10"/>
  <c r="AJ107" i="10"/>
  <c r="AI107" i="10"/>
  <c r="AJ106" i="10"/>
  <c r="AI106" i="10"/>
  <c r="AJ105" i="10"/>
  <c r="AI105" i="10"/>
  <c r="AJ98" i="10"/>
  <c r="AI98" i="10"/>
  <c r="AJ97" i="10"/>
  <c r="AI97" i="10"/>
  <c r="AJ94" i="10"/>
  <c r="AI94" i="10"/>
  <c r="AJ93" i="10"/>
  <c r="AI93" i="10"/>
  <c r="AH93" i="10"/>
  <c r="AJ92" i="10"/>
  <c r="AI92" i="10"/>
  <c r="AJ89" i="10"/>
  <c r="AI89" i="10"/>
  <c r="AJ88" i="10"/>
  <c r="AI88" i="10"/>
  <c r="AJ87" i="10"/>
  <c r="AI87" i="10"/>
  <c r="AJ82" i="10"/>
  <c r="AI82" i="10"/>
  <c r="AJ81" i="10"/>
  <c r="AI81" i="10"/>
  <c r="AJ80" i="10"/>
  <c r="AI80" i="10"/>
  <c r="AJ78" i="10"/>
  <c r="AI78" i="10"/>
  <c r="AJ77" i="10"/>
  <c r="AI77" i="10"/>
  <c r="AJ76" i="10"/>
  <c r="AI76" i="10"/>
  <c r="AJ75" i="10"/>
  <c r="AI75" i="10"/>
  <c r="AJ74" i="10"/>
  <c r="AI74" i="10"/>
  <c r="AJ73" i="10"/>
  <c r="AI73" i="10"/>
  <c r="AJ72" i="10"/>
  <c r="AI72" i="10"/>
  <c r="AJ71" i="10"/>
  <c r="AI71" i="10"/>
  <c r="AJ70" i="10"/>
  <c r="AI70" i="10"/>
  <c r="AJ69" i="10"/>
  <c r="AI69" i="10"/>
  <c r="AJ68" i="10"/>
  <c r="AI68" i="10"/>
  <c r="AJ66" i="10"/>
  <c r="AI66" i="10"/>
  <c r="AJ65" i="10"/>
  <c r="AI65" i="10"/>
  <c r="AJ63" i="10"/>
  <c r="AI63" i="10"/>
  <c r="AI61" i="10"/>
  <c r="AH61" i="10"/>
  <c r="AJ60" i="10"/>
  <c r="AI60" i="10"/>
  <c r="AJ59" i="10"/>
  <c r="AI59" i="10"/>
  <c r="AJ58" i="10"/>
  <c r="AI58" i="10"/>
  <c r="AJ55" i="10"/>
  <c r="AI55" i="10"/>
  <c r="AJ54" i="10"/>
  <c r="AI54" i="10"/>
  <c r="AJ53" i="10"/>
  <c r="AI53" i="10"/>
  <c r="AJ51" i="10"/>
  <c r="AI51" i="10"/>
  <c r="AJ50" i="10"/>
  <c r="AI50" i="10"/>
  <c r="AJ49" i="10"/>
  <c r="AI49" i="10"/>
  <c r="AJ48" i="10"/>
  <c r="AI48" i="10"/>
  <c r="AJ47" i="10"/>
  <c r="AI47" i="10"/>
  <c r="AJ46" i="10"/>
  <c r="AI46" i="10"/>
  <c r="AJ45" i="10"/>
  <c r="AI45" i="10"/>
  <c r="AJ44" i="10"/>
  <c r="AI44" i="10"/>
  <c r="AJ43" i="10"/>
  <c r="AI43" i="10"/>
  <c r="AJ42" i="10"/>
  <c r="AI42" i="10"/>
  <c r="AJ41" i="10"/>
  <c r="AI41" i="10"/>
  <c r="AJ40" i="10"/>
  <c r="AI40" i="10"/>
  <c r="AJ39" i="10"/>
  <c r="AI39" i="10"/>
  <c r="AJ38" i="10"/>
  <c r="AI38" i="10"/>
  <c r="AJ37" i="10"/>
  <c r="AI37" i="10"/>
  <c r="AH37" i="10"/>
  <c r="AJ36" i="10"/>
  <c r="AI36" i="10"/>
  <c r="AJ35" i="10"/>
  <c r="AI35" i="10"/>
  <c r="AJ34" i="10"/>
  <c r="AI34" i="10"/>
  <c r="AJ33" i="10"/>
  <c r="AI33" i="10"/>
  <c r="AJ32" i="10"/>
  <c r="AI32" i="10"/>
  <c r="AJ27" i="10"/>
  <c r="AI27" i="10"/>
  <c r="AJ21" i="10"/>
  <c r="AI21" i="10"/>
  <c r="AJ20" i="10"/>
  <c r="AI20" i="10"/>
  <c r="AJ18" i="10"/>
  <c r="AI18" i="10"/>
  <c r="AJ17" i="10"/>
  <c r="AI17" i="10"/>
  <c r="AJ16" i="10"/>
  <c r="AI16" i="10"/>
  <c r="AJ13" i="10"/>
  <c r="AI13" i="10"/>
  <c r="AJ12" i="10"/>
  <c r="AI12" i="10"/>
  <c r="AJ10" i="10"/>
  <c r="AI10" i="10"/>
  <c r="AJ4" i="10"/>
  <c r="AH2" i="8"/>
  <c r="AI2" i="8"/>
  <c r="AI4" i="11" s="1"/>
  <c r="AJ2" i="8"/>
  <c r="AH3" i="8"/>
  <c r="AI3" i="8"/>
  <c r="AJ3" i="8"/>
  <c r="AH4" i="8"/>
  <c r="AI4" i="8"/>
  <c r="AJ4" i="8"/>
  <c r="AJ6" i="11" s="1"/>
  <c r="AH5" i="8"/>
  <c r="AI5" i="8"/>
  <c r="AJ5" i="8"/>
  <c r="AH6" i="8"/>
  <c r="AI6" i="8"/>
  <c r="AJ6" i="8"/>
  <c r="AH7" i="8"/>
  <c r="AI7" i="8"/>
  <c r="AJ7" i="8"/>
  <c r="AH8" i="8"/>
  <c r="AH10" i="10" s="1"/>
  <c r="AI8" i="8"/>
  <c r="AJ8" i="8"/>
  <c r="AH9" i="8"/>
  <c r="AI9" i="8"/>
  <c r="AJ9" i="8"/>
  <c r="AH10" i="8"/>
  <c r="AH12" i="10" s="1"/>
  <c r="AI10" i="8"/>
  <c r="AJ10" i="8"/>
  <c r="AH11" i="8"/>
  <c r="AI11" i="8"/>
  <c r="AJ11" i="8"/>
  <c r="AH12" i="8"/>
  <c r="AI12" i="8"/>
  <c r="AJ12" i="8"/>
  <c r="AH13" i="8"/>
  <c r="AI13" i="8"/>
  <c r="AJ13" i="8"/>
  <c r="AH14" i="8"/>
  <c r="AI14" i="8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H19" i="8"/>
  <c r="AI19" i="8"/>
  <c r="AJ19" i="8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I29" i="21" s="1"/>
  <c r="AJ27" i="8"/>
  <c r="AJ29" i="21" s="1"/>
  <c r="AH28" i="8"/>
  <c r="AI28" i="8"/>
  <c r="AJ28" i="8"/>
  <c r="AH29" i="8"/>
  <c r="AI29" i="8"/>
  <c r="AJ29" i="8"/>
  <c r="AH30" i="8"/>
  <c r="AH32" i="21" s="1"/>
  <c r="AI30" i="8"/>
  <c r="AJ30" i="8"/>
  <c r="AH31" i="8"/>
  <c r="AH33" i="10" s="1"/>
  <c r="AI31" i="8"/>
  <c r="AJ31" i="8"/>
  <c r="AH32" i="8"/>
  <c r="AI32" i="8"/>
  <c r="AJ32" i="8"/>
  <c r="AH33" i="8"/>
  <c r="AH35" i="10" s="1"/>
  <c r="AI33" i="8"/>
  <c r="AJ33" i="8"/>
  <c r="AH34" i="8"/>
  <c r="AI34" i="8"/>
  <c r="AJ34" i="8"/>
  <c r="AH35" i="8"/>
  <c r="AI35" i="8"/>
  <c r="AJ35" i="8"/>
  <c r="AH36" i="8"/>
  <c r="AH38" i="10" s="1"/>
  <c r="AI36" i="8"/>
  <c r="AJ36" i="8"/>
  <c r="AH37" i="8"/>
  <c r="AI37" i="8"/>
  <c r="AJ37" i="8"/>
  <c r="AH38" i="8"/>
  <c r="AH40" i="10" s="1"/>
  <c r="AI38" i="8"/>
  <c r="AJ38" i="8"/>
  <c r="AH39" i="8"/>
  <c r="AH41" i="10" s="1"/>
  <c r="AI39" i="8"/>
  <c r="AJ39" i="8"/>
  <c r="AH40" i="8"/>
  <c r="AI40" i="8"/>
  <c r="AJ40" i="8"/>
  <c r="AH41" i="8"/>
  <c r="AH43" i="10" s="1"/>
  <c r="AI41" i="8"/>
  <c r="AJ41" i="8"/>
  <c r="AH42" i="8"/>
  <c r="AI42" i="8"/>
  <c r="AJ42" i="8"/>
  <c r="AH43" i="8"/>
  <c r="AI43" i="8"/>
  <c r="AJ43" i="8"/>
  <c r="AH44" i="8"/>
  <c r="AH46" i="10" s="1"/>
  <c r="AI44" i="8"/>
  <c r="AJ44" i="8"/>
  <c r="AH45" i="8"/>
  <c r="AI45" i="8"/>
  <c r="AJ45" i="8"/>
  <c r="AH46" i="8"/>
  <c r="AI46" i="8"/>
  <c r="AJ46" i="8"/>
  <c r="AH47" i="8"/>
  <c r="AH49" i="10" s="1"/>
  <c r="AI47" i="8"/>
  <c r="AJ47" i="8"/>
  <c r="AH48" i="8"/>
  <c r="AI48" i="8"/>
  <c r="AJ48" i="8"/>
  <c r="AH49" i="8"/>
  <c r="AH51" i="10" s="1"/>
  <c r="AI49" i="8"/>
  <c r="AJ49" i="8"/>
  <c r="AH50" i="8"/>
  <c r="AI50" i="8"/>
  <c r="AJ50" i="8"/>
  <c r="AH51" i="8"/>
  <c r="AI51" i="8"/>
  <c r="AJ51" i="8"/>
  <c r="AH52" i="8"/>
  <c r="AI52" i="8"/>
  <c r="AJ52" i="8"/>
  <c r="AH53" i="8"/>
  <c r="AI53" i="8"/>
  <c r="AJ53" i="8"/>
  <c r="AH54" i="8"/>
  <c r="AI54" i="8"/>
  <c r="AJ54" i="8"/>
  <c r="AH55" i="8"/>
  <c r="AI55" i="8"/>
  <c r="AJ55" i="8"/>
  <c r="AH56" i="8"/>
  <c r="AI56" i="8"/>
  <c r="AJ56" i="8"/>
  <c r="AH57" i="8"/>
  <c r="AH59" i="10" s="1"/>
  <c r="AI57" i="8"/>
  <c r="AJ57" i="8"/>
  <c r="AH58" i="8"/>
  <c r="AI58" i="8"/>
  <c r="AJ58" i="8"/>
  <c r="AH59" i="8"/>
  <c r="AH61" i="21" s="1"/>
  <c r="AI59" i="8"/>
  <c r="AI61" i="11" s="1"/>
  <c r="AJ59" i="8"/>
  <c r="AJ61" i="11" s="1"/>
  <c r="AH60" i="8"/>
  <c r="AH62" i="10" s="1"/>
  <c r="AI60" i="8"/>
  <c r="AI62" i="10" s="1"/>
  <c r="AJ60" i="8"/>
  <c r="AJ62" i="11" s="1"/>
  <c r="AH61" i="8"/>
  <c r="AI61" i="8"/>
  <c r="AJ61" i="8"/>
  <c r="AH62" i="8"/>
  <c r="AI62" i="8"/>
  <c r="AI64" i="21" s="1"/>
  <c r="AJ62" i="8"/>
  <c r="AJ64" i="21" s="1"/>
  <c r="AH63" i="8"/>
  <c r="AH65" i="10" s="1"/>
  <c r="AI63" i="8"/>
  <c r="AJ63" i="8"/>
  <c r="AH64" i="8"/>
  <c r="AI64" i="8"/>
  <c r="AJ64" i="8"/>
  <c r="AH65" i="8"/>
  <c r="AH67" i="10" s="1"/>
  <c r="AI65" i="8"/>
  <c r="AI67" i="21" s="1"/>
  <c r="AJ65" i="8"/>
  <c r="AJ67" i="10" s="1"/>
  <c r="AH66" i="8"/>
  <c r="AH68" i="10" s="1"/>
  <c r="AI66" i="8"/>
  <c r="AJ66" i="8"/>
  <c r="AH67" i="8"/>
  <c r="AI67" i="8"/>
  <c r="AJ67" i="8"/>
  <c r="AH68" i="8"/>
  <c r="AH70" i="10" s="1"/>
  <c r="AI68" i="8"/>
  <c r="AJ68" i="8"/>
  <c r="AH69" i="8"/>
  <c r="AI69" i="8"/>
  <c r="AJ69" i="8"/>
  <c r="AH70" i="8"/>
  <c r="AI70" i="8"/>
  <c r="AJ70" i="8"/>
  <c r="AH71" i="8"/>
  <c r="AI71" i="8"/>
  <c r="AJ71" i="8"/>
  <c r="AH72" i="8"/>
  <c r="AI72" i="8"/>
  <c r="AJ72" i="8"/>
  <c r="AH73" i="8"/>
  <c r="AH75" i="10" s="1"/>
  <c r="AI73" i="8"/>
  <c r="AJ73" i="8"/>
  <c r="AH74" i="8"/>
  <c r="AI74" i="8"/>
  <c r="AJ74" i="8"/>
  <c r="AH75" i="8"/>
  <c r="AI75" i="8"/>
  <c r="AJ75" i="8"/>
  <c r="AH76" i="8"/>
  <c r="AH78" i="10" s="1"/>
  <c r="AI76" i="8"/>
  <c r="AJ76" i="8"/>
  <c r="AH77" i="8"/>
  <c r="AI77" i="8"/>
  <c r="AI79" i="10" s="1"/>
  <c r="AJ77" i="8"/>
  <c r="AJ79" i="11" s="1"/>
  <c r="AH78" i="8"/>
  <c r="AI78" i="8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J85" i="8"/>
  <c r="AH86" i="8"/>
  <c r="AI86" i="8"/>
  <c r="AJ86" i="8"/>
  <c r="AH87" i="8"/>
  <c r="AI87" i="8"/>
  <c r="AJ87" i="8"/>
  <c r="AH88" i="8"/>
  <c r="AH90" i="10" s="1"/>
  <c r="AI88" i="8"/>
  <c r="AI90" i="21" s="1"/>
  <c r="AJ88" i="8"/>
  <c r="AJ90" i="21" s="1"/>
  <c r="AH89" i="8"/>
  <c r="AI89" i="8"/>
  <c r="AI91" i="21" s="1"/>
  <c r="AJ89" i="8"/>
  <c r="AJ91" i="21" s="1"/>
  <c r="AH90" i="8"/>
  <c r="AI90" i="8"/>
  <c r="AJ90" i="8"/>
  <c r="AH91" i="8"/>
  <c r="AH93" i="21" s="1"/>
  <c r="AI91" i="8"/>
  <c r="AJ91" i="8"/>
  <c r="AH92" i="8"/>
  <c r="AI92" i="8"/>
  <c r="AJ92" i="8"/>
  <c r="AH93" i="8"/>
  <c r="AI93" i="8"/>
  <c r="AJ93" i="8"/>
  <c r="AH94" i="8"/>
  <c r="AH96" i="21" s="1"/>
  <c r="AI94" i="8"/>
  <c r="AJ94" i="8"/>
  <c r="AH95" i="8"/>
  <c r="AH97" i="10" s="1"/>
  <c r="AI95" i="8"/>
  <c r="AJ95" i="8"/>
  <c r="AH96" i="8"/>
  <c r="AI96" i="8"/>
  <c r="AJ96" i="8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J104" i="8"/>
  <c r="AH105" i="8"/>
  <c r="AI105" i="8"/>
  <c r="AJ105" i="8"/>
  <c r="AH106" i="8"/>
  <c r="AI106" i="8"/>
  <c r="AJ106" i="8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J112" i="8"/>
  <c r="AH113" i="8"/>
  <c r="AI113" i="8"/>
  <c r="AJ113" i="8"/>
  <c r="AH114" i="8"/>
  <c r="AI114" i="8"/>
  <c r="AJ114" i="8"/>
  <c r="AH115" i="8"/>
  <c r="AI115" i="8"/>
  <c r="AJ115" i="8"/>
  <c r="AH116" i="8"/>
  <c r="AI116" i="8"/>
  <c r="AJ116" i="8"/>
  <c r="AH117" i="8"/>
  <c r="AI117" i="8"/>
  <c r="AJ117" i="8"/>
  <c r="AH118" i="8"/>
  <c r="AI118" i="8"/>
  <c r="AJ118" i="8"/>
  <c r="AH119" i="8"/>
  <c r="AI119" i="8"/>
  <c r="AJ119" i="8"/>
  <c r="AH120" i="8"/>
  <c r="AI120" i="8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I132" i="11" s="1"/>
  <c r="AJ130" i="8"/>
  <c r="AJ132" i="11" s="1"/>
  <c r="AH131" i="8"/>
  <c r="AI131" i="8"/>
  <c r="AJ131" i="8"/>
  <c r="AH132" i="8"/>
  <c r="AI132" i="8"/>
  <c r="AJ132" i="8"/>
  <c r="AH133" i="8"/>
  <c r="AI133" i="8"/>
  <c r="AI135" i="21" s="1"/>
  <c r="AJ133" i="8"/>
  <c r="AJ135" i="11" s="1"/>
  <c r="AH134" i="8"/>
  <c r="AI134" i="8"/>
  <c r="AJ134" i="8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J144" i="8"/>
  <c r="AH145" i="8"/>
  <c r="AI145" i="8"/>
  <c r="AJ145" i="8"/>
  <c r="AH146" i="8"/>
  <c r="AH148" i="10" s="1"/>
  <c r="AI146" i="8"/>
  <c r="AJ146" i="8"/>
  <c r="AH147" i="8"/>
  <c r="AI147" i="8"/>
  <c r="AJ147" i="8"/>
  <c r="AH148" i="8"/>
  <c r="AI148" i="8"/>
  <c r="AJ148" i="8"/>
  <c r="AH149" i="8"/>
  <c r="AI149" i="8"/>
  <c r="AJ149" i="8"/>
  <c r="AH150" i="8"/>
  <c r="AI150" i="8"/>
  <c r="AI152" i="21" s="1"/>
  <c r="AJ150" i="8"/>
  <c r="AJ152" i="11" s="1"/>
  <c r="AH151" i="8"/>
  <c r="AI151" i="8"/>
  <c r="AJ151" i="8"/>
  <c r="AH152" i="8"/>
  <c r="AH154" i="10" s="1"/>
  <c r="AI152" i="8"/>
  <c r="AJ152" i="8"/>
  <c r="AH153" i="8"/>
  <c r="AI153" i="8"/>
  <c r="AI155" i="21" s="1"/>
  <c r="AJ153" i="8"/>
  <c r="AJ155" i="11" s="1"/>
  <c r="AH154" i="8"/>
  <c r="AI154" i="8"/>
  <c r="AJ154" i="8"/>
  <c r="AH155" i="8"/>
  <c r="AH157" i="21" s="1"/>
  <c r="AI155" i="8"/>
  <c r="AJ155" i="8"/>
  <c r="AH156" i="8"/>
  <c r="AI156" i="8"/>
  <c r="AJ156" i="8"/>
  <c r="AH157" i="8"/>
  <c r="AI157" i="8"/>
  <c r="AJ157" i="8"/>
  <c r="AH158" i="8"/>
  <c r="AH160" i="21" s="1"/>
  <c r="AI158" i="8"/>
  <c r="AJ158" i="8"/>
  <c r="AH159" i="8"/>
  <c r="AI159" i="8"/>
  <c r="AJ159" i="8"/>
  <c r="AH160" i="8"/>
  <c r="AI160" i="8"/>
  <c r="AJ160" i="8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I170" i="10" s="1"/>
  <c r="AJ168" i="8"/>
  <c r="AJ170" i="11" s="1"/>
  <c r="AH169" i="8"/>
  <c r="AI169" i="8"/>
  <c r="AJ169" i="8"/>
  <c r="AH170" i="8"/>
  <c r="AI170" i="8"/>
  <c r="AJ170" i="8"/>
  <c r="AH171" i="8"/>
  <c r="AI171" i="8"/>
  <c r="AI173" i="11" s="1"/>
  <c r="AJ171" i="8"/>
  <c r="AJ173" i="11" s="1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I190" i="10" s="1"/>
  <c r="AJ188" i="8"/>
  <c r="AJ190" i="11" s="1"/>
  <c r="AH189" i="8"/>
  <c r="AH191" i="10" s="1"/>
  <c r="AI189" i="8"/>
  <c r="AI191" i="10" s="1"/>
  <c r="AJ189" i="8"/>
  <c r="AJ191" i="11" s="1"/>
  <c r="AH190" i="8"/>
  <c r="AI190" i="8"/>
  <c r="AJ190" i="8"/>
  <c r="AJ192" i="11" s="1"/>
  <c r="AH191" i="8"/>
  <c r="AI191" i="8"/>
  <c r="AJ191" i="8"/>
  <c r="AJ193" i="11" s="1"/>
  <c r="AH192" i="8"/>
  <c r="AI192" i="8"/>
  <c r="AJ192" i="8"/>
  <c r="AH193" i="8"/>
  <c r="AI193" i="8"/>
  <c r="AJ193" i="8"/>
  <c r="AH194" i="8"/>
  <c r="AI194" i="8"/>
  <c r="AI196" i="10" s="1"/>
  <c r="AJ194" i="8"/>
  <c r="AJ196" i="11" s="1"/>
  <c r="AH195" i="8"/>
  <c r="AI195" i="8"/>
  <c r="AJ195" i="8"/>
  <c r="AH196" i="8"/>
  <c r="AI196" i="8"/>
  <c r="AJ196" i="8"/>
  <c r="AH197" i="8"/>
  <c r="AI197" i="8"/>
  <c r="AJ197" i="8"/>
  <c r="AH198" i="8"/>
  <c r="AI198" i="8"/>
  <c r="AI200" i="21" s="1"/>
  <c r="AJ198" i="8"/>
  <c r="AJ200" i="11" s="1"/>
  <c r="AH199" i="8"/>
  <c r="AI199" i="8"/>
  <c r="AI201" i="11" s="1"/>
  <c r="AJ199" i="8"/>
  <c r="AJ201" i="11" s="1"/>
  <c r="AH200" i="8"/>
  <c r="AI200" i="8"/>
  <c r="AJ200" i="8"/>
  <c r="AH201" i="8"/>
  <c r="AI201" i="8"/>
  <c r="AJ201" i="8"/>
  <c r="AH202" i="8"/>
  <c r="AI202" i="8"/>
  <c r="AJ202" i="8"/>
  <c r="AH203" i="8"/>
  <c r="AI203" i="8"/>
  <c r="AI205" i="21" s="1"/>
  <c r="AJ203" i="8"/>
  <c r="AJ205" i="21" s="1"/>
  <c r="AH204" i="8"/>
  <c r="AI204" i="8"/>
  <c r="AI206" i="21" s="1"/>
  <c r="AJ204" i="8"/>
  <c r="AJ206" i="11" s="1"/>
  <c r="AH205" i="8"/>
  <c r="AI205" i="8"/>
  <c r="AJ205" i="8"/>
  <c r="AH206" i="8"/>
  <c r="AI206" i="8"/>
  <c r="AI208" i="10" s="1"/>
  <c r="AJ206" i="8"/>
  <c r="AJ208" i="11" s="1"/>
  <c r="AH207" i="8"/>
  <c r="AI207" i="8"/>
  <c r="AI209" i="11" s="1"/>
  <c r="AJ207" i="8"/>
  <c r="AJ209" i="11" s="1"/>
  <c r="AH208" i="8"/>
  <c r="AI208" i="8"/>
  <c r="AJ208" i="8"/>
  <c r="AH209" i="8"/>
  <c r="AI209" i="8"/>
  <c r="AJ209" i="8"/>
  <c r="AH210" i="8"/>
  <c r="AI210" i="8"/>
  <c r="AJ210" i="8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I223" i="21" s="1"/>
  <c r="AJ221" i="8"/>
  <c r="AH222" i="8"/>
  <c r="AH224" i="11" s="1"/>
  <c r="AI222" i="8"/>
  <c r="AJ222" i="8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H227" i="8"/>
  <c r="AI227" i="8"/>
  <c r="AJ227" i="8"/>
  <c r="AH228" i="8"/>
  <c r="AI228" i="8"/>
  <c r="AJ228" i="8"/>
  <c r="AH229" i="8"/>
  <c r="AH231" i="10" s="1"/>
  <c r="AI229" i="8"/>
  <c r="AJ229" i="8"/>
  <c r="AH230" i="8"/>
  <c r="AI230" i="8"/>
  <c r="AJ230" i="8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H241" i="8"/>
  <c r="AI241" i="8"/>
  <c r="AJ241" i="8"/>
  <c r="AH242" i="8"/>
  <c r="AI242" i="8"/>
  <c r="AJ242" i="8"/>
  <c r="AH243" i="8"/>
  <c r="AH245" i="11" s="1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H247" i="8"/>
  <c r="AI247" i="8"/>
  <c r="AJ247" i="8"/>
  <c r="AH248" i="8"/>
  <c r="AI248" i="8"/>
  <c r="AJ248" i="8"/>
  <c r="AH249" i="8"/>
  <c r="AH251" i="21" s="1"/>
  <c r="AI249" i="8"/>
  <c r="AJ249" i="8"/>
  <c r="AH250" i="8"/>
  <c r="AH252" i="10" s="1"/>
  <c r="AI250" i="8"/>
  <c r="AJ250" i="8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H255" i="8"/>
  <c r="AI255" i="8"/>
  <c r="AJ255" i="8"/>
  <c r="AJ257" i="11" s="1"/>
  <c r="AH256" i="8"/>
  <c r="AI256" i="8"/>
  <c r="AI258" i="21" s="1"/>
  <c r="AJ256" i="8"/>
  <c r="AH257" i="8"/>
  <c r="AI257" i="8"/>
  <c r="AJ257" i="8"/>
  <c r="AH258" i="8"/>
  <c r="AI258" i="8"/>
  <c r="AJ258" i="8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H279" i="8"/>
  <c r="AI279" i="8"/>
  <c r="AJ279" i="8"/>
  <c r="AH280" i="8"/>
  <c r="AH282" i="10" s="1"/>
  <c r="AI280" i="8"/>
  <c r="AI282" i="11" s="1"/>
  <c r="AJ280" i="8"/>
  <c r="AJ282" i="11" s="1"/>
  <c r="AH281" i="8"/>
  <c r="AI281" i="8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J286" i="8"/>
  <c r="AH287" i="8"/>
  <c r="AI287" i="8"/>
  <c r="AJ287" i="8"/>
  <c r="AH288" i="8"/>
  <c r="AI288" i="8"/>
  <c r="AI290" i="11" s="1"/>
  <c r="AJ288" i="8"/>
  <c r="AJ290" i="10" s="1"/>
  <c r="AH289" i="8"/>
  <c r="AH291" i="10" s="1"/>
  <c r="AI289" i="8"/>
  <c r="AI291" i="11" s="1"/>
  <c r="AJ289" i="8"/>
  <c r="AJ291" i="10" s="1"/>
  <c r="AH290" i="8"/>
  <c r="AI290" i="8"/>
  <c r="AI292" i="10" s="1"/>
  <c r="AJ290" i="8"/>
  <c r="AJ292" i="21" s="1"/>
  <c r="AH291" i="8"/>
  <c r="AI291" i="8"/>
  <c r="AI293" i="21" s="1"/>
  <c r="AJ291" i="8"/>
  <c r="AJ293" i="21" s="1"/>
  <c r="AH292" i="8"/>
  <c r="AI292" i="8"/>
  <c r="AI294" i="11" s="1"/>
  <c r="AJ292" i="8"/>
  <c r="AJ294" i="11" s="1"/>
  <c r="AH293" i="8"/>
  <c r="AI293" i="8"/>
  <c r="AJ293" i="8"/>
  <c r="AH294" i="8"/>
  <c r="AI294" i="8"/>
  <c r="AJ294" i="8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H299" i="8"/>
  <c r="AI299" i="8"/>
  <c r="AJ299" i="8"/>
  <c r="AH300" i="8"/>
  <c r="AH302" i="10" s="1"/>
  <c r="AI300" i="8"/>
  <c r="AI302" i="11" s="1"/>
  <c r="AJ300" i="8"/>
  <c r="AJ302" i="11" s="1"/>
  <c r="AH301" i="8"/>
  <c r="AI301" i="8"/>
  <c r="AJ301" i="8"/>
  <c r="AH302" i="8"/>
  <c r="AI302" i="8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H319" i="8"/>
  <c r="AI319" i="8"/>
  <c r="AJ319" i="8"/>
  <c r="AH320" i="8"/>
  <c r="AH322" i="11" s="1"/>
  <c r="AI320" i="8"/>
  <c r="AJ320" i="8"/>
  <c r="AH321" i="8"/>
  <c r="AI321" i="8"/>
  <c r="AJ321" i="8"/>
  <c r="AH322" i="8"/>
  <c r="AI322" i="8"/>
  <c r="AJ322" i="8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J336" i="8"/>
  <c r="AH337" i="8"/>
  <c r="AI337" i="8"/>
  <c r="AJ337" i="8"/>
  <c r="AH338" i="8"/>
  <c r="AI338" i="8"/>
  <c r="AJ338" i="8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I351" i="21" s="1"/>
  <c r="AJ349" i="8"/>
  <c r="AJ351" i="11" s="1"/>
  <c r="AH350" i="8"/>
  <c r="AI350" i="8"/>
  <c r="AJ350" i="8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I357" i="11" s="1"/>
  <c r="AJ355" i="8"/>
  <c r="AJ357" i="21" s="1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J363" i="8"/>
  <c r="AH364" i="8"/>
  <c r="AI364" i="8"/>
  <c r="AJ364" i="8"/>
  <c r="AH365" i="8"/>
  <c r="AH367" i="11" s="1"/>
  <c r="AI365" i="8"/>
  <c r="AJ365" i="8"/>
  <c r="AH366" i="8"/>
  <c r="AI366" i="8"/>
  <c r="AI368" i="11" s="1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G2" i="10"/>
  <c r="AF2" i="10"/>
  <c r="AE2" i="10"/>
  <c r="AD2" i="10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E367" i="9" s="1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B372" i="9" s="1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B374" i="9" s="1"/>
  <c r="C373" i="8"/>
  <c r="C374" i="9" s="1"/>
  <c r="D373" i="8"/>
  <c r="D374" i="9" s="1"/>
  <c r="E373" i="8"/>
  <c r="E374" i="9" s="1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B371" i="9"/>
  <c r="C371" i="9"/>
  <c r="E371" i="9"/>
  <c r="A372" i="9"/>
  <c r="C372" i="9"/>
  <c r="D372" i="9"/>
  <c r="A373" i="9"/>
  <c r="B373" i="9"/>
  <c r="C373" i="9"/>
  <c r="A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S2" i="2"/>
  <c r="P2" i="2"/>
  <c r="Q2" i="2"/>
  <c r="O2" i="2"/>
  <c r="AA368" i="21"/>
  <c r="AB368" i="21"/>
  <c r="AC368" i="11"/>
  <c r="AD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J282" i="10" l="1"/>
  <c r="AJ282" i="21"/>
  <c r="AJ206" i="21"/>
  <c r="AJ205" i="10"/>
  <c r="AJ205" i="11"/>
  <c r="AJ196" i="10"/>
  <c r="AJ196" i="21"/>
  <c r="AJ201" i="10"/>
  <c r="AJ201" i="21"/>
  <c r="AJ200" i="10"/>
  <c r="AJ200" i="21"/>
  <c r="AJ209" i="10"/>
  <c r="AJ209" i="21"/>
  <c r="AJ208" i="10"/>
  <c r="AJ208" i="21"/>
  <c r="AJ368" i="21"/>
  <c r="AJ357" i="10"/>
  <c r="AJ357" i="11"/>
  <c r="AJ351" i="10"/>
  <c r="AJ351" i="21"/>
  <c r="AJ302" i="10"/>
  <c r="AJ302" i="21"/>
  <c r="AJ294" i="21"/>
  <c r="AJ293" i="10"/>
  <c r="AJ293" i="11"/>
  <c r="AJ292" i="10"/>
  <c r="AJ292" i="11"/>
  <c r="AJ291" i="21"/>
  <c r="AJ291" i="11"/>
  <c r="AJ290" i="21"/>
  <c r="AJ290" i="11"/>
  <c r="AJ193" i="10"/>
  <c r="AJ193" i="21"/>
  <c r="AJ192" i="10"/>
  <c r="AJ192" i="21"/>
  <c r="AJ257" i="10"/>
  <c r="AJ257" i="21"/>
  <c r="AJ6" i="21"/>
  <c r="AJ191" i="21"/>
  <c r="AJ191" i="10"/>
  <c r="AJ190" i="10"/>
  <c r="AJ190" i="21"/>
  <c r="AJ173" i="10"/>
  <c r="AJ173" i="21"/>
  <c r="AJ170" i="10"/>
  <c r="AJ170" i="21"/>
  <c r="AJ155" i="21"/>
  <c r="AJ155" i="10"/>
  <c r="AJ152" i="10"/>
  <c r="AJ152" i="21"/>
  <c r="AJ135" i="21"/>
  <c r="AJ91" i="10"/>
  <c r="AJ90" i="10"/>
  <c r="AJ90" i="11"/>
  <c r="AJ29" i="11"/>
  <c r="AJ79" i="10"/>
  <c r="AJ79" i="21"/>
  <c r="AJ67" i="21"/>
  <c r="AJ67" i="11"/>
  <c r="AJ64" i="11"/>
  <c r="AJ64" i="10"/>
  <c r="AJ62" i="21"/>
  <c r="AJ2" i="11"/>
  <c r="AJ62" i="10"/>
  <c r="AJ2" i="21"/>
  <c r="AJ61" i="10"/>
  <c r="AJ61" i="21"/>
  <c r="B31" i="14"/>
  <c r="E31" i="14" s="1"/>
  <c r="AI282" i="21"/>
  <c r="AI282" i="10"/>
  <c r="AI206" i="11"/>
  <c r="AI205" i="10"/>
  <c r="AI205" i="11"/>
  <c r="AI196" i="21"/>
  <c r="AI196" i="11"/>
  <c r="AI201" i="21"/>
  <c r="AI200" i="10"/>
  <c r="AI200" i="11"/>
  <c r="AI209" i="21"/>
  <c r="AI209" i="10"/>
  <c r="AI208" i="21"/>
  <c r="AI208" i="11"/>
  <c r="AI368" i="21"/>
  <c r="AI357" i="10"/>
  <c r="AI357" i="21"/>
  <c r="AI351" i="10"/>
  <c r="AI351" i="11"/>
  <c r="AI302" i="10"/>
  <c r="AI302" i="21"/>
  <c r="AI294" i="21"/>
  <c r="AI292" i="11"/>
  <c r="AI292" i="21"/>
  <c r="AI293" i="10"/>
  <c r="AI293" i="11"/>
  <c r="AI291" i="10"/>
  <c r="AI291" i="21"/>
  <c r="AI290" i="10"/>
  <c r="AI290" i="21"/>
  <c r="AI258" i="10"/>
  <c r="AI258" i="11"/>
  <c r="AI223" i="10"/>
  <c r="AI223" i="11"/>
  <c r="AI191" i="21"/>
  <c r="AI191" i="11"/>
  <c r="AI190" i="21"/>
  <c r="AI190" i="11"/>
  <c r="AI173" i="21"/>
  <c r="AI173" i="10"/>
  <c r="AI170" i="11"/>
  <c r="AI170" i="21"/>
  <c r="AI4" i="10"/>
  <c r="AI4" i="21"/>
  <c r="AI155" i="11"/>
  <c r="AI155" i="10"/>
  <c r="AI152" i="10"/>
  <c r="AI152" i="11"/>
  <c r="AI135" i="11"/>
  <c r="AI132" i="21"/>
  <c r="AI91" i="11"/>
  <c r="AI91" i="10"/>
  <c r="AI90" i="10"/>
  <c r="AI90" i="11"/>
  <c r="AI29" i="11"/>
  <c r="AI79" i="21"/>
  <c r="AI79" i="11"/>
  <c r="AI67" i="11"/>
  <c r="AI67" i="10"/>
  <c r="AI64" i="10"/>
  <c r="AI64" i="11"/>
  <c r="AI62" i="11"/>
  <c r="AI62" i="21"/>
  <c r="AI61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AJ2" i="10" l="1"/>
  <c r="AH2" i="10"/>
  <c r="C30" i="14" s="1"/>
  <c r="AH2" i="21"/>
  <c r="D30" i="14" s="1"/>
  <c r="AH2" i="11"/>
  <c r="N372" i="2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B30" i="14" l="1"/>
  <c r="E30" i="14" s="1"/>
  <c r="AC1" i="2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29" i="14" s="1"/>
  <c r="D1" i="11"/>
  <c r="F2" i="10"/>
  <c r="C2" i="14" s="1"/>
  <c r="O2" i="11"/>
  <c r="B11" i="14" s="1"/>
  <c r="D1" i="10"/>
  <c r="AE2" i="21"/>
  <c r="D27" i="14" s="1"/>
  <c r="AF2" i="21"/>
  <c r="D28" i="14" s="1"/>
  <c r="B28" i="14" s="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7" i="14"/>
  <c r="C28" i="14"/>
  <c r="C29" i="14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B27" i="14" l="1"/>
  <c r="E27" i="14" s="1"/>
  <c r="B29" i="14"/>
  <c r="E29" i="14" s="1"/>
  <c r="E28" i="14"/>
  <c r="E25" i="14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<sst xmlns="http://schemas.openxmlformats.org/spreadsheetml/2006/main" count="4521" uniqueCount="1345">
  <si>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</si>
  <si>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</si>
  <si>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</si>
  <si>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</si>
  <si>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</si>
  <si>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</si>
  <si>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</si>
  <si>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</si>
  <si>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</si>
  <si>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</si>
  <si>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</si>
  <si>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</si>
  <si>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</si>
  <si>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</si>
  <si>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</si>
  <si>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</si>
  <si>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</si>
  <si>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</si>
  <si>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</si>
  <si>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</si>
  <si>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</si>
  <si>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</si>
  <si>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</si>
  <si>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</si>
  <si>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</si>
  <si>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</si>
  <si>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</si>
  <si>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</si>
  <si>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</si>
  <si>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</si>
  <si>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</si>
  <si>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</si>
  <si>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</si>
  <si>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</si>
  <si>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</si>
  <si>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</si>
  <si>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</si>
  <si>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</si>
  <si>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</si>
  <si>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</si>
  <si>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</si>
  <si>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</si>
  <si>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</si>
  <si>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</si>
  <si>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</si>
  <si>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</si>
  <si>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</si>
  <si>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</si>
  <si>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</si>
  <si>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</si>
  <si>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</si>
  <si>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</si>
  <si>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</si>
  <si>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</si>
  <si>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</si>
  <si>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</si>
  <si>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</si>
  <si>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</si>
  <si>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</si>
  <si>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</si>
  <si>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</si>
  <si>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</si>
  <si>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</si>
  <si>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</si>
  <si>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</si>
  <si>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</si>
  <si>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</si>
  <si>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</si>
  <si>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</si>
  <si>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</si>
  <si>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</si>
  <si>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</si>
  <si>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</si>
  <si>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</si>
  <si>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</si>
  <si>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</si>
  <si>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</si>
  <si>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</si>
  <si>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</si>
  <si>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</si>
  <si>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</si>
  <si>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</si>
  <si>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</si>
  <si>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</si>
  <si>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</si>
  <si>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</si>
  <si>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</si>
  <si>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</si>
  <si>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</si>
  <si>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</si>
  <si>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</si>
  <si>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</si>
  <si>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</si>
  <si>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</si>
  <si>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</si>
  <si>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</si>
  <si>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</si>
  <si>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</si>
  <si>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</si>
  <si>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</si>
  <si>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</si>
  <si>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</si>
  <si>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</si>
  <si>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</si>
  <si>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</si>
  <si>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</si>
  <si>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</si>
  <si>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</si>
  <si>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</si>
  <si>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</si>
  <si>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</si>
  <si>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</si>
  <si>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</si>
  <si>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</si>
  <si>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</si>
  <si>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</si>
  <si>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</si>
  <si>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</si>
  <si>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</si>
  <si>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</si>
  <si>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</si>
  <si>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</si>
  <si>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</si>
  <si>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</si>
  <si>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</si>
  <si>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</si>
  <si>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</si>
  <si>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</si>
  <si>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</si>
  <si>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</si>
  <si>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</si>
  <si>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</si>
  <si>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</si>
  <si>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</si>
  <si>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</si>
  <si>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</si>
  <si>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</si>
  <si>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</si>
  <si>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</si>
  <si>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</si>
  <si>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</si>
  <si>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</si>
  <si>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</si>
  <si>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</si>
  <si>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</si>
  <si>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</si>
  <si>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</si>
  <si>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</si>
  <si>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</si>
  <si>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</si>
  <si>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</si>
  <si>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</si>
  <si>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</si>
  <si>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</si>
  <si>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</si>
  <si>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</si>
  <si>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</si>
  <si>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</si>
  <si>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</si>
  <si>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</si>
  <si>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</si>
  <si>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</si>
  <si>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</si>
  <si>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</si>
  <si>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</si>
  <si>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</si>
  <si>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</si>
  <si>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</si>
  <si>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</si>
  <si>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</si>
  <si>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</si>
  <si>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</si>
  <si>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</si>
  <si>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</si>
  <si>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</si>
  <si>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</si>
  <si>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</si>
  <si>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</si>
  <si>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</si>
  <si>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</si>
  <si>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</si>
  <si>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</si>
  <si>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</si>
  <si>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</si>
  <si>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</si>
  <si>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</si>
  <si>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</si>
  <si>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</si>
  <si>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</si>
  <si>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</si>
  <si>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</si>
  <si>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</si>
  <si>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</si>
  <si>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</si>
  <si>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</si>
  <si>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</si>
  <si>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</si>
  <si>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</si>
  <si>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</si>
  <si>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</si>
  <si>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</si>
  <si>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</si>
  <si>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</si>
  <si>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</si>
  <si>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</si>
  <si>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</si>
  <si>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</si>
  <si>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</si>
  <si>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</si>
  <si>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</si>
  <si>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</si>
  <si>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</si>
  <si>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</si>
  <si>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</si>
  <si>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</si>
  <si>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</si>
  <si>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</si>
  <si>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</si>
  <si>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</si>
  <si>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</si>
  <si>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</si>
  <si>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</si>
  <si>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</si>
  <si>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</si>
  <si>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</si>
  <si>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</si>
  <si>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</si>
  <si>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</si>
  <si>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</si>
  <si>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</si>
  <si>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</si>
  <si>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</si>
  <si>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</si>
  <si>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</si>
  <si>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</si>
  <si>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</si>
  <si>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</si>
  <si>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</si>
  <si>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</si>
  <si>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</si>
  <si>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</si>
  <si>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</si>
  <si>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</si>
  <si>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</si>
  <si>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</si>
  <si>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</si>
  <si>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</si>
  <si>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</si>
  <si>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</si>
  <si>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</si>
  <si>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</si>
  <si>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</si>
  <si>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</si>
  <si>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</si>
  <si>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</si>
  <si>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</si>
  <si>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</si>
  <si>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</si>
  <si>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</si>
  <si>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</si>
  <si>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</si>
  <si>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</si>
  <si>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</si>
  <si>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</si>
  <si>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</si>
  <si>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</si>
  <si>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</si>
  <si>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</si>
  <si>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</si>
  <si>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</si>
  <si>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</si>
  <si>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</si>
  <si>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</si>
  <si>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</si>
  <si>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</si>
  <si>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</si>
  <si>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</si>
  <si>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</si>
  <si>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</si>
  <si>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</si>
  <si>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</si>
  <si>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</si>
  <si>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</si>
  <si>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</si>
  <si>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</si>
  <si>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</si>
  <si>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</si>
  <si>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</si>
  <si>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</si>
  <si>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</si>
  <si>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</si>
  <si>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</si>
  <si>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</si>
  <si>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</si>
  <si>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</si>
  <si>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</si>
  <si>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</si>
  <si>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</si>
  <si>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</si>
  <si>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</si>
  <si>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</si>
  <si>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</si>
  <si>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</si>
  <si>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</si>
  <si>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</si>
  <si>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</si>
  <si>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</si>
  <si>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</si>
  <si>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</si>
  <si>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</si>
  <si>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</si>
  <si>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</si>
  <si>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</si>
  <si>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</si>
  <si>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</si>
  <si>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</si>
  <si>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</si>
  <si>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</si>
  <si>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</si>
  <si>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</si>
  <si>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</si>
  <si>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</si>
  <si>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</si>
  <si>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</si>
  <si>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</si>
  <si>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</si>
  <si>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</si>
  <si>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</si>
  <si>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</si>
  <si>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</si>
  <si>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</si>
  <si>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</si>
  <si>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</si>
  <si>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</si>
  <si>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</si>
  <si>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</si>
  <si>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</si>
  <si>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</si>
  <si>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</si>
  <si>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</si>
  <si>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</si>
  <si>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</si>
  <si>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</si>
  <si>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</si>
  <si>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</si>
  <si>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</si>
  <si>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</si>
  <si>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</si>
  <si>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</si>
  <si>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</si>
  <si>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</si>
  <si>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</si>
  <si>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</si>
  <si>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</si>
  <si>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</si>
  <si>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</si>
  <si>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</si>
  <si>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</si>
  <si>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</si>
  <si>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</si>
  <si>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</si>
  <si>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</si>
  <si>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</si>
  <si>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</si>
  <si>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</si>
  <si>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</si>
  <si>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</si>
  <si>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</si>
  <si>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</si>
  <si>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</si>
  <si>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</si>
  <si>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</si>
  <si>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</si>
  <si>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</si>
  <si>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</si>
  <si>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</si>
  <si>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</si>
  <si>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</si>
  <si>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</si>
  <si>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</si>
  <si>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</si>
  <si>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</si>
  <si>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</si>
  <si>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</si>
  <si>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</si>
  <si>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</si>
  <si>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</si>
  <si>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</si>
  <si>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</si>
  <si>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</si>
  <si>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</si>
  <si>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</si>
  <si>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</si>
  <si>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</si>
  <si>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</si>
  <si>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</si>
  <si>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</si>
  <si>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</si>
  <si>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</si>
  <si>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</si>
  <si>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</si>
  <si>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</si>
  <si>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</si>
  <si>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</si>
  <si>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</si>
  <si>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</si>
  <si>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</si>
  <si>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</si>
  <si>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</si>
  <si>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</si>
  <si>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</si>
  <si>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</si>
  <si>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</si>
  <si>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</si>
  <si>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</si>
  <si>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</si>
  <si>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</si>
  <si>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</si>
  <si>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</si>
  <si>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</si>
  <si>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</si>
  <si>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</si>
  <si>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</si>
  <si>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</si>
  <si>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</si>
  <si>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</si>
  <si>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</si>
  <si>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</si>
  <si>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</si>
  <si>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</si>
  <si>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</si>
  <si>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</si>
  <si>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</si>
  <si>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</si>
  <si>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</si>
  <si>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</si>
  <si>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</si>
  <si>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</si>
  <si>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</si>
  <si>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</si>
  <si>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</si>
  <si>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</si>
  <si>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</si>
  <si>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</si>
  <si>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</si>
  <si>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</si>
  <si>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</si>
  <si>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</si>
  <si>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</si>
  <si>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</si>
  <si>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</si>
  <si>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</si>
  <si>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</si>
  <si>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</si>
  <si>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</si>
  <si>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</si>
  <si>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</si>
  <si>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</si>
  <si>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</si>
  <si>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</si>
  <si>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</si>
  <si>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</si>
  <si>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</si>
  <si>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</si>
  <si>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</si>
  <si>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</si>
  <si>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</si>
  <si>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</si>
  <si>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</si>
  <si>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</si>
  <si>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</si>
  <si>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</si>
  <si>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</si>
  <si>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</si>
  <si>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</si>
  <si>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</si>
  <si>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</si>
  <si>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</si>
  <si>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</si>
  <si>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</si>
  <si>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</si>
  <si>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</si>
  <si>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</si>
  <si>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</si>
  <si>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</si>
  <si>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</si>
  <si>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</si>
  <si>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</si>
  <si>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</si>
  <si>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</si>
  <si>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</si>
  <si>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</si>
  <si>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</si>
  <si>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</si>
  <si>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</si>
  <si>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</si>
  <si>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</si>
  <si>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</si>
  <si>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</si>
  <si>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</si>
  <si>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</si>
  <si>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</si>
  <si>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</si>
  <si>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</si>
  <si>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</si>
  <si>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</si>
  <si>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</si>
  <si>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</si>
  <si>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</si>
  <si>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</si>
  <si>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</si>
  <si>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</si>
  <si>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</si>
  <si>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</si>
  <si>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</si>
  <si>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</si>
  <si>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</si>
  <si>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</si>
  <si>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</si>
  <si>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</si>
  <si>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</si>
  <si>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</si>
  <si>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</si>
  <si>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</si>
  <si>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</si>
  <si>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</si>
  <si>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</si>
  <si>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</si>
  <si>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</si>
  <si>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</si>
  <si>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</si>
  <si>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</si>
  <si>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</si>
  <si>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</si>
  <si>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</si>
  <si>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</si>
  <si>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</si>
  <si>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</si>
  <si>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</si>
  <si>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</si>
  <si>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</si>
  <si>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</si>
  <si>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</si>
  <si>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</si>
  <si>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</si>
  <si>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</si>
  <si>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</si>
  <si>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</si>
  <si>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</si>
  <si>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</si>
  <si>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</si>
  <si>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</si>
  <si>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</si>
  <si>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</si>
  <si>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</si>
  <si>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</si>
  <si>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</si>
  <si>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</si>
  <si>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</si>
  <si>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</si>
  <si>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</si>
  <si>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</si>
  <si>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</si>
  <si>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</si>
  <si>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</si>
  <si>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</si>
  <si>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</si>
  <si>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</si>
  <si>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</si>
  <si>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</si>
  <si>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</si>
  <si>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</si>
  <si>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</si>
  <si>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</si>
  <si>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</si>
  <si>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</si>
  <si>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</si>
  <si>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</si>
  <si>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</si>
  <si>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</si>
  <si>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</si>
  <si>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</si>
  <si>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</si>
  <si>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</si>
  <si>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</si>
  <si>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</si>
  <si>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</si>
  <si>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</si>
  <si>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</si>
  <si>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</si>
  <si>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</si>
  <si>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</si>
  <si>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</si>
  <si>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</si>
  <si>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</si>
  <si>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</si>
  <si>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</si>
  <si>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</si>
  <si>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</si>
  <si>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</si>
  <si>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</si>
  <si>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</si>
  <si>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</si>
  <si>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</si>
  <si>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</si>
  <si>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</si>
  <si>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</si>
  <si>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</si>
  <si>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</si>
  <si>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</si>
  <si>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</si>
  <si>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</si>
  <si>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</si>
  <si>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</si>
  <si>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</si>
  <si>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</si>
  <si>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</si>
  <si>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</si>
  <si>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</si>
  <si>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</si>
  <si>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</si>
  <si>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</si>
  <si>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</si>
  <si>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</si>
  <si>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</si>
  <si>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</si>
  <si>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</si>
  <si>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</si>
  <si>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</si>
  <si>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</si>
  <si>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</si>
  <si>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</si>
  <si>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</si>
  <si>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</si>
  <si>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</si>
  <si>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</si>
  <si>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</si>
  <si>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</si>
  <si>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</si>
  <si>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</si>
  <si>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</si>
  <si>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</si>
  <si>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</si>
  <si>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</si>
  <si>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</si>
  <si>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</si>
  <si>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</si>
  <si>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</si>
  <si>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</si>
  <si>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</si>
  <si>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</si>
  <si>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</si>
  <si>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</si>
  <si>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</si>
  <si>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</si>
  <si>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</si>
  <si>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</si>
  <si>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</si>
  <si>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</si>
  <si>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</si>
  <si>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</si>
  <si>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</si>
  <si>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</si>
  <si>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</si>
  <si>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</si>
  <si>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</si>
  <si>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</si>
  <si>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</si>
  <si>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</si>
  <si>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</si>
  <si>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</si>
  <si>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</si>
  <si>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</si>
  <si>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</si>
  <si>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</si>
  <si>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</si>
  <si>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</si>
  <si>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</si>
  <si>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</si>
  <si>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</si>
  <si>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</si>
  <si>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</si>
  <si>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</si>
  <si>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</si>
  <si>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</si>
  <si>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</si>
  <si>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</si>
  <si>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</si>
  <si>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</si>
  <si>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</si>
  <si>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</si>
  <si>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</si>
  <si>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</si>
  <si>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</si>
  <si>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</si>
  <si>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</si>
  <si>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</si>
  <si>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</si>
  <si>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</si>
  <si>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</si>
  <si>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</si>
  <si>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</si>
  <si>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</si>
  <si>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</si>
  <si>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</si>
  <si>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</si>
  <si>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</si>
  <si>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</si>
  <si>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</si>
  <si>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</si>
  <si>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</si>
  <si>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</si>
  <si>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</si>
  <si>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</si>
  <si>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</si>
  <si>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</si>
  <si>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</si>
  <si>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</si>
  <si>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</si>
  <si>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</si>
  <si>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</si>
  <si>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</si>
  <si>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</si>
  <si>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</si>
  <si>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</si>
  <si>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</si>
  <si>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</si>
  <si>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</si>
  <si>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</si>
  <si>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</si>
  <si>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</si>
  <si>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</si>
  <si>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</si>
  <si>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</si>
  <si>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</si>
  <si>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</si>
  <si>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</si>
  <si>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</si>
  <si>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</si>
  <si>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</si>
  <si>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</si>
  <si>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</si>
  <si>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</si>
  <si>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</si>
  <si>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</si>
  <si>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</si>
  <si>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</si>
  <si>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</si>
  <si>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</si>
  <si>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</si>
  <si>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</si>
  <si>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</si>
  <si>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</si>
  <si>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</si>
  <si>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</si>
  <si>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</si>
  <si>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</si>
  <si>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</si>
  <si>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</si>
  <si>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</si>
  <si>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</si>
  <si>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</si>
  <si>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</si>
  <si>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</si>
  <si>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</si>
  <si>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</si>
  <si>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</si>
  <si>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</si>
  <si>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</si>
  <si>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</si>
  <si>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</si>
  <si>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</si>
  <si>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</si>
  <si>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</si>
  <si>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</si>
  <si>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</si>
  <si>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</si>
  <si>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</si>
  <si>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</si>
  <si>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</si>
  <si>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</si>
  <si>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</si>
  <si>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</si>
  <si>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</si>
  <si>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</si>
  <si>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</si>
  <si>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</si>
  <si>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</si>
  <si>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</si>
  <si>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</si>
  <si>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</si>
  <si>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</si>
  <si>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</si>
  <si>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</si>
  <si>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</si>
  <si>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</si>
  <si>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</si>
  <si>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</si>
  <si>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</si>
  <si>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</si>
  <si>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</si>
  <si>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</si>
  <si>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</si>
  <si>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</si>
  <si>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</si>
  <si>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</si>
  <si>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</si>
  <si>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</si>
  <si>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</si>
  <si>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</si>
  <si>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</si>
  <si>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</si>
  <si>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</si>
  <si>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</si>
  <si>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</si>
  <si>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</si>
  <si>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</si>
  <si>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</si>
  <si>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</si>
  <si>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</si>
  <si>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</si>
  <si>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</si>
  <si>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</si>
  <si>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</si>
  <si>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</si>
  <si>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</si>
  <si>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</si>
  <si>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</si>
  <si>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</si>
  <si>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</si>
  <si>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</si>
  <si>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</si>
  <si>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</si>
  <si>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</si>
  <si>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</si>
  <si>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</si>
  <si>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</si>
  <si>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</si>
  <si>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</si>
  <si>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</si>
  <si>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</si>
  <si>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</si>
  <si>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</si>
  <si>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</si>
  <si>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</si>
  <si>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</si>
  <si>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</si>
  <si>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</si>
  <si>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</si>
  <si>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</si>
  <si>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</si>
  <si>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</si>
  <si>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</si>
  <si>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</si>
  <si>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</si>
  <si>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</si>
  <si>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</si>
  <si>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</si>
  <si>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</si>
  <si>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</si>
  <si>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</si>
  <si>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</si>
  <si>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</si>
  <si>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</si>
  <si>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</si>
  <si>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</si>
  <si>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</si>
  <si>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</si>
  <si>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</si>
  <si>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</si>
  <si>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</si>
  <si>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</si>
  <si>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</si>
  <si>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</si>
  <si>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</si>
  <si>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</si>
  <si>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</si>
  <si>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</si>
  <si>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</si>
  <si>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</si>
  <si>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</si>
  <si>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</si>
  <si>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</si>
  <si>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</si>
  <si>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</si>
  <si>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</si>
  <si>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</si>
  <si>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</si>
  <si>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</si>
  <si>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</si>
  <si>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</si>
  <si>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</si>
  <si>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</si>
  <si>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</si>
  <si>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</si>
  <si>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</si>
  <si>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</si>
  <si>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</si>
  <si>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</si>
  <si>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</si>
  <si>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</si>
  <si>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</si>
  <si>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</si>
  <si>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</si>
  <si>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</si>
  <si>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</si>
  <si>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</si>
  <si>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</si>
  <si>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</si>
  <si>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</si>
  <si>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</si>
  <si>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</si>
  <si>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</si>
  <si>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</si>
  <si>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</si>
  <si>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</si>
  <si>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</si>
  <si>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</si>
  <si>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</si>
  <si>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</si>
  <si>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</si>
  <si>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</si>
  <si>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</si>
  <si>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</si>
  <si>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</si>
  <si>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</si>
  <si>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</si>
  <si>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</si>
  <si>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</si>
  <si>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</si>
  <si>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</si>
  <si>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</si>
  <si>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</si>
  <si>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</si>
  <si>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</si>
  <si>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</si>
  <si>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</si>
  <si>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</si>
  <si>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</si>
  <si>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</si>
  <si>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</si>
  <si>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</si>
  <si>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</si>
  <si>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</si>
  <si>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</si>
  <si>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</si>
  <si>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</si>
  <si>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</si>
  <si>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</si>
  <si>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</si>
  <si>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</si>
  <si>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</si>
  <si>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</si>
  <si>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</si>
  <si>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</si>
  <si>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</si>
  <si>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</si>
  <si>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</si>
  <si>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</si>
  <si>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</si>
  <si>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</si>
  <si>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</si>
  <si>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</si>
  <si>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</si>
  <si>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</si>
  <si>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</si>
  <si>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</si>
  <si>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</si>
  <si>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</si>
  <si>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</si>
  <si>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</si>
  <si>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</si>
  <si>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</si>
  <si>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</si>
  <si>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</si>
  <si>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</si>
  <si>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</si>
  <si>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</si>
  <si>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</si>
  <si>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</si>
  <si>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</si>
  <si>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</si>
  <si>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</si>
  <si>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</si>
  <si>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</si>
  <si>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</si>
  <si>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</si>
  <si>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</si>
  <si>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</si>
  <si>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</si>
  <si>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</si>
  <si>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</si>
  <si>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</si>
  <si>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</si>
  <si>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</si>
  <si>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</si>
  <si>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</si>
  <si>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</si>
  <si>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</si>
  <si>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</si>
  <si>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</si>
  <si>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</si>
  <si>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</si>
  <si>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</si>
  <si>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</si>
  <si>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</si>
  <si>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</si>
  <si>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</si>
  <si>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</si>
  <si>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</si>
  <si>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</si>
  <si>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</si>
  <si>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</si>
  <si>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</si>
  <si>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</si>
  <si>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</si>
  <si>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</si>
  <si>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</si>
  <si>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</si>
  <si>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</si>
  <si>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</si>
  <si>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</si>
  <si>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</si>
  <si>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</si>
  <si>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</si>
  <si>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</si>
  <si>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</si>
  <si>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</si>
  <si>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</si>
  <si>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</si>
  <si>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</si>
  <si>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</si>
  <si>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</si>
  <si>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</si>
  <si>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</si>
  <si>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</si>
  <si>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</si>
  <si>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</si>
  <si>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</si>
  <si>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</si>
  <si>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</si>
  <si>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</si>
  <si>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</si>
  <si>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</si>
  <si>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</si>
  <si>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</si>
  <si>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</si>
  <si>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</si>
  <si>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</si>
  <si>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</si>
  <si>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</si>
  <si>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</si>
  <si>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</si>
  <si>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</si>
  <si>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</si>
  <si>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</si>
  <si>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</si>
  <si>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</si>
  <si>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</si>
  <si>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</si>
  <si>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</si>
  <si>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</si>
  <si>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</si>
  <si>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</si>
  <si>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</si>
  <si>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</si>
  <si>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</si>
  <si>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</si>
  <si>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</si>
  <si>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</si>
  <si>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</si>
  <si>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</si>
  <si>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</si>
  <si>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</si>
  <si>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</si>
  <si>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</si>
  <si>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</si>
  <si>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</si>
  <si>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</si>
  <si>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</si>
  <si>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</si>
  <si>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</si>
  <si>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</si>
  <si>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</si>
  <si>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</si>
  <si>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</si>
  <si>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</si>
  <si>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</si>
  <si>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</si>
  <si>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</si>
  <si>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</si>
  <si>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</si>
  <si>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</si>
  <si>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</si>
  <si>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</si>
  <si>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</si>
  <si>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</si>
  <si>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</si>
  <si>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</si>
  <si>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</si>
  <si>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</si>
  <si>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</si>
  <si>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</si>
  <si>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</si>
  <si>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</si>
  <si>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</si>
  <si>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</si>
  <si>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</si>
  <si>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</si>
  <si>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</si>
  <si>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</si>
  <si>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</si>
  <si>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</si>
  <si>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</si>
  <si>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</si>
  <si>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</si>
  <si>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</si>
  <si>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</si>
  <si>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</si>
  <si>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</si>
  <si>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</si>
  <si>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</si>
  <si>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</si>
  <si>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</si>
  <si>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</si>
  <si>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</si>
  <si>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</si>
  <si>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</si>
  <si>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</si>
  <si>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</si>
  <si>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</si>
  <si>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</si>
  <si>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</si>
  <si>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</si>
  <si>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</si>
  <si>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</si>
  <si>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</si>
  <si>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</si>
  <si>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</si>
  <si>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</si>
  <si>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</si>
  <si>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</si>
  <si>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</si>
  <si>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</si>
  <si>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</si>
  <si>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</si>
  <si>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</si>
  <si>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</si>
  <si>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</si>
  <si>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</si>
  <si>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</si>
  <si>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</si>
  <si>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</si>
  <si>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</si>
  <si>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</si>
  <si>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</si>
  <si>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</si>
  <si>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</si>
  <si>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</si>
  <si>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</si>
  <si>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</si>
  <si>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</si>
  <si>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</si>
  <si>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</si>
  <si>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</si>
  <si>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</si>
  <si>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</si>
  <si>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</si>
  <si>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</si>
  <si>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</si>
  <si>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</si>
  <si>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</si>
  <si>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</si>
  <si>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</si>
  <si>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</si>
  <si>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</si>
  <si>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</si>
  <si>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</si>
  <si>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</si>
  <si>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</si>
  <si>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</si>
  <si>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</si>
  <si>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</si>
  <si>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</si>
  <si>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</si>
  <si>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</si>
  <si>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</si>
  <si>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</si>
  <si>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</si>
  <si>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</si>
  <si>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</si>
  <si>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</si>
  <si>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</si>
  <si>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</si>
  <si>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</si>
  <si>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</si>
  <si>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</si>
  <si>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</si>
  <si>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</si>
  <si>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</si>
  <si>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</si>
  <si>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</si>
  <si>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</si>
  <si>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</si>
  <si>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</si>
  <si>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</si>
  <si>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</si>
  <si>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</si>
  <si>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</si>
  <si>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</si>
  <si>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</si>
  <si>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</si>
  <si>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</si>
  <si>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</si>
  <si>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</si>
  <si>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</si>
  <si>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</si>
  <si>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</si>
  <si>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</si>
  <si>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</si>
  <si>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</si>
  <si>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</si>
  <si>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</si>
  <si>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</si>
  <si>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</si>
  <si>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</si>
  <si>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</si>
  <si>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</si>
  <si>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</si>
  <si>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</si>
  <si>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</si>
  <si>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</si>
  <si>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</si>
  <si>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</si>
  <si>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</si>
  <si>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</si>
  <si>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</si>
  <si>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</si>
  <si>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</si>
  <si>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</si>
  <si>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</si>
  <si>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</si>
  <si>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</si>
  <si>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</si>
  <si>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</si>
  <si>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</si>
  <si>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</si>
  <si>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</si>
  <si>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</si>
  <si>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</si>
  <si>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</si>
  <si>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</si>
  <si>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</si>
  <si>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</si>
  <si>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</si>
  <si>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</si>
  <si>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</si>
  <si>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</si>
  <si>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</si>
  <si>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</si>
  <si>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</si>
  <si>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</si>
  <si>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</si>
  <si>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</si>
  <si>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</si>
  <si>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</si>
  <si>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</si>
  <si>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</si>
  <si>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</si>
  <si>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</si>
  <si>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</si>
  <si>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</si>
  <si>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</si>
  <si>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</si>
  <si>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</si>
  <si>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</si>
  <si>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</si>
  <si>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</si>
  <si>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</si>
  <si>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</si>
  <si>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</si>
  <si>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</si>
  <si>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</si>
  <si>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</si>
  <si>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</si>
  <si>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</si>
  <si>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</si>
  <si>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</si>
  <si>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</si>
  <si>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</si>
  <si>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</si>
  <si>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</si>
  <si>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</si>
  <si>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</si>
  <si>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</si>
  <si>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</si>
  <si>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</si>
  <si>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</si>
  <si>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</si>
  <si>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</si>
  <si>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</si>
  <si>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</si>
  <si>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</si>
  <si>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</si>
  <si>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</si>
  <si>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</si>
  <si>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</si>
  <si>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</si>
  <si>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</si>
  <si>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</si>
  <si>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</si>
  <si>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</si>
  <si>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</si>
  <si>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</si>
  <si>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</si>
  <si>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</si>
  <si>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</si>
  <si>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</si>
  <si>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</si>
  <si>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</si>
  <si>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</si>
  <si>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</si>
  <si>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</si>
  <si>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</si>
  <si>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</si>
  <si>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</si>
  <si>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</si>
  <si>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</si>
  <si>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</si>
  <si>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</si>
  <si>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</si>
  <si>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</si>
  <si>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</si>
  <si>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</si>
  <si>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CONSTANCIO VIGIL Y PABLO GOUSSAC</t>
  </si>
  <si>
    <t>172.20.11.119</t>
  </si>
  <si>
    <t>RRJ07</t>
  </si>
  <si>
    <t>RRJ08</t>
  </si>
  <si>
    <t>RRJ09</t>
  </si>
  <si>
    <t>CONSTANCIO VIGIL Y ESTANISLAO DEL CAMPO</t>
  </si>
  <si>
    <t>CONSTANCIO VIGIL Y PABLO PODESTA</t>
  </si>
  <si>
    <t>CONSTANCIO VIGIL Y JOSE INGENIEROS</t>
  </si>
  <si>
    <t>172.20.11.120</t>
  </si>
  <si>
    <t>172.20.11.121</t>
  </si>
  <si>
    <t>172.20.11.122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</si>
</sst>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164" fontId="0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47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S266" activePane="bottomRight" state="frozen"/>
      <selection pane="topRight" activeCell="M1" sqref="M1"/>
      <selection pane="bottomLeft" activeCell="A5" sqref="A5"/>
      <selection pane="bottomRight" activeCell="AS283" sqref="AS28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42578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67">
        <f t="shared" si="0"/>
        <v>0.2391304347826087</v>
      </c>
      <c r="AM1" s="67">
        <f t="shared" si="0"/>
        <v>0.14402173913043478</v>
      </c>
      <c r="AN1" s="67">
        <f t="shared" si="0"/>
        <v>0.15489130434782608</v>
      </c>
      <c r="AO1" s="67">
        <f t="shared" si="0"/>
        <v>0.15760869565217392</v>
      </c>
      <c r="AP1" s="67">
        <f t="shared" si="0"/>
        <v>0.21467391304347827</v>
      </c>
      <c r="AQ1" s="67">
        <f t="shared" ref="AQ1:AS1" si="1">(AQ3)/(AQ2+AQ3)</f>
        <v>0.1875</v>
      </c>
      <c r="AR1" s="67">
        <f t="shared" si="1"/>
        <v>9.6774193548387094E-2</v>
      </c>
      <c r="AS1" s="67">
        <f t="shared" si="1"/>
        <v>0.10054347826086957</v>
      </c>
    </row>
    <row r="2" spans="1:45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311</v>
      </c>
      <c r="AO2" s="10">
        <f t="shared" si="2"/>
        <v>310</v>
      </c>
      <c r="AP2" s="10">
        <f t="shared" si="2"/>
        <v>289</v>
      </c>
      <c r="AQ2" s="10">
        <f t="shared" si="2"/>
        <v>299</v>
      </c>
      <c r="AR2" s="10">
        <f>COUNTIF(AR5:AR376, "")</f>
        <v>336</v>
      </c>
      <c r="AS2" s="10">
        <f t="shared" si="2"/>
        <v>331</v>
      </c>
    </row>
    <row r="3" spans="1:45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57</v>
      </c>
      <c r="AO3" s="14">
        <f t="shared" si="3"/>
        <v>58</v>
      </c>
      <c r="AP3" s="14">
        <f t="shared" si="3"/>
        <v>79</v>
      </c>
      <c r="AQ3" s="14">
        <f t="shared" ref="AQ3:AS3" si="4">COUNTIF(AQ4:AQ447, "apagado")</f>
        <v>69</v>
      </c>
      <c r="AR3" s="14">
        <f t="shared" si="4"/>
        <v>36</v>
      </c>
      <c r="AS3" s="14">
        <f t="shared" si="4"/>
        <v>37</v>
      </c>
    </row>
    <row r="4" spans="1:45" s="11" customFormat="1" ht="31.5" thickTop="1" thickBot="1" x14ac:dyDescent="0.35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11</v>
      </c>
      <c r="M5" s="17">
        <f t="shared" ref="M5:M68" si="6">COUNTIF(O5:AP5,"APAGADO")</f>
        <v>17</v>
      </c>
      <c r="N5" s="18">
        <f t="shared" ref="N5:N68" si="7">(L5)/(M5+L5)</f>
        <v>0.39285714285714285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 t="s">
        <v>939</v>
      </c>
      <c r="AO5" s="19" t="s">
        <v>939</v>
      </c>
      <c r="AP5" s="19" t="s">
        <v>939</v>
      </c>
      <c r="AQ5" s="29" t="s">
        <v>939</v>
      </c>
      <c r="AR5" s="29" t="s">
        <v>939</v>
      </c>
      <c r="AS5" s="29"/>
    </row>
    <row r="6" spans="1:45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 t="s">
        <v>939</v>
      </c>
    </row>
    <row r="8" spans="1:45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23</v>
      </c>
      <c r="M10" s="17">
        <f t="shared" si="6"/>
        <v>5</v>
      </c>
      <c r="N10" s="18">
        <f t="shared" si="7"/>
        <v>0.8214285714285714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 t="s">
        <v>939</v>
      </c>
      <c r="AO10" s="8" t="s">
        <v>939</v>
      </c>
      <c r="AP10" s="8" t="s">
        <v>939</v>
      </c>
      <c r="AQ10" s="27" t="s">
        <v>939</v>
      </c>
      <c r="AR10" s="27"/>
      <c r="AS10" s="27"/>
    </row>
    <row r="11" spans="1:45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22</v>
      </c>
      <c r="M13" s="17">
        <f t="shared" si="6"/>
        <v>6</v>
      </c>
      <c r="N13" s="18">
        <f t="shared" si="7"/>
        <v>0.7857142857142857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 t="s">
        <v>939</v>
      </c>
      <c r="AO13" s="8" t="s">
        <v>939</v>
      </c>
      <c r="AP13" s="8" t="s">
        <v>939</v>
      </c>
      <c r="AQ13" s="27" t="s">
        <v>939</v>
      </c>
      <c r="AR13" s="27"/>
      <c r="AS13" s="27"/>
    </row>
    <row r="14" spans="1:45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 t="s">
        <v>939</v>
      </c>
      <c r="AP14" s="8" t="s">
        <v>939</v>
      </c>
      <c r="AQ14" s="27" t="s">
        <v>939</v>
      </c>
      <c r="AR14" s="27"/>
      <c r="AS14" s="27"/>
    </row>
    <row r="15" spans="1:45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22</v>
      </c>
      <c r="M17" s="17">
        <f t="shared" si="6"/>
        <v>6</v>
      </c>
      <c r="N17" s="18">
        <f t="shared" si="7"/>
        <v>0.7857142857142857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 t="s">
        <v>939</v>
      </c>
      <c r="AO17" s="8" t="s">
        <v>939</v>
      </c>
      <c r="AP17" s="8" t="s">
        <v>939</v>
      </c>
      <c r="AQ17" s="27" t="s">
        <v>939</v>
      </c>
      <c r="AR17" s="27"/>
      <c r="AS17" s="27"/>
    </row>
    <row r="18" spans="1:45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22</v>
      </c>
      <c r="M18" s="17">
        <f t="shared" si="6"/>
        <v>6</v>
      </c>
      <c r="N18" s="18">
        <f t="shared" si="7"/>
        <v>0.7857142857142857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 t="s">
        <v>939</v>
      </c>
      <c r="AO18" s="8" t="s">
        <v>939</v>
      </c>
      <c r="AP18" s="8" t="s">
        <v>939</v>
      </c>
      <c r="AQ18" s="27" t="s">
        <v>939</v>
      </c>
      <c r="AR18" s="27"/>
      <c r="AS18" s="27"/>
    </row>
    <row r="19" spans="1:45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17</v>
      </c>
      <c r="M30" s="17">
        <f t="shared" si="6"/>
        <v>11</v>
      </c>
      <c r="N30" s="18">
        <f t="shared" si="7"/>
        <v>0.6071428571428571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 t="s">
        <v>939</v>
      </c>
      <c r="AO30" s="8" t="s">
        <v>939</v>
      </c>
      <c r="AP30" s="8" t="s">
        <v>939</v>
      </c>
      <c r="AQ30" s="27" t="s">
        <v>939</v>
      </c>
      <c r="AR30" s="27" t="s">
        <v>939</v>
      </c>
      <c r="AS30" s="27" t="s">
        <v>939</v>
      </c>
    </row>
    <row r="31" spans="1:45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24</v>
      </c>
      <c r="M62" s="17">
        <f t="shared" si="6"/>
        <v>4</v>
      </c>
      <c r="N62" s="18">
        <f t="shared" si="7"/>
        <v>0.8571428571428571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 t="s">
        <v>939</v>
      </c>
      <c r="AO62" s="8" t="s">
        <v>939</v>
      </c>
      <c r="AP62" s="8" t="s">
        <v>939</v>
      </c>
      <c r="AQ62" s="27" t="s">
        <v>939</v>
      </c>
      <c r="AR62" s="27" t="s">
        <v>939</v>
      </c>
      <c r="AS62" s="27" t="s">
        <v>939</v>
      </c>
    </row>
    <row r="63" spans="1:45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16</v>
      </c>
      <c r="M63" s="17">
        <f t="shared" si="6"/>
        <v>12</v>
      </c>
      <c r="N63" s="18">
        <f t="shared" si="7"/>
        <v>0.5714285714285714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 t="s">
        <v>939</v>
      </c>
      <c r="AO63" s="8" t="s">
        <v>939</v>
      </c>
      <c r="AP63" s="8" t="s">
        <v>939</v>
      </c>
      <c r="AQ63" s="27" t="s">
        <v>939</v>
      </c>
      <c r="AR63" s="27" t="s">
        <v>939</v>
      </c>
      <c r="AS63" s="27" t="s">
        <v>939</v>
      </c>
    </row>
    <row r="64" spans="1:45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14</v>
      </c>
      <c r="M65" s="17">
        <f t="shared" si="6"/>
        <v>14</v>
      </c>
      <c r="N65" s="18">
        <f t="shared" si="7"/>
        <v>0.5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 t="s">
        <v>939</v>
      </c>
      <c r="AO65" s="8" t="s">
        <v>939</v>
      </c>
      <c r="AP65" s="8" t="s">
        <v>939</v>
      </c>
      <c r="AQ65" s="27" t="s">
        <v>939</v>
      </c>
      <c r="AR65" s="27" t="s">
        <v>939</v>
      </c>
      <c r="AS65" s="27" t="s">
        <v>939</v>
      </c>
    </row>
    <row r="66" spans="1:45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16</v>
      </c>
      <c r="M68" s="17">
        <f t="shared" si="6"/>
        <v>12</v>
      </c>
      <c r="N68" s="18">
        <f t="shared" si="7"/>
        <v>0.5714285714285714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 t="s">
        <v>939</v>
      </c>
      <c r="AO68" s="8" t="s">
        <v>939</v>
      </c>
      <c r="AP68" s="8" t="s">
        <v>939</v>
      </c>
      <c r="AQ68" s="27" t="s">
        <v>939</v>
      </c>
      <c r="AR68" s="27" t="s">
        <v>939</v>
      </c>
      <c r="AS68" s="27" t="s">
        <v>939</v>
      </c>
    </row>
    <row r="69" spans="1:45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16</v>
      </c>
      <c r="M70" s="17">
        <f t="shared" si="9"/>
        <v>12</v>
      </c>
      <c r="N70" s="18">
        <f t="shared" si="10"/>
        <v>0.5714285714285714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 t="s">
        <v>939</v>
      </c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0</v>
      </c>
      <c r="M80" s="17">
        <f t="shared" si="9"/>
        <v>28</v>
      </c>
      <c r="N80" s="18">
        <f t="shared" si="10"/>
        <v>0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 t="s">
        <v>939</v>
      </c>
      <c r="AO80" s="8" t="s">
        <v>939</v>
      </c>
      <c r="AP80" s="8" t="s">
        <v>939</v>
      </c>
      <c r="AQ80" s="27" t="s">
        <v>939</v>
      </c>
      <c r="AR80" s="27" t="s">
        <v>939</v>
      </c>
      <c r="AS80" s="27" t="s">
        <v>939</v>
      </c>
    </row>
    <row r="81" spans="1:45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0</v>
      </c>
      <c r="M91" s="17">
        <f t="shared" si="9"/>
        <v>28</v>
      </c>
      <c r="N91" s="18">
        <f t="shared" si="10"/>
        <v>0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 t="s">
        <v>939</v>
      </c>
      <c r="AO91" s="8" t="s">
        <v>939</v>
      </c>
      <c r="AP91" s="8" t="s">
        <v>939</v>
      </c>
      <c r="AQ91" s="27" t="s">
        <v>939</v>
      </c>
      <c r="AR91" s="27" t="s">
        <v>939</v>
      </c>
      <c r="AS91" s="27" t="s">
        <v>939</v>
      </c>
    </row>
    <row r="92" spans="1:45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0</v>
      </c>
      <c r="M92" s="17">
        <f t="shared" si="9"/>
        <v>28</v>
      </c>
      <c r="N92" s="18">
        <f t="shared" si="10"/>
        <v>0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 t="s">
        <v>939</v>
      </c>
      <c r="AO92" s="8" t="s">
        <v>939</v>
      </c>
      <c r="AP92" s="8" t="s">
        <v>939</v>
      </c>
      <c r="AQ92" s="27" t="s">
        <v>939</v>
      </c>
      <c r="AR92" s="27" t="s">
        <v>939</v>
      </c>
      <c r="AS92" s="27" t="s">
        <v>939</v>
      </c>
    </row>
    <row r="93" spans="1:45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17</v>
      </c>
      <c r="M106" s="17">
        <f t="shared" si="9"/>
        <v>11</v>
      </c>
      <c r="N106" s="18">
        <f t="shared" si="10"/>
        <v>0.6071428571428571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 t="s">
        <v>939</v>
      </c>
      <c r="AO106" s="8" t="s">
        <v>939</v>
      </c>
      <c r="AP106" s="8" t="s">
        <v>939</v>
      </c>
      <c r="AQ106" s="27"/>
      <c r="AR106" s="27"/>
      <c r="AS106" s="27"/>
    </row>
    <row r="107" spans="1:45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17</v>
      </c>
      <c r="M107" s="17">
        <f t="shared" si="9"/>
        <v>11</v>
      </c>
      <c r="N107" s="18">
        <f t="shared" si="10"/>
        <v>0.6071428571428571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 t="s">
        <v>939</v>
      </c>
      <c r="AO107" s="8" t="s">
        <v>939</v>
      </c>
      <c r="AP107" s="8" t="s">
        <v>939</v>
      </c>
      <c r="AQ107" s="27"/>
      <c r="AR107" s="27"/>
      <c r="AS107" s="27"/>
    </row>
    <row r="108" spans="1:45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17</v>
      </c>
      <c r="M108" s="17">
        <f t="shared" si="9"/>
        <v>11</v>
      </c>
      <c r="N108" s="18">
        <f t="shared" si="10"/>
        <v>0.6071428571428571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 t="s">
        <v>939</v>
      </c>
      <c r="AO108" s="8" t="s">
        <v>939</v>
      </c>
      <c r="AP108" s="8" t="s">
        <v>939</v>
      </c>
      <c r="AQ108" s="27"/>
      <c r="AR108" s="27"/>
      <c r="AS108" s="27"/>
    </row>
    <row r="109" spans="1:45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17</v>
      </c>
      <c r="M109" s="17">
        <f t="shared" si="9"/>
        <v>11</v>
      </c>
      <c r="N109" s="18">
        <f t="shared" si="10"/>
        <v>0.6071428571428571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 t="s">
        <v>939</v>
      </c>
      <c r="AO109" s="8" t="s">
        <v>939</v>
      </c>
      <c r="AP109" s="8" t="s">
        <v>939</v>
      </c>
      <c r="AQ109" s="27"/>
      <c r="AR109" s="27"/>
      <c r="AS109" s="27"/>
    </row>
    <row r="110" spans="1:45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16</v>
      </c>
      <c r="M122" s="17">
        <f t="shared" si="9"/>
        <v>12</v>
      </c>
      <c r="N122" s="18">
        <f t="shared" si="10"/>
        <v>0.5714285714285714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 t="s">
        <v>939</v>
      </c>
      <c r="AO122" s="8" t="s">
        <v>939</v>
      </c>
      <c r="AP122" s="8" t="s">
        <v>939</v>
      </c>
      <c r="AQ122" s="27"/>
      <c r="AR122" s="27"/>
      <c r="AS122" s="27"/>
    </row>
    <row r="123" spans="1:45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16</v>
      </c>
      <c r="M123" s="17">
        <f t="shared" si="9"/>
        <v>12</v>
      </c>
      <c r="N123" s="18">
        <f t="shared" si="10"/>
        <v>0.5714285714285714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 t="s">
        <v>939</v>
      </c>
      <c r="AO123" s="8" t="s">
        <v>939</v>
      </c>
      <c r="AP123" s="8" t="s">
        <v>939</v>
      </c>
      <c r="AQ123" s="27"/>
      <c r="AR123" s="27"/>
      <c r="AS123" s="27"/>
    </row>
    <row r="124" spans="1:45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 t="s">
        <v>939</v>
      </c>
      <c r="AR124" s="27"/>
      <c r="AS124" s="27"/>
    </row>
    <row r="125" spans="1:45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0</v>
      </c>
      <c r="M133" s="17">
        <f t="shared" ref="M133:M196" si="12">COUNTIF(O133:AP133,"APAGADO")</f>
        <v>28</v>
      </c>
      <c r="N133" s="18">
        <f t="shared" ref="N133:N196" si="13">(L133)/(M133+L133)</f>
        <v>0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 t="s">
        <v>939</v>
      </c>
      <c r="AO133" s="8" t="s">
        <v>939</v>
      </c>
      <c r="AP133" s="8" t="s">
        <v>939</v>
      </c>
      <c r="AQ133" s="27" t="s">
        <v>939</v>
      </c>
      <c r="AR133" s="27" t="s">
        <v>939</v>
      </c>
      <c r="AS133" s="27" t="s">
        <v>939</v>
      </c>
    </row>
    <row r="134" spans="1:45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23</v>
      </c>
      <c r="M136" s="17">
        <f t="shared" si="12"/>
        <v>5</v>
      </c>
      <c r="N136" s="18">
        <f t="shared" si="13"/>
        <v>0.8214285714285714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 t="s">
        <v>939</v>
      </c>
      <c r="AO136" s="8" t="s">
        <v>939</v>
      </c>
      <c r="AP136" s="8" t="s">
        <v>939</v>
      </c>
      <c r="AQ136" s="27"/>
      <c r="AR136" s="27" t="s">
        <v>939</v>
      </c>
      <c r="AS136" s="27" t="s">
        <v>939</v>
      </c>
    </row>
    <row r="137" spans="1:45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8</v>
      </c>
      <c r="M153" s="17">
        <f t="shared" si="12"/>
        <v>20</v>
      </c>
      <c r="N153" s="18">
        <f t="shared" si="13"/>
        <v>0.2857142857142857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 t="s">
        <v>939</v>
      </c>
      <c r="AP153" s="8" t="s">
        <v>939</v>
      </c>
      <c r="AQ153" s="27" t="s">
        <v>939</v>
      </c>
      <c r="AR153" s="27" t="s">
        <v>939</v>
      </c>
      <c r="AS153" s="27" t="s">
        <v>939</v>
      </c>
    </row>
    <row r="154" spans="1:45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</v>
      </c>
      <c r="M156" s="17">
        <f t="shared" si="12"/>
        <v>27</v>
      </c>
      <c r="N156" s="18">
        <f t="shared" si="13"/>
        <v>3.5714285714285712E-2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 t="s">
        <v>939</v>
      </c>
      <c r="AO156" s="8" t="s">
        <v>939</v>
      </c>
      <c r="AP156" s="8" t="s">
        <v>939</v>
      </c>
      <c r="AQ156" s="27" t="s">
        <v>939</v>
      </c>
      <c r="AR156" s="27" t="s">
        <v>939</v>
      </c>
      <c r="AS156" s="27" t="s">
        <v>939</v>
      </c>
    </row>
    <row r="157" spans="1:45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15</v>
      </c>
      <c r="M169" s="17">
        <f t="shared" si="12"/>
        <v>13</v>
      </c>
      <c r="N169" s="18">
        <f t="shared" si="13"/>
        <v>0.5357142857142857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 t="s">
        <v>939</v>
      </c>
      <c r="AO169" s="8" t="s">
        <v>939</v>
      </c>
      <c r="AP169" s="8" t="s">
        <v>939</v>
      </c>
      <c r="AQ169" s="27" t="s">
        <v>939</v>
      </c>
      <c r="AR169" s="27"/>
      <c r="AS169" s="27"/>
    </row>
    <row r="170" spans="1:45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7</v>
      </c>
      <c r="M171" s="17">
        <f t="shared" si="12"/>
        <v>21</v>
      </c>
      <c r="N171" s="18">
        <f t="shared" si="13"/>
        <v>0.25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 t="s">
        <v>939</v>
      </c>
      <c r="AO171" s="8" t="s">
        <v>939</v>
      </c>
      <c r="AP171" s="8" t="s">
        <v>939</v>
      </c>
      <c r="AQ171" s="27" t="s">
        <v>939</v>
      </c>
      <c r="AR171" s="27" t="s">
        <v>939</v>
      </c>
      <c r="AS171" s="27" t="s">
        <v>939</v>
      </c>
    </row>
    <row r="172" spans="1:45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21</v>
      </c>
      <c r="M173" s="17">
        <f t="shared" si="12"/>
        <v>7</v>
      </c>
      <c r="N173" s="18">
        <f t="shared" si="13"/>
        <v>0.75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 t="s">
        <v>939</v>
      </c>
      <c r="AO173" s="8" t="s">
        <v>939</v>
      </c>
      <c r="AP173" s="8" t="s">
        <v>939</v>
      </c>
      <c r="AQ173" s="27" t="s">
        <v>939</v>
      </c>
      <c r="AR173" s="27"/>
      <c r="AS173" s="27"/>
    </row>
    <row r="174" spans="1:45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11</v>
      </c>
      <c r="M174" s="17">
        <f t="shared" si="12"/>
        <v>17</v>
      </c>
      <c r="N174" s="18">
        <f t="shared" si="13"/>
        <v>0.39285714285714285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 t="s">
        <v>939</v>
      </c>
      <c r="AO174" s="8" t="s">
        <v>939</v>
      </c>
      <c r="AP174" s="8" t="s">
        <v>939</v>
      </c>
      <c r="AQ174" s="27" t="s">
        <v>939</v>
      </c>
      <c r="AR174" s="27" t="s">
        <v>939</v>
      </c>
      <c r="AS174" s="27" t="s">
        <v>939</v>
      </c>
    </row>
    <row r="175" spans="1:45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17</v>
      </c>
      <c r="M180" s="17">
        <f t="shared" si="12"/>
        <v>11</v>
      </c>
      <c r="N180" s="18">
        <f t="shared" si="13"/>
        <v>0.6071428571428571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 t="s">
        <v>939</v>
      </c>
      <c r="AO180" s="8" t="s">
        <v>939</v>
      </c>
      <c r="AP180" s="8" t="s">
        <v>939</v>
      </c>
      <c r="AQ180" s="27" t="s">
        <v>939</v>
      </c>
      <c r="AR180" s="27"/>
      <c r="AS180" s="27"/>
    </row>
    <row r="181" spans="1:45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0</v>
      </c>
      <c r="M191" s="17">
        <f t="shared" si="12"/>
        <v>28</v>
      </c>
      <c r="N191" s="18">
        <f t="shared" si="13"/>
        <v>0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 t="s">
        <v>939</v>
      </c>
      <c r="AO191" s="8" t="s">
        <v>939</v>
      </c>
      <c r="AP191" s="8" t="s">
        <v>939</v>
      </c>
      <c r="AQ191" s="27" t="s">
        <v>939</v>
      </c>
      <c r="AR191" s="27" t="s">
        <v>939</v>
      </c>
      <c r="AS191" s="27" t="s">
        <v>939</v>
      </c>
    </row>
    <row r="192" spans="1:45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0</v>
      </c>
      <c r="M192" s="17">
        <f t="shared" si="12"/>
        <v>28</v>
      </c>
      <c r="N192" s="18">
        <f t="shared" si="13"/>
        <v>0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 t="s">
        <v>939</v>
      </c>
      <c r="AO192" s="8" t="s">
        <v>939</v>
      </c>
      <c r="AP192" s="8" t="s">
        <v>939</v>
      </c>
      <c r="AQ192" s="27" t="s">
        <v>939</v>
      </c>
      <c r="AR192" s="27" t="s">
        <v>939</v>
      </c>
      <c r="AS192" s="27" t="s">
        <v>939</v>
      </c>
    </row>
    <row r="193" spans="1:45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8</v>
      </c>
      <c r="M193" s="17">
        <f t="shared" si="12"/>
        <v>20</v>
      </c>
      <c r="N193" s="18">
        <f t="shared" si="13"/>
        <v>0.2857142857142857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 t="s">
        <v>939</v>
      </c>
      <c r="AQ193" s="27" t="s">
        <v>939</v>
      </c>
      <c r="AR193" s="27"/>
      <c r="AS193" s="27" t="s">
        <v>939</v>
      </c>
    </row>
    <row r="194" spans="1:45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 t="s">
        <v>939</v>
      </c>
      <c r="AQ194" s="27" t="s">
        <v>939</v>
      </c>
      <c r="AR194" s="27"/>
      <c r="AS194" s="27" t="s">
        <v>939</v>
      </c>
    </row>
    <row r="195" spans="1:45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12</v>
      </c>
      <c r="M197" s="17">
        <f t="shared" ref="M197:M262" si="15">COUNTIF(O197:AP197,"APAGADO")</f>
        <v>16</v>
      </c>
      <c r="N197" s="18">
        <f t="shared" ref="N197:N262" si="16">(L197)/(M197+L197)</f>
        <v>0.42857142857142855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 t="s">
        <v>939</v>
      </c>
      <c r="AO197" s="8" t="s">
        <v>939</v>
      </c>
      <c r="AP197" s="8" t="s">
        <v>939</v>
      </c>
      <c r="AQ197" s="27" t="s">
        <v>939</v>
      </c>
      <c r="AR197" s="27" t="s">
        <v>939</v>
      </c>
      <c r="AS197" s="27" t="s">
        <v>939</v>
      </c>
    </row>
    <row r="198" spans="1:45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16</v>
      </c>
      <c r="M198" s="17">
        <f t="shared" si="15"/>
        <v>12</v>
      </c>
      <c r="N198" s="18">
        <f t="shared" si="16"/>
        <v>0.5714285714285714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 t="s">
        <v>939</v>
      </c>
      <c r="AO198" s="8" t="s">
        <v>939</v>
      </c>
      <c r="AP198" s="8" t="s">
        <v>939</v>
      </c>
      <c r="AQ198" s="27"/>
      <c r="AR198" s="27"/>
      <c r="AS198" s="27"/>
    </row>
    <row r="199" spans="1:45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19</v>
      </c>
      <c r="M199" s="17">
        <f t="shared" si="15"/>
        <v>9</v>
      </c>
      <c r="N199" s="18">
        <f t="shared" si="16"/>
        <v>0.6785714285714286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 t="s">
        <v>939</v>
      </c>
      <c r="AO199" s="8" t="s">
        <v>939</v>
      </c>
      <c r="AP199" s="8" t="s">
        <v>939</v>
      </c>
      <c r="AQ199" s="27" t="s">
        <v>939</v>
      </c>
      <c r="AR199" s="27"/>
      <c r="AS199" s="27"/>
    </row>
    <row r="200" spans="1:45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22</v>
      </c>
      <c r="M200" s="17">
        <f t="shared" si="15"/>
        <v>6</v>
      </c>
      <c r="N200" s="18">
        <f t="shared" si="16"/>
        <v>0.7857142857142857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 t="s">
        <v>939</v>
      </c>
      <c r="AO200" s="8" t="s">
        <v>939</v>
      </c>
      <c r="AP200" s="8" t="s">
        <v>939</v>
      </c>
      <c r="AQ200" s="27"/>
      <c r="AR200" s="27"/>
      <c r="AS200" s="27"/>
    </row>
    <row r="201" spans="1:45" ht="15.75" thickBot="1" x14ac:dyDescent="0.3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 t="s">
        <v>939</v>
      </c>
      <c r="AS201" s="27" t="s">
        <v>939</v>
      </c>
    </row>
    <row r="202" spans="1:45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 t="s">
        <v>939</v>
      </c>
      <c r="AS202" s="27" t="s">
        <v>939</v>
      </c>
    </row>
    <row r="203" spans="1:45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 t="s">
        <v>939</v>
      </c>
      <c r="AR203" s="27"/>
      <c r="AS203" s="27"/>
    </row>
    <row r="204" spans="1:45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</v>
      </c>
      <c r="M206" s="17">
        <f t="shared" si="15"/>
        <v>27</v>
      </c>
      <c r="N206" s="18">
        <f t="shared" si="16"/>
        <v>3.5714285714285712E-2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 t="s">
        <v>939</v>
      </c>
      <c r="AO206" s="8" t="s">
        <v>939</v>
      </c>
      <c r="AP206" s="8" t="s">
        <v>939</v>
      </c>
      <c r="AQ206" s="27" t="s">
        <v>939</v>
      </c>
      <c r="AR206" s="27" t="s">
        <v>939</v>
      </c>
      <c r="AS206" s="27" t="s">
        <v>939</v>
      </c>
    </row>
    <row r="207" spans="1:45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20</v>
      </c>
      <c r="M207" s="17">
        <f t="shared" si="15"/>
        <v>8</v>
      </c>
      <c r="N207" s="18">
        <f t="shared" si="16"/>
        <v>0.7142857142857143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 t="s">
        <v>939</v>
      </c>
      <c r="AO207" s="8" t="s">
        <v>939</v>
      </c>
      <c r="AP207" s="8" t="s">
        <v>939</v>
      </c>
      <c r="AQ207" s="27" t="s">
        <v>939</v>
      </c>
      <c r="AR207" s="27" t="s">
        <v>939</v>
      </c>
      <c r="AS207" s="27" t="s">
        <v>939</v>
      </c>
    </row>
    <row r="208" spans="1:45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24</v>
      </c>
      <c r="M208" s="17">
        <f t="shared" si="15"/>
        <v>4</v>
      </c>
      <c r="N208" s="18">
        <f t="shared" si="16"/>
        <v>0.8571428571428571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 t="s">
        <v>939</v>
      </c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 t="s">
        <v>939</v>
      </c>
      <c r="AS209" s="27" t="s">
        <v>939</v>
      </c>
    </row>
    <row r="210" spans="1:45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 t="s">
        <v>939</v>
      </c>
      <c r="AO210" s="8" t="s">
        <v>939</v>
      </c>
      <c r="AP210" s="8" t="s">
        <v>939</v>
      </c>
      <c r="AQ210" s="27"/>
      <c r="AR210" s="27" t="s">
        <v>939</v>
      </c>
      <c r="AS210" s="27" t="s">
        <v>939</v>
      </c>
    </row>
    <row r="211" spans="1:45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18</v>
      </c>
      <c r="M211" s="17">
        <f t="shared" si="15"/>
        <v>10</v>
      </c>
      <c r="N211" s="18">
        <f t="shared" si="16"/>
        <v>0.6428571428571429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 t="s">
        <v>939</v>
      </c>
      <c r="AO211" s="8" t="s">
        <v>939</v>
      </c>
      <c r="AP211" s="8" t="s">
        <v>939</v>
      </c>
      <c r="AQ211" s="27"/>
      <c r="AR211" s="27"/>
      <c r="AS211" s="27"/>
    </row>
    <row r="212" spans="1:45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 t="s">
        <v>939</v>
      </c>
      <c r="AO212" s="8" t="s">
        <v>939</v>
      </c>
      <c r="AP212" s="8" t="s">
        <v>939</v>
      </c>
      <c r="AQ212" s="27"/>
      <c r="AR212" s="27"/>
      <c r="AS212" s="27"/>
    </row>
    <row r="213" spans="1:45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 t="s">
        <v>939</v>
      </c>
      <c r="AR213" s="27"/>
      <c r="AS213" s="27"/>
    </row>
    <row r="214" spans="1:45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 t="s">
        <v>939</v>
      </c>
      <c r="AQ214" s="27" t="s">
        <v>939</v>
      </c>
      <c r="AR214" s="27"/>
      <c r="AS214" s="27"/>
    </row>
    <row r="215" spans="1:45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 t="s">
        <v>939</v>
      </c>
      <c r="AQ215" s="27" t="s">
        <v>939</v>
      </c>
      <c r="AR215" s="27"/>
      <c r="AS215" s="27"/>
    </row>
    <row r="216" spans="1:45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 t="s">
        <v>939</v>
      </c>
      <c r="AQ216" s="27" t="s">
        <v>939</v>
      </c>
      <c r="AR216" s="27"/>
      <c r="AS216" s="27"/>
    </row>
    <row r="217" spans="1:45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 t="s">
        <v>939</v>
      </c>
      <c r="AQ217" s="27" t="s">
        <v>939</v>
      </c>
      <c r="AR217" s="27"/>
      <c r="AS217" s="27"/>
    </row>
    <row r="218" spans="1:45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 t="s">
        <v>939</v>
      </c>
      <c r="AQ218" s="27" t="s">
        <v>939</v>
      </c>
      <c r="AR218" s="27"/>
      <c r="AS218" s="27"/>
    </row>
    <row r="219" spans="1:45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 t="s">
        <v>939</v>
      </c>
      <c r="AQ219" s="27" t="s">
        <v>939</v>
      </c>
      <c r="AR219" s="27"/>
      <c r="AS219" s="27"/>
    </row>
    <row r="220" spans="1:45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 t="s">
        <v>939</v>
      </c>
      <c r="AQ220" s="27" t="s">
        <v>939</v>
      </c>
      <c r="AR220" s="27"/>
      <c r="AS220" s="27"/>
    </row>
    <row r="221" spans="1:45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 t="s">
        <v>939</v>
      </c>
      <c r="AQ221" s="27" t="s">
        <v>939</v>
      </c>
      <c r="AR221" s="27"/>
      <c r="AS221" s="27"/>
    </row>
    <row r="222" spans="1:45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 t="s">
        <v>939</v>
      </c>
      <c r="AQ222" s="27" t="s">
        <v>939</v>
      </c>
      <c r="AR222" s="27"/>
      <c r="AS222" s="27"/>
    </row>
    <row r="223" spans="1:45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 t="s">
        <v>939</v>
      </c>
      <c r="AQ223" s="27" t="s">
        <v>939</v>
      </c>
      <c r="AR223" s="27"/>
      <c r="AS223" s="27"/>
    </row>
    <row r="224" spans="1:45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11</v>
      </c>
      <c r="M224" s="17">
        <f t="shared" si="15"/>
        <v>17</v>
      </c>
      <c r="N224" s="18">
        <f t="shared" si="16"/>
        <v>0.39285714285714285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 t="s">
        <v>939</v>
      </c>
      <c r="AO224" s="8" t="s">
        <v>939</v>
      </c>
      <c r="AP224" s="8" t="s">
        <v>939</v>
      </c>
      <c r="AQ224" s="27" t="s">
        <v>939</v>
      </c>
      <c r="AR224" s="27" t="s">
        <v>939</v>
      </c>
      <c r="AS224" s="27"/>
    </row>
    <row r="225" spans="1:45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20</v>
      </c>
      <c r="M230" s="17">
        <f t="shared" si="15"/>
        <v>8</v>
      </c>
      <c r="N230" s="18">
        <f t="shared" si="16"/>
        <v>0.7142857142857143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 t="s">
        <v>939</v>
      </c>
      <c r="AO230" s="8" t="s">
        <v>939</v>
      </c>
      <c r="AP230" s="8" t="s">
        <v>939</v>
      </c>
      <c r="AQ230" s="27" t="s">
        <v>939</v>
      </c>
      <c r="AR230" s="27"/>
      <c r="AS230" s="27"/>
    </row>
    <row r="231" spans="1:45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 t="s">
        <v>939</v>
      </c>
      <c r="AQ258" s="27" t="s">
        <v>939</v>
      </c>
      <c r="AR258" s="27"/>
      <c r="AS258" s="27" t="s">
        <v>939</v>
      </c>
    </row>
    <row r="259" spans="1:45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27</v>
      </c>
      <c r="M259" s="17">
        <f t="shared" si="15"/>
        <v>1</v>
      </c>
      <c r="N259" s="18">
        <f t="shared" si="16"/>
        <v>0.9642857142857143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 t="s">
        <v>939</v>
      </c>
      <c r="AQ259" s="27" t="s">
        <v>939</v>
      </c>
      <c r="AR259" s="27" t="s">
        <v>939</v>
      </c>
      <c r="AS259" s="27"/>
    </row>
    <row r="260" spans="1:45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22</v>
      </c>
      <c r="M279" s="17">
        <f t="shared" si="18"/>
        <v>6</v>
      </c>
      <c r="N279" s="18">
        <f t="shared" si="19"/>
        <v>0.7857142857142857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 t="s">
        <v>939</v>
      </c>
      <c r="AP279" s="8"/>
      <c r="AQ279" s="27"/>
      <c r="AR279" s="27"/>
      <c r="AS279" s="27"/>
    </row>
    <row r="280" spans="1:45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 t="s">
        <v>939</v>
      </c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7</v>
      </c>
      <c r="M281" s="17">
        <f t="shared" si="18"/>
        <v>21</v>
      </c>
      <c r="N281" s="18">
        <f t="shared" si="19"/>
        <v>0.25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 t="s">
        <v>939</v>
      </c>
      <c r="AO281" s="8" t="s">
        <v>939</v>
      </c>
      <c r="AP281" s="8" t="s">
        <v>939</v>
      </c>
      <c r="AQ281" s="27" t="s">
        <v>939</v>
      </c>
      <c r="AR281" s="27"/>
      <c r="AS281" s="27"/>
    </row>
    <row r="282" spans="1:45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3</v>
      </c>
      <c r="M282" s="17">
        <f t="shared" si="18"/>
        <v>25</v>
      </c>
      <c r="N282" s="18">
        <f t="shared" si="19"/>
        <v>0.10714285714285714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 t="s">
        <v>939</v>
      </c>
      <c r="AO282" s="8" t="s">
        <v>939</v>
      </c>
      <c r="AP282" s="8" t="s">
        <v>939</v>
      </c>
      <c r="AQ282" s="27" t="s">
        <v>939</v>
      </c>
      <c r="AR282" s="27"/>
      <c r="AS282" s="27"/>
    </row>
    <row r="283" spans="1:45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 t="s">
        <v>939</v>
      </c>
      <c r="AS283" s="27" t="s">
        <v>939</v>
      </c>
    </row>
    <row r="284" spans="1:45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18</v>
      </c>
      <c r="M284" s="17">
        <f t="shared" si="18"/>
        <v>10</v>
      </c>
      <c r="N284" s="18">
        <f t="shared" si="19"/>
        <v>0.6428571428571429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 t="s">
        <v>939</v>
      </c>
      <c r="AO284" s="8" t="s">
        <v>939</v>
      </c>
      <c r="AP284" s="8" t="s">
        <v>939</v>
      </c>
      <c r="AQ284" s="27"/>
      <c r="AR284" s="27"/>
      <c r="AS284" s="27"/>
    </row>
    <row r="285" spans="1:45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18</v>
      </c>
      <c r="M285" s="17">
        <f t="shared" si="18"/>
        <v>10</v>
      </c>
      <c r="N285" s="18">
        <f t="shared" si="19"/>
        <v>0.6428571428571429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 t="s">
        <v>939</v>
      </c>
      <c r="AO285" s="8" t="s">
        <v>939</v>
      </c>
      <c r="AP285" s="8" t="s">
        <v>939</v>
      </c>
      <c r="AQ285" s="27"/>
      <c r="AR285" s="27"/>
      <c r="AS285" s="27"/>
    </row>
    <row r="286" spans="1:45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 t="s">
        <v>939</v>
      </c>
      <c r="AQ286" s="27" t="s">
        <v>939</v>
      </c>
      <c r="AR286" s="27"/>
      <c r="AS286" s="27"/>
    </row>
    <row r="287" spans="1:45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 t="s">
        <v>939</v>
      </c>
      <c r="AQ287" s="27" t="s">
        <v>939</v>
      </c>
      <c r="AR287" s="27"/>
      <c r="AS287" s="27"/>
    </row>
    <row r="288" spans="1:45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25</v>
      </c>
      <c r="M288" s="17">
        <f t="shared" si="18"/>
        <v>3</v>
      </c>
      <c r="N288" s="18">
        <f t="shared" si="19"/>
        <v>0.8928571428571429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 t="s">
        <v>939</v>
      </c>
      <c r="AP288" s="8"/>
      <c r="AQ288" s="27"/>
      <c r="AR288" s="27"/>
      <c r="AS288" s="27"/>
    </row>
    <row r="289" spans="1:45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26</v>
      </c>
      <c r="M290" s="17">
        <f t="shared" si="18"/>
        <v>2</v>
      </c>
      <c r="N290" s="18">
        <f t="shared" si="19"/>
        <v>0.9285714285714286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 t="s">
        <v>939</v>
      </c>
      <c r="AQ290" s="27"/>
      <c r="AR290" s="27"/>
      <c r="AS290" s="27"/>
    </row>
    <row r="291" spans="1:45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 t="s">
        <v>939</v>
      </c>
      <c r="AP291" s="8" t="s">
        <v>939</v>
      </c>
      <c r="AQ291" s="27" t="s">
        <v>939</v>
      </c>
      <c r="AR291" s="27" t="s">
        <v>939</v>
      </c>
      <c r="AS291" s="27" t="s">
        <v>939</v>
      </c>
    </row>
    <row r="292" spans="1:45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23</v>
      </c>
      <c r="M292" s="17">
        <f t="shared" si="18"/>
        <v>5</v>
      </c>
      <c r="N292" s="18">
        <f t="shared" si="19"/>
        <v>0.8214285714285714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 t="s">
        <v>939</v>
      </c>
      <c r="AO292" s="8" t="s">
        <v>939</v>
      </c>
      <c r="AP292" s="8" t="s">
        <v>939</v>
      </c>
      <c r="AQ292" s="27" t="s">
        <v>939</v>
      </c>
      <c r="AR292" s="27" t="s">
        <v>939</v>
      </c>
      <c r="AS292" s="27" t="s">
        <v>939</v>
      </c>
    </row>
    <row r="293" spans="1:45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23</v>
      </c>
      <c r="M293" s="17">
        <f t="shared" si="18"/>
        <v>5</v>
      </c>
      <c r="N293" s="18">
        <f t="shared" si="19"/>
        <v>0.8214285714285714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 t="s">
        <v>939</v>
      </c>
      <c r="AO293" s="8" t="s">
        <v>939</v>
      </c>
      <c r="AP293" s="8" t="s">
        <v>939</v>
      </c>
      <c r="AQ293" s="27" t="s">
        <v>939</v>
      </c>
      <c r="AR293" s="27" t="s">
        <v>939</v>
      </c>
      <c r="AS293" s="27" t="s">
        <v>939</v>
      </c>
    </row>
    <row r="294" spans="1:45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23</v>
      </c>
      <c r="M294" s="17">
        <f t="shared" si="18"/>
        <v>5</v>
      </c>
      <c r="N294" s="18">
        <f t="shared" si="19"/>
        <v>0.8214285714285714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 t="s">
        <v>939</v>
      </c>
      <c r="AO294" s="8" t="s">
        <v>939</v>
      </c>
      <c r="AP294" s="8" t="s">
        <v>939</v>
      </c>
      <c r="AQ294" s="27" t="s">
        <v>939</v>
      </c>
      <c r="AR294" s="27" t="s">
        <v>939</v>
      </c>
      <c r="AS294" s="27" t="s">
        <v>939</v>
      </c>
    </row>
    <row r="295" spans="1:45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23</v>
      </c>
      <c r="M295" s="17">
        <f t="shared" si="18"/>
        <v>5</v>
      </c>
      <c r="N295" s="18">
        <f t="shared" si="19"/>
        <v>0.8214285714285714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 t="s">
        <v>939</v>
      </c>
      <c r="AO295" s="8" t="s">
        <v>939</v>
      </c>
      <c r="AP295" s="8" t="s">
        <v>939</v>
      </c>
      <c r="AQ295" s="27" t="s">
        <v>939</v>
      </c>
      <c r="AR295" s="27" t="s">
        <v>939</v>
      </c>
      <c r="AS295" s="27" t="s">
        <v>939</v>
      </c>
    </row>
    <row r="296" spans="1:45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 t="s">
        <v>939</v>
      </c>
      <c r="AO303" s="8" t="s">
        <v>939</v>
      </c>
      <c r="AP303" s="8"/>
      <c r="AQ303" s="27" t="s">
        <v>939</v>
      </c>
      <c r="AR303" s="27" t="s">
        <v>939</v>
      </c>
      <c r="AS303" s="27" t="s">
        <v>939</v>
      </c>
    </row>
    <row r="304" spans="1:45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 t="s">
        <v>939</v>
      </c>
      <c r="AO342" s="8"/>
      <c r="AP342" s="8"/>
      <c r="AQ342" s="27"/>
      <c r="AR342" s="27"/>
      <c r="AS342" s="27"/>
    </row>
    <row r="343" spans="1:45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 t="s">
        <v>939</v>
      </c>
      <c r="AQ345" s="27" t="s">
        <v>939</v>
      </c>
      <c r="AR345" s="27"/>
      <c r="AS345" s="27"/>
    </row>
    <row r="346" spans="1:45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 t="s">
        <v>939</v>
      </c>
      <c r="AQ346" s="27" t="s">
        <v>939</v>
      </c>
      <c r="AR346" s="27"/>
      <c r="AS346" s="27"/>
    </row>
    <row r="347" spans="1:45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16</v>
      </c>
      <c r="M347" s="17">
        <f t="shared" si="21"/>
        <v>12</v>
      </c>
      <c r="N347" s="18">
        <f t="shared" si="22"/>
        <v>0.5714285714285714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 t="s">
        <v>939</v>
      </c>
      <c r="AQ347" s="27" t="s">
        <v>939</v>
      </c>
      <c r="AR347" s="27"/>
      <c r="AS347" s="27"/>
    </row>
    <row r="348" spans="1:45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16</v>
      </c>
      <c r="M348" s="17">
        <f t="shared" si="21"/>
        <v>12</v>
      </c>
      <c r="N348" s="18">
        <f t="shared" si="22"/>
        <v>0.5714285714285714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 t="s">
        <v>939</v>
      </c>
      <c r="AQ348" s="27" t="s">
        <v>939</v>
      </c>
      <c r="AR348" s="27"/>
      <c r="AS348" s="27"/>
    </row>
    <row r="349" spans="1:45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8</v>
      </c>
      <c r="M349" s="17">
        <f t="shared" si="21"/>
        <v>20</v>
      </c>
      <c r="N349" s="18">
        <f t="shared" si="22"/>
        <v>0.2857142857142857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 t="s">
        <v>939</v>
      </c>
      <c r="AQ349" s="27" t="s">
        <v>939</v>
      </c>
      <c r="AR349" s="27"/>
      <c r="AS349" s="27"/>
    </row>
    <row r="350" spans="1:45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 t="s">
        <v>939</v>
      </c>
      <c r="AR351" s="27"/>
      <c r="AS351" s="27"/>
    </row>
    <row r="352" spans="1:45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25</v>
      </c>
      <c r="M352" s="17">
        <f t="shared" si="21"/>
        <v>3</v>
      </c>
      <c r="N352" s="18">
        <f t="shared" si="22"/>
        <v>0.8928571428571429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 t="s">
        <v>939</v>
      </c>
      <c r="AO352" s="8" t="s">
        <v>939</v>
      </c>
      <c r="AP352" s="8" t="s">
        <v>939</v>
      </c>
      <c r="AQ352" s="27" t="s">
        <v>939</v>
      </c>
      <c r="AR352" s="27" t="s">
        <v>939</v>
      </c>
      <c r="AS352" s="27" t="s">
        <v>939</v>
      </c>
    </row>
    <row r="353" spans="1:45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 t="s">
        <v>939</v>
      </c>
      <c r="AR353" s="27"/>
      <c r="AS353" s="27"/>
    </row>
    <row r="354" spans="1:45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 t="s">
        <v>939</v>
      </c>
      <c r="AO355" s="8" t="s">
        <v>939</v>
      </c>
      <c r="AP355" s="8"/>
      <c r="AQ355" s="27"/>
      <c r="AR355" s="27"/>
      <c r="AS355" s="27"/>
    </row>
    <row r="356" spans="1:45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23</v>
      </c>
      <c r="M358" s="17">
        <f t="shared" si="21"/>
        <v>5</v>
      </c>
      <c r="N358" s="18">
        <f t="shared" si="22"/>
        <v>0.8214285714285714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 t="s">
        <v>939</v>
      </c>
      <c r="AO358" s="8" t="s">
        <v>939</v>
      </c>
      <c r="AP358" s="8" t="s">
        <v>939</v>
      </c>
      <c r="AQ358" s="27"/>
      <c r="AR358" s="27" t="s">
        <v>939</v>
      </c>
      <c r="AS358" s="27" t="s">
        <v>939</v>
      </c>
    </row>
    <row r="359" spans="1:45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 t="s">
        <v>939</v>
      </c>
      <c r="AQ363" s="27" t="s">
        <v>939</v>
      </c>
      <c r="AR363" s="27"/>
      <c r="AS363" s="27"/>
    </row>
    <row r="364" spans="1:45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10</v>
      </c>
      <c r="M369" s="17">
        <f t="shared" si="21"/>
        <v>18</v>
      </c>
      <c r="N369" s="18">
        <f t="shared" si="22"/>
        <v>0.35714285714285715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 t="s">
        <v>939</v>
      </c>
      <c r="AO369" s="8" t="s">
        <v>939</v>
      </c>
      <c r="AP369" s="8" t="s">
        <v>939</v>
      </c>
      <c r="AQ369" s="27" t="s">
        <v>939</v>
      </c>
      <c r="AR369" s="27" t="s">
        <v>939</v>
      </c>
      <c r="AS369" s="27" t="s">
        <v>939</v>
      </c>
    </row>
    <row r="370" spans="1:45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6" si="23">COUNTIF(O371:AP371,"")</f>
        <v>26</v>
      </c>
      <c r="M371" s="17">
        <f t="shared" ref="M371:M376" si="24">COUNTIF(O371:AP371,"APAGADO")</f>
        <v>2</v>
      </c>
      <c r="N371" s="18">
        <f t="shared" ref="N371:N376" si="25">(L371)/(M371+L371)</f>
        <v>0.9285714285714286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 t="s">
        <v>939</v>
      </c>
      <c r="AQ371" s="27" t="s">
        <v>939</v>
      </c>
      <c r="AR371" s="27"/>
      <c r="AS371" s="27"/>
    </row>
    <row r="372" spans="1:45" ht="15.75" thickBot="1" x14ac:dyDescent="0.3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26</v>
      </c>
      <c r="M372" s="17">
        <f t="shared" si="24"/>
        <v>2</v>
      </c>
      <c r="N372" s="18">
        <f t="shared" si="25"/>
        <v>0.9285714285714286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 t="s">
        <v>939</v>
      </c>
      <c r="AQ372" s="27" t="s">
        <v>939</v>
      </c>
      <c r="AR372" s="27"/>
      <c r="AS372" s="27"/>
    </row>
    <row r="373" spans="1:45" ht="15.75" thickBot="1" x14ac:dyDescent="0.3">
      <c r="A373" t="s">
        <v>571</v>
      </c>
      <c r="C373" s="45" t="s">
        <v>1333</v>
      </c>
      <c r="D373" t="s">
        <v>1334</v>
      </c>
      <c r="E373" t="s">
        <v>19</v>
      </c>
      <c r="F373" s="45" t="s">
        <v>36</v>
      </c>
      <c r="G373" s="9"/>
      <c r="H373" s="9"/>
      <c r="I373" s="9"/>
      <c r="J373" s="9"/>
      <c r="K373" s="28" t="s">
        <v>1335</v>
      </c>
      <c r="L373" s="17">
        <f t="shared" si="23"/>
        <v>28</v>
      </c>
      <c r="M373" s="17">
        <f t="shared" si="24"/>
        <v>0</v>
      </c>
      <c r="N373" s="18">
        <f t="shared" si="25"/>
        <v>1</v>
      </c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7"/>
      <c r="AS373" s="27"/>
    </row>
    <row r="374" spans="1:45" ht="15.75" thickBot="1" x14ac:dyDescent="0.3">
      <c r="A374" t="s">
        <v>571</v>
      </c>
      <c r="C374" s="45" t="s">
        <v>1336</v>
      </c>
      <c r="D374" t="s">
        <v>1339</v>
      </c>
      <c r="E374" t="s">
        <v>19</v>
      </c>
      <c r="F374" s="45" t="s">
        <v>36</v>
      </c>
      <c r="G374" s="9"/>
      <c r="H374" s="9"/>
      <c r="I374" s="9"/>
      <c r="J374" s="9"/>
      <c r="K374" s="28" t="s">
        <v>1342</v>
      </c>
      <c r="L374" s="17">
        <f t="shared" si="23"/>
        <v>28</v>
      </c>
      <c r="M374" s="17">
        <f t="shared" si="24"/>
        <v>0</v>
      </c>
      <c r="N374" s="18">
        <f t="shared" si="25"/>
        <v>1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7"/>
      <c r="AS374" s="27"/>
    </row>
    <row r="375" spans="1:45" ht="15.75" thickBot="1" x14ac:dyDescent="0.3">
      <c r="A375" t="s">
        <v>571</v>
      </c>
      <c r="C375" s="45" t="s">
        <v>1337</v>
      </c>
      <c r="D375" t="s">
        <v>1340</v>
      </c>
      <c r="E375" t="s">
        <v>19</v>
      </c>
      <c r="F375" s="45" t="s">
        <v>36</v>
      </c>
      <c r="G375" s="9"/>
      <c r="H375" s="9"/>
      <c r="I375" s="9"/>
      <c r="J375" s="9"/>
      <c r="K375" s="28" t="s">
        <v>1343</v>
      </c>
      <c r="L375" s="17">
        <f t="shared" si="23"/>
        <v>28</v>
      </c>
      <c r="M375" s="17">
        <f t="shared" si="24"/>
        <v>0</v>
      </c>
      <c r="N375" s="18">
        <f t="shared" si="25"/>
        <v>1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7"/>
      <c r="AS375" s="27"/>
    </row>
    <row r="376" spans="1:45" ht="15.75" thickBot="1" x14ac:dyDescent="0.3">
      <c r="A376" t="s">
        <v>571</v>
      </c>
      <c r="C376" s="45" t="s">
        <v>1338</v>
      </c>
      <c r="D376" t="s">
        <v>1341</v>
      </c>
      <c r="E376" t="s">
        <v>19</v>
      </c>
      <c r="F376" s="45" t="s">
        <v>36</v>
      </c>
      <c r="G376" s="9"/>
      <c r="H376" s="9"/>
      <c r="I376" s="9"/>
      <c r="J376" s="9"/>
      <c r="K376" s="28" t="s">
        <v>1344</v>
      </c>
      <c r="L376" s="17">
        <f t="shared" si="23"/>
        <v>28</v>
      </c>
      <c r="M376" s="17">
        <f t="shared" si="24"/>
        <v>0</v>
      </c>
      <c r="N376" s="18">
        <f t="shared" si="25"/>
        <v>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7"/>
      <c r="AS376" s="27"/>
    </row>
    <row r="377" spans="1:45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N245:X246 Y96:AJ372 AK95:AP369 AR95:AS369 N247:N376">
    <cfRule type="cellIs" dxfId="472" priority="1884" operator="lessThan">
      <formula>0.8</formula>
    </cfRule>
    <cfRule type="cellIs" dxfId="471" priority="1885" operator="greaterThan">
      <formula>0.8</formula>
    </cfRule>
  </conditionalFormatting>
  <conditionalFormatting sqref="E1:K3 E284:K334 E236:K236 E5:K32 E36:K91 E94:K230 E337:K364 E369:K372 E243:K281 E391:K1048576">
    <cfRule type="containsText" dxfId="470" priority="1883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S1048576 AR95:AS372">
    <cfRule type="notContainsText" dxfId="469" priority="1879" operator="notContains" text="Caida">
      <formula>ISERROR(SEARCH("Caida",O95))</formula>
    </cfRule>
    <cfRule type="containsText" dxfId="468" priority="1880" operator="containsText" text="Caida">
      <formula>NOT(ISERROR(SEARCH("Caida",O95)))</formula>
    </cfRule>
  </conditionalFormatting>
  <conditionalFormatting sqref="E282:K282">
    <cfRule type="containsText" dxfId="467" priority="1852" operator="containsText" text="Radio">
      <formula>NOT(ISERROR(SEARCH("Radio",E282)))</formula>
    </cfRule>
  </conditionalFormatting>
  <conditionalFormatting sqref="E283:K283">
    <cfRule type="containsText" dxfId="466" priority="1827" operator="containsText" text="Radio">
      <formula>NOT(ISERROR(SEARCH("Radio",E283)))</formula>
    </cfRule>
  </conditionalFormatting>
  <conditionalFormatting sqref="E4:K4">
    <cfRule type="containsText" dxfId="465" priority="1802" operator="containsText" text="Radio">
      <formula>NOT(ISERROR(SEARCH("Radio",E4)))</formula>
    </cfRule>
  </conditionalFormatting>
  <conditionalFormatting sqref="E231:K231">
    <cfRule type="containsText" dxfId="464" priority="1801" operator="containsText" text="Radio">
      <formula>NOT(ISERROR(SEARCH("Radio",E231)))</formula>
    </cfRule>
  </conditionalFormatting>
  <conditionalFormatting sqref="E232:K232">
    <cfRule type="containsText" dxfId="463" priority="1776" operator="containsText" text="Radio">
      <formula>NOT(ISERROR(SEARCH("Radio",E232)))</formula>
    </cfRule>
  </conditionalFormatting>
  <conditionalFormatting sqref="E233:K233">
    <cfRule type="containsText" dxfId="462" priority="1751" operator="containsText" text="Radio">
      <formula>NOT(ISERROR(SEARCH("Radio",E233)))</formula>
    </cfRule>
  </conditionalFormatting>
  <conditionalFormatting sqref="E234:K234">
    <cfRule type="containsText" dxfId="461" priority="1726" operator="containsText" text="Radio">
      <formula>NOT(ISERROR(SEARCH("Radio",E234)))</formula>
    </cfRule>
  </conditionalFormatting>
  <conditionalFormatting sqref="E235:K235">
    <cfRule type="containsText" dxfId="460" priority="1701" operator="containsText" text="Radio">
      <formula>NOT(ISERROR(SEARCH("Radio",E235)))</formula>
    </cfRule>
  </conditionalFormatting>
  <conditionalFormatting sqref="E335:K335">
    <cfRule type="containsText" dxfId="459" priority="1652" operator="containsText" text="Radio">
      <formula>NOT(ISERROR(SEARCH("Radio",E335)))</formula>
    </cfRule>
  </conditionalFormatting>
  <conditionalFormatting sqref="E336:K336">
    <cfRule type="containsText" dxfId="458" priority="1627" operator="containsText" text="Radio">
      <formula>NOT(ISERROR(SEARCH("Radio",E336)))</formula>
    </cfRule>
  </conditionalFormatting>
  <conditionalFormatting sqref="E237:K237">
    <cfRule type="containsText" dxfId="457" priority="1602" operator="containsText" text="Radio">
      <formula>NOT(ISERROR(SEARCH("Radio",E237)))</formula>
    </cfRule>
  </conditionalFormatting>
  <conditionalFormatting sqref="E238:K238">
    <cfRule type="containsText" dxfId="456" priority="1577" operator="containsText" text="Radio">
      <formula>NOT(ISERROR(SEARCH("Radio",E238)))</formula>
    </cfRule>
  </conditionalFormatting>
  <conditionalFormatting sqref="E33:K35">
    <cfRule type="containsText" dxfId="455" priority="1552" operator="containsText" text="Radio">
      <formula>NOT(ISERROR(SEARCH("Radio",E33)))</formula>
    </cfRule>
  </conditionalFormatting>
  <conditionalFormatting sqref="E239:K239">
    <cfRule type="containsText" dxfId="454" priority="1527" operator="containsText" text="Radio">
      <formula>NOT(ISERROR(SEARCH("Radio",E239)))</formula>
    </cfRule>
  </conditionalFormatting>
  <conditionalFormatting sqref="E240:K240">
    <cfRule type="containsText" dxfId="453" priority="1502" operator="containsText" text="Radio">
      <formula>NOT(ISERROR(SEARCH("Radio",E240)))</formula>
    </cfRule>
  </conditionalFormatting>
  <conditionalFormatting sqref="E241:K241">
    <cfRule type="containsText" dxfId="452" priority="1477" operator="containsText" text="Radio">
      <formula>NOT(ISERROR(SEARCH("Radio",E241)))</formula>
    </cfRule>
  </conditionalFormatting>
  <conditionalFormatting sqref="E242:K242">
    <cfRule type="containsText" dxfId="451" priority="1452" operator="containsText" text="Radio">
      <formula>NOT(ISERROR(SEARCH("Radio",E242)))</formula>
    </cfRule>
  </conditionalFormatting>
  <conditionalFormatting sqref="P6:P92 P96:P230">
    <cfRule type="cellIs" dxfId="450" priority="1377" operator="lessThan">
      <formula>0.8</formula>
    </cfRule>
    <cfRule type="cellIs" dxfId="449" priority="1378" operator="greaterThan">
      <formula>0.8</formula>
    </cfRule>
  </conditionalFormatting>
  <conditionalFormatting sqref="P6:P92 P96:P230">
    <cfRule type="notContainsText" dxfId="448" priority="1375" operator="notContains" text="Caida">
      <formula>ISERROR(SEARCH("Caida",P6))</formula>
    </cfRule>
    <cfRule type="containsText" dxfId="447" priority="1376" operator="containsText" text="Caida">
      <formula>NOT(ISERROR(SEARCH("Caida",P6)))</formula>
    </cfRule>
  </conditionalFormatting>
  <conditionalFormatting sqref="P337:P366 P284:P334">
    <cfRule type="cellIs" dxfId="446" priority="1373" operator="lessThan">
      <formula>0.8</formula>
    </cfRule>
    <cfRule type="cellIs" dxfId="445" priority="1374" operator="greaterThan">
      <formula>0.8</formula>
    </cfRule>
  </conditionalFormatting>
  <conditionalFormatting sqref="P337:P366 P284:P334 P391:P1048576">
    <cfRule type="notContainsText" dxfId="444" priority="1371" operator="notContains" text="Caida">
      <formula>ISERROR(SEARCH("Caida",P284))</formula>
    </cfRule>
    <cfRule type="containsText" dxfId="443" priority="1372" operator="containsText" text="Caida">
      <formula>NOT(ISERROR(SEARCH("Caida",P284)))</formula>
    </cfRule>
  </conditionalFormatting>
  <conditionalFormatting sqref="O391:O1048576">
    <cfRule type="notContainsText" dxfId="442" priority="1420" operator="notContains" text="Caida">
      <formula>ISERROR(SEARCH("Caida",O391))</formula>
    </cfRule>
    <cfRule type="containsText" dxfId="441" priority="1421" operator="containsText" text="Caida">
      <formula>NOT(ISERROR(SEARCH("Caida",O391)))</formula>
    </cfRule>
  </conditionalFormatting>
  <conditionalFormatting sqref="P336">
    <cfRule type="cellIs" dxfId="440" priority="1332" operator="lessThan">
      <formula>0.8</formula>
    </cfRule>
    <cfRule type="cellIs" dxfId="439" priority="1333" operator="greaterThan">
      <formula>0.8</formula>
    </cfRule>
  </conditionalFormatting>
  <conditionalFormatting sqref="P336">
    <cfRule type="notContainsText" dxfId="438" priority="1330" operator="notContains" text="Caida">
      <formula>ISERROR(SEARCH("Caida",P336))</formula>
    </cfRule>
    <cfRule type="containsText" dxfId="437" priority="1331" operator="containsText" text="Caida">
      <formula>NOT(ISERROR(SEARCH("Caida",P336)))</formula>
    </cfRule>
  </conditionalFormatting>
  <conditionalFormatting sqref="P22">
    <cfRule type="containsText" dxfId="436" priority="1370" operator="containsText" text="Instaladas en Funcionamiento Caida">
      <formula>NOT(ISERROR(SEARCH("Instaladas en Funcionamiento Caida",P22)))</formula>
    </cfRule>
  </conditionalFormatting>
  <conditionalFormatting sqref="P282">
    <cfRule type="cellIs" dxfId="435" priority="1368" operator="lessThan">
      <formula>0.8</formula>
    </cfRule>
    <cfRule type="cellIs" dxfId="434" priority="1369" operator="greaterThan">
      <formula>0.8</formula>
    </cfRule>
  </conditionalFormatting>
  <conditionalFormatting sqref="P282">
    <cfRule type="notContainsText" dxfId="433" priority="1366" operator="notContains" text="Caida">
      <formula>ISERROR(SEARCH("Caida",P282))</formula>
    </cfRule>
    <cfRule type="containsText" dxfId="432" priority="1367" operator="containsText" text="Caida">
      <formula>NOT(ISERROR(SEARCH("Caida",P282)))</formula>
    </cfRule>
  </conditionalFormatting>
  <conditionalFormatting sqref="P283">
    <cfRule type="cellIs" dxfId="431" priority="1364" operator="lessThan">
      <formula>0.8</formula>
    </cfRule>
    <cfRule type="cellIs" dxfId="430" priority="1365" operator="greaterThan">
      <formula>0.8</formula>
    </cfRule>
  </conditionalFormatting>
  <conditionalFormatting sqref="P283">
    <cfRule type="notContainsText" dxfId="429" priority="1362" operator="notContains" text="Caida">
      <formula>ISERROR(SEARCH("Caida",P283))</formula>
    </cfRule>
    <cfRule type="containsText" dxfId="428" priority="1363" operator="containsText" text="Caida">
      <formula>NOT(ISERROR(SEARCH("Caida",P283)))</formula>
    </cfRule>
  </conditionalFormatting>
  <conditionalFormatting sqref="P5">
    <cfRule type="cellIs" dxfId="427" priority="1360" operator="lessThan">
      <formula>0.8</formula>
    </cfRule>
    <cfRule type="cellIs" dxfId="426" priority="1361" operator="greaterThan">
      <formula>0.8</formula>
    </cfRule>
  </conditionalFormatting>
  <conditionalFormatting sqref="P5">
    <cfRule type="notContainsText" dxfId="425" priority="1358" operator="notContains" text="Caida">
      <formula>ISERROR(SEARCH("Caida",P5))</formula>
    </cfRule>
    <cfRule type="containsText" dxfId="424" priority="1359" operator="containsText" text="Caida">
      <formula>NOT(ISERROR(SEARCH("Caida",P5)))</formula>
    </cfRule>
  </conditionalFormatting>
  <conditionalFormatting sqref="P231">
    <cfRule type="cellIs" dxfId="423" priority="1356" operator="lessThan">
      <formula>0.8</formula>
    </cfRule>
    <cfRule type="cellIs" dxfId="422" priority="1357" operator="greaterThan">
      <formula>0.8</formula>
    </cfRule>
  </conditionalFormatting>
  <conditionalFormatting sqref="P231">
    <cfRule type="notContainsText" dxfId="421" priority="1354" operator="notContains" text="Caida">
      <formula>ISERROR(SEARCH("Caida",P231))</formula>
    </cfRule>
    <cfRule type="containsText" dxfId="420" priority="1355" operator="containsText" text="Caida">
      <formula>NOT(ISERROR(SEARCH("Caida",P231)))</formula>
    </cfRule>
  </conditionalFormatting>
  <conditionalFormatting sqref="P232">
    <cfRule type="cellIs" dxfId="419" priority="1352" operator="lessThan">
      <formula>0.8</formula>
    </cfRule>
    <cfRule type="cellIs" dxfId="418" priority="1353" operator="greaterThan">
      <formula>0.8</formula>
    </cfRule>
  </conditionalFormatting>
  <conditionalFormatting sqref="P232">
    <cfRule type="notContainsText" dxfId="417" priority="1350" operator="notContains" text="Caida">
      <formula>ISERROR(SEARCH("Caida",P232))</formula>
    </cfRule>
    <cfRule type="containsText" dxfId="416" priority="1351" operator="containsText" text="Caida">
      <formula>NOT(ISERROR(SEARCH("Caida",P232)))</formula>
    </cfRule>
  </conditionalFormatting>
  <conditionalFormatting sqref="P233">
    <cfRule type="cellIs" dxfId="415" priority="1348" operator="lessThan">
      <formula>0.8</formula>
    </cfRule>
    <cfRule type="cellIs" dxfId="414" priority="1349" operator="greaterThan">
      <formula>0.8</formula>
    </cfRule>
  </conditionalFormatting>
  <conditionalFormatting sqref="P233">
    <cfRule type="notContainsText" dxfId="413" priority="1346" operator="notContains" text="Caida">
      <formula>ISERROR(SEARCH("Caida",P233))</formula>
    </cfRule>
    <cfRule type="containsText" dxfId="412" priority="1347" operator="containsText" text="Caida">
      <formula>NOT(ISERROR(SEARCH("Caida",P233)))</formula>
    </cfRule>
  </conditionalFormatting>
  <conditionalFormatting sqref="P234">
    <cfRule type="cellIs" dxfId="411" priority="1344" operator="lessThan">
      <formula>0.8</formula>
    </cfRule>
    <cfRule type="cellIs" dxfId="410" priority="1345" operator="greaterThan">
      <formula>0.8</formula>
    </cfRule>
  </conditionalFormatting>
  <conditionalFormatting sqref="P234">
    <cfRule type="notContainsText" dxfId="409" priority="1342" operator="notContains" text="Caida">
      <formula>ISERROR(SEARCH("Caida",P234))</formula>
    </cfRule>
    <cfRule type="containsText" dxfId="408" priority="1343" operator="containsText" text="Caida">
      <formula>NOT(ISERROR(SEARCH("Caida",P234)))</formula>
    </cfRule>
  </conditionalFormatting>
  <conditionalFormatting sqref="P235">
    <cfRule type="cellIs" dxfId="407" priority="1340" operator="lessThan">
      <formula>0.8</formula>
    </cfRule>
    <cfRule type="cellIs" dxfId="406" priority="1341" operator="greaterThan">
      <formula>0.8</formula>
    </cfRule>
  </conditionalFormatting>
  <conditionalFormatting sqref="P235">
    <cfRule type="notContainsText" dxfId="405" priority="1338" operator="notContains" text="Caida">
      <formula>ISERROR(SEARCH("Caida",P235))</formula>
    </cfRule>
    <cfRule type="containsText" dxfId="404" priority="1339" operator="containsText" text="Caida">
      <formula>NOT(ISERROR(SEARCH("Caida",P235)))</formula>
    </cfRule>
  </conditionalFormatting>
  <conditionalFormatting sqref="P335">
    <cfRule type="cellIs" dxfId="403" priority="1336" operator="lessThan">
      <formula>0.8</formula>
    </cfRule>
    <cfRule type="cellIs" dxfId="402" priority="1337" operator="greaterThan">
      <formula>0.8</formula>
    </cfRule>
  </conditionalFormatting>
  <conditionalFormatting sqref="P335">
    <cfRule type="notContainsText" dxfId="401" priority="1334" operator="notContains" text="Caida">
      <formula>ISERROR(SEARCH("Caida",P335))</formula>
    </cfRule>
    <cfRule type="containsText" dxfId="400" priority="1335" operator="containsText" text="Caida">
      <formula>NOT(ISERROR(SEARCH("Caida",P335)))</formula>
    </cfRule>
  </conditionalFormatting>
  <conditionalFormatting sqref="Q6:Q92 Q96:Q230">
    <cfRule type="cellIs" dxfId="399" priority="1328" operator="lessThan">
      <formula>0.8</formula>
    </cfRule>
    <cfRule type="cellIs" dxfId="398" priority="1329" operator="greaterThan">
      <formula>0.8</formula>
    </cfRule>
  </conditionalFormatting>
  <conditionalFormatting sqref="Q6:Q92 Q96:Q230">
    <cfRule type="notContainsText" dxfId="397" priority="1326" operator="notContains" text="Caida">
      <formula>ISERROR(SEARCH("Caida",Q6))</formula>
    </cfRule>
    <cfRule type="containsText" dxfId="396" priority="1327" operator="containsText" text="Caida">
      <formula>NOT(ISERROR(SEARCH("Caida",Q6)))</formula>
    </cfRule>
  </conditionalFormatting>
  <conditionalFormatting sqref="Q336">
    <cfRule type="cellIs" dxfId="395" priority="1283" operator="lessThan">
      <formula>0.8</formula>
    </cfRule>
    <cfRule type="cellIs" dxfId="394" priority="1284" operator="greaterThan">
      <formula>0.8</formula>
    </cfRule>
  </conditionalFormatting>
  <conditionalFormatting sqref="Q336">
    <cfRule type="notContainsText" dxfId="393" priority="1281" operator="notContains" text="Caida">
      <formula>ISERROR(SEARCH("Caida",Q336))</formula>
    </cfRule>
    <cfRule type="containsText" dxfId="392" priority="1282" operator="containsText" text="Caida">
      <formula>NOT(ISERROR(SEARCH("Caida",Q336)))</formula>
    </cfRule>
  </conditionalFormatting>
  <conditionalFormatting sqref="Q337:Q366 Q284:Q334">
    <cfRule type="cellIs" dxfId="391" priority="1324" operator="lessThan">
      <formula>0.8</formula>
    </cfRule>
    <cfRule type="cellIs" dxfId="390" priority="1325" operator="greaterThan">
      <formula>0.8</formula>
    </cfRule>
  </conditionalFormatting>
  <conditionalFormatting sqref="Q337:Q366 Q284:Q334 Q391:Q1048576">
    <cfRule type="notContainsText" dxfId="389" priority="1322" operator="notContains" text="Caida">
      <formula>ISERROR(SEARCH("Caida",Q284))</formula>
    </cfRule>
    <cfRule type="containsText" dxfId="388" priority="1323" operator="containsText" text="Caida">
      <formula>NOT(ISERROR(SEARCH("Caida",Q284)))</formula>
    </cfRule>
  </conditionalFormatting>
  <conditionalFormatting sqref="Q22">
    <cfRule type="containsText" dxfId="387" priority="1321" operator="containsText" text="Instaladas en Funcionamiento Caida">
      <formula>NOT(ISERROR(SEARCH("Instaladas en Funcionamiento Caida",Q22)))</formula>
    </cfRule>
  </conditionalFormatting>
  <conditionalFormatting sqref="Q282">
    <cfRule type="cellIs" dxfId="386" priority="1319" operator="lessThan">
      <formula>0.8</formula>
    </cfRule>
    <cfRule type="cellIs" dxfId="385" priority="1320" operator="greaterThan">
      <formula>0.8</formula>
    </cfRule>
  </conditionalFormatting>
  <conditionalFormatting sqref="Q282">
    <cfRule type="notContainsText" dxfId="384" priority="1317" operator="notContains" text="Caida">
      <formula>ISERROR(SEARCH("Caida",Q282))</formula>
    </cfRule>
    <cfRule type="containsText" dxfId="383" priority="1318" operator="containsText" text="Caida">
      <formula>NOT(ISERROR(SEARCH("Caida",Q282)))</formula>
    </cfRule>
  </conditionalFormatting>
  <conditionalFormatting sqref="Q283">
    <cfRule type="cellIs" dxfId="382" priority="1315" operator="lessThan">
      <formula>0.8</formula>
    </cfRule>
    <cfRule type="cellIs" dxfId="381" priority="1316" operator="greaterThan">
      <formula>0.8</formula>
    </cfRule>
  </conditionalFormatting>
  <conditionalFormatting sqref="Q283">
    <cfRule type="notContainsText" dxfId="380" priority="1313" operator="notContains" text="Caida">
      <formula>ISERROR(SEARCH("Caida",Q283))</formula>
    </cfRule>
    <cfRule type="containsText" dxfId="379" priority="1314" operator="containsText" text="Caida">
      <formula>NOT(ISERROR(SEARCH("Caida",Q283)))</formula>
    </cfRule>
  </conditionalFormatting>
  <conditionalFormatting sqref="Q5">
    <cfRule type="cellIs" dxfId="378" priority="1311" operator="lessThan">
      <formula>0.8</formula>
    </cfRule>
    <cfRule type="cellIs" dxfId="377" priority="1312" operator="greaterThan">
      <formula>0.8</formula>
    </cfRule>
  </conditionalFormatting>
  <conditionalFormatting sqref="Q5">
    <cfRule type="notContainsText" dxfId="376" priority="1309" operator="notContains" text="Caida">
      <formula>ISERROR(SEARCH("Caida",Q5))</formula>
    </cfRule>
    <cfRule type="containsText" dxfId="375" priority="1310" operator="containsText" text="Caida">
      <formula>NOT(ISERROR(SEARCH("Caida",Q5)))</formula>
    </cfRule>
  </conditionalFormatting>
  <conditionalFormatting sqref="Q231">
    <cfRule type="cellIs" dxfId="374" priority="1307" operator="lessThan">
      <formula>0.8</formula>
    </cfRule>
    <cfRule type="cellIs" dxfId="373" priority="1308" operator="greaterThan">
      <formula>0.8</formula>
    </cfRule>
  </conditionalFormatting>
  <conditionalFormatting sqref="Q231">
    <cfRule type="notContainsText" dxfId="372" priority="1305" operator="notContains" text="Caida">
      <formula>ISERROR(SEARCH("Caida",Q231))</formula>
    </cfRule>
    <cfRule type="containsText" dxfId="371" priority="1306" operator="containsText" text="Caida">
      <formula>NOT(ISERROR(SEARCH("Caida",Q231)))</formula>
    </cfRule>
  </conditionalFormatting>
  <conditionalFormatting sqref="Q232">
    <cfRule type="cellIs" dxfId="370" priority="1303" operator="lessThan">
      <formula>0.8</formula>
    </cfRule>
    <cfRule type="cellIs" dxfId="369" priority="1304" operator="greaterThan">
      <formula>0.8</formula>
    </cfRule>
  </conditionalFormatting>
  <conditionalFormatting sqref="Q232">
    <cfRule type="notContainsText" dxfId="368" priority="1301" operator="notContains" text="Caida">
      <formula>ISERROR(SEARCH("Caida",Q232))</formula>
    </cfRule>
    <cfRule type="containsText" dxfId="367" priority="1302" operator="containsText" text="Caida">
      <formula>NOT(ISERROR(SEARCH("Caida",Q232)))</formula>
    </cfRule>
  </conditionalFormatting>
  <conditionalFormatting sqref="Q233">
    <cfRule type="cellIs" dxfId="366" priority="1299" operator="lessThan">
      <formula>0.8</formula>
    </cfRule>
    <cfRule type="cellIs" dxfId="365" priority="1300" operator="greaterThan">
      <formula>0.8</formula>
    </cfRule>
  </conditionalFormatting>
  <conditionalFormatting sqref="Q233">
    <cfRule type="notContainsText" dxfId="364" priority="1297" operator="notContains" text="Caida">
      <formula>ISERROR(SEARCH("Caida",Q233))</formula>
    </cfRule>
    <cfRule type="containsText" dxfId="363" priority="1298" operator="containsText" text="Caida">
      <formula>NOT(ISERROR(SEARCH("Caida",Q233)))</formula>
    </cfRule>
  </conditionalFormatting>
  <conditionalFormatting sqref="Q234">
    <cfRule type="cellIs" dxfId="362" priority="1295" operator="lessThan">
      <formula>0.8</formula>
    </cfRule>
    <cfRule type="cellIs" dxfId="361" priority="1296" operator="greaterThan">
      <formula>0.8</formula>
    </cfRule>
  </conditionalFormatting>
  <conditionalFormatting sqref="Q234">
    <cfRule type="notContainsText" dxfId="360" priority="1293" operator="notContains" text="Caida">
      <formula>ISERROR(SEARCH("Caida",Q234))</formula>
    </cfRule>
    <cfRule type="containsText" dxfId="359" priority="1294" operator="containsText" text="Caida">
      <formula>NOT(ISERROR(SEARCH("Caida",Q234)))</formula>
    </cfRule>
  </conditionalFormatting>
  <conditionalFormatting sqref="Q235">
    <cfRule type="cellIs" dxfId="358" priority="1291" operator="lessThan">
      <formula>0.8</formula>
    </cfRule>
    <cfRule type="cellIs" dxfId="357" priority="1292" operator="greaterThan">
      <formula>0.8</formula>
    </cfRule>
  </conditionalFormatting>
  <conditionalFormatting sqref="Q235">
    <cfRule type="notContainsText" dxfId="356" priority="1289" operator="notContains" text="Caida">
      <formula>ISERROR(SEARCH("Caida",Q235))</formula>
    </cfRule>
    <cfRule type="containsText" dxfId="355" priority="1290" operator="containsText" text="Caida">
      <formula>NOT(ISERROR(SEARCH("Caida",Q235)))</formula>
    </cfRule>
  </conditionalFormatting>
  <conditionalFormatting sqref="Q335">
    <cfRule type="cellIs" dxfId="354" priority="1287" operator="lessThan">
      <formula>0.8</formula>
    </cfRule>
    <cfRule type="cellIs" dxfId="353" priority="1288" operator="greaterThan">
      <formula>0.8</formula>
    </cfRule>
  </conditionalFormatting>
  <conditionalFormatting sqref="Q335">
    <cfRule type="notContainsText" dxfId="352" priority="1285" operator="notContains" text="Caida">
      <formula>ISERROR(SEARCH("Caida",Q335))</formula>
    </cfRule>
    <cfRule type="containsText" dxfId="351" priority="1286" operator="containsText" text="Caida">
      <formula>NOT(ISERROR(SEARCH("Caida",Q335)))</formula>
    </cfRule>
  </conditionalFormatting>
  <conditionalFormatting sqref="R6:R92 R96:R230">
    <cfRule type="cellIs" dxfId="350" priority="1279" operator="lessThan">
      <formula>0.8</formula>
    </cfRule>
    <cfRule type="cellIs" dxfId="349" priority="1280" operator="greaterThan">
      <formula>0.8</formula>
    </cfRule>
  </conditionalFormatting>
  <conditionalFormatting sqref="R6:R92 R96:R230">
    <cfRule type="notContainsText" dxfId="348" priority="1277" operator="notContains" text="Caida">
      <formula>ISERROR(SEARCH("Caida",R6))</formula>
    </cfRule>
    <cfRule type="containsText" dxfId="347" priority="1278" operator="containsText" text="Caida">
      <formula>NOT(ISERROR(SEARCH("Caida",R6)))</formula>
    </cfRule>
  </conditionalFormatting>
  <conditionalFormatting sqref="R336:T336">
    <cfRule type="cellIs" dxfId="346" priority="1234" operator="lessThan">
      <formula>0.8</formula>
    </cfRule>
    <cfRule type="cellIs" dxfId="345" priority="1235" operator="greaterThan">
      <formula>0.8</formula>
    </cfRule>
  </conditionalFormatting>
  <conditionalFormatting sqref="R336:T336">
    <cfRule type="notContainsText" dxfId="344" priority="1232" operator="notContains" text="Caida">
      <formula>ISERROR(SEARCH("Caida",R336))</formula>
    </cfRule>
    <cfRule type="containsText" dxfId="343" priority="1233" operator="containsText" text="Caida">
      <formula>NOT(ISERROR(SEARCH("Caida",R336)))</formula>
    </cfRule>
  </conditionalFormatting>
  <conditionalFormatting sqref="R337:R366 R284:R334">
    <cfRule type="cellIs" dxfId="342" priority="1275" operator="lessThan">
      <formula>0.8</formula>
    </cfRule>
    <cfRule type="cellIs" dxfId="341" priority="1276" operator="greaterThan">
      <formula>0.8</formula>
    </cfRule>
  </conditionalFormatting>
  <conditionalFormatting sqref="R337:R366 R284:R334 R391:R1048576">
    <cfRule type="notContainsText" dxfId="340" priority="1273" operator="notContains" text="Caida">
      <formula>ISERROR(SEARCH("Caida",R284))</formula>
    </cfRule>
    <cfRule type="containsText" dxfId="339" priority="1274" operator="containsText" text="Caida">
      <formula>NOT(ISERROR(SEARCH("Caida",R284)))</formula>
    </cfRule>
  </conditionalFormatting>
  <conditionalFormatting sqref="R22:T22">
    <cfRule type="containsText" dxfId="338" priority="1272" operator="containsText" text="Instaladas en Funcionamiento Caida">
      <formula>NOT(ISERROR(SEARCH("Instaladas en Funcionamiento Caida",R22)))</formula>
    </cfRule>
  </conditionalFormatting>
  <conditionalFormatting sqref="R282:T282">
    <cfRule type="cellIs" dxfId="337" priority="1270" operator="lessThan">
      <formula>0.8</formula>
    </cfRule>
    <cfRule type="cellIs" dxfId="336" priority="1271" operator="greaterThan">
      <formula>0.8</formula>
    </cfRule>
  </conditionalFormatting>
  <conditionalFormatting sqref="R282:T282">
    <cfRule type="notContainsText" dxfId="335" priority="1268" operator="notContains" text="Caida">
      <formula>ISERROR(SEARCH("Caida",R282))</formula>
    </cfRule>
    <cfRule type="containsText" dxfId="334" priority="1269" operator="containsText" text="Caida">
      <formula>NOT(ISERROR(SEARCH("Caida",R282)))</formula>
    </cfRule>
  </conditionalFormatting>
  <conditionalFormatting sqref="R283:T283">
    <cfRule type="cellIs" dxfId="333" priority="1266" operator="lessThan">
      <formula>0.8</formula>
    </cfRule>
    <cfRule type="cellIs" dxfId="332" priority="1267" operator="greaterThan">
      <formula>0.8</formula>
    </cfRule>
  </conditionalFormatting>
  <conditionalFormatting sqref="R283:T283">
    <cfRule type="notContainsText" dxfId="331" priority="1264" operator="notContains" text="Caida">
      <formula>ISERROR(SEARCH("Caida",R283))</formula>
    </cfRule>
    <cfRule type="containsText" dxfId="330" priority="1265" operator="containsText" text="Caida">
      <formula>NOT(ISERROR(SEARCH("Caida",R283)))</formula>
    </cfRule>
  </conditionalFormatting>
  <conditionalFormatting sqref="R5:T5">
    <cfRule type="cellIs" dxfId="329" priority="1262" operator="lessThan">
      <formula>0.8</formula>
    </cfRule>
    <cfRule type="cellIs" dxfId="328" priority="1263" operator="greaterThan">
      <formula>0.8</formula>
    </cfRule>
  </conditionalFormatting>
  <conditionalFormatting sqref="R5:T5">
    <cfRule type="notContainsText" dxfId="327" priority="1260" operator="notContains" text="Caida">
      <formula>ISERROR(SEARCH("Caida",R5))</formula>
    </cfRule>
    <cfRule type="containsText" dxfId="326" priority="1261" operator="containsText" text="Caida">
      <formula>NOT(ISERROR(SEARCH("Caida",R5)))</formula>
    </cfRule>
  </conditionalFormatting>
  <conditionalFormatting sqref="R231:T231">
    <cfRule type="cellIs" dxfId="325" priority="1258" operator="lessThan">
      <formula>0.8</formula>
    </cfRule>
    <cfRule type="cellIs" dxfId="324" priority="1259" operator="greaterThan">
      <formula>0.8</formula>
    </cfRule>
  </conditionalFormatting>
  <conditionalFormatting sqref="R231:T231">
    <cfRule type="notContainsText" dxfId="323" priority="1256" operator="notContains" text="Caida">
      <formula>ISERROR(SEARCH("Caida",R231))</formula>
    </cfRule>
    <cfRule type="containsText" dxfId="322" priority="1257" operator="containsText" text="Caida">
      <formula>NOT(ISERROR(SEARCH("Caida",R231)))</formula>
    </cfRule>
  </conditionalFormatting>
  <conditionalFormatting sqref="R232:T232">
    <cfRule type="cellIs" dxfId="321" priority="1254" operator="lessThan">
      <formula>0.8</formula>
    </cfRule>
    <cfRule type="cellIs" dxfId="320" priority="1255" operator="greaterThan">
      <formula>0.8</formula>
    </cfRule>
  </conditionalFormatting>
  <conditionalFormatting sqref="R232:T232">
    <cfRule type="notContainsText" dxfId="319" priority="1252" operator="notContains" text="Caida">
      <formula>ISERROR(SEARCH("Caida",R232))</formula>
    </cfRule>
    <cfRule type="containsText" dxfId="318" priority="1253" operator="containsText" text="Caida">
      <formula>NOT(ISERROR(SEARCH("Caida",R232)))</formula>
    </cfRule>
  </conditionalFormatting>
  <conditionalFormatting sqref="R233:T233">
    <cfRule type="cellIs" dxfId="317" priority="1250" operator="lessThan">
      <formula>0.8</formula>
    </cfRule>
    <cfRule type="cellIs" dxfId="316" priority="1251" operator="greaterThan">
      <formula>0.8</formula>
    </cfRule>
  </conditionalFormatting>
  <conditionalFormatting sqref="R233:T233">
    <cfRule type="notContainsText" dxfId="315" priority="1248" operator="notContains" text="Caida">
      <formula>ISERROR(SEARCH("Caida",R233))</formula>
    </cfRule>
    <cfRule type="containsText" dxfId="314" priority="1249" operator="containsText" text="Caida">
      <formula>NOT(ISERROR(SEARCH("Caida",R233)))</formula>
    </cfRule>
  </conditionalFormatting>
  <conditionalFormatting sqref="R234:T234">
    <cfRule type="cellIs" dxfId="313" priority="1246" operator="lessThan">
      <formula>0.8</formula>
    </cfRule>
    <cfRule type="cellIs" dxfId="312" priority="1247" operator="greaterThan">
      <formula>0.8</formula>
    </cfRule>
  </conditionalFormatting>
  <conditionalFormatting sqref="R234:T234">
    <cfRule type="notContainsText" dxfId="311" priority="1244" operator="notContains" text="Caida">
      <formula>ISERROR(SEARCH("Caida",R234))</formula>
    </cfRule>
    <cfRule type="containsText" dxfId="310" priority="1245" operator="containsText" text="Caida">
      <formula>NOT(ISERROR(SEARCH("Caida",R234)))</formula>
    </cfRule>
  </conditionalFormatting>
  <conditionalFormatting sqref="R235:T235">
    <cfRule type="cellIs" dxfId="309" priority="1242" operator="lessThan">
      <formula>0.8</formula>
    </cfRule>
    <cfRule type="cellIs" dxfId="308" priority="1243" operator="greaterThan">
      <formula>0.8</formula>
    </cfRule>
  </conditionalFormatting>
  <conditionalFormatting sqref="R235:T235">
    <cfRule type="notContainsText" dxfId="307" priority="1240" operator="notContains" text="Caida">
      <formula>ISERROR(SEARCH("Caida",R235))</formula>
    </cfRule>
    <cfRule type="containsText" dxfId="306" priority="1241" operator="containsText" text="Caida">
      <formula>NOT(ISERROR(SEARCH("Caida",R235)))</formula>
    </cfRule>
  </conditionalFormatting>
  <conditionalFormatting sqref="R335:T335">
    <cfRule type="cellIs" dxfId="305" priority="1238" operator="lessThan">
      <formula>0.8</formula>
    </cfRule>
    <cfRule type="cellIs" dxfId="304" priority="1239" operator="greaterThan">
      <formula>0.8</formula>
    </cfRule>
  </conditionalFormatting>
  <conditionalFormatting sqref="R335:T335">
    <cfRule type="notContainsText" dxfId="303" priority="1236" operator="notContains" text="Caida">
      <formula>ISERROR(SEARCH("Caida",R335))</formula>
    </cfRule>
    <cfRule type="containsText" dxfId="302" priority="1237" operator="containsText" text="Caida">
      <formula>NOT(ISERROR(SEARCH("Caida",R335)))</formula>
    </cfRule>
  </conditionalFormatting>
  <conditionalFormatting sqref="S391:S1048576">
    <cfRule type="notContainsText" dxfId="301" priority="1224" operator="notContains" text="Caida">
      <formula>ISERROR(SEARCH("Caida",S391))</formula>
    </cfRule>
    <cfRule type="containsText" dxfId="300" priority="1225" operator="containsText" text="Caida">
      <formula>NOT(ISERROR(SEARCH("Caida",S391)))</formula>
    </cfRule>
  </conditionalFormatting>
  <conditionalFormatting sqref="T391:T1048576">
    <cfRule type="notContainsText" dxfId="299" priority="1175" operator="notContains" text="Caida">
      <formula>ISERROR(SEARCH("Caida",T391))</formula>
    </cfRule>
    <cfRule type="containsText" dxfId="298" priority="1176" operator="containsText" text="Caida">
      <formula>NOT(ISERROR(SEARCH("Caida",T391)))</formula>
    </cfRule>
  </conditionalFormatting>
  <conditionalFormatting sqref="E92:K93">
    <cfRule type="containsText" dxfId="297" priority="1131" operator="containsText" text="Radio">
      <formula>NOT(ISERROR(SEARCH("Radio",E92)))</formula>
    </cfRule>
  </conditionalFormatting>
  <conditionalFormatting sqref="P93:P95">
    <cfRule type="cellIs" dxfId="296" priority="1101" operator="lessThan">
      <formula>0.8</formula>
    </cfRule>
    <cfRule type="cellIs" dxfId="295" priority="1102" operator="greaterThan">
      <formula>0.8</formula>
    </cfRule>
  </conditionalFormatting>
  <conditionalFormatting sqref="P93:P95">
    <cfRule type="notContainsText" dxfId="294" priority="1099" operator="notContains" text="Caida">
      <formula>ISERROR(SEARCH("Caida",P93))</formula>
    </cfRule>
    <cfRule type="containsText" dxfId="293" priority="1100" operator="containsText" text="Caida">
      <formula>NOT(ISERROR(SEARCH("Caida",P93)))</formula>
    </cfRule>
  </conditionalFormatting>
  <conditionalFormatting sqref="Q93:Q95">
    <cfRule type="cellIs" dxfId="292" priority="1097" operator="lessThan">
      <formula>0.8</formula>
    </cfRule>
    <cfRule type="cellIs" dxfId="291" priority="1098" operator="greaterThan">
      <formula>0.8</formula>
    </cfRule>
  </conditionalFormatting>
  <conditionalFormatting sqref="Q93:Q95">
    <cfRule type="notContainsText" dxfId="290" priority="1095" operator="notContains" text="Caida">
      <formula>ISERROR(SEARCH("Caida",Q93))</formula>
    </cfRule>
    <cfRule type="containsText" dxfId="289" priority="1096" operator="containsText" text="Caida">
      <formula>NOT(ISERROR(SEARCH("Caida",Q93)))</formula>
    </cfRule>
  </conditionalFormatting>
  <conditionalFormatting sqref="R93:R95">
    <cfRule type="cellIs" dxfId="288" priority="1093" operator="lessThan">
      <formula>0.8</formula>
    </cfRule>
    <cfRule type="cellIs" dxfId="287" priority="1094" operator="greaterThan">
      <formula>0.8</formula>
    </cfRule>
  </conditionalFormatting>
  <conditionalFormatting sqref="R93:R95">
    <cfRule type="notContainsText" dxfId="286" priority="1091" operator="notContains" text="Caida">
      <formula>ISERROR(SEARCH("Caida",R93))</formula>
    </cfRule>
    <cfRule type="containsText" dxfId="285" priority="1092" operator="containsText" text="Caida">
      <formula>NOT(ISERROR(SEARCH("Caida",R93)))</formula>
    </cfRule>
  </conditionalFormatting>
  <conditionalFormatting sqref="E365:K365">
    <cfRule type="containsText" dxfId="284" priority="1080" operator="containsText" text="Radio">
      <formula>NOT(ISERROR(SEARCH("Radio",E365)))</formula>
    </cfRule>
  </conditionalFormatting>
  <conditionalFormatting sqref="P367">
    <cfRule type="cellIs" dxfId="283" priority="1062" operator="lessThan">
      <formula>0.8</formula>
    </cfRule>
    <cfRule type="cellIs" dxfId="282" priority="1063" operator="greaterThan">
      <formula>0.8</formula>
    </cfRule>
  </conditionalFormatting>
  <conditionalFormatting sqref="P367">
    <cfRule type="notContainsText" dxfId="281" priority="1060" operator="notContains" text="Caida">
      <formula>ISERROR(SEARCH("Caida",P367))</formula>
    </cfRule>
    <cfRule type="containsText" dxfId="280" priority="1061" operator="containsText" text="Caida">
      <formula>NOT(ISERROR(SEARCH("Caida",P367)))</formula>
    </cfRule>
  </conditionalFormatting>
  <conditionalFormatting sqref="Q367">
    <cfRule type="cellIs" dxfId="279" priority="1058" operator="lessThan">
      <formula>0.8</formula>
    </cfRule>
    <cfRule type="cellIs" dxfId="278" priority="1059" operator="greaterThan">
      <formula>0.8</formula>
    </cfRule>
  </conditionalFormatting>
  <conditionalFormatting sqref="Q367">
    <cfRule type="notContainsText" dxfId="277" priority="1056" operator="notContains" text="Caida">
      <formula>ISERROR(SEARCH("Caida",Q367))</formula>
    </cfRule>
    <cfRule type="containsText" dxfId="276" priority="1057" operator="containsText" text="Caida">
      <formula>NOT(ISERROR(SEARCH("Caida",Q367)))</formula>
    </cfRule>
  </conditionalFormatting>
  <conditionalFormatting sqref="R367:T367">
    <cfRule type="cellIs" dxfId="275" priority="1054" operator="lessThan">
      <formula>0.8</formula>
    </cfRule>
    <cfRule type="cellIs" dxfId="274" priority="1055" operator="greaterThan">
      <formula>0.8</formula>
    </cfRule>
  </conditionalFormatting>
  <conditionalFormatting sqref="R367:T367">
    <cfRule type="notContainsText" dxfId="273" priority="1052" operator="notContains" text="Caida">
      <formula>ISERROR(SEARCH("Caida",R367))</formula>
    </cfRule>
    <cfRule type="containsText" dxfId="272" priority="1053" operator="containsText" text="Caida">
      <formula>NOT(ISERROR(SEARCH("Caida",R367)))</formula>
    </cfRule>
  </conditionalFormatting>
  <conditionalFormatting sqref="E366:K366">
    <cfRule type="containsText" dxfId="271" priority="1041" operator="containsText" text="Radio">
      <formula>NOT(ISERROR(SEARCH("Radio",E366)))</formula>
    </cfRule>
  </conditionalFormatting>
  <conditionalFormatting sqref="P368">
    <cfRule type="cellIs" dxfId="270" priority="1023" operator="lessThan">
      <formula>0.8</formula>
    </cfRule>
    <cfRule type="cellIs" dxfId="269" priority="1024" operator="greaterThan">
      <formula>0.8</formula>
    </cfRule>
  </conditionalFormatting>
  <conditionalFormatting sqref="P368">
    <cfRule type="notContainsText" dxfId="268" priority="1021" operator="notContains" text="Caida">
      <formula>ISERROR(SEARCH("Caida",P368))</formula>
    </cfRule>
    <cfRule type="containsText" dxfId="267" priority="1022" operator="containsText" text="Caida">
      <formula>NOT(ISERROR(SEARCH("Caida",P368)))</formula>
    </cfRule>
  </conditionalFormatting>
  <conditionalFormatting sqref="Q368">
    <cfRule type="cellIs" dxfId="266" priority="1019" operator="lessThan">
      <formula>0.8</formula>
    </cfRule>
    <cfRule type="cellIs" dxfId="265" priority="1020" operator="greaterThan">
      <formula>0.8</formula>
    </cfRule>
  </conditionalFormatting>
  <conditionalFormatting sqref="Q368">
    <cfRule type="notContainsText" dxfId="264" priority="1017" operator="notContains" text="Caida">
      <formula>ISERROR(SEARCH("Caida",Q368))</formula>
    </cfRule>
    <cfRule type="containsText" dxfId="263" priority="1018" operator="containsText" text="Caida">
      <formula>NOT(ISERROR(SEARCH("Caida",Q368)))</formula>
    </cfRule>
  </conditionalFormatting>
  <conditionalFormatting sqref="R368:T368">
    <cfRule type="cellIs" dxfId="262" priority="1015" operator="lessThan">
      <formula>0.8</formula>
    </cfRule>
    <cfRule type="cellIs" dxfId="261" priority="1016" operator="greaterThan">
      <formula>0.8</formula>
    </cfRule>
  </conditionalFormatting>
  <conditionalFormatting sqref="R368:T368">
    <cfRule type="notContainsText" dxfId="260" priority="1013" operator="notContains" text="Caida">
      <formula>ISERROR(SEARCH("Caida",R368))</formula>
    </cfRule>
    <cfRule type="containsText" dxfId="259" priority="1014" operator="containsText" text="Caida">
      <formula>NOT(ISERROR(SEARCH("Caida",R368)))</formula>
    </cfRule>
  </conditionalFormatting>
  <conditionalFormatting sqref="E367:K367">
    <cfRule type="containsText" dxfId="258" priority="1002" operator="containsText" text="Radio">
      <formula>NOT(ISERROR(SEARCH("Radio",E367)))</formula>
    </cfRule>
  </conditionalFormatting>
  <conditionalFormatting sqref="P369">
    <cfRule type="cellIs" dxfId="257" priority="984" operator="lessThan">
      <formula>0.8</formula>
    </cfRule>
    <cfRule type="cellIs" dxfId="256" priority="985" operator="greaterThan">
      <formula>0.8</formula>
    </cfRule>
  </conditionalFormatting>
  <conditionalFormatting sqref="P369">
    <cfRule type="notContainsText" dxfId="255" priority="982" operator="notContains" text="Caida">
      <formula>ISERROR(SEARCH("Caida",P369))</formula>
    </cfRule>
    <cfRule type="containsText" dxfId="254" priority="983" operator="containsText" text="Caida">
      <formula>NOT(ISERROR(SEARCH("Caida",P369)))</formula>
    </cfRule>
  </conditionalFormatting>
  <conditionalFormatting sqref="Q369">
    <cfRule type="cellIs" dxfId="253" priority="980" operator="lessThan">
      <formula>0.8</formula>
    </cfRule>
    <cfRule type="cellIs" dxfId="252" priority="981" operator="greaterThan">
      <formula>0.8</formula>
    </cfRule>
  </conditionalFormatting>
  <conditionalFormatting sqref="Q369">
    <cfRule type="notContainsText" dxfId="251" priority="978" operator="notContains" text="Caida">
      <formula>ISERROR(SEARCH("Caida",Q369))</formula>
    </cfRule>
    <cfRule type="containsText" dxfId="250" priority="979" operator="containsText" text="Caida">
      <formula>NOT(ISERROR(SEARCH("Caida",Q369)))</formula>
    </cfRule>
  </conditionalFormatting>
  <conditionalFormatting sqref="R369:T369">
    <cfRule type="cellIs" dxfId="249" priority="976" operator="lessThan">
      <formula>0.8</formula>
    </cfRule>
    <cfRule type="cellIs" dxfId="248" priority="977" operator="greaterThan">
      <formula>0.8</formula>
    </cfRule>
  </conditionalFormatting>
  <conditionalFormatting sqref="R369:T369">
    <cfRule type="notContainsText" dxfId="247" priority="974" operator="notContains" text="Caida">
      <formula>ISERROR(SEARCH("Caida",R369))</formula>
    </cfRule>
    <cfRule type="containsText" dxfId="246" priority="975" operator="containsText" text="Caida">
      <formula>NOT(ISERROR(SEARCH("Caida",R369)))</formula>
    </cfRule>
  </conditionalFormatting>
  <conditionalFormatting sqref="E368:K368">
    <cfRule type="containsText" dxfId="245" priority="963" operator="containsText" text="Radio">
      <formula>NOT(ISERROR(SEARCH("Radio",E368)))</formula>
    </cfRule>
  </conditionalFormatting>
  <conditionalFormatting sqref="U231">
    <cfRule type="cellIs" dxfId="244" priority="904" operator="lessThan">
      <formula>0.8</formula>
    </cfRule>
    <cfRule type="cellIs" dxfId="243" priority="905" operator="greaterThan">
      <formula>0.8</formula>
    </cfRule>
  </conditionalFormatting>
  <conditionalFormatting sqref="U231">
    <cfRule type="notContainsText" dxfId="242" priority="902" operator="notContains" text="Caida">
      <formula>ISERROR(SEARCH("Caida",U231))</formula>
    </cfRule>
    <cfRule type="containsText" dxfId="241" priority="903" operator="containsText" text="Caida">
      <formula>NOT(ISERROR(SEARCH("Caida",U231)))</formula>
    </cfRule>
  </conditionalFormatting>
  <conditionalFormatting sqref="U232">
    <cfRule type="cellIs" dxfId="240" priority="900" operator="lessThan">
      <formula>0.8</formula>
    </cfRule>
    <cfRule type="cellIs" dxfId="239" priority="901" operator="greaterThan">
      <formula>0.8</formula>
    </cfRule>
  </conditionalFormatting>
  <conditionalFormatting sqref="U232">
    <cfRule type="notContainsText" dxfId="238" priority="898" operator="notContains" text="Caida">
      <formula>ISERROR(SEARCH("Caida",U232))</formula>
    </cfRule>
    <cfRule type="containsText" dxfId="237" priority="899" operator="containsText" text="Caida">
      <formula>NOT(ISERROR(SEARCH("Caida",U232)))</formula>
    </cfRule>
  </conditionalFormatting>
  <conditionalFormatting sqref="P370:P372">
    <cfRule type="cellIs" dxfId="236" priority="945" operator="lessThan">
      <formula>0.8</formula>
    </cfRule>
    <cfRule type="cellIs" dxfId="235" priority="946" operator="greaterThan">
      <formula>0.8</formula>
    </cfRule>
  </conditionalFormatting>
  <conditionalFormatting sqref="P370:P372">
    <cfRule type="notContainsText" dxfId="234" priority="943" operator="notContains" text="Caida">
      <formula>ISERROR(SEARCH("Caida",P370))</formula>
    </cfRule>
    <cfRule type="containsText" dxfId="233" priority="944" operator="containsText" text="Caida">
      <formula>NOT(ISERROR(SEARCH("Caida",P370)))</formula>
    </cfRule>
  </conditionalFormatting>
  <conditionalFormatting sqref="Q370:Q372">
    <cfRule type="cellIs" dxfId="232" priority="941" operator="lessThan">
      <formula>0.8</formula>
    </cfRule>
    <cfRule type="cellIs" dxfId="231" priority="942" operator="greaterThan">
      <formula>0.8</formula>
    </cfRule>
  </conditionalFormatting>
  <conditionalFormatting sqref="Q370:Q372">
    <cfRule type="notContainsText" dxfId="230" priority="939" operator="notContains" text="Caida">
      <formula>ISERROR(SEARCH("Caida",Q370))</formula>
    </cfRule>
    <cfRule type="containsText" dxfId="229" priority="940" operator="containsText" text="Caida">
      <formula>NOT(ISERROR(SEARCH("Caida",Q370)))</formula>
    </cfRule>
  </conditionalFormatting>
  <conditionalFormatting sqref="R370:T370">
    <cfRule type="cellIs" dxfId="228" priority="937" operator="lessThan">
      <formula>0.8</formula>
    </cfRule>
    <cfRule type="cellIs" dxfId="227" priority="938" operator="greaterThan">
      <formula>0.8</formula>
    </cfRule>
  </conditionalFormatting>
  <conditionalFormatting sqref="R370:T370">
    <cfRule type="notContainsText" dxfId="226" priority="935" operator="notContains" text="Caida">
      <formula>ISERROR(SEARCH("Caida",R370))</formula>
    </cfRule>
    <cfRule type="containsText" dxfId="225" priority="936" operator="containsText" text="Caida">
      <formula>NOT(ISERROR(SEARCH("Caida",R370)))</formula>
    </cfRule>
  </conditionalFormatting>
  <conditionalFormatting sqref="U368">
    <cfRule type="cellIs" dxfId="224" priority="868" operator="lessThan">
      <formula>0.8</formula>
    </cfRule>
    <cfRule type="cellIs" dxfId="223" priority="869" operator="greaterThan">
      <formula>0.8</formula>
    </cfRule>
  </conditionalFormatting>
  <conditionalFormatting sqref="U368">
    <cfRule type="notContainsText" dxfId="222" priority="866" operator="notContains" text="Caida">
      <formula>ISERROR(SEARCH("Caida",U368))</formula>
    </cfRule>
    <cfRule type="containsText" dxfId="221" priority="867" operator="containsText" text="Caida">
      <formula>NOT(ISERROR(SEARCH("Caida",U368)))</formula>
    </cfRule>
  </conditionalFormatting>
  <conditionalFormatting sqref="U369">
    <cfRule type="cellIs" dxfId="220" priority="864" operator="lessThan">
      <formula>0.8</formula>
    </cfRule>
    <cfRule type="cellIs" dxfId="219" priority="865" operator="greaterThan">
      <formula>0.8</formula>
    </cfRule>
  </conditionalFormatting>
  <conditionalFormatting sqref="U369">
    <cfRule type="notContainsText" dxfId="218" priority="862" operator="notContains" text="Caida">
      <formula>ISERROR(SEARCH("Caida",U369))</formula>
    </cfRule>
    <cfRule type="containsText" dxfId="217" priority="863" operator="containsText" text="Caida">
      <formula>NOT(ISERROR(SEARCH("Caida",U369)))</formula>
    </cfRule>
  </conditionalFormatting>
  <conditionalFormatting sqref="U370:U372">
    <cfRule type="cellIs" dxfId="216" priority="860" operator="lessThan">
      <formula>0.8</formula>
    </cfRule>
    <cfRule type="cellIs" dxfId="215" priority="861" operator="greaterThan">
      <formula>0.8</formula>
    </cfRule>
  </conditionalFormatting>
  <conditionalFormatting sqref="U370:U372">
    <cfRule type="notContainsText" dxfId="214" priority="858" operator="notContains" text="Caida">
      <formula>ISERROR(SEARCH("Caida",U370))</formula>
    </cfRule>
    <cfRule type="containsText" dxfId="213" priority="859" operator="containsText" text="Caida">
      <formula>NOT(ISERROR(SEARCH("Caida",U370)))</formula>
    </cfRule>
  </conditionalFormatting>
  <conditionalFormatting sqref="U6:U92 U96:U230">
    <cfRule type="cellIs" dxfId="212" priority="925" operator="lessThan">
      <formula>0.8</formula>
    </cfRule>
    <cfRule type="cellIs" dxfId="211" priority="926" operator="greaterThan">
      <formula>0.8</formula>
    </cfRule>
  </conditionalFormatting>
  <conditionalFormatting sqref="U6:U92 U96:U230">
    <cfRule type="notContainsText" dxfId="210" priority="923" operator="notContains" text="Caida">
      <formula>ISERROR(SEARCH("Caida",U6))</formula>
    </cfRule>
    <cfRule type="containsText" dxfId="209" priority="924" operator="containsText" text="Caida">
      <formula>NOT(ISERROR(SEARCH("Caida",U6)))</formula>
    </cfRule>
  </conditionalFormatting>
  <conditionalFormatting sqref="U336">
    <cfRule type="cellIs" dxfId="208" priority="880" operator="lessThan">
      <formula>0.8</formula>
    </cfRule>
    <cfRule type="cellIs" dxfId="207" priority="881" operator="greaterThan">
      <formula>0.8</formula>
    </cfRule>
  </conditionalFormatting>
  <conditionalFormatting sqref="U336">
    <cfRule type="notContainsText" dxfId="206" priority="878" operator="notContains" text="Caida">
      <formula>ISERROR(SEARCH("Caida",U336))</formula>
    </cfRule>
    <cfRule type="containsText" dxfId="205" priority="879" operator="containsText" text="Caida">
      <formula>NOT(ISERROR(SEARCH("Caida",U336)))</formula>
    </cfRule>
  </conditionalFormatting>
  <conditionalFormatting sqref="U337:U366 U284:U334">
    <cfRule type="cellIs" dxfId="204" priority="921" operator="lessThan">
      <formula>0.8</formula>
    </cfRule>
    <cfRule type="cellIs" dxfId="203" priority="922" operator="greaterThan">
      <formula>0.8</formula>
    </cfRule>
  </conditionalFormatting>
  <conditionalFormatting sqref="U337:U366 U284:U334 U391:U1048576">
    <cfRule type="notContainsText" dxfId="202" priority="919" operator="notContains" text="Caida">
      <formula>ISERROR(SEARCH("Caida",U284))</formula>
    </cfRule>
    <cfRule type="containsText" dxfId="201" priority="920" operator="containsText" text="Caida">
      <formula>NOT(ISERROR(SEARCH("Caida",U284)))</formula>
    </cfRule>
  </conditionalFormatting>
  <conditionalFormatting sqref="U22">
    <cfRule type="containsText" dxfId="200" priority="918" operator="containsText" text="Instaladas en Funcionamiento Caida">
      <formula>NOT(ISERROR(SEARCH("Instaladas en Funcionamiento Caida",U22)))</formula>
    </cfRule>
  </conditionalFormatting>
  <conditionalFormatting sqref="U282">
    <cfRule type="cellIs" dxfId="199" priority="916" operator="lessThan">
      <formula>0.8</formula>
    </cfRule>
    <cfRule type="cellIs" dxfId="198" priority="917" operator="greaterThan">
      <formula>0.8</formula>
    </cfRule>
  </conditionalFormatting>
  <conditionalFormatting sqref="U282">
    <cfRule type="notContainsText" dxfId="197" priority="914" operator="notContains" text="Caida">
      <formula>ISERROR(SEARCH("Caida",U282))</formula>
    </cfRule>
    <cfRule type="containsText" dxfId="196" priority="915" operator="containsText" text="Caida">
      <formula>NOT(ISERROR(SEARCH("Caida",U282)))</formula>
    </cfRule>
  </conditionalFormatting>
  <conditionalFormatting sqref="U283">
    <cfRule type="cellIs" dxfId="195" priority="912" operator="lessThan">
      <formula>0.8</formula>
    </cfRule>
    <cfRule type="cellIs" dxfId="194" priority="913" operator="greaterThan">
      <formula>0.8</formula>
    </cfRule>
  </conditionalFormatting>
  <conditionalFormatting sqref="U283">
    <cfRule type="notContainsText" dxfId="193" priority="910" operator="notContains" text="Caida">
      <formula>ISERROR(SEARCH("Caida",U283))</formula>
    </cfRule>
    <cfRule type="containsText" dxfId="192" priority="911" operator="containsText" text="Caida">
      <formula>NOT(ISERROR(SEARCH("Caida",U283)))</formula>
    </cfRule>
  </conditionalFormatting>
  <conditionalFormatting sqref="U5">
    <cfRule type="cellIs" dxfId="191" priority="908" operator="lessThan">
      <formula>0.8</formula>
    </cfRule>
    <cfRule type="cellIs" dxfId="190" priority="909" operator="greaterThan">
      <formula>0.8</formula>
    </cfRule>
  </conditionalFormatting>
  <conditionalFormatting sqref="U5">
    <cfRule type="notContainsText" dxfId="189" priority="906" operator="notContains" text="Caida">
      <formula>ISERROR(SEARCH("Caida",U5))</formula>
    </cfRule>
    <cfRule type="containsText" dxfId="188" priority="907" operator="containsText" text="Caida">
      <formula>NOT(ISERROR(SEARCH("Caida",U5)))</formula>
    </cfRule>
  </conditionalFormatting>
  <conditionalFormatting sqref="U233">
    <cfRule type="cellIs" dxfId="187" priority="896" operator="lessThan">
      <formula>0.8</formula>
    </cfRule>
    <cfRule type="cellIs" dxfId="186" priority="897" operator="greaterThan">
      <formula>0.8</formula>
    </cfRule>
  </conditionalFormatting>
  <conditionalFormatting sqref="U233">
    <cfRule type="notContainsText" dxfId="185" priority="894" operator="notContains" text="Caida">
      <formula>ISERROR(SEARCH("Caida",U233))</formula>
    </cfRule>
    <cfRule type="containsText" dxfId="184" priority="895" operator="containsText" text="Caida">
      <formula>NOT(ISERROR(SEARCH("Caida",U233)))</formula>
    </cfRule>
  </conditionalFormatting>
  <conditionalFormatting sqref="U234">
    <cfRule type="cellIs" dxfId="183" priority="892" operator="lessThan">
      <formula>0.8</formula>
    </cfRule>
    <cfRule type="cellIs" dxfId="182" priority="893" operator="greaterThan">
      <formula>0.8</formula>
    </cfRule>
  </conditionalFormatting>
  <conditionalFormatting sqref="U234">
    <cfRule type="notContainsText" dxfId="181" priority="890" operator="notContains" text="Caida">
      <formula>ISERROR(SEARCH("Caida",U234))</formula>
    </cfRule>
    <cfRule type="containsText" dxfId="180" priority="891" operator="containsText" text="Caida">
      <formula>NOT(ISERROR(SEARCH("Caida",U234)))</formula>
    </cfRule>
  </conditionalFormatting>
  <conditionalFormatting sqref="U235">
    <cfRule type="cellIs" dxfId="179" priority="888" operator="lessThan">
      <formula>0.8</formula>
    </cfRule>
    <cfRule type="cellIs" dxfId="178" priority="889" operator="greaterThan">
      <formula>0.8</formula>
    </cfRule>
  </conditionalFormatting>
  <conditionalFormatting sqref="U235">
    <cfRule type="notContainsText" dxfId="177" priority="886" operator="notContains" text="Caida">
      <formula>ISERROR(SEARCH("Caida",U235))</formula>
    </cfRule>
    <cfRule type="containsText" dxfId="176" priority="887" operator="containsText" text="Caida">
      <formula>NOT(ISERROR(SEARCH("Caida",U235)))</formula>
    </cfRule>
  </conditionalFormatting>
  <conditionalFormatting sqref="U335">
    <cfRule type="cellIs" dxfId="175" priority="884" operator="lessThan">
      <formula>0.8</formula>
    </cfRule>
    <cfRule type="cellIs" dxfId="174" priority="885" operator="greaterThan">
      <formula>0.8</formula>
    </cfRule>
  </conditionalFormatting>
  <conditionalFormatting sqref="U335">
    <cfRule type="notContainsText" dxfId="173" priority="882" operator="notContains" text="Caida">
      <formula>ISERROR(SEARCH("Caida",U335))</formula>
    </cfRule>
    <cfRule type="containsText" dxfId="172" priority="883" operator="containsText" text="Caida">
      <formula>NOT(ISERROR(SEARCH("Caida",U335)))</formula>
    </cfRule>
  </conditionalFormatting>
  <conditionalFormatting sqref="U93:U95">
    <cfRule type="cellIs" dxfId="171" priority="876" operator="lessThan">
      <formula>0.8</formula>
    </cfRule>
    <cfRule type="cellIs" dxfId="170" priority="877" operator="greaterThan">
      <formula>0.8</formula>
    </cfRule>
  </conditionalFormatting>
  <conditionalFormatting sqref="U93:U95">
    <cfRule type="notContainsText" dxfId="169" priority="874" operator="notContains" text="Caida">
      <formula>ISERROR(SEARCH("Caida",U93))</formula>
    </cfRule>
    <cfRule type="containsText" dxfId="168" priority="875" operator="containsText" text="Caida">
      <formula>NOT(ISERROR(SEARCH("Caida",U93)))</formula>
    </cfRule>
  </conditionalFormatting>
  <conditionalFormatting sqref="U367">
    <cfRule type="cellIs" dxfId="167" priority="872" operator="lessThan">
      <formula>0.8</formula>
    </cfRule>
    <cfRule type="cellIs" dxfId="166" priority="873" operator="greaterThan">
      <formula>0.8</formula>
    </cfRule>
  </conditionalFormatting>
  <conditionalFormatting sqref="U367">
    <cfRule type="notContainsText" dxfId="165" priority="870" operator="notContains" text="Caida">
      <formula>ISERROR(SEARCH("Caida",U367))</formula>
    </cfRule>
    <cfRule type="containsText" dxfId="164" priority="871" operator="containsText" text="Caida">
      <formula>NOT(ISERROR(SEARCH("Caida",U367)))</formula>
    </cfRule>
  </conditionalFormatting>
  <conditionalFormatting sqref="V6:X92">
    <cfRule type="cellIs" dxfId="163" priority="856" operator="lessThan">
      <formula>0.8</formula>
    </cfRule>
    <cfRule type="cellIs" dxfId="162" priority="857" operator="greaterThan">
      <formula>0.8</formula>
    </cfRule>
  </conditionalFormatting>
  <conditionalFormatting sqref="V6:X92">
    <cfRule type="notContainsText" dxfId="161" priority="854" operator="notContains" text="Caida">
      <formula>ISERROR(SEARCH("Caida",V6))</formula>
    </cfRule>
    <cfRule type="containsText" dxfId="160" priority="855" operator="containsText" text="Caida">
      <formula>NOT(ISERROR(SEARCH("Caida",V6)))</formula>
    </cfRule>
  </conditionalFormatting>
  <conditionalFormatting sqref="V22:AJ22">
    <cfRule type="containsText" dxfId="159" priority="853" operator="containsText" text="Instaladas en Funcionamiento Caida">
      <formula>NOT(ISERROR(SEARCH("Instaladas en Funcionamiento Caida",V22)))</formula>
    </cfRule>
  </conditionalFormatting>
  <conditionalFormatting sqref="V5:AJ5">
    <cfRule type="cellIs" dxfId="158" priority="851" operator="lessThan">
      <formula>0.8</formula>
    </cfRule>
    <cfRule type="cellIs" dxfId="157" priority="852" operator="greaterThan">
      <formula>0.8</formula>
    </cfRule>
  </conditionalFormatting>
  <conditionalFormatting sqref="V5:AJ5">
    <cfRule type="notContainsText" dxfId="156" priority="849" operator="notContains" text="Caida">
      <formula>ISERROR(SEARCH("Caida",V5))</formula>
    </cfRule>
    <cfRule type="containsText" dxfId="155" priority="850" operator="containsText" text="Caida">
      <formula>NOT(ISERROR(SEARCH("Caida",V5)))</formula>
    </cfRule>
  </conditionalFormatting>
  <conditionalFormatting sqref="V93:X95">
    <cfRule type="cellIs" dxfId="154" priority="847" operator="lessThan">
      <formula>0.8</formula>
    </cfRule>
    <cfRule type="cellIs" dxfId="153" priority="848" operator="greaterThan">
      <formula>0.8</formula>
    </cfRule>
  </conditionalFormatting>
  <conditionalFormatting sqref="V93:X95">
    <cfRule type="notContainsText" dxfId="152" priority="845" operator="notContains" text="Caida">
      <formula>ISERROR(SEARCH("Caida",V93))</formula>
    </cfRule>
    <cfRule type="containsText" dxfId="151" priority="846" operator="containsText" text="Caida">
      <formula>NOT(ISERROR(SEARCH("Caida",V93)))</formula>
    </cfRule>
  </conditionalFormatting>
  <conditionalFormatting sqref="E391:E1048576 E1:E376">
    <cfRule type="containsText" dxfId="150" priority="705" operator="containsText" text="fija">
      <formula>NOT(ISERROR(SEARCH("fija",E1)))</formula>
    </cfRule>
    <cfRule type="containsText" dxfId="149" priority="706" operator="containsText" text="domo">
      <formula>NOT(ISERROR(SEARCH("domo",E1)))</formula>
    </cfRule>
  </conditionalFormatting>
  <conditionalFormatting sqref="AK6:AP92">
    <cfRule type="cellIs" dxfId="148" priority="681" operator="lessThan">
      <formula>0.8</formula>
    </cfRule>
    <cfRule type="cellIs" dxfId="147" priority="682" operator="greaterThan">
      <formula>0.8</formula>
    </cfRule>
  </conditionalFormatting>
  <conditionalFormatting sqref="AK6:AP92">
    <cfRule type="notContainsText" dxfId="146" priority="679" operator="notContains" text="Caida">
      <formula>ISERROR(SEARCH("Caida",AK6))</formula>
    </cfRule>
    <cfRule type="containsText" dxfId="145" priority="680" operator="containsText" text="Caida">
      <formula>NOT(ISERROR(SEARCH("Caida",AK6)))</formula>
    </cfRule>
  </conditionalFormatting>
  <conditionalFormatting sqref="AK22:AS22">
    <cfRule type="containsText" dxfId="144" priority="678" operator="containsText" text="Instaladas en Funcionamiento Caida">
      <formula>NOT(ISERROR(SEARCH("Instaladas en Funcionamiento Caida",AK22)))</formula>
    </cfRule>
  </conditionalFormatting>
  <conditionalFormatting sqref="AK5:AS5">
    <cfRule type="cellIs" dxfId="143" priority="676" operator="lessThan">
      <formula>0.8</formula>
    </cfRule>
    <cfRule type="cellIs" dxfId="142" priority="677" operator="greaterThan">
      <formula>0.8</formula>
    </cfRule>
  </conditionalFormatting>
  <conditionalFormatting sqref="AK5:AS5">
    <cfRule type="notContainsText" dxfId="141" priority="674" operator="notContains" text="Caida">
      <formula>ISERROR(SEARCH("Caida",AK5))</formula>
    </cfRule>
    <cfRule type="containsText" dxfId="140" priority="675" operator="containsText" text="Caida">
      <formula>NOT(ISERROR(SEARCH("Caida",AK5)))</formula>
    </cfRule>
  </conditionalFormatting>
  <conditionalFormatting sqref="AK93:AP94">
    <cfRule type="cellIs" dxfId="139" priority="672" operator="lessThan">
      <formula>0.8</formula>
    </cfRule>
    <cfRule type="cellIs" dxfId="138" priority="673" operator="greaterThan">
      <formula>0.8</formula>
    </cfRule>
  </conditionalFormatting>
  <conditionalFormatting sqref="AK93:AP94">
    <cfRule type="notContainsText" dxfId="137" priority="670" operator="notContains" text="Caida">
      <formula>ISERROR(SEARCH("Caida",AK93))</formula>
    </cfRule>
    <cfRule type="containsText" dxfId="136" priority="671" operator="containsText" text="Caida">
      <formula>NOT(ISERROR(SEARCH("Caida",AK93)))</formula>
    </cfRule>
  </conditionalFormatting>
  <conditionalFormatting sqref="O247:O372 O5:AJ369 AK1:AS1 AK391:AS1048576 AK5:AS372">
    <cfRule type="cellIs" dxfId="135" priority="669" operator="equal">
      <formula>"APAGADO"</formula>
    </cfRule>
  </conditionalFormatting>
  <conditionalFormatting sqref="S6:S92 S96:S230">
    <cfRule type="cellIs" dxfId="134" priority="653" operator="lessThan">
      <formula>0.8</formula>
    </cfRule>
    <cfRule type="cellIs" dxfId="133" priority="654" operator="greaterThan">
      <formula>0.8</formula>
    </cfRule>
  </conditionalFormatting>
  <conditionalFormatting sqref="S6:S92 S96:S230">
    <cfRule type="notContainsText" dxfId="132" priority="651" operator="notContains" text="Caida">
      <formula>ISERROR(SEARCH("Caida",S6))</formula>
    </cfRule>
    <cfRule type="containsText" dxfId="131" priority="652" operator="containsText" text="Caida">
      <formula>NOT(ISERROR(SEARCH("Caida",S6)))</formula>
    </cfRule>
  </conditionalFormatting>
  <conditionalFormatting sqref="S337:S366 S284:S334">
    <cfRule type="cellIs" dxfId="130" priority="649" operator="lessThan">
      <formula>0.8</formula>
    </cfRule>
    <cfRule type="cellIs" dxfId="129" priority="650" operator="greaterThan">
      <formula>0.8</formula>
    </cfRule>
  </conditionalFormatting>
  <conditionalFormatting sqref="S337:S366 S284:S334">
    <cfRule type="notContainsText" dxfId="128" priority="647" operator="notContains" text="Caida">
      <formula>ISERROR(SEARCH("Caida",S284))</formula>
    </cfRule>
    <cfRule type="containsText" dxfId="127" priority="648" operator="containsText" text="Caida">
      <formula>NOT(ISERROR(SEARCH("Caida",S284)))</formula>
    </cfRule>
  </conditionalFormatting>
  <conditionalFormatting sqref="S93:S95">
    <cfRule type="cellIs" dxfId="126" priority="645" operator="lessThan">
      <formula>0.8</formula>
    </cfRule>
    <cfRule type="cellIs" dxfId="125" priority="646" operator="greaterThan">
      <formula>0.8</formula>
    </cfRule>
  </conditionalFormatting>
  <conditionalFormatting sqref="S93:S95">
    <cfRule type="notContainsText" dxfId="124" priority="643" operator="notContains" text="Caida">
      <formula>ISERROR(SEARCH("Caida",S93))</formula>
    </cfRule>
    <cfRule type="containsText" dxfId="123" priority="644" operator="containsText" text="Caida">
      <formula>NOT(ISERROR(SEARCH("Caida",S93)))</formula>
    </cfRule>
  </conditionalFormatting>
  <conditionalFormatting sqref="T6:T92 T96:T230">
    <cfRule type="cellIs" dxfId="122" priority="641" operator="lessThan">
      <formula>0.8</formula>
    </cfRule>
    <cfRule type="cellIs" dxfId="121" priority="642" operator="greaterThan">
      <formula>0.8</formula>
    </cfRule>
  </conditionalFormatting>
  <conditionalFormatting sqref="T6:T92 T96:T230">
    <cfRule type="notContainsText" dxfId="120" priority="639" operator="notContains" text="Caida">
      <formula>ISERROR(SEARCH("Caida",T6))</formula>
    </cfRule>
    <cfRule type="containsText" dxfId="119" priority="640" operator="containsText" text="Caida">
      <formula>NOT(ISERROR(SEARCH("Caida",T6)))</formula>
    </cfRule>
  </conditionalFormatting>
  <conditionalFormatting sqref="T337:T366 T284:T334">
    <cfRule type="cellIs" dxfId="118" priority="637" operator="lessThan">
      <formula>0.8</formula>
    </cfRule>
    <cfRule type="cellIs" dxfId="117" priority="638" operator="greaterThan">
      <formula>0.8</formula>
    </cfRule>
  </conditionalFormatting>
  <conditionalFormatting sqref="T337:T366 T284:T334">
    <cfRule type="notContainsText" dxfId="116" priority="635" operator="notContains" text="Caida">
      <formula>ISERROR(SEARCH("Caida",T284))</formula>
    </cfRule>
    <cfRule type="containsText" dxfId="115" priority="636" operator="containsText" text="Caida">
      <formula>NOT(ISERROR(SEARCH("Caida",T284)))</formula>
    </cfRule>
  </conditionalFormatting>
  <conditionalFormatting sqref="T93:T95">
    <cfRule type="cellIs" dxfId="114" priority="633" operator="lessThan">
      <formula>0.8</formula>
    </cfRule>
    <cfRule type="cellIs" dxfId="113" priority="634" operator="greaterThan">
      <formula>0.8</formula>
    </cfRule>
  </conditionalFormatting>
  <conditionalFormatting sqref="T93:T95">
    <cfRule type="notContainsText" dxfId="112" priority="631" operator="notContains" text="Caida">
      <formula>ISERROR(SEARCH("Caida",T93))</formula>
    </cfRule>
    <cfRule type="containsText" dxfId="111" priority="632" operator="containsText" text="Caida">
      <formula>NOT(ISERROR(SEARCH("Caida",T93)))</formula>
    </cfRule>
  </conditionalFormatting>
  <conditionalFormatting sqref="F391:F1048576 F1:F376">
    <cfRule type="cellIs" dxfId="110" priority="560" operator="equal">
      <formula>"PTP A FO"</formula>
    </cfRule>
  </conditionalFormatting>
  <conditionalFormatting sqref="R371:T372">
    <cfRule type="cellIs" dxfId="109" priority="189" operator="lessThan">
      <formula>0.8</formula>
    </cfRule>
    <cfRule type="cellIs" dxfId="108" priority="190" operator="greaterThan">
      <formula>0.8</formula>
    </cfRule>
  </conditionalFormatting>
  <conditionalFormatting sqref="R371:T372">
    <cfRule type="notContainsText" dxfId="107" priority="187" operator="notContains" text="Caida">
      <formula>ISERROR(SEARCH("Caida",R371))</formula>
    </cfRule>
    <cfRule type="containsText" dxfId="106" priority="188" operator="containsText" text="Caida">
      <formula>NOT(ISERROR(SEARCH("Caida",R371)))</formula>
    </cfRule>
  </conditionalFormatting>
  <conditionalFormatting sqref="O6:O92">
    <cfRule type="cellIs" dxfId="105" priority="177" operator="lessThan">
      <formula>0.8</formula>
    </cfRule>
    <cfRule type="cellIs" dxfId="104" priority="178" operator="greaterThan">
      <formula>0.8</formula>
    </cfRule>
  </conditionalFormatting>
  <conditionalFormatting sqref="O6:O92">
    <cfRule type="notContainsText" dxfId="103" priority="175" operator="notContains" text="Caida">
      <formula>ISERROR(SEARCH("Caida",O6))</formula>
    </cfRule>
    <cfRule type="containsText" dxfId="102" priority="176" operator="containsText" text="Caida">
      <formula>NOT(ISERROR(SEARCH("Caida",O6)))</formula>
    </cfRule>
  </conditionalFormatting>
  <conditionalFormatting sqref="O22">
    <cfRule type="containsText" dxfId="101" priority="174" operator="containsText" text="Instaladas en Funcionamiento Caida">
      <formula>NOT(ISERROR(SEARCH("Instaladas en Funcionamiento Caida",O22)))</formula>
    </cfRule>
  </conditionalFormatting>
  <conditionalFormatting sqref="O5">
    <cfRule type="cellIs" dxfId="100" priority="172" operator="lessThan">
      <formula>0.8</formula>
    </cfRule>
    <cfRule type="cellIs" dxfId="99" priority="173" operator="greaterThan">
      <formula>0.8</formula>
    </cfRule>
  </conditionalFormatting>
  <conditionalFormatting sqref="O5">
    <cfRule type="notContainsText" dxfId="98" priority="170" operator="notContains" text="Caida">
      <formula>ISERROR(SEARCH("Caida",O5))</formula>
    </cfRule>
    <cfRule type="containsText" dxfId="97" priority="171" operator="containsText" text="Caida">
      <formula>NOT(ISERROR(SEARCH("Caida",O5)))</formula>
    </cfRule>
  </conditionalFormatting>
  <conditionalFormatting sqref="O93:O94">
    <cfRule type="cellIs" dxfId="96" priority="168" operator="lessThan">
      <formula>0.8</formula>
    </cfRule>
    <cfRule type="cellIs" dxfId="95" priority="169" operator="greaterThan">
      <formula>0.8</formula>
    </cfRule>
  </conditionalFormatting>
  <conditionalFormatting sqref="O93:O94">
    <cfRule type="notContainsText" dxfId="94" priority="166" operator="notContains" text="Caida">
      <formula>ISERROR(SEARCH("Caida",O93))</formula>
    </cfRule>
    <cfRule type="containsText" dxfId="93" priority="167" operator="containsText" text="Caida">
      <formula>NOT(ISERROR(SEARCH("Caida",O93)))</formula>
    </cfRule>
  </conditionalFormatting>
  <conditionalFormatting sqref="AR6:AS92">
    <cfRule type="cellIs" dxfId="92" priority="159" operator="lessThan">
      <formula>0.8</formula>
    </cfRule>
    <cfRule type="cellIs" dxfId="91" priority="160" operator="greaterThan">
      <formula>0.8</formula>
    </cfRule>
  </conditionalFormatting>
  <conditionalFormatting sqref="AR6:AS92">
    <cfRule type="notContainsText" dxfId="90" priority="157" operator="notContains" text="Caida">
      <formula>ISERROR(SEARCH("Caida",AR6))</formula>
    </cfRule>
    <cfRule type="containsText" dxfId="89" priority="158" operator="containsText" text="Caida">
      <formula>NOT(ISERROR(SEARCH("Caida",AR6)))</formula>
    </cfRule>
  </conditionalFormatting>
  <conditionalFormatting sqref="AR93:AS94">
    <cfRule type="cellIs" dxfId="88" priority="155" operator="lessThan">
      <formula>0.8</formula>
    </cfRule>
    <cfRule type="cellIs" dxfId="87" priority="156" operator="greaterThan">
      <formula>0.8</formula>
    </cfRule>
  </conditionalFormatting>
  <conditionalFormatting sqref="AR93:AS94">
    <cfRule type="notContainsText" dxfId="86" priority="153" operator="notContains" text="Caida">
      <formula>ISERROR(SEARCH("Caida",AR93))</formula>
    </cfRule>
    <cfRule type="containsText" dxfId="85" priority="154" operator="containsText" text="Caida">
      <formula>NOT(ISERROR(SEARCH("Caida",AR93)))</formula>
    </cfRule>
  </conditionalFormatting>
  <conditionalFormatting sqref="Y6:AF92">
    <cfRule type="cellIs" dxfId="84" priority="94" operator="lessThan">
      <formula>0.8</formula>
    </cfRule>
    <cfRule type="cellIs" dxfId="83" priority="95" operator="greaterThan">
      <formula>0.8</formula>
    </cfRule>
  </conditionalFormatting>
  <conditionalFormatting sqref="Y6:AF92">
    <cfRule type="notContainsText" dxfId="82" priority="92" operator="notContains" text="Caida">
      <formula>ISERROR(SEARCH("Caida",Y6))</formula>
    </cfRule>
    <cfRule type="containsText" dxfId="81" priority="93" operator="containsText" text="Caida">
      <formula>NOT(ISERROR(SEARCH("Caida",Y6)))</formula>
    </cfRule>
  </conditionalFormatting>
  <conditionalFormatting sqref="Y93:AF95">
    <cfRule type="cellIs" dxfId="80" priority="90" operator="lessThan">
      <formula>0.8</formula>
    </cfRule>
    <cfRule type="cellIs" dxfId="79" priority="91" operator="greaterThan">
      <formula>0.8</formula>
    </cfRule>
  </conditionalFormatting>
  <conditionalFormatting sqref="Y93:AF95">
    <cfRule type="notContainsText" dxfId="78" priority="88" operator="notContains" text="Caida">
      <formula>ISERROR(SEARCH("Caida",Y93))</formula>
    </cfRule>
    <cfRule type="containsText" dxfId="77" priority="89" operator="containsText" text="Caida">
      <formula>NOT(ISERROR(SEARCH("Caida",Y93)))</formula>
    </cfRule>
  </conditionalFormatting>
  <conditionalFormatting sqref="AF1:AF1048576">
    <cfRule type="cellIs" dxfId="76" priority="87" operator="equal">
      <formula>"apagado"</formula>
    </cfRule>
  </conditionalFormatting>
  <conditionalFormatting sqref="AE1:AE1048576">
    <cfRule type="cellIs" dxfId="75" priority="86" operator="equal">
      <formula>"apagado"</formula>
    </cfRule>
  </conditionalFormatting>
  <conditionalFormatting sqref="AD1:AD1048576">
    <cfRule type="cellIs" dxfId="74" priority="85" operator="equal">
      <formula>"apagado"</formula>
    </cfRule>
  </conditionalFormatting>
  <conditionalFormatting sqref="AC1:AC1048576">
    <cfRule type="cellIs" dxfId="73" priority="84" operator="equal">
      <formula>"apagado"</formula>
    </cfRule>
  </conditionalFormatting>
  <conditionalFormatting sqref="AB1:AB1048576">
    <cfRule type="cellIs" dxfId="72" priority="83" operator="equal">
      <formula>"apagado"</formula>
    </cfRule>
  </conditionalFormatting>
  <conditionalFormatting sqref="AA1:AA1048576">
    <cfRule type="cellIs" dxfId="71" priority="82" operator="equal">
      <formula>"apagado"</formula>
    </cfRule>
  </conditionalFormatting>
  <conditionalFormatting sqref="Z1:Z1048576">
    <cfRule type="cellIs" dxfId="70" priority="81" operator="equal">
      <formula>"apagado"</formula>
    </cfRule>
  </conditionalFormatting>
  <conditionalFormatting sqref="Y1:Y1048576">
    <cfRule type="cellIs" dxfId="69" priority="80" operator="equal">
      <formula>"apagado"</formula>
    </cfRule>
  </conditionalFormatting>
  <conditionalFormatting sqref="AG6:AG92">
    <cfRule type="cellIs" dxfId="68" priority="78" operator="lessThan">
      <formula>0.8</formula>
    </cfRule>
    <cfRule type="cellIs" dxfId="67" priority="79" operator="greaterThan">
      <formula>0.8</formula>
    </cfRule>
  </conditionalFormatting>
  <conditionalFormatting sqref="AG6:AG92">
    <cfRule type="notContainsText" dxfId="66" priority="76" operator="notContains" text="Caida">
      <formula>ISERROR(SEARCH("Caida",AG6))</formula>
    </cfRule>
    <cfRule type="containsText" dxfId="65" priority="77" operator="containsText" text="Caida">
      <formula>NOT(ISERROR(SEARCH("Caida",AG6)))</formula>
    </cfRule>
  </conditionalFormatting>
  <conditionalFormatting sqref="AG93:AG95">
    <cfRule type="cellIs" dxfId="64" priority="74" operator="lessThan">
      <formula>0.8</formula>
    </cfRule>
    <cfRule type="cellIs" dxfId="63" priority="75" operator="greaterThan">
      <formula>0.8</formula>
    </cfRule>
  </conditionalFormatting>
  <conditionalFormatting sqref="AG93:AG95">
    <cfRule type="notContainsText" dxfId="62" priority="72" operator="notContains" text="Caida">
      <formula>ISERROR(SEARCH("Caida",AG93))</formula>
    </cfRule>
    <cfRule type="containsText" dxfId="61" priority="73" operator="containsText" text="Caida">
      <formula>NOT(ISERROR(SEARCH("Caida",AG93)))</formula>
    </cfRule>
  </conditionalFormatting>
  <conditionalFormatting sqref="AG1:AG1048576">
    <cfRule type="cellIs" dxfId="60" priority="71" operator="equal">
      <formula>"apagado"</formula>
    </cfRule>
  </conditionalFormatting>
  <conditionalFormatting sqref="AH6:AH92">
    <cfRule type="cellIs" dxfId="59" priority="69" operator="lessThan">
      <formula>0.8</formula>
    </cfRule>
    <cfRule type="cellIs" dxfId="58" priority="70" operator="greaterThan">
      <formula>0.8</formula>
    </cfRule>
  </conditionalFormatting>
  <conditionalFormatting sqref="AH6:AH92">
    <cfRule type="notContainsText" dxfId="57" priority="67" operator="notContains" text="Caida">
      <formula>ISERROR(SEARCH("Caida",AH6))</formula>
    </cfRule>
    <cfRule type="containsText" dxfId="56" priority="68" operator="containsText" text="Caida">
      <formula>NOT(ISERROR(SEARCH("Caida",AH6)))</formula>
    </cfRule>
  </conditionalFormatting>
  <conditionalFormatting sqref="AH93:AH95">
    <cfRule type="cellIs" dxfId="55" priority="65" operator="lessThan">
      <formula>0.8</formula>
    </cfRule>
    <cfRule type="cellIs" dxfId="54" priority="66" operator="greaterThan">
      <formula>0.8</formula>
    </cfRule>
  </conditionalFormatting>
  <conditionalFormatting sqref="AH93:AH95">
    <cfRule type="notContainsText" dxfId="53" priority="63" operator="notContains" text="Caida">
      <formula>ISERROR(SEARCH("Caida",AH93))</formula>
    </cfRule>
    <cfRule type="containsText" dxfId="52" priority="64" operator="containsText" text="Caida">
      <formula>NOT(ISERROR(SEARCH("Caida",AH93)))</formula>
    </cfRule>
  </conditionalFormatting>
  <conditionalFormatting sqref="AH1:AH1048576">
    <cfRule type="cellIs" dxfId="51" priority="62" operator="equal">
      <formula>"apagado"</formula>
    </cfRule>
  </conditionalFormatting>
  <conditionalFormatting sqref="AI6:AI92">
    <cfRule type="cellIs" dxfId="50" priority="60" operator="lessThan">
      <formula>0.8</formula>
    </cfRule>
    <cfRule type="cellIs" dxfId="49" priority="61" operator="greaterThan">
      <formula>0.8</formula>
    </cfRule>
  </conditionalFormatting>
  <conditionalFormatting sqref="AI6:AI92">
    <cfRule type="notContainsText" dxfId="48" priority="58" operator="notContains" text="Caida">
      <formula>ISERROR(SEARCH("Caida",AI6))</formula>
    </cfRule>
    <cfRule type="containsText" dxfId="47" priority="59" operator="containsText" text="Caida">
      <formula>NOT(ISERROR(SEARCH("Caida",AI6)))</formula>
    </cfRule>
  </conditionalFormatting>
  <conditionalFormatting sqref="AI93:AI95">
    <cfRule type="cellIs" dxfId="46" priority="56" operator="lessThan">
      <formula>0.8</formula>
    </cfRule>
    <cfRule type="cellIs" dxfId="45" priority="57" operator="greaterThan">
      <formula>0.8</formula>
    </cfRule>
  </conditionalFormatting>
  <conditionalFormatting sqref="AI93:AI95">
    <cfRule type="notContainsText" dxfId="44" priority="54" operator="notContains" text="Caida">
      <formula>ISERROR(SEARCH("Caida",AI93))</formula>
    </cfRule>
    <cfRule type="containsText" dxfId="43" priority="55" operator="containsText" text="Caida">
      <formula>NOT(ISERROR(SEARCH("Caida",AI93)))</formula>
    </cfRule>
  </conditionalFormatting>
  <conditionalFormatting sqref="AI1:AI1048576">
    <cfRule type="cellIs" dxfId="42" priority="53" operator="equal">
      <formula>"apagado"</formula>
    </cfRule>
  </conditionalFormatting>
  <conditionalFormatting sqref="AJ6:AJ92">
    <cfRule type="cellIs" dxfId="41" priority="51" operator="lessThan">
      <formula>0.8</formula>
    </cfRule>
    <cfRule type="cellIs" dxfId="40" priority="52" operator="greaterThan">
      <formula>0.8</formula>
    </cfRule>
  </conditionalFormatting>
  <conditionalFormatting sqref="AJ6:AJ92">
    <cfRule type="notContainsText" dxfId="39" priority="49" operator="notContains" text="Caida">
      <formula>ISERROR(SEARCH("Caida",AJ6))</formula>
    </cfRule>
    <cfRule type="containsText" dxfId="38" priority="50" operator="containsText" text="Caida">
      <formula>NOT(ISERROR(SEARCH("Caida",AJ6)))</formula>
    </cfRule>
  </conditionalFormatting>
  <conditionalFormatting sqref="AJ93:AJ95">
    <cfRule type="cellIs" dxfId="37" priority="47" operator="lessThan">
      <formula>0.8</formula>
    </cfRule>
    <cfRule type="cellIs" dxfId="36" priority="48" operator="greaterThan">
      <formula>0.8</formula>
    </cfRule>
  </conditionalFormatting>
  <conditionalFormatting sqref="AJ93:AJ95">
    <cfRule type="notContainsText" dxfId="35" priority="45" operator="notContains" text="Caida">
      <formula>ISERROR(SEARCH("Caida",AJ93))</formula>
    </cfRule>
    <cfRule type="containsText" dxfId="34" priority="46" operator="containsText" text="Caida">
      <formula>NOT(ISERROR(SEARCH("Caida",AJ93)))</formula>
    </cfRule>
  </conditionalFormatting>
  <conditionalFormatting sqref="AJ1:AJ1048576">
    <cfRule type="cellIs" dxfId="33" priority="44" operator="equal">
      <formula>"apagado"</formula>
    </cfRule>
  </conditionalFormatting>
  <conditionalFormatting sqref="AQ95:AQ369">
    <cfRule type="cellIs" dxfId="32" priority="25" operator="lessThan">
      <formula>0.8</formula>
    </cfRule>
    <cfRule type="cellIs" dxfId="31" priority="26" operator="greaterThan">
      <formula>0.8</formula>
    </cfRule>
  </conditionalFormatting>
  <conditionalFormatting sqref="AQ95:AQ372 AQ391:AQ1048576">
    <cfRule type="notContainsText" dxfId="30" priority="23" operator="notContains" text="Caida">
      <formula>ISERROR(SEARCH("Caida",AQ95))</formula>
    </cfRule>
    <cfRule type="containsText" dxfId="29" priority="24" operator="containsText" text="Caida">
      <formula>NOT(ISERROR(SEARCH("Caida",AQ95)))</formula>
    </cfRule>
  </conditionalFormatting>
  <conditionalFormatting sqref="AQ6:AQ92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AQ6:AQ92">
    <cfRule type="notContainsText" dxfId="26" priority="19" operator="notContains" text="Caida">
      <formula>ISERROR(SEARCH("Caida",AQ6))</formula>
    </cfRule>
    <cfRule type="containsText" dxfId="25" priority="20" operator="containsText" text="Caida">
      <formula>NOT(ISERROR(SEARCH("Caida",AQ6)))</formula>
    </cfRule>
  </conditionalFormatting>
  <conditionalFormatting sqref="AQ93:AQ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Q93:AQ94">
    <cfRule type="notContainsText" dxfId="22" priority="15" operator="notContains" text="Caida">
      <formula>ISERROR(SEARCH("Caida",AQ93))</formula>
    </cfRule>
    <cfRule type="containsText" dxfId="21" priority="16" operator="containsText" text="Caida">
      <formula>NOT(ISERROR(SEARCH("Caida",AQ93)))</formula>
    </cfRule>
  </conditionalFormatting>
  <conditionalFormatting sqref="AQ10">
    <cfRule type="cellIs" dxfId="20" priority="13" operator="lessThan">
      <formula>0.8</formula>
    </cfRule>
    <cfRule type="cellIs" dxfId="19" priority="14" operator="greaterThan">
      <formula>0.8</formula>
    </cfRule>
    <cfRule type="cellIs" dxfId="18" priority="10" operator="equal">
      <formula>"apagado"</formula>
    </cfRule>
  </conditionalFormatting>
  <conditionalFormatting sqref="AQ10">
    <cfRule type="notContainsText" dxfId="17" priority="11" operator="notContains" text="Caida">
      <formula>ISERROR(SEARCH("Caida",AQ10))</formula>
    </cfRule>
    <cfRule type="containsText" dxfId="16" priority="12" operator="containsText" text="Caida">
      <formula>NOT(ISERROR(SEARCH("Caida",AQ10)))</formula>
    </cfRule>
  </conditionalFormatting>
  <conditionalFormatting sqref="AQ1:AQ1048576">
    <cfRule type="cellIs" dxfId="15" priority="9" operator="equal">
      <formula>"apagado"</formula>
    </cfRule>
  </conditionalFormatting>
  <conditionalFormatting sqref="AR373:AR376">
    <cfRule type="notContainsText" dxfId="14" priority="7" operator="notContains" text="Caida">
      <formula>ISERROR(SEARCH("Caida",AR373))</formula>
    </cfRule>
    <cfRule type="containsText" dxfId="13" priority="8" operator="containsText" text="Caida">
      <formula>NOT(ISERROR(SEARCH("Caida",AR373)))</formula>
    </cfRule>
  </conditionalFormatting>
  <conditionalFormatting sqref="AR373:AR376">
    <cfRule type="cellIs" dxfId="12" priority="6" operator="equal">
      <formula>"APAGADO"</formula>
    </cfRule>
  </conditionalFormatting>
  <conditionalFormatting sqref="AS373:AS376">
    <cfRule type="notContainsText" dxfId="11" priority="4" operator="notContains" text="Caida">
      <formula>ISERROR(SEARCH("Caida",AS373))</formula>
    </cfRule>
    <cfRule type="containsText" dxfId="10" priority="5" operator="containsText" text="Caida">
      <formula>NOT(ISERROR(SEARCH("Caida",AS373)))</formula>
    </cfRule>
  </conditionalFormatting>
  <conditionalFormatting sqref="AS373:AS376">
    <cfRule type="cellIs" dxfId="9" priority="3" operator="equal">
      <formula>"APAGADO"</formula>
    </cfRule>
  </conditionalFormatting>
  <conditionalFormatting sqref="E373:E376">
    <cfRule type="containsText" dxfId="8" priority="2" operator="containsText" text="Radio">
      <formula>NOT(ISERROR(SEARCH("Radio",E373)))</formula>
    </cfRule>
  </conditionalFormatting>
  <conditionalFormatting sqref="F373:F376">
    <cfRule type="containsText" dxfId="7" priority="1" operator="containsText" text="Radio">
      <formula>NOT(ISERROR(SEARCH("Radio",F373)))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1312</v>
      </c>
    </row>
    <row r="2" spans="1:1" ht="15.75" thickBot="1" x14ac:dyDescent="0.3"/>
    <row r="3" spans="1:1" ht="20.25" thickTop="1" thickBot="1" x14ac:dyDescent="0.3">
      <c r="A3" s="48">
        <v>44621</v>
      </c>
    </row>
    <row r="4" spans="1:1" ht="20.25" thickTop="1" thickBot="1" x14ac:dyDescent="0.3">
      <c r="A4" s="48">
        <v>44622</v>
      </c>
    </row>
    <row r="5" spans="1:1" ht="20.25" thickTop="1" thickBot="1" x14ac:dyDescent="0.3">
      <c r="A5" s="48">
        <v>44623</v>
      </c>
    </row>
    <row r="6" spans="1:1" ht="20.25" thickTop="1" thickBot="1" x14ac:dyDescent="0.3">
      <c r="A6" s="48">
        <v>44624</v>
      </c>
    </row>
    <row r="7" spans="1:1" ht="20.25" thickTop="1" thickBot="1" x14ac:dyDescent="0.3">
      <c r="A7" s="48">
        <v>44625</v>
      </c>
    </row>
    <row r="8" spans="1:1" ht="20.25" thickTop="1" thickBot="1" x14ac:dyDescent="0.3">
      <c r="A8" s="48">
        <v>44626</v>
      </c>
    </row>
    <row r="9" spans="1:1" ht="20.25" thickTop="1" thickBot="1" x14ac:dyDescent="0.3">
      <c r="A9" s="48">
        <v>44627</v>
      </c>
    </row>
    <row r="10" spans="1:1" ht="20.25" thickTop="1" thickBot="1" x14ac:dyDescent="0.3">
      <c r="A10" s="48">
        <v>44628</v>
      </c>
    </row>
    <row r="11" spans="1:1" ht="20.25" thickTop="1" thickBot="1" x14ac:dyDescent="0.3">
      <c r="A11" s="48">
        <v>44629</v>
      </c>
    </row>
    <row r="12" spans="1:1" ht="20.25" thickTop="1" thickBot="1" x14ac:dyDescent="0.3">
      <c r="A12" s="48">
        <v>44630</v>
      </c>
    </row>
    <row r="13" spans="1:1" ht="20.25" thickTop="1" thickBot="1" x14ac:dyDescent="0.3">
      <c r="A13" s="48">
        <v>44631</v>
      </c>
    </row>
    <row r="14" spans="1:1" ht="20.25" thickTop="1" thickBot="1" x14ac:dyDescent="0.3">
      <c r="A14" s="48">
        <v>44632</v>
      </c>
    </row>
    <row r="15" spans="1:1" ht="20.25" thickTop="1" thickBot="1" x14ac:dyDescent="0.3">
      <c r="A15" s="48">
        <v>44633</v>
      </c>
    </row>
    <row r="16" spans="1:1" ht="20.25" thickTop="1" thickBot="1" x14ac:dyDescent="0.3">
      <c r="A16" s="48">
        <v>44634</v>
      </c>
    </row>
    <row r="17" spans="1:2" ht="20.25" thickTop="1" thickBot="1" x14ac:dyDescent="0.3">
      <c r="A17" s="48">
        <v>44635</v>
      </c>
    </row>
    <row r="18" spans="1:2" ht="20.25" thickTop="1" thickBot="1" x14ac:dyDescent="0.3">
      <c r="A18" s="48">
        <v>44636</v>
      </c>
    </row>
    <row r="19" spans="1:2" ht="20.25" thickTop="1" thickBot="1" x14ac:dyDescent="0.3">
      <c r="A19" s="48">
        <v>44637</v>
      </c>
    </row>
    <row r="20" spans="1:2" ht="20.25" thickTop="1" thickBot="1" x14ac:dyDescent="0.3">
      <c r="A20" s="48">
        <v>44638</v>
      </c>
    </row>
    <row r="21" spans="1:2" ht="20.25" thickTop="1" thickBot="1" x14ac:dyDescent="0.3">
      <c r="A21" s="48">
        <v>44639</v>
      </c>
    </row>
    <row r="22" spans="1:2" ht="20.25" thickTop="1" thickBot="1" x14ac:dyDescent="0.3">
      <c r="A22" s="48">
        <v>44640</v>
      </c>
    </row>
    <row r="23" spans="1:2" ht="20.25" thickTop="1" thickBot="1" x14ac:dyDescent="0.3">
      <c r="A23" s="48">
        <v>44641</v>
      </c>
      <c r="B23" s="49"/>
    </row>
    <row r="24" spans="1:2" ht="20.25" thickTop="1" thickBot="1" x14ac:dyDescent="0.3">
      <c r="A24" s="48">
        <v>44642</v>
      </c>
      <c r="B24" s="50"/>
    </row>
    <row r="25" spans="1:2" ht="20.25" thickTop="1" thickBot="1" x14ac:dyDescent="0.3">
      <c r="A25" s="48">
        <v>44643</v>
      </c>
    </row>
    <row r="26" spans="1:2" ht="20.25" thickTop="1" thickBot="1" x14ac:dyDescent="0.3">
      <c r="A26" s="48">
        <v>44644</v>
      </c>
    </row>
    <row r="27" spans="1:2" ht="20.25" thickTop="1" thickBot="1" x14ac:dyDescent="0.3">
      <c r="A27" s="48">
        <v>44645</v>
      </c>
    </row>
    <row r="28" spans="1:2" ht="20.25" thickTop="1" thickBot="1" x14ac:dyDescent="0.3">
      <c r="A28" s="48">
        <v>44646</v>
      </c>
    </row>
    <row r="29" spans="1:2" ht="20.25" thickTop="1" thickBot="1" x14ac:dyDescent="0.3">
      <c r="A29" s="48">
        <v>44647</v>
      </c>
    </row>
    <row r="30" spans="1:2" ht="20.25" thickTop="1" thickBot="1" x14ac:dyDescent="0.3">
      <c r="A30" s="48">
        <v>44648</v>
      </c>
    </row>
    <row r="31" spans="1:2" ht="20.25" thickTop="1" thickBot="1" x14ac:dyDescent="0.3">
      <c r="A31" s="48">
        <v>44649</v>
      </c>
    </row>
    <row r="32" spans="1:2" ht="20.25" thickTop="1" thickBot="1" x14ac:dyDescent="0.3">
      <c r="A32" s="48">
        <v>44650</v>
      </c>
    </row>
    <row r="33" spans="1:1" ht="20.25" thickTop="1" thickBot="1" x14ac:dyDescent="0.3">
      <c r="A33" s="48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85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 t="str">
        <f>'RESUMEN TOTAL'!AN5</f>
        <v>APAGADO</v>
      </c>
      <c r="AF2" t="str">
        <f>'RESUMEN TOTAL'!AO5</f>
        <v>APAGADO</v>
      </c>
      <c r="AG2" t="str">
        <f>'RESUMEN TOTAL'!AP5</f>
        <v>APAGADO</v>
      </c>
      <c r="AH2" t="str">
        <f>'RESUMEN TOTAL'!AQ5</f>
        <v>APAGADO</v>
      </c>
      <c r="AI2" t="str">
        <f>'RESUMEN TOTAL'!AR5</f>
        <v>APAGADO</v>
      </c>
      <c r="AJ2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str">
        <f>'RESUMEN TOTAL'!AS7</f>
        <v>APAGADO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 t="str">
        <f>'RESUMEN TOTAL'!AN10</f>
        <v>APAGADO</v>
      </c>
      <c r="AF7" t="str">
        <f>'RESUMEN TOTAL'!AO10</f>
        <v>APAGADO</v>
      </c>
      <c r="AG7" t="str">
        <f>'RESUMEN TOTAL'!AP10</f>
        <v>APAGADO</v>
      </c>
      <c r="AH7" t="str">
        <f>'RESUMEN TOTAL'!AQ10</f>
        <v>APAGADO</v>
      </c>
      <c r="AI7">
        <f>'RESUMEN TOTAL'!AR10</f>
        <v>0</v>
      </c>
      <c r="AJ7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 t="str">
        <f>'RESUMEN TOTAL'!AN13</f>
        <v>APAGADO</v>
      </c>
      <c r="AF10" t="str">
        <f>'RESUMEN TOTAL'!AO13</f>
        <v>APAGADO</v>
      </c>
      <c r="AG10" t="str">
        <f>'RESUMEN TOTAL'!AP13</f>
        <v>APAGADO</v>
      </c>
      <c r="AH10" t="str">
        <f>'RESUMEN TOTAL'!AQ13</f>
        <v>APAGADO</v>
      </c>
      <c r="AI10">
        <f>'RESUMEN TOTAL'!AR13</f>
        <v>0</v>
      </c>
      <c r="AJ10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 t="str">
        <f>'RESUMEN TOTAL'!AO14</f>
        <v>APAGADO</v>
      </c>
      <c r="AG11" t="str">
        <f>'RESUMEN TOTAL'!AP14</f>
        <v>APAGADO</v>
      </c>
      <c r="AH11" t="str">
        <f>'RESUMEN TOTAL'!AQ14</f>
        <v>APAGADO</v>
      </c>
      <c r="AI11">
        <f>'RESUMEN TOTAL'!AR14</f>
        <v>0</v>
      </c>
      <c r="AJ11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 t="str">
        <f>'RESUMEN TOTAL'!AN17</f>
        <v>APAGADO</v>
      </c>
      <c r="AF14" t="str">
        <f>'RESUMEN TOTAL'!AO17</f>
        <v>APAGADO</v>
      </c>
      <c r="AG14" t="str">
        <f>'RESUMEN TOTAL'!AP17</f>
        <v>APAGADO</v>
      </c>
      <c r="AH14" t="str">
        <f>'RESUMEN TOTAL'!AQ17</f>
        <v>APAGADO</v>
      </c>
      <c r="AI14">
        <f>'RESUMEN TOTAL'!AR17</f>
        <v>0</v>
      </c>
      <c r="AJ14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 t="str">
        <f>'RESUMEN TOTAL'!AN18</f>
        <v>APAGADO</v>
      </c>
      <c r="AF15" t="str">
        <f>'RESUMEN TOTAL'!AO18</f>
        <v>APAGADO</v>
      </c>
      <c r="AG15" t="str">
        <f>'RESUMEN TOTAL'!AP18</f>
        <v>APAGADO</v>
      </c>
      <c r="AH15" t="str">
        <f>'RESUMEN TOTAL'!AQ18</f>
        <v>APAGADO</v>
      </c>
      <c r="AI15">
        <f>'RESUMEN TOTAL'!AR18</f>
        <v>0</v>
      </c>
      <c r="AJ15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  <c r="AH27" t="str">
        <f>'RESUMEN TOTAL'!AQ30</f>
        <v>APAGADO</v>
      </c>
      <c r="AI27" t="str">
        <f>'RESUMEN TOTAL'!AR30</f>
        <v>APAGADO</v>
      </c>
      <c r="AJ27" t="str">
        <f>'RESUMEN TOTAL'!AS30</f>
        <v>APAGADO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 t="str">
        <f>'RESUMEN TOTAL'!AN62</f>
        <v>APAGADO</v>
      </c>
      <c r="AF59" t="str">
        <f>'RESUMEN TOTAL'!AO62</f>
        <v>APAGADO</v>
      </c>
      <c r="AG59" t="str">
        <f>'RESUMEN TOTAL'!AP62</f>
        <v>APAGADO</v>
      </c>
      <c r="AH59" t="str">
        <f>'RESUMEN TOTAL'!AQ62</f>
        <v>APAGADO</v>
      </c>
      <c r="AI59" t="str">
        <f>'RESUMEN TOTAL'!AR62</f>
        <v>APAGADO</v>
      </c>
      <c r="AJ59" t="str">
        <f>'RESUMEN TOTAL'!AS62</f>
        <v>APAGADO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 t="str">
        <f>'RESUMEN TOTAL'!AN63</f>
        <v>APAGADO</v>
      </c>
      <c r="AF60" t="str">
        <f>'RESUMEN TOTAL'!AO63</f>
        <v>APAGADO</v>
      </c>
      <c r="AG60" t="str">
        <f>'RESUMEN TOTAL'!AP63</f>
        <v>APAGADO</v>
      </c>
      <c r="AH60" t="str">
        <f>'RESUMEN TOTAL'!AQ63</f>
        <v>APAGADO</v>
      </c>
      <c r="AI60" t="str">
        <f>'RESUMEN TOTAL'!AR63</f>
        <v>APAGADO</v>
      </c>
      <c r="AJ60" t="str">
        <f>'RESUMEN TOTAL'!AS63</f>
        <v>APAGADO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 t="str">
        <f>'RESUMEN TOTAL'!AN65</f>
        <v>APAGADO</v>
      </c>
      <c r="AF62" t="str">
        <f>'RESUMEN TOTAL'!AO65</f>
        <v>APAGADO</v>
      </c>
      <c r="AG62" t="str">
        <f>'RESUMEN TOTAL'!AP65</f>
        <v>APAGADO</v>
      </c>
      <c r="AH62" t="str">
        <f>'RESUMEN TOTAL'!AQ65</f>
        <v>APAGADO</v>
      </c>
      <c r="AI62" t="str">
        <f>'RESUMEN TOTAL'!AR65</f>
        <v>APAGADO</v>
      </c>
      <c r="AJ62" t="str">
        <f>'RESUMEN TOTAL'!AS65</f>
        <v>APAGADO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 t="str">
        <f>'RESUMEN TOTAL'!AN68</f>
        <v>APAGADO</v>
      </c>
      <c r="AF65" t="str">
        <f>'RESUMEN TOTAL'!AO68</f>
        <v>APAGADO</v>
      </c>
      <c r="AG65" t="str">
        <f>'RESUMEN TOTAL'!AP68</f>
        <v>APAGADO</v>
      </c>
      <c r="AH65" t="str">
        <f>'RESUMEN TOTAL'!AQ68</f>
        <v>APAGADO</v>
      </c>
      <c r="AI65" t="str">
        <f>'RESUMEN TOTAL'!AR68</f>
        <v>APAGADO</v>
      </c>
      <c r="AJ65" t="str">
        <f>'RESUMEN TOTAL'!AS68</f>
        <v>APAGADO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 t="str">
        <f>'RESUMEN TOTAL'!AN70</f>
        <v>APAGADO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 t="str">
        <f>'RESUMEN TOTAL'!AR80</f>
        <v>APAGADO</v>
      </c>
      <c r="AJ77" t="str">
        <f>'RESUMEN TOTAL'!AS80</f>
        <v>APAGADO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 t="str">
        <f>'RESUMEN TOTAL'!AQ91</f>
        <v>APAGADO</v>
      </c>
      <c r="AI88" t="str">
        <f>'RESUMEN TOTAL'!AR91</f>
        <v>APAGADO</v>
      </c>
      <c r="AJ88" t="str">
        <f>'RESUMEN TOTAL'!AS91</f>
        <v>APAGADO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 t="str">
        <f>'RESUMEN TOTAL'!AN92</f>
        <v>APAGADO</v>
      </c>
      <c r="AF89" t="str">
        <f>'RESUMEN TOTAL'!AO92</f>
        <v>APAGADO</v>
      </c>
      <c r="AG89" t="str">
        <f>'RESUMEN TOTAL'!AP92</f>
        <v>APAGADO</v>
      </c>
      <c r="AH89" t="str">
        <f>'RESUMEN TOTAL'!AQ92</f>
        <v>APAGADO</v>
      </c>
      <c r="AI89" t="str">
        <f>'RESUMEN TOTAL'!AR92</f>
        <v>APAGADO</v>
      </c>
      <c r="AJ89" t="str">
        <f>'RESUMEN TOTAL'!AS92</f>
        <v>APAGADO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 t="str">
        <f>'RESUMEN TOTAL'!AN106</f>
        <v>APAGADO</v>
      </c>
      <c r="AF103" t="str">
        <f>'RESUMEN TOTAL'!AO106</f>
        <v>APAGADO</v>
      </c>
      <c r="AG103" t="str">
        <f>'RESUMEN TOTAL'!AP106</f>
        <v>APAGADO</v>
      </c>
      <c r="AH103">
        <f>'RESUMEN TOTAL'!AQ106</f>
        <v>0</v>
      </c>
      <c r="AI103">
        <f>'RESUMEN TOTAL'!AR106</f>
        <v>0</v>
      </c>
      <c r="AJ103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 t="str">
        <f>'RESUMEN TOTAL'!AN107</f>
        <v>APAGADO</v>
      </c>
      <c r="AF104" t="str">
        <f>'RESUMEN TOTAL'!AO107</f>
        <v>APAGADO</v>
      </c>
      <c r="AG104" t="str">
        <f>'RESUMEN TOTAL'!AP107</f>
        <v>APAGADO</v>
      </c>
      <c r="AH104">
        <f>'RESUMEN TOTAL'!AQ107</f>
        <v>0</v>
      </c>
      <c r="AI104">
        <f>'RESUMEN TOTAL'!AR107</f>
        <v>0</v>
      </c>
      <c r="AJ104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 t="str">
        <f>'RESUMEN TOTAL'!AN108</f>
        <v>APAGADO</v>
      </c>
      <c r="AF105" t="str">
        <f>'RESUMEN TOTAL'!AO108</f>
        <v>APAGADO</v>
      </c>
      <c r="AG105" t="str">
        <f>'RESUMEN TOTAL'!AP108</f>
        <v>APAGADO</v>
      </c>
      <c r="AH105">
        <f>'RESUMEN TOTAL'!AQ108</f>
        <v>0</v>
      </c>
      <c r="AI105">
        <f>'RESUMEN TOTAL'!AR108</f>
        <v>0</v>
      </c>
      <c r="AJ105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 t="str">
        <f>'RESUMEN TOTAL'!AN109</f>
        <v>APAGADO</v>
      </c>
      <c r="AF106" t="str">
        <f>'RESUMEN TOTAL'!AO109</f>
        <v>APAGADO</v>
      </c>
      <c r="AG106" t="str">
        <f>'RESUMEN TOTAL'!AP109</f>
        <v>APAGADO</v>
      </c>
      <c r="AH106">
        <f>'RESUMEN TOTAL'!AQ109</f>
        <v>0</v>
      </c>
      <c r="AI106">
        <f>'RESUMEN TOTAL'!AR109</f>
        <v>0</v>
      </c>
      <c r="AJ106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 t="str">
        <f>'RESUMEN TOTAL'!AN122</f>
        <v>APAGADO</v>
      </c>
      <c r="AF119" t="str">
        <f>'RESUMEN TOTAL'!AO122</f>
        <v>APAGADO</v>
      </c>
      <c r="AG119" t="str">
        <f>'RESUMEN TOTAL'!AP122</f>
        <v>APAGADO</v>
      </c>
      <c r="AH119">
        <f>'RESUMEN TOTAL'!AQ122</f>
        <v>0</v>
      </c>
      <c r="AI119">
        <f>'RESUMEN TOTAL'!AR122</f>
        <v>0</v>
      </c>
      <c r="AJ11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 t="str">
        <f>'RESUMEN TOTAL'!AN123</f>
        <v>APAGADO</v>
      </c>
      <c r="AF120" t="str">
        <f>'RESUMEN TOTAL'!AO123</f>
        <v>APAGADO</v>
      </c>
      <c r="AG120" t="str">
        <f>'RESUMEN TOTAL'!AP123</f>
        <v>APAGADO</v>
      </c>
      <c r="AH120">
        <f>'RESUMEN TOTAL'!AQ123</f>
        <v>0</v>
      </c>
      <c r="AI120">
        <f>'RESUMEN TOTAL'!AR123</f>
        <v>0</v>
      </c>
      <c r="AJ120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 t="str">
        <f>'RESUMEN TOTAL'!AQ124</f>
        <v>APAGADO</v>
      </c>
      <c r="AI121">
        <f>'RESUMEN TOTAL'!AR124</f>
        <v>0</v>
      </c>
      <c r="AJ121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 t="str">
        <f>'RESUMEN TOTAL'!AR133</f>
        <v>APAGADO</v>
      </c>
      <c r="AJ130" t="str">
        <f>'RESUMEN TOTAL'!AS133</f>
        <v>APAGADO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 t="str">
        <f>'RESUMEN TOTAL'!AN136</f>
        <v>APAGADO</v>
      </c>
      <c r="AF133" t="str">
        <f>'RESUMEN TOTAL'!AO136</f>
        <v>APAGADO</v>
      </c>
      <c r="AG133" t="str">
        <f>'RESUMEN TOTAL'!AP136</f>
        <v>APAGADO</v>
      </c>
      <c r="AH133">
        <f>'RESUMEN TOTAL'!AQ136</f>
        <v>0</v>
      </c>
      <c r="AI133" t="str">
        <f>'RESUMEN TOTAL'!AR136</f>
        <v>APAGADO</v>
      </c>
      <c r="AJ133" t="str">
        <f>'RESUMEN TOTAL'!AS136</f>
        <v>APAGADO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 t="str">
        <f>'RESUMEN TOTAL'!AO153</f>
        <v>APAGADO</v>
      </c>
      <c r="AG150" t="str">
        <f>'RESUMEN TOTAL'!AP153</f>
        <v>APAGADO</v>
      </c>
      <c r="AH150" t="str">
        <f>'RESUMEN TOTAL'!AQ153</f>
        <v>APAGADO</v>
      </c>
      <c r="AI150" t="str">
        <f>'RESUMEN TOTAL'!AR153</f>
        <v>APAGADO</v>
      </c>
      <c r="AJ150" t="str">
        <f>'RESUMEN TOTAL'!AS153</f>
        <v>APAGADO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 t="str">
        <f>'RESUMEN TOTAL'!AO156</f>
        <v>APAGADO</v>
      </c>
      <c r="AG153" t="str">
        <f>'RESUMEN TOTAL'!AP156</f>
        <v>APAGADO</v>
      </c>
      <c r="AH153" t="str">
        <f>'RESUMEN TOTAL'!AQ156</f>
        <v>APAGADO</v>
      </c>
      <c r="AI153" t="str">
        <f>'RESUMEN TOTAL'!AR156</f>
        <v>APAGADO</v>
      </c>
      <c r="AJ153" t="str">
        <f>'RESUMEN TOTAL'!AS156</f>
        <v>APAGADO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 t="str">
        <f>'RESUMEN TOTAL'!AN169</f>
        <v>APAGADO</v>
      </c>
      <c r="AF166" t="str">
        <f>'RESUMEN TOTAL'!AO169</f>
        <v>APAGADO</v>
      </c>
      <c r="AG166" t="str">
        <f>'RESUMEN TOTAL'!AP169</f>
        <v>APAGADO</v>
      </c>
      <c r="AH166" t="str">
        <f>'RESUMEN TOTAL'!AQ169</f>
        <v>APAGADO</v>
      </c>
      <c r="AI166">
        <f>'RESUMEN TOTAL'!AR169</f>
        <v>0</v>
      </c>
      <c r="AJ166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 t="str">
        <f>'RESUMEN TOTAL'!AN171</f>
        <v>APAGADO</v>
      </c>
      <c r="AF168" t="str">
        <f>'RESUMEN TOTAL'!AO171</f>
        <v>APAGADO</v>
      </c>
      <c r="AG168" t="str">
        <f>'RESUMEN TOTAL'!AP171</f>
        <v>APAGADO</v>
      </c>
      <c r="AH168" t="str">
        <f>'RESUMEN TOTAL'!AQ171</f>
        <v>APAGADO</v>
      </c>
      <c r="AI168" t="str">
        <f>'RESUMEN TOTAL'!AR171</f>
        <v>APAGADO</v>
      </c>
      <c r="AJ168" t="str">
        <f>'RESUMEN TOTAL'!AS171</f>
        <v>APAGADO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 t="str">
        <f>'RESUMEN TOTAL'!AN173</f>
        <v>APAGADO</v>
      </c>
      <c r="AF170" t="str">
        <f>'RESUMEN TOTAL'!AO173</f>
        <v>APAGADO</v>
      </c>
      <c r="AG170" t="str">
        <f>'RESUMEN TOTAL'!AP173</f>
        <v>APAGADO</v>
      </c>
      <c r="AH170" t="str">
        <f>'RESUMEN TOTAL'!AQ173</f>
        <v>APAGADO</v>
      </c>
      <c r="AI170">
        <f>'RESUMEN TOTAL'!AR173</f>
        <v>0</v>
      </c>
      <c r="AJ170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 t="str">
        <f>'RESUMEN TOTAL'!AN174</f>
        <v>APAGADO</v>
      </c>
      <c r="AF171" t="str">
        <f>'RESUMEN TOTAL'!AO174</f>
        <v>APAGADO</v>
      </c>
      <c r="AG171" t="str">
        <f>'RESUMEN TOTAL'!AP174</f>
        <v>APAGADO</v>
      </c>
      <c r="AH171" t="str">
        <f>'RESUMEN TOTAL'!AQ174</f>
        <v>APAGADO</v>
      </c>
      <c r="AI171" t="str">
        <f>'RESUMEN TOTAL'!AR174</f>
        <v>APAGADO</v>
      </c>
      <c r="AJ171" t="str">
        <f>'RESUMEN TOTAL'!AS174</f>
        <v>APAGADO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 t="str">
        <f>'RESUMEN TOTAL'!AN180</f>
        <v>APAGADO</v>
      </c>
      <c r="AF177" t="str">
        <f>'RESUMEN TOTAL'!AO180</f>
        <v>APAGADO</v>
      </c>
      <c r="AG177" t="str">
        <f>'RESUMEN TOTAL'!AP180</f>
        <v>APAGADO</v>
      </c>
      <c r="AH177" t="str">
        <f>'RESUMEN TOTAL'!AQ180</f>
        <v>APAGADO</v>
      </c>
      <c r="AI177">
        <f>'RESUMEN TOTAL'!AR180</f>
        <v>0</v>
      </c>
      <c r="AJ177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 t="str">
        <f>'RESUMEN TOTAL'!AR191</f>
        <v>APAGADO</v>
      </c>
      <c r="AJ188" t="str">
        <f>'RESUMEN TOTAL'!AS191</f>
        <v>APAGADO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 t="str">
        <f>'RESUMEN TOTAL'!AR192</f>
        <v>APAGADO</v>
      </c>
      <c r="AJ189" t="str">
        <f>'RESUMEN TOTAL'!AS192</f>
        <v>APAGADO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 t="str">
        <f>'RESUMEN TOTAL'!AP193</f>
        <v>APAGADO</v>
      </c>
      <c r="AH190" t="str">
        <f>'RESUMEN TOTAL'!AQ193</f>
        <v>APAGADO</v>
      </c>
      <c r="AI190">
        <f>'RESUMEN TOTAL'!AR193</f>
        <v>0</v>
      </c>
      <c r="AJ190" t="str">
        <f>'RESUMEN TOTAL'!AS193</f>
        <v>APAGADO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 t="str">
        <f>'RESUMEN TOTAL'!AP194</f>
        <v>APAGADO</v>
      </c>
      <c r="AH191" t="str">
        <f>'RESUMEN TOTAL'!AQ194</f>
        <v>APAGADO</v>
      </c>
      <c r="AI191">
        <f>'RESUMEN TOTAL'!AR194</f>
        <v>0</v>
      </c>
      <c r="AJ191" t="str">
        <f>'RESUMEN TOTAL'!AS194</f>
        <v>APAGADO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 t="str">
        <f>'RESUMEN TOTAL'!AQ197</f>
        <v>APAGADO</v>
      </c>
      <c r="AI194" t="str">
        <f>'RESUMEN TOTAL'!AR197</f>
        <v>APAGADO</v>
      </c>
      <c r="AJ194" t="str">
        <f>'RESUMEN TOTAL'!AS197</f>
        <v>APAGADO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  <c r="AJ195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 t="str">
        <f>'RESUMEN TOTAL'!AN199</f>
        <v>APAGADO</v>
      </c>
      <c r="AF196" t="str">
        <f>'RESUMEN TOTAL'!AO199</f>
        <v>APAGADO</v>
      </c>
      <c r="AG196" t="str">
        <f>'RESUMEN TOTAL'!AP199</f>
        <v>APAGADO</v>
      </c>
      <c r="AH196" t="str">
        <f>'RESUMEN TOTAL'!AQ199</f>
        <v>APAGADO</v>
      </c>
      <c r="AI196">
        <f>'RESUMEN TOTAL'!AR199</f>
        <v>0</v>
      </c>
      <c r="AJ196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 t="str">
        <f>'RESUMEN TOTAL'!AN200</f>
        <v>APAGADO</v>
      </c>
      <c r="AF197" t="str">
        <f>'RESUMEN TOTAL'!AO200</f>
        <v>APAGADO</v>
      </c>
      <c r="AG197" t="str">
        <f>'RESUMEN TOTAL'!AP200</f>
        <v>APAGADO</v>
      </c>
      <c r="AH197">
        <f>'RESUMEN TOTAL'!AQ200</f>
        <v>0</v>
      </c>
      <c r="AI197">
        <f>'RESUMEN TOTAL'!AR200</f>
        <v>0</v>
      </c>
      <c r="AJ197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 t="str">
        <f>'RESUMEN TOTAL'!AR201</f>
        <v>APAGADO</v>
      </c>
      <c r="AJ198" t="str">
        <f>'RESUMEN TOTAL'!AS201</f>
        <v>APAGADO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 t="str">
        <f>'RESUMEN TOTAL'!AR202</f>
        <v>APAGADO</v>
      </c>
      <c r="AJ199" t="str">
        <f>'RESUMEN TOTAL'!AS202</f>
        <v>APAGADO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 t="str">
        <f>'RESUMEN TOTAL'!AQ203</f>
        <v>APAGADO</v>
      </c>
      <c r="AI200">
        <f>'RESUMEN TOTAL'!AR203</f>
        <v>0</v>
      </c>
      <c r="AJ200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 t="str">
        <f>'RESUMEN TOTAL'!AR206</f>
        <v>APAGADO</v>
      </c>
      <c r="AJ203" t="str">
        <f>'RESUMEN TOTAL'!AS206</f>
        <v>APAGADO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 t="str">
        <f>'RESUMEN TOTAL'!AR207</f>
        <v>APAGADO</v>
      </c>
      <c r="AJ204" t="str">
        <f>'RESUMEN TOTAL'!AS207</f>
        <v>APAGADO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 t="str">
        <f>'RESUMEN TOTAL'!AN208</f>
        <v>APAGADO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 t="str">
        <f>'RESUMEN TOTAL'!AR209</f>
        <v>APAGADO</v>
      </c>
      <c r="AJ206" t="str">
        <f>'RESUMEN TOTAL'!AS209</f>
        <v>APAGADO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>
        <f>'RESUMEN TOTAL'!AQ210</f>
        <v>0</v>
      </c>
      <c r="AI207" t="str">
        <f>'RESUMEN TOTAL'!AR210</f>
        <v>APAGADO</v>
      </c>
      <c r="AJ207" t="str">
        <f>'RESUMEN TOTAL'!AS210</f>
        <v>APAGADO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  <c r="AJ208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  <c r="AJ20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 t="str">
        <f>'RESUMEN TOTAL'!AQ213</f>
        <v>APAGADO</v>
      </c>
      <c r="AI210">
        <f>'RESUMEN TOTAL'!AR213</f>
        <v>0</v>
      </c>
      <c r="AJ210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 t="str">
        <f>'RESUMEN TOTAL'!AP214</f>
        <v>APAGADO</v>
      </c>
      <c r="AH211" t="str">
        <f>'RESUMEN TOTAL'!AQ214</f>
        <v>APAGADO</v>
      </c>
      <c r="AI211">
        <f>'RESUMEN TOTAL'!AR214</f>
        <v>0</v>
      </c>
      <c r="AJ211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 t="str">
        <f>'RESUMEN TOTAL'!AP215</f>
        <v>APAGADO</v>
      </c>
      <c r="AH212" t="str">
        <f>'RESUMEN TOTAL'!AQ215</f>
        <v>APAGADO</v>
      </c>
      <c r="AI212">
        <f>'RESUMEN TOTAL'!AR215</f>
        <v>0</v>
      </c>
      <c r="AJ212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 t="str">
        <f>'RESUMEN TOTAL'!AP216</f>
        <v>APAGADO</v>
      </c>
      <c r="AH213" t="str">
        <f>'RESUMEN TOTAL'!AQ216</f>
        <v>APAGADO</v>
      </c>
      <c r="AI213">
        <f>'RESUMEN TOTAL'!AR216</f>
        <v>0</v>
      </c>
      <c r="AJ213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 t="str">
        <f>'RESUMEN TOTAL'!AP217</f>
        <v>APAGADO</v>
      </c>
      <c r="AH214" t="str">
        <f>'RESUMEN TOTAL'!AQ217</f>
        <v>APAGADO</v>
      </c>
      <c r="AI214">
        <f>'RESUMEN TOTAL'!AR217</f>
        <v>0</v>
      </c>
      <c r="AJ214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 t="str">
        <f>'RESUMEN TOTAL'!AP218</f>
        <v>APAGADO</v>
      </c>
      <c r="AH215" t="str">
        <f>'RESUMEN TOTAL'!AQ218</f>
        <v>APAGADO</v>
      </c>
      <c r="AI215">
        <f>'RESUMEN TOTAL'!AR218</f>
        <v>0</v>
      </c>
      <c r="AJ215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 t="str">
        <f>'RESUMEN TOTAL'!AP219</f>
        <v>APAGADO</v>
      </c>
      <c r="AH216" t="str">
        <f>'RESUMEN TOTAL'!AQ219</f>
        <v>APAGADO</v>
      </c>
      <c r="AI216">
        <f>'RESUMEN TOTAL'!AR219</f>
        <v>0</v>
      </c>
      <c r="AJ216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 t="str">
        <f>'RESUMEN TOTAL'!AP220</f>
        <v>APAGADO</v>
      </c>
      <c r="AH217" t="str">
        <f>'RESUMEN TOTAL'!AQ220</f>
        <v>APAGADO</v>
      </c>
      <c r="AI217">
        <f>'RESUMEN TOTAL'!AR220</f>
        <v>0</v>
      </c>
      <c r="AJ217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 t="str">
        <f>'RESUMEN TOTAL'!AP221</f>
        <v>APAGADO</v>
      </c>
      <c r="AH218" t="str">
        <f>'RESUMEN TOTAL'!AQ221</f>
        <v>APAGADO</v>
      </c>
      <c r="AI218">
        <f>'RESUMEN TOTAL'!AR221</f>
        <v>0</v>
      </c>
      <c r="AJ218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 t="str">
        <f>'RESUMEN TOTAL'!AP222</f>
        <v>APAGADO</v>
      </c>
      <c r="AH219" t="str">
        <f>'RESUMEN TOTAL'!AQ222</f>
        <v>APAGADO</v>
      </c>
      <c r="AI219">
        <f>'RESUMEN TOTAL'!AR222</f>
        <v>0</v>
      </c>
      <c r="AJ21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 t="str">
        <f>'RESUMEN TOTAL'!AP223</f>
        <v>APAGADO</v>
      </c>
      <c r="AH220" t="str">
        <f>'RESUMEN TOTAL'!AQ223</f>
        <v>APAGADO</v>
      </c>
      <c r="AI220">
        <f>'RESUMEN TOTAL'!AR223</f>
        <v>0</v>
      </c>
      <c r="AJ220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 t="str">
        <f>'RESUMEN TOTAL'!AN224</f>
        <v>APAGADO</v>
      </c>
      <c r="AF221" t="str">
        <f>'RESUMEN TOTAL'!AO224</f>
        <v>APAGADO</v>
      </c>
      <c r="AG221" t="str">
        <f>'RESUMEN TOTAL'!AP224</f>
        <v>APAGADO</v>
      </c>
      <c r="AH221" t="str">
        <f>'RESUMEN TOTAL'!AQ224</f>
        <v>APAGADO</v>
      </c>
      <c r="AI221" t="str">
        <f>'RESUMEN TOTAL'!AR224</f>
        <v>APAGADO</v>
      </c>
      <c r="AJ221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  <c r="AH227" t="str">
        <f>'RESUMEN TOTAL'!AQ230</f>
        <v>APAGADO</v>
      </c>
      <c r="AI227">
        <f>'RESUMEN TOTAL'!AR230</f>
        <v>0</v>
      </c>
      <c r="AJ227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 t="str">
        <f>'RESUMEN TOTAL'!AP258</f>
        <v>APAGADO</v>
      </c>
      <c r="AH255" t="str">
        <f>'RESUMEN TOTAL'!AQ258</f>
        <v>APAGADO</v>
      </c>
      <c r="AI255">
        <f>'RESUMEN TOTAL'!AR258</f>
        <v>0</v>
      </c>
      <c r="AJ255" t="str">
        <f>'RESUMEN TOTAL'!AS258</f>
        <v>APAGADO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 t="str">
        <f>'RESUMEN TOTAL'!AP259</f>
        <v>APAGADO</v>
      </c>
      <c r="AH256" t="str">
        <f>'RESUMEN TOTAL'!AQ259</f>
        <v>APAGADO</v>
      </c>
      <c r="AI256" t="str">
        <f>'RESUMEN TOTAL'!AR259</f>
        <v>APAGADO</v>
      </c>
      <c r="AJ256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 t="str">
        <f>'RESUMEN TOTAL'!AN280</f>
        <v>APAGADO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 t="str">
        <f>'RESUMEN TOTAL'!AN281</f>
        <v>APAGADO</v>
      </c>
      <c r="AF278" t="str">
        <f>'RESUMEN TOTAL'!AO281</f>
        <v>APAGADO</v>
      </c>
      <c r="AG278" t="str">
        <f>'RESUMEN TOTAL'!AP281</f>
        <v>APAGADO</v>
      </c>
      <c r="AH278" t="str">
        <f>'RESUMEN TOTAL'!AQ281</f>
        <v>APAGADO</v>
      </c>
      <c r="AI278">
        <f>'RESUMEN TOTAL'!AR281</f>
        <v>0</v>
      </c>
      <c r="AJ278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 t="str">
        <f>'RESUMEN TOTAL'!AN282</f>
        <v>APAGADO</v>
      </c>
      <c r="AF279" t="str">
        <f>'RESUMEN TOTAL'!AO282</f>
        <v>APAGADO</v>
      </c>
      <c r="AG279" t="str">
        <f>'RESUMEN TOTAL'!AP282</f>
        <v>APAGADO</v>
      </c>
      <c r="AH279" t="str">
        <f>'RESUMEN TOTAL'!AQ282</f>
        <v>APAGADO</v>
      </c>
      <c r="AI279">
        <f>'RESUMEN TOTAL'!AR282</f>
        <v>0</v>
      </c>
      <c r="AJ27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 t="str">
        <f>'RESUMEN TOTAL'!AR283</f>
        <v>APAGADO</v>
      </c>
      <c r="AJ280" t="str">
        <f>'RESUMEN TOTAL'!AS283</f>
        <v>APAGADO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 t="str">
        <f>'RESUMEN TOTAL'!AN284</f>
        <v>APAGADO</v>
      </c>
      <c r="AF281" t="str">
        <f>'RESUMEN TOTAL'!AO284</f>
        <v>APAGADO</v>
      </c>
      <c r="AG281" t="str">
        <f>'RESUMEN TOTAL'!AP284</f>
        <v>APAGADO</v>
      </c>
      <c r="AH281">
        <f>'RESUMEN TOTAL'!AQ284</f>
        <v>0</v>
      </c>
      <c r="AI281">
        <f>'RESUMEN TOTAL'!AR284</f>
        <v>0</v>
      </c>
      <c r="AJ281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 t="str">
        <f>'RESUMEN TOTAL'!AN285</f>
        <v>APAGADO</v>
      </c>
      <c r="AF282" t="str">
        <f>'RESUMEN TOTAL'!AO285</f>
        <v>APAGADO</v>
      </c>
      <c r="AG282" t="str">
        <f>'RESUMEN TOTAL'!AP285</f>
        <v>APAGADO</v>
      </c>
      <c r="AH282">
        <f>'RESUMEN TOTAL'!AQ285</f>
        <v>0</v>
      </c>
      <c r="AI282">
        <f>'RESUMEN TOTAL'!AR285</f>
        <v>0</v>
      </c>
      <c r="AJ282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 t="str">
        <f>'RESUMEN TOTAL'!AP286</f>
        <v>APAGADO</v>
      </c>
      <c r="AH283" t="str">
        <f>'RESUMEN TOTAL'!AQ286</f>
        <v>APAGADO</v>
      </c>
      <c r="AI283">
        <f>'RESUMEN TOTAL'!AR286</f>
        <v>0</v>
      </c>
      <c r="AJ283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 t="str">
        <f>'RESUMEN TOTAL'!AP287</f>
        <v>APAGADO</v>
      </c>
      <c r="AH284" t="str">
        <f>'RESUMEN TOTAL'!AQ287</f>
        <v>APAGADO</v>
      </c>
      <c r="AI284">
        <f>'RESUMEN TOTAL'!AR287</f>
        <v>0</v>
      </c>
      <c r="AJ284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 t="str">
        <f>'RESUMEN TOTAL'!AO288</f>
        <v>APAGADO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  <c r="AJ287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 t="str">
        <f>'RESUMEN TOTAL'!AO291</f>
        <v>APAGADO</v>
      </c>
      <c r="AG288" t="str">
        <f>'RESUMEN TOTAL'!AP291</f>
        <v>APAGADO</v>
      </c>
      <c r="AH288" t="str">
        <f>'RESUMEN TOTAL'!AQ291</f>
        <v>APAGADO</v>
      </c>
      <c r="AI288" t="str">
        <f>'RESUMEN TOTAL'!AR291</f>
        <v>APAGADO</v>
      </c>
      <c r="AJ288" t="str">
        <f>'RESUMEN TOTAL'!AS291</f>
        <v>APAGADO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 t="str">
        <f>'RESUMEN TOTAL'!AQ292</f>
        <v>APAGADO</v>
      </c>
      <c r="AI289" t="str">
        <f>'RESUMEN TOTAL'!AR292</f>
        <v>APAGADO</v>
      </c>
      <c r="AJ289" t="str">
        <f>'RESUMEN TOTAL'!AS292</f>
        <v>APAGADO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 t="str">
        <f>'RESUMEN TOTAL'!AN293</f>
        <v>APAGADO</v>
      </c>
      <c r="AF290" t="str">
        <f>'RESUMEN TOTAL'!AO293</f>
        <v>APAGADO</v>
      </c>
      <c r="AG290" t="str">
        <f>'RESUMEN TOTAL'!AP293</f>
        <v>APAGADO</v>
      </c>
      <c r="AH290" t="str">
        <f>'RESUMEN TOTAL'!AQ293</f>
        <v>APAGADO</v>
      </c>
      <c r="AI290" t="str">
        <f>'RESUMEN TOTAL'!AR293</f>
        <v>APAGADO</v>
      </c>
      <c r="AJ290" t="str">
        <f>'RESUMEN TOTAL'!AS293</f>
        <v>APAGADO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 t="str">
        <f>'RESUMEN TOTAL'!AN294</f>
        <v>APAGADO</v>
      </c>
      <c r="AF291" t="str">
        <f>'RESUMEN TOTAL'!AO294</f>
        <v>APAGADO</v>
      </c>
      <c r="AG291" t="str">
        <f>'RESUMEN TOTAL'!AP294</f>
        <v>APAGADO</v>
      </c>
      <c r="AH291" t="str">
        <f>'RESUMEN TOTAL'!AQ294</f>
        <v>APAGADO</v>
      </c>
      <c r="AI291" t="str">
        <f>'RESUMEN TOTAL'!AR294</f>
        <v>APAGADO</v>
      </c>
      <c r="AJ291" t="str">
        <f>'RESUMEN TOTAL'!AS294</f>
        <v>APAGADO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 t="str">
        <f>'RESUMEN TOTAL'!AN295</f>
        <v>APAGADO</v>
      </c>
      <c r="AF292" t="str">
        <f>'RESUMEN TOTAL'!AO295</f>
        <v>APAGADO</v>
      </c>
      <c r="AG292" t="str">
        <f>'RESUMEN TOTAL'!AP295</f>
        <v>APAGADO</v>
      </c>
      <c r="AH292" t="str">
        <f>'RESUMEN TOTAL'!AQ295</f>
        <v>APAGADO</v>
      </c>
      <c r="AI292" t="str">
        <f>'RESUMEN TOTAL'!AR295</f>
        <v>APAGADO</v>
      </c>
      <c r="AJ292" t="str">
        <f>'RESUMEN TOTAL'!AS295</f>
        <v>APAGADO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  <c r="AH300" t="str">
        <f>'RESUMEN TOTAL'!AQ303</f>
        <v>APAGADO</v>
      </c>
      <c r="AI300" t="str">
        <f>'RESUMEN TOTAL'!AR303</f>
        <v>APAGADO</v>
      </c>
      <c r="AJ300" t="str">
        <f>'RESUMEN TOTAL'!AS303</f>
        <v>APAGADO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 t="str">
        <f>'RESUMEN TOTAL'!AN342</f>
        <v>APAGADO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 t="str">
        <f>'RESUMEN TOTAL'!AP345</f>
        <v>APAGADO</v>
      </c>
      <c r="AH342" t="str">
        <f>'RESUMEN TOTAL'!AQ345</f>
        <v>APAGADO</v>
      </c>
      <c r="AI342">
        <f>'RESUMEN TOTAL'!AR345</f>
        <v>0</v>
      </c>
      <c r="AJ342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 t="str">
        <f>'RESUMEN TOTAL'!AP346</f>
        <v>APAGADO</v>
      </c>
      <c r="AH343" t="str">
        <f>'RESUMEN TOTAL'!AQ346</f>
        <v>APAGADO</v>
      </c>
      <c r="AI343">
        <f>'RESUMEN TOTAL'!AR346</f>
        <v>0</v>
      </c>
      <c r="AJ343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 t="str">
        <f>'RESUMEN TOTAL'!AP347</f>
        <v>APAGADO</v>
      </c>
      <c r="AH344" t="str">
        <f>'RESUMEN TOTAL'!AQ347</f>
        <v>APAGADO</v>
      </c>
      <c r="AI344">
        <f>'RESUMEN TOTAL'!AR347</f>
        <v>0</v>
      </c>
      <c r="AJ344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 t="str">
        <f>'RESUMEN TOTAL'!AP348</f>
        <v>APAGADO</v>
      </c>
      <c r="AH345" t="str">
        <f>'RESUMEN TOTAL'!AQ348</f>
        <v>APAGADO</v>
      </c>
      <c r="AI345">
        <f>'RESUMEN TOTAL'!AR348</f>
        <v>0</v>
      </c>
      <c r="AJ345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 t="str">
        <f>'RESUMEN TOTAL'!AP349</f>
        <v>APAGADO</v>
      </c>
      <c r="AH346" t="str">
        <f>'RESUMEN TOTAL'!AQ349</f>
        <v>APAGADO</v>
      </c>
      <c r="AI346">
        <f>'RESUMEN TOTAL'!AR349</f>
        <v>0</v>
      </c>
      <c r="AJ346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 t="str">
        <f>'RESUMEN TOTAL'!AQ351</f>
        <v>APAGADO</v>
      </c>
      <c r="AI348">
        <f>'RESUMEN TOTAL'!AR351</f>
        <v>0</v>
      </c>
      <c r="AJ348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 t="str">
        <f>'RESUMEN TOTAL'!AR352</f>
        <v>APAGADO</v>
      </c>
      <c r="AJ349" t="str">
        <f>'RESUMEN TOTAL'!AS352</f>
        <v>APAGADO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 t="str">
        <f>'RESUMEN TOTAL'!AQ353</f>
        <v>APAGADO</v>
      </c>
      <c r="AI350">
        <f>'RESUMEN TOTAL'!AR353</f>
        <v>0</v>
      </c>
      <c r="AJ350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 t="str">
        <f>'RESUMEN TOTAL'!AN355</f>
        <v>APAGADO</v>
      </c>
      <c r="AF352" t="str">
        <f>'RESUMEN TOTAL'!AO355</f>
        <v>APAGADO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 t="str">
        <f>'RESUMEN TOTAL'!AN358</f>
        <v>APAGADO</v>
      </c>
      <c r="AF355" t="str">
        <f>'RESUMEN TOTAL'!AO358</f>
        <v>APAGADO</v>
      </c>
      <c r="AG355" t="str">
        <f>'RESUMEN TOTAL'!AP358</f>
        <v>APAGADO</v>
      </c>
      <c r="AH355">
        <f>'RESUMEN TOTAL'!AQ358</f>
        <v>0</v>
      </c>
      <c r="AI355" t="str">
        <f>'RESUMEN TOTAL'!AR358</f>
        <v>APAGADO</v>
      </c>
      <c r="AJ355" t="str">
        <f>'RESUMEN TOTAL'!AS358</f>
        <v>APAGADO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 t="str">
        <f>'RESUMEN TOTAL'!AP363</f>
        <v>APAGADO</v>
      </c>
      <c r="AH360" t="str">
        <f>'RESUMEN TOTAL'!AQ363</f>
        <v>APAGADO</v>
      </c>
      <c r="AI360">
        <f>'RESUMEN TOTAL'!AR363</f>
        <v>0</v>
      </c>
      <c r="AJ360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 t="str">
        <f>'RESUMEN TOTAL'!AN369</f>
        <v>APAGADO</v>
      </c>
      <c r="AF366" t="str">
        <f>'RESUMEN TOTAL'!AO369</f>
        <v>APAGADO</v>
      </c>
      <c r="AG366" t="str">
        <f>'RESUMEN TOTAL'!AP369</f>
        <v>APAGADO</v>
      </c>
      <c r="AH366" t="str">
        <f>'RESUMEN TOTAL'!AQ369</f>
        <v>APAGADO</v>
      </c>
      <c r="AI366" t="str">
        <f>'RESUMEN TOTAL'!AR369</f>
        <v>APAGADO</v>
      </c>
      <c r="AJ366" t="str">
        <f>'RESUMEN TOTAL'!AS369</f>
        <v>APAGADO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 t="str">
        <f>'RESUMEN TOTAL'!AP371</f>
        <v>APAGADO</v>
      </c>
      <c r="AH368" t="str">
        <f>'RESUMEN TOTAL'!AQ371</f>
        <v>APAGADO</v>
      </c>
      <c r="AI368">
        <f>'RESUMEN TOTAL'!AR371</f>
        <v>0</v>
      </c>
      <c r="AJ368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 t="str">
        <f>'RESUMEN TOTAL'!AP372</f>
        <v>APAGADO</v>
      </c>
      <c r="AH369" t="str">
        <f>'RESUMEN TOTAL'!AQ372</f>
        <v>APAGADO</v>
      </c>
      <c r="AI369">
        <f>'RESUMEN TOTAL'!AR372</f>
        <v>0</v>
      </c>
      <c r="AJ36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>
        <f>'RESUMEN TOTAL'!AS376</f>
        <v>0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56</v>
      </c>
      <c r="AF1" s="26">
        <f t="shared" si="1"/>
        <v>57</v>
      </c>
      <c r="AG1" s="26">
        <f t="shared" si="1"/>
        <v>76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 t="str">
        <f>ESTADISTICA!AG2</f>
        <v>APAGADO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 t="str">
        <f>ESTADISTICA!AF11</f>
        <v>APAGADO</v>
      </c>
      <c r="AG12" t="str">
        <f>ESTADISTICA!AG11</f>
        <v>APAGADO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 t="str">
        <f>ESTADISTICA!AE14</f>
        <v>APAGADO</v>
      </c>
      <c r="AF15" t="str">
        <f>ESTADISTICA!AF14</f>
        <v>APAGADO</v>
      </c>
      <c r="AG15" t="str">
        <f>ESTADISTICA!AG14</f>
        <v>APAGADO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 t="str">
        <f>ESTADISTICA!AE89</f>
        <v>APAGADO</v>
      </c>
      <c r="AF90" t="str">
        <f>ESTADISTICA!AF89</f>
        <v>APAGADO</v>
      </c>
      <c r="AG90" t="str">
        <f>ESTADISTICA!AG89</f>
        <v>APAGADO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 t="str">
        <f>ESTADISTICA!AE133</f>
        <v>APAGADO</v>
      </c>
      <c r="AF134" t="str">
        <f>ESTADISTICA!AF133</f>
        <v>APAGADO</v>
      </c>
      <c r="AG134" t="str">
        <f>ESTADISTICA!AG133</f>
        <v>APAGADO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 t="str">
        <f>ESTADISTICA!AF150</f>
        <v>APAGADO</v>
      </c>
      <c r="AG151" t="str">
        <f>ESTADISTICA!AG150</f>
        <v>APAGADO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 t="str">
        <f>ESTADISTICA!AE168</f>
        <v>APAGADO</v>
      </c>
      <c r="AF169" t="str">
        <f>ESTADISTICA!AF168</f>
        <v>APAGADO</v>
      </c>
      <c r="AG169" t="str">
        <f>ESTADISTICA!AG168</f>
        <v>APAGADO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 t="str">
        <f>ESTADISTICA!AE170</f>
        <v>APAGADO</v>
      </c>
      <c r="AF171" t="str">
        <f>ESTADISTICA!AF170</f>
        <v>APAGADO</v>
      </c>
      <c r="AG171" t="str">
        <f>ESTADISTICA!AG170</f>
        <v>APAGADO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 t="str">
        <f>ESTADISTICA!AF171</f>
        <v>APAGADO</v>
      </c>
      <c r="AG172" t="str">
        <f>ESTADISTICA!AG171</f>
        <v>APAGADO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 t="str">
        <f>ESTADISTICA!AG190</f>
        <v>APAGADO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 t="str">
        <f>ESTADISTICA!AG191</f>
        <v>APAGADO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 t="str">
        <f>ESTADISTICA!AE197</f>
        <v>APAGADO</v>
      </c>
      <c r="AF198" t="str">
        <f>ESTADISTICA!AF197</f>
        <v>APAGADO</v>
      </c>
      <c r="AG198" t="str">
        <f>ESTADISTICA!AG197</f>
        <v>APAGADO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 t="str">
        <f>ESTADISTICA!AG211</f>
        <v>APAGADO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 t="str">
        <f>ESTADISTICA!AG212</f>
        <v>APAGADO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 t="str">
        <f>ESTADISTICA!AG213</f>
        <v>APAGADO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 t="str">
        <f>ESTADISTICA!AG214</f>
        <v>APAGADO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 t="str">
        <f>ESTADISTICA!AG215</f>
        <v>APAGADO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 t="str">
        <f>ESTADISTICA!AG216</f>
        <v>APAGADO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 t="str">
        <f>ESTADISTICA!AG218</f>
        <v>APAGADO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 t="str">
        <f>ESTADISTICA!AG220</f>
        <v>APAGADO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 t="str">
        <f>ESTADISTICA!AG255</f>
        <v>APAGADO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 t="str">
        <f>ESTADISTICA!AG256</f>
        <v>APAGADO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 t="str">
        <f>ESTADISTICA!AE277</f>
        <v>APAGADO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 t="str">
        <f>ESTADISTICA!AG283</f>
        <v>APAGADO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 t="str">
        <f>ESTADISTICA!AF285</f>
        <v>APAGADO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 t="str">
        <f>ESTADISTICA!AF288</f>
        <v>APAGADO</v>
      </c>
      <c r="AG289" t="str">
        <f>ESTADISTICA!AG288</f>
        <v>APAGADO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 t="str">
        <f>ESTADISTICA!AE291</f>
        <v>APAGADO</v>
      </c>
      <c r="AF292" t="str">
        <f>ESTADISTICA!AF291</f>
        <v>APAGADO</v>
      </c>
      <c r="AG292" t="str">
        <f>ESTADISTICA!AG291</f>
        <v>APAGADO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 t="str">
        <f>ESTADISTICA!AE292</f>
        <v>APAGADO</v>
      </c>
      <c r="AF293" t="str">
        <f>ESTADISTICA!AF292</f>
        <v>APAGADO</v>
      </c>
      <c r="AG293" t="str">
        <f>ESTADISTICA!AG292</f>
        <v>APAGADO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 t="str">
        <f>ESTADISTICA!AG342</f>
        <v>APAGADO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 t="str">
        <f>ESTADISTICA!AG343</f>
        <v>APAGADO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 t="str">
        <f>ESTADISTICA!AG344</f>
        <v>APAGADO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 t="str">
        <f>ESTADISTICA!AG345</f>
        <v>APAGADO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 t="str">
        <f>ESTADISTICA!AG346</f>
        <v>APAGADO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 t="str">
        <f>ESTADISTICA!AG360</f>
        <v>APAGADO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 t="str">
        <f>ESTADISTICA!AG368</f>
        <v>APAGADO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AE9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1323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>COUNTIFS(AE4:AE367, "=APAGADO",E4:E367,"=Fibra Optica")</f>
        <v>44</v>
      </c>
      <c r="AF2" s="26">
        <f>COUNTIFS(AF4:AF367, "=APAGADO",E4:E367,"=Fibra Optica")</f>
        <v>46</v>
      </c>
      <c r="AG2" s="26">
        <f>COUNTIFS(AG4:AG367, "=APAGADO",E4:E367,"=Fibra Optica")</f>
        <v>68</v>
      </c>
      <c r="AH2" s="26">
        <f>COUNTIFS(AH4:AH367, "=APAGADO",E4:E367,"=Fibra Optica")</f>
        <v>59</v>
      </c>
      <c r="AI2" s="26">
        <f>COUNTIFS(AI4:AI367, "=APAGADO",E4:E367,"=Fibra Optica")</f>
        <v>30</v>
      </c>
      <c r="AJ2" s="26">
        <f t="shared" ref="AJ2" si="0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 t="str">
        <f>ESTADISTICA!AI59</f>
        <v>APAGADO</v>
      </c>
      <c r="AJ61" t="str">
        <f>ESTADISTICA!AJ59</f>
        <v>APAGADO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  <c r="AJ62" t="str">
        <f>ESTADISTICA!AJ60</f>
        <v>APAGADO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 t="str">
        <f>ESTADISTICA!AI62</f>
        <v>APAGADO</v>
      </c>
      <c r="AJ64" t="str">
        <f>ESTADISTICA!AJ62</f>
        <v>APAGADO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 t="str">
        <f>ESTADISTICA!AI65</f>
        <v>APAGADO</v>
      </c>
      <c r="AJ67" t="str">
        <f>ESTADISTICA!AJ65</f>
        <v>APAGADO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 t="str">
        <f>ESTADISTICA!AJ77</f>
        <v>APAGADO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  <c r="AJ90" t="str">
        <f>ESTADISTICA!AJ88</f>
        <v>APAGADO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 t="str">
        <f>ESTADISTICA!AI89</f>
        <v>APAGADO</v>
      </c>
      <c r="AJ91" t="str">
        <f>ESTADISTICA!AJ89</f>
        <v>APAGADO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 t="str">
        <f>ESTADISTICA!AI150</f>
        <v>APAGADO</v>
      </c>
      <c r="AJ152" t="str">
        <f>ESTADISTICA!AJ150</f>
        <v>APAGADO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 t="str">
        <f>ESTADISTICA!AJ153</f>
        <v>APAGADO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 t="str">
        <f>ESTADISTICA!AI168</f>
        <v>APAGADO</v>
      </c>
      <c r="AJ170" t="str">
        <f>ESTADISTICA!AJ168</f>
        <v>APAGADO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 t="str">
        <f>ESTADISTICA!AI171</f>
        <v>APAGADO</v>
      </c>
      <c r="AJ173" t="str">
        <f>ESTADISTICA!AJ171</f>
        <v>APAGADO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str">
        <f>ESTADISTICA!AJ188</f>
        <v>APAGADO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 t="str">
        <f>ESTADISTICA!AJ189</f>
        <v>APAGADO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 t="str">
        <f>ESTADISTICA!AJ190</f>
        <v>APAGADO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 t="str">
        <f>ESTADISTICA!AJ191</f>
        <v>APAGADO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  <c r="AJ196" t="str">
        <f>ESTADISTICA!AJ194</f>
        <v>APAGADO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 t="str">
        <f>ESTADISTICA!AI198</f>
        <v>APAGADO</v>
      </c>
      <c r="AJ200" t="str">
        <f>ESTADISTICA!AJ198</f>
        <v>APAGADO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 t="str">
        <f>ESTADISTICA!AI199</f>
        <v>APAGADO</v>
      </c>
      <c r="AJ201" t="str">
        <f>ESTADISTICA!AJ199</f>
        <v>APAGADO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 t="str">
        <f>ESTADISTICA!AJ203</f>
        <v>APAGADO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 t="str">
        <f>ESTADISTICA!AI206</f>
        <v>APAGADO</v>
      </c>
      <c r="AJ208" t="str">
        <f>ESTADISTICA!AJ206</f>
        <v>APAGADO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  <c r="AJ209" t="str">
        <f>ESTADISTICA!AJ207</f>
        <v>APAGADO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 t="str">
        <f>ESTADISTICA!AI221</f>
        <v>APAGADO</v>
      </c>
      <c r="AJ223">
        <f>ESTADISTICA!AJ221</f>
        <v>0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 t="str">
        <f>ESTADISTICA!AJ255</f>
        <v>APAGADO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 t="str">
        <f>ESTADISTICA!AI256</f>
        <v>APAGADO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 t="str">
        <f>ESTADISTICA!AI280</f>
        <v>APAGADO</v>
      </c>
      <c r="AJ282" t="str">
        <f>ESTADISTICA!AJ280</f>
        <v>APAGADO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 t="str">
        <f>ESTADISTICA!AJ288</f>
        <v>APAGADO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 t="str">
        <f>ESTADISTICA!AJ289</f>
        <v>APAGADO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 t="str">
        <f>ESTADISTICA!AI290</f>
        <v>APAGADO</v>
      </c>
      <c r="AJ292" t="str">
        <f>ESTADISTICA!AJ290</f>
        <v>APAGADO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 t="str">
        <f>ESTADISTICA!AI291</f>
        <v>APAGADO</v>
      </c>
      <c r="AJ293" t="str">
        <f>ESTADISTICA!AJ291</f>
        <v>APAGADO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 t="str">
        <f>ESTADISTICA!AI300</f>
        <v>APAGADO</v>
      </c>
      <c r="AJ302" t="str">
        <f>ESTADISTICA!AJ300</f>
        <v>APAGADO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 t="str">
        <f>ESTADISTICA!AJ349</f>
        <v>APAGADO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 t="str">
        <f>ESTADISTICA!AI355</f>
        <v>APAGADO</v>
      </c>
      <c r="AJ357" t="str">
        <f>ESTADISTICA!AJ355</f>
        <v>APAGADO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AD355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1324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5</v>
      </c>
      <c r="AF2" s="26">
        <f>COUNTIFS(AF4:AF367, "=APAGADO",E4:E367,"=PTP A FO")</f>
        <v>5</v>
      </c>
      <c r="AG2" s="26">
        <f>COUNTIFS(AG4:AG367, "=APAGADO",E4:E367,"=PTP A FO")</f>
        <v>4</v>
      </c>
      <c r="AH2" s="26">
        <f>COUNTIFS(AH4:AH367, "=APAGADO",E4:E367,"=PTP A FO")</f>
        <v>4</v>
      </c>
      <c r="AI2" s="26">
        <f>COUNTIFS(AI4:AI367, "=APAGADO",E4:E367,"=PTP A FO")</f>
        <v>3</v>
      </c>
      <c r="AJ2" s="26">
        <f t="shared" ref="AJ2" si="0">COUNTIFS(AJ4:AJ367, "=APAGADO",H4:H367,"=PTP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str">
        <f>ESTADISTICA!AJ4</f>
        <v>APAGADO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  <c r="AJ9">
        <f>ESTADISTICA!AJ7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 t="str">
        <f>ESTADISTICA!AI27</f>
        <v>APAGADO</v>
      </c>
      <c r="AJ29" t="str">
        <f>ESTADISTICA!AJ27</f>
        <v>APAGADO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 t="str">
        <f>ESTADISTICA!AI59</f>
        <v>APAGADO</v>
      </c>
      <c r="AJ61" t="str">
        <f>ESTADISTICA!AJ59</f>
        <v>APAGADO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  <c r="AJ62" t="str">
        <f>ESTADISTICA!AJ60</f>
        <v>APAGADO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 t="str">
        <f>ESTADISTICA!AI62</f>
        <v>APAGADO</v>
      </c>
      <c r="AJ64" t="str">
        <f>ESTADISTICA!AJ62</f>
        <v>APAGADO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 t="str">
        <f>ESTADISTICA!AI65</f>
        <v>APAGADO</v>
      </c>
      <c r="AJ67" t="str">
        <f>ESTADISTICA!AJ65</f>
        <v>APAGADO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 t="str">
        <f>ESTADISTICA!AJ77</f>
        <v>APAGADO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  <c r="AJ90" t="str">
        <f>ESTADISTICA!AJ88</f>
        <v>APAGADO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 t="str">
        <f>ESTADISTICA!AI89</f>
        <v>APAGADO</v>
      </c>
      <c r="AJ91" t="str">
        <f>ESTADISTICA!AJ89</f>
        <v>APAGADO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 t="str">
        <f>ESTADISTICA!AJ130</f>
        <v>APAGADO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 t="str">
        <f>ESTADISTICA!AI133</f>
        <v>APAGADO</v>
      </c>
      <c r="AJ135" t="str">
        <f>ESTADISTICA!AJ133</f>
        <v>APAGADO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 t="str">
        <f>ESTADISTICA!AI150</f>
        <v>APAGADO</v>
      </c>
      <c r="AJ152" t="str">
        <f>ESTADISTICA!AJ150</f>
        <v>APAGADO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 t="str">
        <f>ESTADISTICA!AJ153</f>
        <v>APAGADO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 t="str">
        <f>ESTADISTICA!AI168</f>
        <v>APAGADO</v>
      </c>
      <c r="AJ170" t="str">
        <f>ESTADISTICA!AJ168</f>
        <v>APAGADO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 t="str">
        <f>ESTADISTICA!AI171</f>
        <v>APAGADO</v>
      </c>
      <c r="AJ173" t="str">
        <f>ESTADISTICA!AJ171</f>
        <v>APAGADO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str">
        <f>ESTADISTICA!AJ188</f>
        <v>APAGADO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 t="str">
        <f>ESTADISTICA!AJ189</f>
        <v>APAGADO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 t="str">
        <f>ESTADISTICA!AJ190</f>
        <v>APAGADO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 t="str">
        <f>ESTADISTICA!AJ191</f>
        <v>APAGADO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  <c r="AJ196" t="str">
        <f>ESTADISTICA!AJ194</f>
        <v>APAGADO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 t="str">
        <f>ESTADISTICA!AI198</f>
        <v>APAGADO</v>
      </c>
      <c r="AJ200" t="str">
        <f>ESTADISTICA!AJ198</f>
        <v>APAGADO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 t="str">
        <f>ESTADISTICA!AI199</f>
        <v>APAGADO</v>
      </c>
      <c r="AJ201" t="str">
        <f>ESTADISTICA!AJ199</f>
        <v>APAGADO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 t="str">
        <f>ESTADISTICA!AJ203</f>
        <v>APAGADO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  <c r="AJ206" t="str">
        <f>ESTADISTICA!AJ204</f>
        <v>APAGADO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 t="str">
        <f>ESTADISTICA!AI206</f>
        <v>APAGADO</v>
      </c>
      <c r="AJ208" t="str">
        <f>ESTADISTICA!AJ206</f>
        <v>APAGADO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  <c r="AJ209" t="str">
        <f>ESTADISTICA!AJ207</f>
        <v>APAGADO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 t="str">
        <f>ESTADISTICA!AI221</f>
        <v>APAGADO</v>
      </c>
      <c r="AJ223">
        <f>ESTADISTICA!AJ221</f>
        <v>0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 t="str">
        <f>ESTADISTICA!AJ255</f>
        <v>APAGADO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 t="str">
        <f>ESTADISTICA!AI256</f>
        <v>APAGADO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 t="str">
        <f>ESTADISTICA!AI280</f>
        <v>APAGADO</v>
      </c>
      <c r="AJ282" t="str">
        <f>ESTADISTICA!AJ280</f>
        <v>APAGADO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 t="str">
        <f>ESTADISTICA!AJ288</f>
        <v>APAGADO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 t="str">
        <f>ESTADISTICA!AJ289</f>
        <v>APAGADO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 t="str">
        <f>ESTADISTICA!AI290</f>
        <v>APAGADO</v>
      </c>
      <c r="AJ292" t="str">
        <f>ESTADISTICA!AJ290</f>
        <v>APAGADO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 t="str">
        <f>ESTADISTICA!AI291</f>
        <v>APAGADO</v>
      </c>
      <c r="AJ293" t="str">
        <f>ESTADISTICA!AJ291</f>
        <v>APAGADO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  <c r="AH294" t="str">
        <f>ESTADISTICA!AH292</f>
        <v>APAGADO</v>
      </c>
      <c r="AI294" t="str">
        <f>ESTADISTICA!AI292</f>
        <v>APAGADO</v>
      </c>
      <c r="AJ294" t="str">
        <f>ESTADISTICA!AJ292</f>
        <v>APAGADO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 t="str">
        <f>ESTADISTICA!AI300</f>
        <v>APAGADO</v>
      </c>
      <c r="AJ302" t="str">
        <f>ESTADISTICA!AJ300</f>
        <v>APAGADO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 t="str">
        <f>ESTADISTICA!AJ349</f>
        <v>APAGADO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 t="str">
        <f>ESTADISTICA!AI355</f>
        <v>APAGADO</v>
      </c>
      <c r="AJ357" t="str">
        <f>ESTADISTICA!AJ355</f>
        <v>APAGADO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  <c r="AH368" t="str">
        <f>ESTADISTICA!AH366</f>
        <v>APAGADO</v>
      </c>
      <c r="AI368" t="str">
        <f>ESTADISTICA!AI366</f>
        <v>APAGADO</v>
      </c>
      <c r="AJ368" t="str">
        <f>ESTADISTICA!AJ366</f>
        <v>APAGADO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AC26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1325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4</v>
      </c>
      <c r="AH2" s="26">
        <f>COUNTIFS(AH4:AH367, "=APAGADO",E4:E367,"=radio")</f>
        <v>3</v>
      </c>
      <c r="AI2" s="26">
        <f>COUNTIFS(AI4:AI367, "=APAGADO",E4:E367,"=radio")</f>
        <v>2</v>
      </c>
      <c r="AJ2" s="26">
        <f t="shared" ref="AJ2" si="0">COUNTIFS(AJ4:AJ367, "=APAGADO",H4:H367,"=radio")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 t="str">
        <f>ESTADISTICA!AI2</f>
        <v>APAGADO</v>
      </c>
      <c r="AJ4">
        <f>ESTADISTICA!AJ2</f>
        <v>0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str">
        <f>ESTADISTICA!AJ4</f>
        <v>APAGADO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  <c r="AJ9">
        <f>ESTADISTICA!AJ7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 t="str">
        <f>ESTADISTICA!AI27</f>
        <v>APAGADO</v>
      </c>
      <c r="AJ29" t="str">
        <f>ESTADISTICA!AJ27</f>
        <v>APAGADO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 t="str">
        <f>ESTADISTICA!AI59</f>
        <v>APAGADO</v>
      </c>
      <c r="AJ61" t="str">
        <f>ESTADISTICA!AJ59</f>
        <v>APAGADO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 t="str">
        <f>ESTADISTICA!AI60</f>
        <v>APAGADO</v>
      </c>
      <c r="AJ62" t="str">
        <f>ESTADISTICA!AJ60</f>
        <v>APAGADO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 t="str">
        <f>ESTADISTICA!AI62</f>
        <v>APAGADO</v>
      </c>
      <c r="AJ64" t="str">
        <f>ESTADISTICA!AJ62</f>
        <v>APAGADO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 t="str">
        <f>ESTADISTICA!AI65</f>
        <v>APAGADO</v>
      </c>
      <c r="AJ67" t="str">
        <f>ESTADISTICA!AJ65</f>
        <v>APAGADO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 t="str">
        <f>ESTADISTICA!AJ77</f>
        <v>APAGADO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  <c r="AJ90" t="str">
        <f>ESTADISTICA!AJ88</f>
        <v>APAGADO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 t="str">
        <f>ESTADISTICA!AI89</f>
        <v>APAGADO</v>
      </c>
      <c r="AJ91" t="str">
        <f>ESTADISTICA!AJ89</f>
        <v>APAGADO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 t="str">
        <f>ESTADISTICA!AJ130</f>
        <v>APAGADO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 t="str">
        <f>ESTADISTICA!AI133</f>
        <v>APAGADO</v>
      </c>
      <c r="AJ135" t="str">
        <f>ESTADISTICA!AJ133</f>
        <v>APAGADO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 t="str">
        <f>ESTADISTICA!AI150</f>
        <v>APAGADO</v>
      </c>
      <c r="AJ152" t="str">
        <f>ESTADISTICA!AJ150</f>
        <v>APAGADO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  <c r="AJ155" t="str">
        <f>ESTADISTICA!AJ153</f>
        <v>APAGADO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 t="str">
        <f>ESTADISTICA!AI168</f>
        <v>APAGADO</v>
      </c>
      <c r="AJ170" t="str">
        <f>ESTADISTICA!AJ168</f>
        <v>APAGADO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 t="str">
        <f>ESTADISTICA!AI171</f>
        <v>APAGADO</v>
      </c>
      <c r="AJ173" t="str">
        <f>ESTADISTICA!AJ171</f>
        <v>APAGADO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str">
        <f>ESTADISTICA!AJ188</f>
        <v>APAGADO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 t="str">
        <f>ESTADISTICA!AJ189</f>
        <v>APAGADO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 t="str">
        <f>ESTADISTICA!AJ190</f>
        <v>APAGADO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 t="str">
        <f>ESTADISTICA!AJ191</f>
        <v>APAGADO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  <c r="AJ196" t="str">
        <f>ESTADISTICA!AJ194</f>
        <v>APAGADO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 t="str">
        <f>ESTADISTICA!AI198</f>
        <v>APAGADO</v>
      </c>
      <c r="AJ200" t="str">
        <f>ESTADISTICA!AJ198</f>
        <v>APAGADO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 t="str">
        <f>ESTADISTICA!AI199</f>
        <v>APAGADO</v>
      </c>
      <c r="AJ201" t="str">
        <f>ESTADISTICA!AJ199</f>
        <v>APAGADO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 t="str">
        <f>ESTADISTICA!AJ203</f>
        <v>APAGADO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  <c r="AJ206" t="str">
        <f>ESTADISTICA!AJ204</f>
        <v>APAGADO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 t="str">
        <f>ESTADISTICA!AI206</f>
        <v>APAGADO</v>
      </c>
      <c r="AJ208" t="str">
        <f>ESTADISTICA!AJ206</f>
        <v>APAGADO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  <c r="AJ209" t="str">
        <f>ESTADISTICA!AJ207</f>
        <v>APAGADO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 t="str">
        <f>ESTADISTICA!AI221</f>
        <v>APAGADO</v>
      </c>
      <c r="AJ223">
        <f>ESTADISTICA!AJ221</f>
        <v>0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 t="str">
        <f>ESTADISTICA!AJ255</f>
        <v>APAGADO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 t="str">
        <f>ESTADISTICA!AI256</f>
        <v>APAGADO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 t="str">
        <f>ESTADISTICA!AI280</f>
        <v>APAGADO</v>
      </c>
      <c r="AJ282" t="str">
        <f>ESTADISTICA!AJ280</f>
        <v>APAGADO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  <c r="AJ290" t="str">
        <f>ESTADISTICA!AJ288</f>
        <v>APAGADO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  <c r="AJ291" t="str">
        <f>ESTADISTICA!AJ289</f>
        <v>APAGADO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 t="str">
        <f>ESTADISTICA!AI290</f>
        <v>APAGADO</v>
      </c>
      <c r="AJ292" t="str">
        <f>ESTADISTICA!AJ290</f>
        <v>APAGADO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 t="str">
        <f>ESTADISTICA!AI291</f>
        <v>APAGADO</v>
      </c>
      <c r="AJ293" t="str">
        <f>ESTADISTICA!AJ291</f>
        <v>APAGADO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  <c r="AH294" t="str">
        <f>ESTADISTICA!AH292</f>
        <v>APAGADO</v>
      </c>
      <c r="AI294" t="str">
        <f>ESTADISTICA!AI292</f>
        <v>APAGADO</v>
      </c>
      <c r="AJ294" t="str">
        <f>ESTADISTICA!AJ292</f>
        <v>APAGADO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 t="str">
        <f>ESTADISTICA!AI300</f>
        <v>APAGADO</v>
      </c>
      <c r="AJ302" t="str">
        <f>ESTADISTICA!AJ300</f>
        <v>APAGADO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 t="str">
        <f>ESTADISTICA!AJ349</f>
        <v>APAGADO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 t="str">
        <f>ESTADISTICA!AI355</f>
        <v>APAGADO</v>
      </c>
      <c r="AJ357" t="str">
        <f>ESTADISTICA!AJ355</f>
        <v>APAGADO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  <c r="AH368" t="str">
        <f>ESTADISTICA!AH366</f>
        <v>APAGADO</v>
      </c>
      <c r="AI368" t="str">
        <f>ESTADISTICA!AI366</f>
        <v>APAGADO</v>
      </c>
      <c r="AJ368" t="str">
        <f>ESTADISTICA!AJ366</f>
        <v>APAGADO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C4" zoomScaleNormal="100" workbookViewId="0">
      <selection activeCell="Q34" sqref="Q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A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E31" sqref="E31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372</v>
      </c>
    </row>
    <row r="3" spans="1:6" x14ac:dyDescent="0.25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372</v>
      </c>
    </row>
    <row r="4" spans="1:6" x14ac:dyDescent="0.25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372</v>
      </c>
    </row>
    <row r="5" spans="1:6" x14ac:dyDescent="0.25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372</v>
      </c>
    </row>
    <row r="6" spans="1:6" x14ac:dyDescent="0.25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372</v>
      </c>
    </row>
    <row r="7" spans="1:6" x14ac:dyDescent="0.25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372</v>
      </c>
    </row>
    <row r="8" spans="1:6" x14ac:dyDescent="0.25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372</v>
      </c>
    </row>
    <row r="9" spans="1:6" x14ac:dyDescent="0.25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372</v>
      </c>
    </row>
    <row r="10" spans="1:6" x14ac:dyDescent="0.25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372</v>
      </c>
    </row>
    <row r="11" spans="1:6" x14ac:dyDescent="0.25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372</v>
      </c>
    </row>
    <row r="12" spans="1:6" x14ac:dyDescent="0.25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372</v>
      </c>
    </row>
    <row r="13" spans="1:6" x14ac:dyDescent="0.25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372</v>
      </c>
    </row>
    <row r="14" spans="1:6" x14ac:dyDescent="0.25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372</v>
      </c>
    </row>
    <row r="15" spans="1:6" x14ac:dyDescent="0.25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372</v>
      </c>
    </row>
    <row r="16" spans="1:6" x14ac:dyDescent="0.25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372</v>
      </c>
    </row>
    <row r="17" spans="1:6" x14ac:dyDescent="0.25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372</v>
      </c>
    </row>
    <row r="18" spans="1:6" x14ac:dyDescent="0.25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372</v>
      </c>
    </row>
    <row r="19" spans="1:6" x14ac:dyDescent="0.25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372</v>
      </c>
    </row>
    <row r="20" spans="1:6" x14ac:dyDescent="0.25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372</v>
      </c>
    </row>
    <row r="21" spans="1:6" x14ac:dyDescent="0.25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372</v>
      </c>
    </row>
    <row r="22" spans="1:6" x14ac:dyDescent="0.25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372</v>
      </c>
    </row>
    <row r="23" spans="1:6" x14ac:dyDescent="0.25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372</v>
      </c>
    </row>
    <row r="24" spans="1:6" x14ac:dyDescent="0.25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372</v>
      </c>
    </row>
    <row r="25" spans="1:6" x14ac:dyDescent="0.25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372</v>
      </c>
    </row>
    <row r="26" spans="1:6" x14ac:dyDescent="0.25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372</v>
      </c>
    </row>
    <row r="27" spans="1:6" x14ac:dyDescent="0.25">
      <c r="A27" s="25">
        <f>'APAGADOS RADIO'!AE3</f>
        <v>44646</v>
      </c>
      <c r="B27">
        <f>'APAGADOS RADIO'!AE2+D27</f>
        <v>11</v>
      </c>
      <c r="C27" s="30">
        <f>'APAGADOS FIBRA'!AE2</f>
        <v>44</v>
      </c>
      <c r="D27">
        <f>'APAGADOS ANTENA'!AE2</f>
        <v>5</v>
      </c>
      <c r="E27">
        <f t="shared" ref="E27:E30" si="13">B27+C27</f>
        <v>55</v>
      </c>
      <c r="F27">
        <f>'RESUMEN TOTAL'!C1</f>
        <v>372</v>
      </c>
    </row>
    <row r="28" spans="1:6" x14ac:dyDescent="0.25">
      <c r="A28" s="25">
        <f>'APAGADOS RADIO'!AF3</f>
        <v>44647</v>
      </c>
      <c r="B28">
        <f>'APAGADOS RADIO'!AF2+D28</f>
        <v>10</v>
      </c>
      <c r="C28" s="30">
        <f>'APAGADOS FIBRA'!AF2</f>
        <v>46</v>
      </c>
      <c r="D28">
        <f>'APAGADOS ANTENA'!AF2</f>
        <v>5</v>
      </c>
      <c r="E28">
        <f t="shared" si="13"/>
        <v>56</v>
      </c>
      <c r="F28">
        <f>'RESUMEN TOTAL'!C1</f>
        <v>372</v>
      </c>
    </row>
    <row r="29" spans="1:6" x14ac:dyDescent="0.25">
      <c r="A29" s="25">
        <f>'APAGADOS RADIO'!AG3</f>
        <v>44648</v>
      </c>
      <c r="B29">
        <f>'APAGADOS RADIO'!AG2+D29</f>
        <v>8</v>
      </c>
      <c r="C29" s="30">
        <f>'APAGADOS FIBRA'!AG2</f>
        <v>68</v>
      </c>
      <c r="D29">
        <f>'APAGADOS ANTENA'!AG2</f>
        <v>4</v>
      </c>
      <c r="E29">
        <f t="shared" si="13"/>
        <v>76</v>
      </c>
      <c r="F29">
        <f>'RESUMEN TOTAL'!C1</f>
        <v>372</v>
      </c>
    </row>
    <row r="30" spans="1:6" x14ac:dyDescent="0.25">
      <c r="A30" s="25">
        <f>'APAGADOS RADIO'!AH3</f>
        <v>44649</v>
      </c>
      <c r="B30">
        <f>'APAGADOS RADIO'!AH2+D30</f>
        <v>7</v>
      </c>
      <c r="C30" s="30">
        <f>'APAGADOS FIBRA'!AH2</f>
        <v>59</v>
      </c>
      <c r="D30">
        <f>'APAGADOS ANTENA'!AH2</f>
        <v>4</v>
      </c>
      <c r="E30">
        <f t="shared" si="13"/>
        <v>66</v>
      </c>
      <c r="F30">
        <f>'RESUMEN TOTAL'!C1</f>
        <v>372</v>
      </c>
    </row>
    <row r="31" spans="1:6" x14ac:dyDescent="0.25">
      <c r="A31" s="25">
        <f>'APAGADOS RADIO'!AI3</f>
        <v>44650</v>
      </c>
      <c r="B31">
        <f>'APAGADOS RADIO'!AI2+D31</f>
        <v>5</v>
      </c>
      <c r="C31" s="30">
        <f>'APAGADOS FIBRA'!AI2</f>
        <v>30</v>
      </c>
      <c r="D31">
        <f>'APAGADOS ANTENA'!AI2</f>
        <v>3</v>
      </c>
      <c r="E31">
        <f t="shared" ref="E31" si="14">B31+C31</f>
        <v>35</v>
      </c>
      <c r="F31">
        <f>'RESUMEN TOTAL'!C1</f>
        <v>372</v>
      </c>
    </row>
    <row r="32" spans="1:6" x14ac:dyDescent="0.25">
      <c r="A32" s="25">
        <f>'APAGADOS RADIO'!AJ3</f>
        <v>44651</v>
      </c>
      <c r="F32">
        <f>'RESUMEN TOTAL'!C1</f>
        <v>372</v>
      </c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2022-03-31T11:21:48Z</dcterms:modified>
</cp:coreProperties>
</file>