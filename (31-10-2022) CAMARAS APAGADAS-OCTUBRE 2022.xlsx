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95D19CDD-B246-4AC2-9C7E-E935588AA9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B19" i="8"/>
  <c r="AB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X383" i="8"/>
  <c r="X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F28" i="14" l="1"/>
  <c r="F29" i="14"/>
  <c r="C20" i="24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AG1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386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AO1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C1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2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C16" i="24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X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X6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B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X384" i="9"/>
  <c r="X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AB21" i="11"/>
  <c r="AB20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C28" i="14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D29" i="14" s="1"/>
  <c r="AF2" i="21"/>
  <c r="D28" i="14" s="1"/>
  <c r="AE2" i="2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G1" i="9"/>
  <c r="P2" i="10"/>
  <c r="C12" i="14" s="1"/>
  <c r="AB2" i="10"/>
  <c r="C24" i="14" s="1"/>
  <c r="U1" i="9"/>
  <c r="V1" i="9"/>
  <c r="G1" i="9"/>
  <c r="R1" i="9"/>
  <c r="K1" i="9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E1" i="9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AB2" i="11"/>
  <c r="B24" i="14" s="1"/>
  <c r="V2" i="11"/>
  <c r="Q2" i="11"/>
  <c r="B13" i="14" s="1"/>
  <c r="AC2" i="11"/>
  <c r="B25" i="14" s="1"/>
  <c r="U2" i="11"/>
  <c r="B17" i="14" s="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B28" i="14" l="1"/>
  <c r="E28" i="14" s="1"/>
  <c r="G28" i="14" s="1"/>
  <c r="B29" i="14"/>
  <c r="E29" i="14" s="1"/>
  <c r="G29" i="14" s="1"/>
  <c r="E24" i="14"/>
  <c r="G24" i="14" s="1"/>
  <c r="E25" i="14"/>
  <c r="G25" i="14" s="1"/>
  <c r="B27" i="14"/>
  <c r="E27" i="14" s="1"/>
  <c r="G27" i="14" s="1"/>
  <c r="E26" i="14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<sst xmlns="http://schemas.openxmlformats.org/spreadsheetml/2006/main" count="4500" uniqueCount="1294">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</sst>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61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5</c:v>
                </c:pt>
                <c:pt idx="18">
                  <c:v>16</c:v>
                </c:pt>
                <c:pt idx="19">
                  <c:v>10</c:v>
                </c:pt>
                <c:pt idx="20">
                  <c:v>5</c:v>
                </c:pt>
                <c:pt idx="21">
                  <c:v>9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99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30</c:v>
                </c:pt>
                <c:pt idx="12">
                  <c:v>39</c:v>
                </c:pt>
                <c:pt idx="13">
                  <c:v>26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40</c:v>
                </c:pt>
                <c:pt idx="18">
                  <c:v>78</c:v>
                </c:pt>
                <c:pt idx="19">
                  <c:v>38</c:v>
                </c:pt>
                <c:pt idx="20">
                  <c:v>33</c:v>
                </c:pt>
                <c:pt idx="21">
                  <c:v>32</c:v>
                </c:pt>
                <c:pt idx="22">
                  <c:v>40</c:v>
                </c:pt>
                <c:pt idx="23">
                  <c:v>31</c:v>
                </c:pt>
                <c:pt idx="24">
                  <c:v>30</c:v>
                </c:pt>
                <c:pt idx="25">
                  <c:v>34</c:v>
                </c:pt>
                <c:pt idx="26">
                  <c:v>39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160</c:v>
                </c:pt>
                <c:pt idx="3">
                  <c:v>42</c:v>
                </c:pt>
                <c:pt idx="4">
                  <c:v>36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36</c:v>
                </c:pt>
                <c:pt idx="12">
                  <c:v>50</c:v>
                </c:pt>
                <c:pt idx="13">
                  <c:v>30</c:v>
                </c:pt>
                <c:pt idx="14">
                  <c:v>31</c:v>
                </c:pt>
                <c:pt idx="15">
                  <c:v>56</c:v>
                </c:pt>
                <c:pt idx="16">
                  <c:v>57</c:v>
                </c:pt>
                <c:pt idx="17">
                  <c:v>45</c:v>
                </c:pt>
                <c:pt idx="18">
                  <c:v>94</c:v>
                </c:pt>
                <c:pt idx="19">
                  <c:v>48</c:v>
                </c:pt>
                <c:pt idx="20">
                  <c:v>38</c:v>
                </c:pt>
                <c:pt idx="21">
                  <c:v>41</c:v>
                </c:pt>
                <c:pt idx="22">
                  <c:v>53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47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8.8372093023255813E-2</c:v>
                </c:pt>
                <c:pt idx="1">
                  <c:v>8.8372093023255813E-2</c:v>
                </c:pt>
                <c:pt idx="2">
                  <c:v>0.37209302325581395</c:v>
                </c:pt>
                <c:pt idx="3">
                  <c:v>9.7674418604651161E-2</c:v>
                </c:pt>
                <c:pt idx="4">
                  <c:v>8.3720930232558138E-2</c:v>
                </c:pt>
                <c:pt idx="5">
                  <c:v>8.6854460093896718E-2</c:v>
                </c:pt>
                <c:pt idx="6">
                  <c:v>8.1395348837209308E-2</c:v>
                </c:pt>
                <c:pt idx="7">
                  <c:v>8.2159624413145546E-2</c:v>
                </c:pt>
                <c:pt idx="8">
                  <c:v>0.10697674418604651</c:v>
                </c:pt>
                <c:pt idx="9">
                  <c:v>0.10465116279069768</c:v>
                </c:pt>
                <c:pt idx="10">
                  <c:v>0.10232558139534884</c:v>
                </c:pt>
                <c:pt idx="11">
                  <c:v>8.3720930232558138E-2</c:v>
                </c:pt>
                <c:pt idx="12">
                  <c:v>0.11627906976744186</c:v>
                </c:pt>
                <c:pt idx="13">
                  <c:v>6.9767441860465115E-2</c:v>
                </c:pt>
                <c:pt idx="14">
                  <c:v>7.2093023255813959E-2</c:v>
                </c:pt>
                <c:pt idx="15">
                  <c:v>0.13023255813953488</c:v>
                </c:pt>
                <c:pt idx="16">
                  <c:v>0.13255813953488371</c:v>
                </c:pt>
                <c:pt idx="17">
                  <c:v>0.10465116279069768</c:v>
                </c:pt>
                <c:pt idx="18">
                  <c:v>0.21860465116279071</c:v>
                </c:pt>
                <c:pt idx="19">
                  <c:v>0.11162790697674418</c:v>
                </c:pt>
                <c:pt idx="20">
                  <c:v>8.8372093023255813E-2</c:v>
                </c:pt>
                <c:pt idx="21">
                  <c:v>9.5348837209302331E-2</c:v>
                </c:pt>
                <c:pt idx="22">
                  <c:v>0.12325581395348838</c:v>
                </c:pt>
                <c:pt idx="23">
                  <c:v>8.6046511627906982E-2</c:v>
                </c:pt>
                <c:pt idx="24">
                  <c:v>8.6046511627906982E-2</c:v>
                </c:pt>
                <c:pt idx="25">
                  <c:v>9.3023255813953487E-2</c:v>
                </c:pt>
                <c:pt idx="26">
                  <c:v>0.10930232558139535</c:v>
                </c:pt>
                <c:pt idx="27">
                  <c:v>0.11162790697674418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36</c:v>
                </c:pt>
                <c:pt idx="27">
                  <c:v>38</c:v>
                </c:pt>
                <c:pt idx="28">
                  <c:v>25</c:v>
                </c:pt>
                <c:pt idx="2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22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10</c:v>
                </c:pt>
                <c:pt idx="28">
                  <c:v>7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0.15555555555555556</c:v>
                      </c:pt>
                      <c:pt idx="6">
                        <c:v>0.14666666666666667</c:v>
                      </c:pt>
                      <c:pt idx="7">
                        <c:v>0.14666666666666667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0.16</c:v>
                      </c:pt>
                      <c:pt idx="27">
                        <c:v>0.16888888888888889</c:v>
                      </c:pt>
                      <c:pt idx="28">
                        <c:v>0.1111111111111111</c:v>
                      </c:pt>
                      <c:pt idx="29">
                        <c:v>0.10666666666666667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1.4634146341463415E-2</c:v>
                      </c:pt>
                      <c:pt idx="6">
                        <c:v>1.4634146341463415E-2</c:v>
                      </c:pt>
                      <c:pt idx="7">
                        <c:v>1.4634146341463415E-2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0.10731707317073171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5.3658536585365853E-2</c:v>
                      </c:pt>
                      <c:pt idx="27" formatCode="0.00%">
                        <c:v>4.878048780487805E-2</c:v>
                      </c:pt>
                      <c:pt idx="28" formatCode="0.00%">
                        <c:v>3.4146341463414637E-2</c:v>
                      </c:pt>
                      <c:pt idx="29" formatCode="0.00%">
                        <c:v>5.3658536585365853E-2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0.15555555555555556</c:v>
                </c:pt>
                <c:pt idx="6">
                  <c:v>0.14666666666666667</c:v>
                </c:pt>
                <c:pt idx="7">
                  <c:v>0.14666666666666667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0.16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0.16</c:v>
                </c:pt>
                <c:pt idx="27">
                  <c:v>0.16888888888888889</c:v>
                </c:pt>
                <c:pt idx="28">
                  <c:v>0.1111111111111111</c:v>
                </c:pt>
                <c:pt idx="29">
                  <c:v>0.10666666666666667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1.4634146341463415E-2</c:v>
                </c:pt>
                <c:pt idx="6">
                  <c:v>1.4634146341463415E-2</c:v>
                </c:pt>
                <c:pt idx="7">
                  <c:v>1.4634146341463415E-2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0.10731707317073171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5.3658536585365853E-2</c:v>
                </c:pt>
                <c:pt idx="27" formatCode="0.00%">
                  <c:v>4.878048780487805E-2</c:v>
                </c:pt>
                <c:pt idx="28" formatCode="0.00%">
                  <c:v>3.4146341463414637E-2</c:v>
                </c:pt>
                <c:pt idx="29" formatCode="0.00%">
                  <c:v>5.3658536585365853E-2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36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36</c:v>
                      </c:pt>
                      <c:pt idx="27">
                        <c:v>38</c:v>
                      </c:pt>
                      <c:pt idx="28">
                        <c:v>25</c:v>
                      </c:pt>
                      <c:pt idx="29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7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O80" activePane="bottomRight" state="frozen"/>
      <selection pane="topRight" activeCell="M1" sqref="M1"/>
      <selection pane="bottomLeft" activeCell="A5" sqref="A5"/>
      <selection pane="bottomRight" activeCell="AO99" sqref="AO99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0.10930232558139535</v>
      </c>
      <c r="AL1" s="4">
        <f t="shared" si="0"/>
        <v>0.11162790697674418</v>
      </c>
      <c r="AM1" s="4">
        <f t="shared" si="0"/>
        <v>7.441860465116279E-2</v>
      </c>
      <c r="AN1" s="4">
        <f t="shared" si="0"/>
        <v>8.1395348837209308E-2</v>
      </c>
      <c r="AO1" s="4">
        <f t="shared" si="0"/>
        <v>9.5348837209302331E-2</v>
      </c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383</v>
      </c>
      <c r="AL2" s="8">
        <f t="shared" si="2"/>
        <v>382</v>
      </c>
      <c r="AM2" s="8">
        <f t="shared" si="2"/>
        <v>398</v>
      </c>
      <c r="AN2" s="8">
        <f t="shared" si="2"/>
        <v>395</v>
      </c>
      <c r="AO2" s="8">
        <f t="shared" si="2"/>
        <v>389</v>
      </c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47</v>
      </c>
      <c r="AL3" s="12">
        <f t="shared" si="3"/>
        <v>48</v>
      </c>
      <c r="AM3" s="12">
        <f t="shared" si="3"/>
        <v>32</v>
      </c>
      <c r="AN3" s="12">
        <f t="shared" si="3"/>
        <v>35</v>
      </c>
      <c r="AO3" s="12">
        <f t="shared" si="3"/>
        <v>41</v>
      </c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1274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1274</v>
      </c>
      <c r="L8" s="21" t="s">
        <v>1274</v>
      </c>
      <c r="M8" s="21" t="s">
        <v>1274</v>
      </c>
      <c r="N8" s="21" t="s">
        <v>1274</v>
      </c>
      <c r="O8" s="21" t="s">
        <v>1274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1274</v>
      </c>
      <c r="L9" s="21" t="s">
        <v>1274</v>
      </c>
      <c r="M9" s="21" t="s">
        <v>1274</v>
      </c>
      <c r="N9" s="21" t="s">
        <v>1274</v>
      </c>
      <c r="O9" s="21" t="s">
        <v>1274</v>
      </c>
      <c r="P9" s="21"/>
      <c r="Q9" s="21" t="s">
        <v>1274</v>
      </c>
      <c r="R9" s="21"/>
      <c r="S9" s="21" t="s">
        <v>1274</v>
      </c>
      <c r="T9" s="21" t="s">
        <v>1274</v>
      </c>
      <c r="U9" s="21" t="s">
        <v>1274</v>
      </c>
      <c r="V9" s="21" t="s">
        <v>1274</v>
      </c>
      <c r="W9" s="21" t="s">
        <v>1274</v>
      </c>
      <c r="X9" s="21" t="s">
        <v>1274</v>
      </c>
      <c r="Y9" s="21" t="s">
        <v>1274</v>
      </c>
      <c r="Z9" s="21" t="s">
        <v>1274</v>
      </c>
      <c r="AA9" s="21"/>
      <c r="AB9" s="21" t="s">
        <v>1274</v>
      </c>
      <c r="AC9" s="21" t="s">
        <v>1274</v>
      </c>
      <c r="AD9" s="21" t="s">
        <v>1274</v>
      </c>
      <c r="AE9" s="21" t="s">
        <v>1274</v>
      </c>
      <c r="AF9" s="21" t="s">
        <v>1274</v>
      </c>
      <c r="AG9" s="21" t="s">
        <v>1274</v>
      </c>
      <c r="AH9" s="21" t="s">
        <v>1274</v>
      </c>
      <c r="AI9" s="21" t="s">
        <v>1274</v>
      </c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1274</v>
      </c>
      <c r="N10" s="21" t="s">
        <v>1274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1274</v>
      </c>
      <c r="L14" s="21" t="s">
        <v>1274</v>
      </c>
      <c r="M14" s="21" t="s">
        <v>1274</v>
      </c>
      <c r="N14" s="21" t="s">
        <v>1274</v>
      </c>
      <c r="O14" s="21" t="s">
        <v>1274</v>
      </c>
      <c r="P14" s="21"/>
      <c r="Q14" s="21" t="s">
        <v>1274</v>
      </c>
      <c r="R14" s="21"/>
      <c r="S14" s="21" t="s">
        <v>1274</v>
      </c>
      <c r="T14" s="21" t="s">
        <v>1274</v>
      </c>
      <c r="U14" s="21" t="s">
        <v>1274</v>
      </c>
      <c r="V14" s="21" t="s">
        <v>1274</v>
      </c>
      <c r="W14" s="21" t="s">
        <v>1274</v>
      </c>
      <c r="X14" s="21" t="s">
        <v>1274</v>
      </c>
      <c r="Y14" s="21" t="s">
        <v>1274</v>
      </c>
      <c r="Z14" s="21" t="s">
        <v>1274</v>
      </c>
      <c r="AA14" s="21"/>
      <c r="AB14" s="21" t="s">
        <v>1274</v>
      </c>
      <c r="AC14" s="21" t="s">
        <v>1274</v>
      </c>
      <c r="AD14" s="21" t="s">
        <v>1274</v>
      </c>
      <c r="AE14" s="21" t="s">
        <v>1274</v>
      </c>
      <c r="AF14" s="21" t="s">
        <v>1274</v>
      </c>
      <c r="AG14" s="21" t="s">
        <v>1274</v>
      </c>
      <c r="AH14" s="21" t="s">
        <v>1274</v>
      </c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1274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4</v>
      </c>
      <c r="I16" s="46">
        <f t="shared" si="4"/>
        <v>24</v>
      </c>
      <c r="J16" s="47">
        <f t="shared" si="5"/>
        <v>0.14285714285714285</v>
      </c>
      <c r="K16" s="21" t="s">
        <v>1274</v>
      </c>
      <c r="L16" s="21" t="s">
        <v>1274</v>
      </c>
      <c r="M16" s="21" t="s">
        <v>1274</v>
      </c>
      <c r="N16" s="21" t="s">
        <v>1274</v>
      </c>
      <c r="O16" s="21" t="s">
        <v>1274</v>
      </c>
      <c r="P16" s="21"/>
      <c r="Q16" s="21" t="s">
        <v>1274</v>
      </c>
      <c r="R16" s="21"/>
      <c r="S16" s="21"/>
      <c r="T16" s="21" t="s">
        <v>1274</v>
      </c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1274</v>
      </c>
      <c r="AA16" s="21"/>
      <c r="AB16" s="21" t="s">
        <v>1274</v>
      </c>
      <c r="AC16" s="21" t="s">
        <v>1274</v>
      </c>
      <c r="AD16" s="21" t="s">
        <v>1274</v>
      </c>
      <c r="AE16" s="21" t="s">
        <v>1274</v>
      </c>
      <c r="AF16" s="21" t="s">
        <v>1274</v>
      </c>
      <c r="AG16" s="21" t="s">
        <v>1274</v>
      </c>
      <c r="AH16" s="21" t="s">
        <v>1274</v>
      </c>
      <c r="AI16" s="21" t="s">
        <v>1274</v>
      </c>
      <c r="AJ16" s="21" t="s">
        <v>1274</v>
      </c>
      <c r="AK16" s="21" t="s">
        <v>1274</v>
      </c>
      <c r="AL16" s="21" t="s">
        <v>1274</v>
      </c>
      <c r="AM16" s="21" t="s">
        <v>1274</v>
      </c>
      <c r="AN16" s="21" t="s">
        <v>1274</v>
      </c>
      <c r="AO16" s="21"/>
    </row>
    <row r="17" spans="1:41" ht="15.75" thickBot="1" x14ac:dyDescent="0.3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29</v>
      </c>
      <c r="I23" s="46">
        <f t="shared" si="4"/>
        <v>1</v>
      </c>
      <c r="J23" s="47">
        <f t="shared" si="5"/>
        <v>0.96666666666666667</v>
      </c>
      <c r="K23" s="21"/>
      <c r="L23" s="21"/>
      <c r="M23" s="21" t="s">
        <v>1274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1274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29</v>
      </c>
      <c r="I27" s="46">
        <f>COUNTIF(K27:AL27,"APAGADO")</f>
        <v>1</v>
      </c>
      <c r="J27" s="47">
        <f>(H27)/(I27+H27)</f>
        <v>0.96666666666666667</v>
      </c>
      <c r="K27" s="21"/>
      <c r="L27" s="21"/>
      <c r="M27" s="21" t="s">
        <v>1274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29</v>
      </c>
      <c r="I28" s="46">
        <f t="shared" si="4"/>
        <v>1</v>
      </c>
      <c r="J28" s="47">
        <f t="shared" si="5"/>
        <v>0.96666666666666667</v>
      </c>
      <c r="K28" s="21"/>
      <c r="L28" s="21"/>
      <c r="M28" s="21" t="s">
        <v>1274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29</v>
      </c>
      <c r="I32" s="46">
        <f t="shared" si="4"/>
        <v>1</v>
      </c>
      <c r="J32" s="47">
        <f t="shared" si="5"/>
        <v>0.96666666666666667</v>
      </c>
      <c r="K32" s="21"/>
      <c r="L32" s="21"/>
      <c r="M32" s="21" t="s">
        <v>1274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11</v>
      </c>
      <c r="I34" s="46">
        <f>COUNTIF(K34:AL34,"APAGADO")</f>
        <v>17</v>
      </c>
      <c r="J34" s="47">
        <f>(H34)/(I34+H34)</f>
        <v>0.39285714285714285</v>
      </c>
      <c r="K34" s="21"/>
      <c r="L34" s="21"/>
      <c r="M34" s="21"/>
      <c r="N34" s="21" t="s">
        <v>1274</v>
      </c>
      <c r="O34" s="21" t="s">
        <v>1274</v>
      </c>
      <c r="P34" s="21"/>
      <c r="Q34" s="21"/>
      <c r="R34" s="21"/>
      <c r="S34" s="21"/>
      <c r="T34" s="21"/>
      <c r="U34" s="21"/>
      <c r="V34" s="21"/>
      <c r="W34" s="21" t="s">
        <v>1274</v>
      </c>
      <c r="X34" s="21" t="s">
        <v>1274</v>
      </c>
      <c r="Y34" s="21" t="s">
        <v>1274</v>
      </c>
      <c r="Z34" s="21" t="s">
        <v>1274</v>
      </c>
      <c r="AA34" s="21"/>
      <c r="AB34" s="21" t="s">
        <v>1274</v>
      </c>
      <c r="AC34" s="21" t="s">
        <v>1274</v>
      </c>
      <c r="AD34" s="21" t="s">
        <v>1274</v>
      </c>
      <c r="AE34" s="21" t="s">
        <v>1274</v>
      </c>
      <c r="AF34" s="21" t="s">
        <v>1274</v>
      </c>
      <c r="AG34" s="21" t="s">
        <v>1274</v>
      </c>
      <c r="AH34" s="21" t="s">
        <v>1274</v>
      </c>
      <c r="AI34" s="21" t="s">
        <v>1274</v>
      </c>
      <c r="AJ34" s="21" t="s">
        <v>1274</v>
      </c>
      <c r="AK34" s="21" t="s">
        <v>1274</v>
      </c>
      <c r="AL34" s="21" t="s">
        <v>1274</v>
      </c>
      <c r="AM34" s="21" t="s">
        <v>1274</v>
      </c>
      <c r="AN34" s="21" t="s">
        <v>1274</v>
      </c>
      <c r="AO34" s="21" t="s">
        <v>1274</v>
      </c>
    </row>
    <row r="35" spans="1:41" ht="15.75" thickBot="1" x14ac:dyDescent="0.3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27</v>
      </c>
      <c r="I35" s="46">
        <f>COUNTIF(K35:AL35,"APAGADO")</f>
        <v>3</v>
      </c>
      <c r="J35" s="47">
        <f>(H35)/(I35+H35)</f>
        <v>0.9</v>
      </c>
      <c r="K35" s="21"/>
      <c r="L35" s="21"/>
      <c r="M35" s="21" t="s">
        <v>1274</v>
      </c>
      <c r="N35" s="21"/>
      <c r="O35" s="21"/>
      <c r="P35" s="21"/>
      <c r="Q35" s="21" t="s">
        <v>1274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1274</v>
      </c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4</v>
      </c>
      <c r="I37" s="46">
        <f t="shared" si="4"/>
        <v>24</v>
      </c>
      <c r="J37" s="47">
        <f t="shared" si="5"/>
        <v>0.14285714285714285</v>
      </c>
      <c r="K37" s="21" t="s">
        <v>1274</v>
      </c>
      <c r="L37" s="21" t="s">
        <v>1274</v>
      </c>
      <c r="M37" s="21" t="s">
        <v>1274</v>
      </c>
      <c r="N37" s="21" t="s">
        <v>1274</v>
      </c>
      <c r="O37" s="21" t="s">
        <v>1274</v>
      </c>
      <c r="P37" s="21"/>
      <c r="Q37" s="21"/>
      <c r="R37" s="21"/>
      <c r="S37" s="21" t="s">
        <v>1274</v>
      </c>
      <c r="T37" s="21" t="s">
        <v>1274</v>
      </c>
      <c r="U37" s="21" t="s">
        <v>1274</v>
      </c>
      <c r="V37" s="21" t="s">
        <v>1274</v>
      </c>
      <c r="W37" s="21" t="s">
        <v>1274</v>
      </c>
      <c r="X37" s="21" t="s">
        <v>1274</v>
      </c>
      <c r="Y37" s="21" t="s">
        <v>1274</v>
      </c>
      <c r="Z37" s="21" t="s">
        <v>1274</v>
      </c>
      <c r="AA37" s="21"/>
      <c r="AB37" s="21" t="s">
        <v>1274</v>
      </c>
      <c r="AC37" s="21" t="s">
        <v>1274</v>
      </c>
      <c r="AD37" s="21" t="s">
        <v>1274</v>
      </c>
      <c r="AE37" s="21" t="s">
        <v>1274</v>
      </c>
      <c r="AF37" s="21" t="s">
        <v>1274</v>
      </c>
      <c r="AG37" s="21" t="s">
        <v>1274</v>
      </c>
      <c r="AH37" s="21" t="s">
        <v>1274</v>
      </c>
      <c r="AI37" s="21" t="s">
        <v>1274</v>
      </c>
      <c r="AJ37" s="21" t="s">
        <v>1274</v>
      </c>
      <c r="AK37" s="21" t="s">
        <v>1274</v>
      </c>
      <c r="AL37" s="21" t="s">
        <v>1274</v>
      </c>
      <c r="AM37" s="21" t="s">
        <v>1274</v>
      </c>
      <c r="AN37" s="21" t="s">
        <v>1274</v>
      </c>
      <c r="AO37" s="21" t="s">
        <v>1274</v>
      </c>
    </row>
    <row r="38" spans="1:41" ht="15.75" thickBot="1" x14ac:dyDescent="0.3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29</v>
      </c>
      <c r="I38" s="46">
        <f t="shared" si="4"/>
        <v>1</v>
      </c>
      <c r="J38" s="47">
        <f t="shared" si="5"/>
        <v>0.96666666666666667</v>
      </c>
      <c r="K38" s="21"/>
      <c r="L38" s="21"/>
      <c r="M38" s="21" t="s">
        <v>1274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1274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4</v>
      </c>
      <c r="I40" s="46">
        <f t="shared" si="4"/>
        <v>25</v>
      </c>
      <c r="J40" s="47">
        <f t="shared" si="5"/>
        <v>0.13793103448275862</v>
      </c>
      <c r="K40" s="21" t="s">
        <v>1274</v>
      </c>
      <c r="L40" s="21" t="s">
        <v>1274</v>
      </c>
      <c r="M40" s="21" t="s">
        <v>1274</v>
      </c>
      <c r="N40" s="21" t="s">
        <v>1274</v>
      </c>
      <c r="O40" s="21" t="s">
        <v>1274</v>
      </c>
      <c r="P40" s="21"/>
      <c r="Q40" s="21" t="s">
        <v>1274</v>
      </c>
      <c r="R40" s="21"/>
      <c r="S40" s="21" t="s">
        <v>1274</v>
      </c>
      <c r="T40" s="21" t="s">
        <v>1274</v>
      </c>
      <c r="U40" s="21" t="s">
        <v>1274</v>
      </c>
      <c r="V40" s="21" t="s">
        <v>1274</v>
      </c>
      <c r="W40" s="21" t="s">
        <v>1274</v>
      </c>
      <c r="X40" s="21" t="s">
        <v>1274</v>
      </c>
      <c r="Y40" s="21" t="s">
        <v>1274</v>
      </c>
      <c r="Z40" s="21" t="s">
        <v>1274</v>
      </c>
      <c r="AA40" s="21"/>
      <c r="AB40" s="21" t="s">
        <v>1274</v>
      </c>
      <c r="AC40" s="21" t="s">
        <v>1274</v>
      </c>
      <c r="AD40" s="21" t="s">
        <v>1274</v>
      </c>
      <c r="AE40" s="21" t="s">
        <v>1274</v>
      </c>
      <c r="AF40" s="21" t="s">
        <v>1274</v>
      </c>
      <c r="AG40" s="21" t="s">
        <v>1274</v>
      </c>
      <c r="AH40" s="21" t="s">
        <v>1274</v>
      </c>
      <c r="AI40" s="21" t="s">
        <v>1274</v>
      </c>
      <c r="AJ40" s="21" t="s">
        <v>1274</v>
      </c>
      <c r="AK40" s="21" t="s">
        <v>1274</v>
      </c>
      <c r="AL40" s="21" t="s">
        <v>1274</v>
      </c>
      <c r="AM40" s="21" t="s">
        <v>1274</v>
      </c>
      <c r="AN40" s="21"/>
      <c r="AO40" s="21" t="s">
        <v>1274</v>
      </c>
    </row>
    <row r="41" spans="1:41" ht="15.75" thickBot="1" x14ac:dyDescent="0.3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26</v>
      </c>
      <c r="I42" s="46">
        <f t="shared" si="4"/>
        <v>4</v>
      </c>
      <c r="J42" s="47">
        <f t="shared" si="5"/>
        <v>0.8666666666666667</v>
      </c>
      <c r="K42" s="21" t="s">
        <v>1274</v>
      </c>
      <c r="L42" s="21" t="s">
        <v>1274</v>
      </c>
      <c r="M42" s="21" t="s">
        <v>1274</v>
      </c>
      <c r="N42" s="21" t="s">
        <v>1274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29</v>
      </c>
      <c r="I43" s="46">
        <f t="shared" si="4"/>
        <v>1</v>
      </c>
      <c r="J43" s="47">
        <f t="shared" si="5"/>
        <v>0.96666666666666667</v>
      </c>
      <c r="K43" s="21"/>
      <c r="L43" s="21"/>
      <c r="M43" s="21" t="s">
        <v>1274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29</v>
      </c>
      <c r="I45" s="46">
        <f t="shared" si="4"/>
        <v>1</v>
      </c>
      <c r="J45" s="47">
        <f t="shared" si="5"/>
        <v>0.96666666666666667</v>
      </c>
      <c r="K45" s="21"/>
      <c r="L45" s="21"/>
      <c r="M45" s="21" t="s">
        <v>1274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28</v>
      </c>
      <c r="I46" s="46">
        <f t="shared" si="4"/>
        <v>2</v>
      </c>
      <c r="J46" s="47">
        <f t="shared" si="5"/>
        <v>0.93333333333333335</v>
      </c>
      <c r="K46" s="21"/>
      <c r="L46" s="21" t="s">
        <v>1274</v>
      </c>
      <c r="M46" s="21"/>
      <c r="N46" s="21" t="s">
        <v>1274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/>
      <c r="M47" s="21" t="s">
        <v>1274</v>
      </c>
      <c r="N47" s="21" t="s">
        <v>1274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3</v>
      </c>
      <c r="I48" s="46">
        <f t="shared" si="4"/>
        <v>25</v>
      </c>
      <c r="J48" s="47">
        <f t="shared" si="5"/>
        <v>0.10714285714285714</v>
      </c>
      <c r="K48" s="21" t="s">
        <v>1274</v>
      </c>
      <c r="L48" s="21" t="s">
        <v>1274</v>
      </c>
      <c r="M48" s="21" t="s">
        <v>1274</v>
      </c>
      <c r="N48" s="21" t="s">
        <v>1274</v>
      </c>
      <c r="O48" s="21" t="s">
        <v>1274</v>
      </c>
      <c r="P48" s="21"/>
      <c r="Q48" s="21" t="s">
        <v>1274</v>
      </c>
      <c r="R48" s="21"/>
      <c r="S48" s="21" t="s">
        <v>1274</v>
      </c>
      <c r="T48" s="21" t="s">
        <v>1274</v>
      </c>
      <c r="U48" s="21" t="s">
        <v>1274</v>
      </c>
      <c r="V48" s="21" t="s">
        <v>1274</v>
      </c>
      <c r="W48" s="21" t="s">
        <v>1274</v>
      </c>
      <c r="X48" s="21" t="s">
        <v>1274</v>
      </c>
      <c r="Y48" s="21" t="s">
        <v>1274</v>
      </c>
      <c r="Z48" s="21" t="s">
        <v>1274</v>
      </c>
      <c r="AA48" s="21"/>
      <c r="AB48" s="21" t="s">
        <v>1274</v>
      </c>
      <c r="AC48" s="21" t="s">
        <v>1274</v>
      </c>
      <c r="AD48" s="21" t="s">
        <v>1274</v>
      </c>
      <c r="AE48" s="21" t="s">
        <v>1274</v>
      </c>
      <c r="AF48" s="21" t="s">
        <v>1274</v>
      </c>
      <c r="AG48" s="21" t="s">
        <v>1274</v>
      </c>
      <c r="AH48" s="21" t="s">
        <v>1274</v>
      </c>
      <c r="AI48" s="21" t="s">
        <v>1274</v>
      </c>
      <c r="AJ48" s="21" t="s">
        <v>1274</v>
      </c>
      <c r="AK48" s="21" t="s">
        <v>1274</v>
      </c>
      <c r="AL48" s="21" t="s">
        <v>1274</v>
      </c>
      <c r="AM48" s="21" t="s">
        <v>1274</v>
      </c>
      <c r="AN48" s="21" t="s">
        <v>1274</v>
      </c>
      <c r="AO48" s="21" t="s">
        <v>1274</v>
      </c>
    </row>
    <row r="49" spans="1:41" ht="15.75" thickBot="1" x14ac:dyDescent="0.3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17</v>
      </c>
      <c r="I49" s="46">
        <f t="shared" si="4"/>
        <v>11</v>
      </c>
      <c r="J49" s="47">
        <f t="shared" si="5"/>
        <v>0.6071428571428571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 t="s">
        <v>1274</v>
      </c>
      <c r="AC49" s="21" t="s">
        <v>1274</v>
      </c>
      <c r="AD49" s="21" t="s">
        <v>1274</v>
      </c>
      <c r="AE49" s="21" t="s">
        <v>1274</v>
      </c>
      <c r="AF49" s="21" t="s">
        <v>1274</v>
      </c>
      <c r="AG49" s="21" t="s">
        <v>1274</v>
      </c>
      <c r="AH49" s="21" t="s">
        <v>1274</v>
      </c>
      <c r="AI49" s="21" t="s">
        <v>1274</v>
      </c>
      <c r="AJ49" s="21" t="s">
        <v>1274</v>
      </c>
      <c r="AK49" s="21" t="s">
        <v>1274</v>
      </c>
      <c r="AL49" s="21" t="s">
        <v>1274</v>
      </c>
      <c r="AM49" s="21" t="s">
        <v>1274</v>
      </c>
      <c r="AN49" s="21" t="s">
        <v>1274</v>
      </c>
      <c r="AO49" s="21" t="s">
        <v>1274</v>
      </c>
    </row>
    <row r="50" spans="1:41" ht="15.75" thickBot="1" x14ac:dyDescent="0.3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29</v>
      </c>
      <c r="I50" s="46">
        <f t="shared" si="4"/>
        <v>1</v>
      </c>
      <c r="J50" s="47">
        <f t="shared" si="5"/>
        <v>0.96666666666666667</v>
      </c>
      <c r="K50" s="21"/>
      <c r="L50" s="21"/>
      <c r="M50" s="21" t="s">
        <v>1274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16</v>
      </c>
      <c r="I51" s="46">
        <f t="shared" si="4"/>
        <v>12</v>
      </c>
      <c r="J51" s="47">
        <f t="shared" si="5"/>
        <v>0.5714285714285714</v>
      </c>
      <c r="K51" s="21"/>
      <c r="L51" s="21"/>
      <c r="M51" s="21" t="s">
        <v>1274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 t="s">
        <v>1274</v>
      </c>
      <c r="AC51" s="21" t="s">
        <v>1274</v>
      </c>
      <c r="AD51" s="21" t="s">
        <v>1274</v>
      </c>
      <c r="AE51" s="21" t="s">
        <v>1274</v>
      </c>
      <c r="AF51" s="21" t="s">
        <v>1274</v>
      </c>
      <c r="AG51" s="21" t="s">
        <v>1274</v>
      </c>
      <c r="AH51" s="21" t="s">
        <v>1274</v>
      </c>
      <c r="AI51" s="21" t="s">
        <v>1274</v>
      </c>
      <c r="AJ51" s="21" t="s">
        <v>1274</v>
      </c>
      <c r="AK51" s="21" t="s">
        <v>1274</v>
      </c>
      <c r="AL51" s="21" t="s">
        <v>1274</v>
      </c>
      <c r="AM51" s="21" t="s">
        <v>1274</v>
      </c>
      <c r="AN51" s="21" t="s">
        <v>1274</v>
      </c>
      <c r="AO51" s="21" t="s">
        <v>1274</v>
      </c>
    </row>
    <row r="52" spans="1:41" ht="15.75" thickBot="1" x14ac:dyDescent="0.3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29</v>
      </c>
      <c r="I52" s="46">
        <f t="shared" si="4"/>
        <v>1</v>
      </c>
      <c r="J52" s="47">
        <f t="shared" si="5"/>
        <v>0.96666666666666667</v>
      </c>
      <c r="K52" s="21"/>
      <c r="L52" s="21"/>
      <c r="M52" s="21" t="s">
        <v>1274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16</v>
      </c>
      <c r="I54" s="46">
        <f t="shared" si="4"/>
        <v>12</v>
      </c>
      <c r="J54" s="47">
        <f t="shared" si="5"/>
        <v>0.5714285714285714</v>
      </c>
      <c r="K54" s="21"/>
      <c r="L54" s="21"/>
      <c r="M54" s="21" t="s">
        <v>1274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">
        <v>1274</v>
      </c>
      <c r="AC54" s="21" t="s">
        <v>1274</v>
      </c>
      <c r="AD54" s="21" t="s">
        <v>1274</v>
      </c>
      <c r="AE54" s="21" t="s">
        <v>1274</v>
      </c>
      <c r="AF54" s="21" t="s">
        <v>1274</v>
      </c>
      <c r="AG54" s="21" t="s">
        <v>1274</v>
      </c>
      <c r="AH54" s="21" t="s">
        <v>1274</v>
      </c>
      <c r="AI54" s="21" t="s">
        <v>1274</v>
      </c>
      <c r="AJ54" s="21" t="s">
        <v>1274</v>
      </c>
      <c r="AK54" s="21" t="s">
        <v>1274</v>
      </c>
      <c r="AL54" s="21" t="s">
        <v>1274</v>
      </c>
      <c r="AM54" s="21" t="s">
        <v>1274</v>
      </c>
      <c r="AN54" s="21" t="s">
        <v>1274</v>
      </c>
      <c r="AO54" s="21" t="s">
        <v>1274</v>
      </c>
    </row>
    <row r="55" spans="1:41" ht="15.75" thickBot="1" x14ac:dyDescent="0.3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29</v>
      </c>
      <c r="I55" s="46">
        <f t="shared" si="4"/>
        <v>1</v>
      </c>
      <c r="J55" s="47">
        <f t="shared" si="5"/>
        <v>0.96666666666666667</v>
      </c>
      <c r="K55" s="21"/>
      <c r="L55" s="21"/>
      <c r="M55" s="21" t="s">
        <v>1274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5</v>
      </c>
      <c r="I56" s="46">
        <f t="shared" si="4"/>
        <v>23</v>
      </c>
      <c r="J56" s="47">
        <f t="shared" si="5"/>
        <v>0.17857142857142858</v>
      </c>
      <c r="K56" s="21"/>
      <c r="L56" s="21"/>
      <c r="M56" s="21" t="s">
        <v>1274</v>
      </c>
      <c r="N56" s="21" t="s">
        <v>1274</v>
      </c>
      <c r="O56" s="21" t="s">
        <v>1274</v>
      </c>
      <c r="P56" s="21"/>
      <c r="Q56" s="21" t="s">
        <v>1274</v>
      </c>
      <c r="R56" s="21"/>
      <c r="S56" s="21" t="s">
        <v>1274</v>
      </c>
      <c r="T56" s="21" t="s">
        <v>1274</v>
      </c>
      <c r="U56" s="21" t="s">
        <v>1274</v>
      </c>
      <c r="V56" s="21" t="s">
        <v>1274</v>
      </c>
      <c r="W56" s="21" t="s">
        <v>1274</v>
      </c>
      <c r="X56" s="21" t="s">
        <v>1274</v>
      </c>
      <c r="Y56" s="21" t="s">
        <v>1274</v>
      </c>
      <c r="Z56" s="21" t="s">
        <v>1274</v>
      </c>
      <c r="AA56" s="21"/>
      <c r="AB56" s="21" t="s">
        <v>1274</v>
      </c>
      <c r="AC56" s="21" t="s">
        <v>1274</v>
      </c>
      <c r="AD56" s="21" t="s">
        <v>1274</v>
      </c>
      <c r="AE56" s="21" t="s">
        <v>1274</v>
      </c>
      <c r="AF56" s="21" t="s">
        <v>1274</v>
      </c>
      <c r="AG56" s="21" t="s">
        <v>1274</v>
      </c>
      <c r="AH56" s="21" t="s">
        <v>1274</v>
      </c>
      <c r="AI56" s="21" t="s">
        <v>1274</v>
      </c>
      <c r="AJ56" s="21" t="s">
        <v>1274</v>
      </c>
      <c r="AK56" s="21" t="s">
        <v>1274</v>
      </c>
      <c r="AL56" s="21" t="s">
        <v>1274</v>
      </c>
      <c r="AM56" s="21" t="s">
        <v>1274</v>
      </c>
      <c r="AN56" s="21" t="s">
        <v>1274</v>
      </c>
      <c r="AO56" s="21" t="s">
        <v>1274</v>
      </c>
    </row>
    <row r="57" spans="1:41" ht="15.75" thickBot="1" x14ac:dyDescent="0.3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25</v>
      </c>
      <c r="I57" s="46">
        <f t="shared" si="4"/>
        <v>3</v>
      </c>
      <c r="J57" s="47">
        <f t="shared" si="5"/>
        <v>0.8928571428571429</v>
      </c>
      <c r="K57" s="21"/>
      <c r="L57" s="21"/>
      <c r="M57" s="21" t="s">
        <v>1274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1274</v>
      </c>
      <c r="AL57" s="21" t="s">
        <v>1274</v>
      </c>
      <c r="AM57" s="21" t="s">
        <v>1274</v>
      </c>
      <c r="AN57" s="21" t="s">
        <v>1274</v>
      </c>
      <c r="AO57" s="21"/>
    </row>
    <row r="58" spans="1:41" ht="15.75" thickBot="1" x14ac:dyDescent="0.3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29</v>
      </c>
      <c r="I59" s="46">
        <f>COUNTIF(K59:AL59,"APAGADO")</f>
        <v>1</v>
      </c>
      <c r="J59" s="47">
        <f>(H59)/(I59+H59)</f>
        <v>0.96666666666666667</v>
      </c>
      <c r="K59" s="21"/>
      <c r="L59" s="21"/>
      <c r="M59" s="21" t="s">
        <v>1274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29</v>
      </c>
      <c r="I61" s="46">
        <f t="shared" si="4"/>
        <v>1</v>
      </c>
      <c r="J61" s="47">
        <f t="shared" si="5"/>
        <v>0.96666666666666667</v>
      </c>
      <c r="K61" s="21"/>
      <c r="L61" s="21"/>
      <c r="M61" s="21" t="s">
        <v>1274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28</v>
      </c>
      <c r="I66" s="46">
        <f t="shared" si="4"/>
        <v>2</v>
      </c>
      <c r="J66" s="47">
        <f t="shared" si="5"/>
        <v>0.93333333333333335</v>
      </c>
      <c r="K66" s="21"/>
      <c r="L66" s="21"/>
      <c r="M66" s="21"/>
      <c r="N66" s="21"/>
      <c r="O66" s="21"/>
      <c r="P66" s="21"/>
      <c r="Q66" s="21"/>
      <c r="R66" s="21"/>
      <c r="S66" s="21" t="s">
        <v>1274</v>
      </c>
      <c r="T66" s="21"/>
      <c r="U66" s="21"/>
      <c r="V66" s="21"/>
      <c r="W66" s="21"/>
      <c r="X66" s="21"/>
      <c r="Y66" s="21"/>
      <c r="Z66" s="21" t="s">
        <v>1274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 t="s">
        <v>1274</v>
      </c>
    </row>
    <row r="67" spans="1:41" ht="15.75" thickBot="1" x14ac:dyDescent="0.3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3</v>
      </c>
      <c r="I69" s="46">
        <f t="shared" si="4"/>
        <v>25</v>
      </c>
      <c r="J69" s="47">
        <f t="shared" si="5"/>
        <v>0.10714285714285714</v>
      </c>
      <c r="K69" s="21" t="s">
        <v>1274</v>
      </c>
      <c r="L69" s="21" t="s">
        <v>1274</v>
      </c>
      <c r="M69" s="21" t="s">
        <v>1274</v>
      </c>
      <c r="N69" s="21" t="s">
        <v>1274</v>
      </c>
      <c r="O69" s="21" t="s">
        <v>1274</v>
      </c>
      <c r="P69" s="21"/>
      <c r="Q69" s="21" t="s">
        <v>1274</v>
      </c>
      <c r="R69" s="21"/>
      <c r="S69" s="21" t="s">
        <v>1274</v>
      </c>
      <c r="T69" s="21" t="s">
        <v>1274</v>
      </c>
      <c r="U69" s="21" t="s">
        <v>1274</v>
      </c>
      <c r="V69" s="21" t="s">
        <v>1274</v>
      </c>
      <c r="W69" s="21" t="s">
        <v>1274</v>
      </c>
      <c r="X69" s="21" t="s">
        <v>1274</v>
      </c>
      <c r="Y69" s="21" t="s">
        <v>1274</v>
      </c>
      <c r="Z69" s="21" t="s">
        <v>1274</v>
      </c>
      <c r="AA69" s="21"/>
      <c r="AB69" s="21" t="s">
        <v>1274</v>
      </c>
      <c r="AC69" s="21" t="s">
        <v>1274</v>
      </c>
      <c r="AD69" s="21" t="s">
        <v>1274</v>
      </c>
      <c r="AE69" s="21" t="s">
        <v>1274</v>
      </c>
      <c r="AF69" s="21" t="s">
        <v>1274</v>
      </c>
      <c r="AG69" s="21" t="s">
        <v>1274</v>
      </c>
      <c r="AH69" s="21" t="s">
        <v>1274</v>
      </c>
      <c r="AI69" s="21" t="s">
        <v>1274</v>
      </c>
      <c r="AJ69" s="21" t="s">
        <v>1274</v>
      </c>
      <c r="AK69" s="21" t="s">
        <v>1274</v>
      </c>
      <c r="AL69" s="21" t="s">
        <v>1274</v>
      </c>
      <c r="AM69" s="21" t="s">
        <v>1274</v>
      </c>
      <c r="AN69" s="21" t="s">
        <v>1274</v>
      </c>
      <c r="AO69" s="21" t="s">
        <v>1274</v>
      </c>
    </row>
    <row r="70" spans="1:41" ht="15.75" thickBot="1" x14ac:dyDescent="0.3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29</v>
      </c>
      <c r="I71" s="46">
        <f t="shared" si="4"/>
        <v>1</v>
      </c>
      <c r="J71" s="47">
        <f t="shared" si="5"/>
        <v>0.96666666666666667</v>
      </c>
      <c r="K71" s="21"/>
      <c r="L71" s="21"/>
      <c r="M71" s="21" t="s">
        <v>1274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24</v>
      </c>
      <c r="I72" s="46">
        <f>COUNTIF(K72:AL72,"APAGADO")</f>
        <v>6</v>
      </c>
      <c r="J72" s="47">
        <f>(H72)/(I72+H72)</f>
        <v>0.8</v>
      </c>
      <c r="K72" s="21" t="s">
        <v>1274</v>
      </c>
      <c r="L72" s="21"/>
      <c r="M72" s="21" t="s">
        <v>1274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 t="s">
        <v>1274</v>
      </c>
      <c r="AH72" s="21" t="s">
        <v>1274</v>
      </c>
      <c r="AI72" s="21" t="s">
        <v>1274</v>
      </c>
      <c r="AJ72" s="21" t="s">
        <v>1274</v>
      </c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28</v>
      </c>
      <c r="I75" s="46">
        <f t="shared" si="4"/>
        <v>2</v>
      </c>
      <c r="J75" s="47">
        <f t="shared" si="5"/>
        <v>0.93333333333333335</v>
      </c>
      <c r="K75" s="21"/>
      <c r="L75" s="21"/>
      <c r="M75" s="21"/>
      <c r="N75" s="21" t="s">
        <v>1274</v>
      </c>
      <c r="O75" s="21"/>
      <c r="P75" s="21"/>
      <c r="Q75" s="21"/>
      <c r="R75" s="21"/>
      <c r="S75" s="21"/>
      <c r="T75" s="21"/>
      <c r="U75" s="21"/>
      <c r="V75" s="21"/>
      <c r="W75" s="21" t="s">
        <v>1274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 t="s">
        <v>1274</v>
      </c>
    </row>
    <row r="76" spans="1:41" ht="15.75" thickBot="1" x14ac:dyDescent="0.3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29</v>
      </c>
      <c r="I76" s="46">
        <f t="shared" si="4"/>
        <v>1</v>
      </c>
      <c r="J76" s="47">
        <f t="shared" si="5"/>
        <v>0.96666666666666667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t="s">
        <v>1274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26</v>
      </c>
      <c r="I77" s="46">
        <f t="shared" ref="I77:I141" si="11">COUNTIF(K77:AL77,"APAGADO")</f>
        <v>4</v>
      </c>
      <c r="J77" s="47">
        <f t="shared" ref="J77:J141" si="12">(H77)/(I77+H77)</f>
        <v>0.8666666666666667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 t="s">
        <v>1274</v>
      </c>
      <c r="W77" s="21" t="s">
        <v>1274</v>
      </c>
      <c r="X77" s="21"/>
      <c r="Y77" s="21"/>
      <c r="Z77" s="21"/>
      <c r="AA77" s="21"/>
      <c r="AB77" s="21"/>
      <c r="AC77" s="21"/>
      <c r="AD77" s="21" t="s">
        <v>1274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29</v>
      </c>
      <c r="I82" s="46">
        <f>COUNTIF(K82:AL82,"APAGADO")</f>
        <v>1</v>
      </c>
      <c r="J82" s="47">
        <f>(H82)/(I82+H82)</f>
        <v>0.96666666666666667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1274</v>
      </c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29</v>
      </c>
      <c r="I83" s="46">
        <f>COUNTIF(K83:AL83,"APAGADO")</f>
        <v>1</v>
      </c>
      <c r="J83" s="47">
        <f>(H83)/(I83+H83)</f>
        <v>0.96666666666666667</v>
      </c>
      <c r="K83" s="21"/>
      <c r="L83" s="21"/>
      <c r="M83" s="21" t="s">
        <v>1274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23</v>
      </c>
      <c r="I87" s="46">
        <f>COUNTIF(K87:AL87,"APAGADO")</f>
        <v>7</v>
      </c>
      <c r="J87" s="47">
        <f>(H87)/(I87+H87)</f>
        <v>0.76666666666666672</v>
      </c>
      <c r="K87" s="21" t="s">
        <v>1274</v>
      </c>
      <c r="L87" s="21"/>
      <c r="M87" s="21" t="s">
        <v>1274</v>
      </c>
      <c r="N87" s="21"/>
      <c r="O87" s="21"/>
      <c r="P87" s="21"/>
      <c r="Q87" s="21"/>
      <c r="R87" s="21"/>
      <c r="S87" s="21" t="s">
        <v>1274</v>
      </c>
      <c r="T87" s="21" t="s">
        <v>1274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">
        <v>1274</v>
      </c>
      <c r="AG87" s="21" t="s">
        <v>1274</v>
      </c>
      <c r="AH87" s="21"/>
      <c r="AI87" s="21"/>
      <c r="AJ87" s="21"/>
      <c r="AK87" s="21"/>
      <c r="AL87" s="21" t="s">
        <v>1274</v>
      </c>
      <c r="AM87" s="21"/>
      <c r="AN87" s="21"/>
      <c r="AO87" s="21" t="s">
        <v>1274</v>
      </c>
    </row>
    <row r="88" spans="1:41" ht="15.75" thickBot="1" x14ac:dyDescent="0.3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23</v>
      </c>
      <c r="I88" s="46">
        <f t="shared" si="11"/>
        <v>7</v>
      </c>
      <c r="J88" s="47">
        <f t="shared" si="12"/>
        <v>0.76666666666666672</v>
      </c>
      <c r="K88" s="21" t="s">
        <v>1274</v>
      </c>
      <c r="L88" s="21"/>
      <c r="M88" s="21" t="s">
        <v>1274</v>
      </c>
      <c r="N88" s="21"/>
      <c r="O88" s="21"/>
      <c r="P88" s="21"/>
      <c r="Q88" s="21"/>
      <c r="R88" s="21"/>
      <c r="S88" s="21" t="s">
        <v>1274</v>
      </c>
      <c r="T88" s="21" t="s">
        <v>1274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1274</v>
      </c>
      <c r="AG88" s="21" t="s">
        <v>1274</v>
      </c>
      <c r="AH88" s="21"/>
      <c r="AI88" s="21"/>
      <c r="AJ88" s="21"/>
      <c r="AK88" s="21"/>
      <c r="AL88" s="21" t="s">
        <v>1274</v>
      </c>
      <c r="AM88" s="21"/>
      <c r="AN88" s="21"/>
      <c r="AO88" s="21" t="s">
        <v>1274</v>
      </c>
    </row>
    <row r="89" spans="1:41" ht="15.75" thickBot="1" x14ac:dyDescent="0.3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4</v>
      </c>
      <c r="I94" s="46">
        <f>COUNTIF(K94:AL94,"APAGADO")</f>
        <v>25</v>
      </c>
      <c r="J94" s="47">
        <f>(H94)/(I94+H94)</f>
        <v>0.13793103448275862</v>
      </c>
      <c r="K94" s="21" t="s">
        <v>1274</v>
      </c>
      <c r="L94" s="21" t="s">
        <v>1274</v>
      </c>
      <c r="M94" s="21" t="s">
        <v>1274</v>
      </c>
      <c r="N94" s="21" t="s">
        <v>1274</v>
      </c>
      <c r="O94" s="21" t="s">
        <v>1274</v>
      </c>
      <c r="P94" s="21"/>
      <c r="Q94" s="21" t="s">
        <v>1274</v>
      </c>
      <c r="R94" s="21"/>
      <c r="S94" s="21" t="s">
        <v>1274</v>
      </c>
      <c r="T94" s="21" t="s">
        <v>1274</v>
      </c>
      <c r="U94" s="21" t="s">
        <v>1274</v>
      </c>
      <c r="V94" s="21" t="s">
        <v>1274</v>
      </c>
      <c r="W94" s="21" t="s">
        <v>1274</v>
      </c>
      <c r="X94" s="21" t="s">
        <v>1274</v>
      </c>
      <c r="Y94" s="21" t="s">
        <v>1274</v>
      </c>
      <c r="Z94" s="21" t="s">
        <v>1274</v>
      </c>
      <c r="AA94" s="21"/>
      <c r="AB94" s="21" t="s">
        <v>1274</v>
      </c>
      <c r="AC94" s="21" t="s">
        <v>1274</v>
      </c>
      <c r="AD94" s="21" t="s">
        <v>1274</v>
      </c>
      <c r="AE94" s="21" t="s">
        <v>1274</v>
      </c>
      <c r="AF94" s="21" t="s">
        <v>1274</v>
      </c>
      <c r="AG94" s="21" t="s">
        <v>1274</v>
      </c>
      <c r="AH94" s="21" t="s">
        <v>1274</v>
      </c>
      <c r="AI94" s="21" t="s">
        <v>1274</v>
      </c>
      <c r="AJ94" s="21" t="s">
        <v>1274</v>
      </c>
      <c r="AK94" s="21" t="s">
        <v>1274</v>
      </c>
      <c r="AL94" s="21" t="s">
        <v>1274</v>
      </c>
      <c r="AM94" s="21"/>
      <c r="AN94" s="21" t="s">
        <v>1274</v>
      </c>
      <c r="AO94" s="21" t="s">
        <v>1274</v>
      </c>
    </row>
    <row r="95" spans="1:41" ht="13.9" customHeight="1" thickBot="1" x14ac:dyDescent="0.3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29</v>
      </c>
      <c r="I95" s="46">
        <f t="shared" si="11"/>
        <v>1</v>
      </c>
      <c r="J95" s="47">
        <f t="shared" si="12"/>
        <v>0.96666666666666667</v>
      </c>
      <c r="K95" s="21"/>
      <c r="L95" s="21"/>
      <c r="M95" s="21" t="s">
        <v>1274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.75" thickBot="1" x14ac:dyDescent="0.3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17</v>
      </c>
      <c r="I98" s="46">
        <f>COUNTIF(K98:AL98,"APAGADO")</f>
        <v>12</v>
      </c>
      <c r="J98" s="47">
        <f>(H98)/(I98+H98)</f>
        <v>0.58620689655172409</v>
      </c>
      <c r="K98" s="21"/>
      <c r="L98" s="21"/>
      <c r="M98" s="21" t="s">
        <v>1274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 t="s">
        <v>1274</v>
      </c>
      <c r="AC98" s="21" t="s">
        <v>1274</v>
      </c>
      <c r="AD98" s="21" t="s">
        <v>1274</v>
      </c>
      <c r="AE98" s="21" t="s">
        <v>1274</v>
      </c>
      <c r="AF98" s="21" t="s">
        <v>1274</v>
      </c>
      <c r="AG98" s="21" t="s">
        <v>1274</v>
      </c>
      <c r="AH98" s="21" t="s">
        <v>1274</v>
      </c>
      <c r="AI98" s="21" t="s">
        <v>1274</v>
      </c>
      <c r="AJ98" s="21" t="s">
        <v>1274</v>
      </c>
      <c r="AK98" s="21" t="s">
        <v>1274</v>
      </c>
      <c r="AL98" s="21" t="s">
        <v>1274</v>
      </c>
      <c r="AM98" s="21"/>
      <c r="AN98" s="21" t="s">
        <v>1274</v>
      </c>
      <c r="AO98" s="21" t="s">
        <v>1274</v>
      </c>
    </row>
    <row r="99" spans="1:41" ht="15.75" thickBot="1" x14ac:dyDescent="0.3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29</v>
      </c>
      <c r="I99" s="46">
        <f t="shared" si="11"/>
        <v>1</v>
      </c>
      <c r="J99" s="47">
        <f t="shared" si="12"/>
        <v>0.96666666666666667</v>
      </c>
      <c r="K99" s="21"/>
      <c r="L99" s="21"/>
      <c r="M99" s="21" t="s">
        <v>1274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4</v>
      </c>
      <c r="I101" s="46">
        <f t="shared" si="11"/>
        <v>25</v>
      </c>
      <c r="J101" s="47">
        <f t="shared" si="12"/>
        <v>0.13793103448275862</v>
      </c>
      <c r="K101" s="21" t="s">
        <v>1274</v>
      </c>
      <c r="L101" s="21" t="s">
        <v>1274</v>
      </c>
      <c r="M101" s="21" t="s">
        <v>1274</v>
      </c>
      <c r="N101" s="21" t="s">
        <v>1274</v>
      </c>
      <c r="O101" s="21" t="s">
        <v>1274</v>
      </c>
      <c r="P101" s="21"/>
      <c r="Q101" s="21" t="s">
        <v>1274</v>
      </c>
      <c r="R101" s="21"/>
      <c r="S101" s="21" t="s">
        <v>1274</v>
      </c>
      <c r="T101" s="21" t="s">
        <v>1274</v>
      </c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1274</v>
      </c>
      <c r="AA101" s="21"/>
      <c r="AB101" s="21" t="s">
        <v>1274</v>
      </c>
      <c r="AC101" s="21" t="s">
        <v>1274</v>
      </c>
      <c r="AD101" s="21" t="s">
        <v>1274</v>
      </c>
      <c r="AE101" s="21" t="s">
        <v>1274</v>
      </c>
      <c r="AF101" s="21" t="s">
        <v>1274</v>
      </c>
      <c r="AG101" s="21" t="s">
        <v>1274</v>
      </c>
      <c r="AH101" s="21" t="s">
        <v>1274</v>
      </c>
      <c r="AI101" s="21" t="s">
        <v>1274</v>
      </c>
      <c r="AJ101" s="21" t="s">
        <v>1274</v>
      </c>
      <c r="AK101" s="21" t="s">
        <v>1274</v>
      </c>
      <c r="AL101" s="21" t="s">
        <v>1274</v>
      </c>
      <c r="AM101" s="21"/>
      <c r="AN101" s="21" t="s">
        <v>1274</v>
      </c>
      <c r="AO101" s="21" t="s">
        <v>1274</v>
      </c>
    </row>
    <row r="102" spans="1:41" ht="15.75" thickBot="1" x14ac:dyDescent="0.3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4</v>
      </c>
      <c r="I102" s="46">
        <f t="shared" si="11"/>
        <v>25</v>
      </c>
      <c r="J102" s="47">
        <f t="shared" si="12"/>
        <v>0.13793103448275862</v>
      </c>
      <c r="K102" s="21" t="s">
        <v>1274</v>
      </c>
      <c r="L102" s="21" t="s">
        <v>1274</v>
      </c>
      <c r="M102" s="21" t="s">
        <v>1274</v>
      </c>
      <c r="N102" s="21" t="s">
        <v>1274</v>
      </c>
      <c r="O102" s="21" t="s">
        <v>1274</v>
      </c>
      <c r="P102" s="21"/>
      <c r="Q102" s="21" t="s">
        <v>1274</v>
      </c>
      <c r="R102" s="21"/>
      <c r="S102" s="21" t="s">
        <v>1274</v>
      </c>
      <c r="T102" s="21" t="s">
        <v>1274</v>
      </c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1274</v>
      </c>
      <c r="AA102" s="21"/>
      <c r="AB102" s="21" t="s">
        <v>1274</v>
      </c>
      <c r="AC102" s="21" t="s">
        <v>1274</v>
      </c>
      <c r="AD102" s="21" t="s">
        <v>1274</v>
      </c>
      <c r="AE102" s="21" t="s">
        <v>1274</v>
      </c>
      <c r="AF102" s="21" t="s">
        <v>1274</v>
      </c>
      <c r="AG102" s="21" t="s">
        <v>1274</v>
      </c>
      <c r="AH102" s="21" t="s">
        <v>1274</v>
      </c>
      <c r="AI102" s="21" t="s">
        <v>1274</v>
      </c>
      <c r="AJ102" s="21" t="s">
        <v>1274</v>
      </c>
      <c r="AK102" s="21" t="s">
        <v>1274</v>
      </c>
      <c r="AL102" s="21" t="s">
        <v>1274</v>
      </c>
      <c r="AM102" s="21"/>
      <c r="AN102" s="21" t="s">
        <v>1274</v>
      </c>
      <c r="AO102" s="21" t="s">
        <v>1274</v>
      </c>
    </row>
    <row r="103" spans="1:41" ht="15.75" thickBot="1" x14ac:dyDescent="0.3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10"/>
        <v>9</v>
      </c>
      <c r="I103" s="46">
        <f t="shared" si="11"/>
        <v>21</v>
      </c>
      <c r="J103" s="47">
        <f t="shared" si="12"/>
        <v>0.3</v>
      </c>
      <c r="K103" s="21" t="s">
        <v>1274</v>
      </c>
      <c r="L103" s="21" t="s">
        <v>1274</v>
      </c>
      <c r="M103" s="21" t="s">
        <v>1274</v>
      </c>
      <c r="N103" s="21" t="s">
        <v>1274</v>
      </c>
      <c r="O103" s="21" t="s">
        <v>1274</v>
      </c>
      <c r="P103" s="21"/>
      <c r="Q103" s="21" t="s">
        <v>1274</v>
      </c>
      <c r="R103" s="21"/>
      <c r="S103" s="21" t="s">
        <v>1274</v>
      </c>
      <c r="T103" s="21" t="s">
        <v>1274</v>
      </c>
      <c r="U103" s="21" t="s">
        <v>1274</v>
      </c>
      <c r="V103" s="21" t="s">
        <v>1274</v>
      </c>
      <c r="W103" s="21" t="s">
        <v>1274</v>
      </c>
      <c r="X103" s="21" t="s">
        <v>1274</v>
      </c>
      <c r="Y103" s="21" t="s">
        <v>1274</v>
      </c>
      <c r="Z103" s="21" t="s">
        <v>1274</v>
      </c>
      <c r="AA103" s="21"/>
      <c r="AB103" s="21" t="s">
        <v>1274</v>
      </c>
      <c r="AC103" s="21" t="s">
        <v>1274</v>
      </c>
      <c r="AD103" s="21" t="s">
        <v>1274</v>
      </c>
      <c r="AE103" s="21" t="s">
        <v>1274</v>
      </c>
      <c r="AF103" s="21" t="s">
        <v>1274</v>
      </c>
      <c r="AG103" s="21" t="s">
        <v>1274</v>
      </c>
      <c r="AH103" s="21" t="s">
        <v>1274</v>
      </c>
      <c r="AI103" s="21"/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29</v>
      </c>
      <c r="I105" s="46">
        <f t="shared" si="11"/>
        <v>1</v>
      </c>
      <c r="J105" s="47">
        <f t="shared" si="12"/>
        <v>0.96666666666666667</v>
      </c>
      <c r="K105" s="21"/>
      <c r="L105" s="21"/>
      <c r="M105" s="21" t="s">
        <v>1274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18</v>
      </c>
      <c r="I107" s="46">
        <f t="shared" si="11"/>
        <v>12</v>
      </c>
      <c r="J107" s="47">
        <f t="shared" si="12"/>
        <v>0.6</v>
      </c>
      <c r="K107" s="21" t="s">
        <v>1274</v>
      </c>
      <c r="L107" s="21" t="s">
        <v>1274</v>
      </c>
      <c r="M107" s="21" t="s">
        <v>1274</v>
      </c>
      <c r="N107" s="21" t="s">
        <v>1274</v>
      </c>
      <c r="O107" s="21" t="s">
        <v>1274</v>
      </c>
      <c r="P107" s="21"/>
      <c r="Q107" s="21" t="s">
        <v>1274</v>
      </c>
      <c r="R107" s="21"/>
      <c r="S107" s="21" t="s">
        <v>1274</v>
      </c>
      <c r="T107" s="21" t="s">
        <v>1274</v>
      </c>
      <c r="U107" s="21" t="s">
        <v>1274</v>
      </c>
      <c r="V107" s="21" t="s">
        <v>1274</v>
      </c>
      <c r="W107" s="21" t="s">
        <v>1274</v>
      </c>
      <c r="X107" s="21" t="s">
        <v>1274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29</v>
      </c>
      <c r="I110" s="46">
        <f t="shared" si="11"/>
        <v>1</v>
      </c>
      <c r="J110" s="47">
        <f t="shared" si="12"/>
        <v>0.96666666666666667</v>
      </c>
      <c r="K110" s="21"/>
      <c r="L110" s="21"/>
      <c r="M110" s="21" t="s">
        <v>1274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29</v>
      </c>
      <c r="I111" s="46">
        <f>COUNTIF(K111:AL111,"APAGADO")</f>
        <v>1</v>
      </c>
      <c r="J111" s="47">
        <f>(H111)/(I111+H111)</f>
        <v>0.96666666666666667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 t="s">
        <v>1274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29</v>
      </c>
      <c r="I114" s="46">
        <f t="shared" si="11"/>
        <v>1</v>
      </c>
      <c r="J114" s="47">
        <f t="shared" si="12"/>
        <v>0.96666666666666667</v>
      </c>
      <c r="K114" s="21"/>
      <c r="L114" s="21"/>
      <c r="M114" s="21" t="s">
        <v>1274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1274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149999999999999" customHeight="1" thickBot="1" x14ac:dyDescent="0.3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.75" thickBot="1" x14ac:dyDescent="0.3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28</v>
      </c>
      <c r="I122" s="46">
        <f t="shared" si="11"/>
        <v>2</v>
      </c>
      <c r="J122" s="47">
        <f t="shared" si="12"/>
        <v>0.93333333333333335</v>
      </c>
      <c r="K122" s="21"/>
      <c r="L122" s="21"/>
      <c r="M122" s="21" t="s">
        <v>1274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 t="s">
        <v>1274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22</v>
      </c>
      <c r="I123" s="46">
        <f t="shared" si="11"/>
        <v>7</v>
      </c>
      <c r="J123" s="47">
        <f t="shared" si="12"/>
        <v>0.75862068965517238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1274</v>
      </c>
      <c r="Z123" s="21" t="s">
        <v>1274</v>
      </c>
      <c r="AA123" s="21"/>
      <c r="AB123" s="21"/>
      <c r="AC123" s="21"/>
      <c r="AD123" s="21" t="s">
        <v>1274</v>
      </c>
      <c r="AE123" s="21"/>
      <c r="AF123" s="21" t="s">
        <v>1274</v>
      </c>
      <c r="AG123" s="21" t="s">
        <v>1274</v>
      </c>
      <c r="AH123" s="21"/>
      <c r="AI123" s="21" t="s">
        <v>1274</v>
      </c>
      <c r="AJ123" s="21" t="s">
        <v>1274</v>
      </c>
      <c r="AK123" s="21"/>
      <c r="AL123" s="21"/>
      <c r="AM123" s="21"/>
      <c r="AN123" s="21" t="s">
        <v>1274</v>
      </c>
      <c r="AO123" s="21"/>
    </row>
    <row r="124" spans="1:41" ht="15.75" thickBot="1" x14ac:dyDescent="0.3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29</v>
      </c>
      <c r="I125" s="46">
        <f t="shared" si="11"/>
        <v>1</v>
      </c>
      <c r="J125" s="47">
        <f t="shared" si="12"/>
        <v>0.96666666666666667</v>
      </c>
      <c r="K125" s="21"/>
      <c r="L125" s="21"/>
      <c r="M125" s="21" t="s">
        <v>1274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27</v>
      </c>
      <c r="I126" s="46">
        <f t="shared" si="11"/>
        <v>2</v>
      </c>
      <c r="J126" s="47">
        <f t="shared" si="12"/>
        <v>0.93103448275862066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 t="s">
        <v>1274</v>
      </c>
      <c r="AD126" s="21"/>
      <c r="AE126" s="21"/>
      <c r="AF126" s="21"/>
      <c r="AG126" s="21"/>
      <c r="AH126" s="21"/>
      <c r="AI126" s="21"/>
      <c r="AJ126" s="21"/>
      <c r="AK126" s="21"/>
      <c r="AL126" s="21" t="s">
        <v>1274</v>
      </c>
      <c r="AM126" s="21"/>
      <c r="AN126" s="21" t="s">
        <v>1274</v>
      </c>
      <c r="AO126" s="21" t="s">
        <v>1274</v>
      </c>
    </row>
    <row r="127" spans="1:41" ht="15.75" thickBot="1" x14ac:dyDescent="0.3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27</v>
      </c>
      <c r="I127" s="46">
        <f t="shared" si="11"/>
        <v>3</v>
      </c>
      <c r="J127" s="47">
        <f t="shared" si="12"/>
        <v>0.9</v>
      </c>
      <c r="K127" s="21"/>
      <c r="L127" s="21"/>
      <c r="M127" s="21" t="s">
        <v>1274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1274</v>
      </c>
      <c r="AD127" s="21"/>
      <c r="AE127" s="21"/>
      <c r="AF127" s="21"/>
      <c r="AG127" s="21"/>
      <c r="AH127" s="21"/>
      <c r="AI127" s="21"/>
      <c r="AJ127" s="21"/>
      <c r="AK127" s="21" t="s">
        <v>1274</v>
      </c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1274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1274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29</v>
      </c>
      <c r="I129" s="46">
        <f t="shared" si="11"/>
        <v>1</v>
      </c>
      <c r="J129" s="47">
        <f t="shared" si="12"/>
        <v>0.96666666666666667</v>
      </c>
      <c r="K129" s="21"/>
      <c r="L129" s="21"/>
      <c r="M129" s="21" t="s">
        <v>1274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 t="s">
        <v>1274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1274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29</v>
      </c>
      <c r="I134" s="46">
        <f>COUNTIF(K134:AL134,"APAGADO")</f>
        <v>1</v>
      </c>
      <c r="J134" s="47">
        <f>(H134)/(I134+H134)</f>
        <v>0.96666666666666667</v>
      </c>
      <c r="K134" s="21"/>
      <c r="L134" s="21"/>
      <c r="M134" s="21" t="s">
        <v>1274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1274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25</v>
      </c>
      <c r="I136" s="46">
        <f>COUNTIF(K136:AL136,"APAGADO")</f>
        <v>4</v>
      </c>
      <c r="J136" s="47">
        <f>(H136)/(I136+H136)</f>
        <v>0.86206896551724133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 t="s">
        <v>1274</v>
      </c>
      <c r="AD136" s="21"/>
      <c r="AE136" s="21"/>
      <c r="AF136" s="21"/>
      <c r="AG136" s="21"/>
      <c r="AH136" s="21"/>
      <c r="AI136" s="21"/>
      <c r="AJ136" s="21" t="s">
        <v>1274</v>
      </c>
      <c r="AK136" s="21" t="s">
        <v>1274</v>
      </c>
      <c r="AL136" s="21" t="s">
        <v>1274</v>
      </c>
      <c r="AM136" s="21"/>
      <c r="AN136" s="21" t="s">
        <v>1274</v>
      </c>
      <c r="AO136" s="21" t="s">
        <v>1274</v>
      </c>
    </row>
    <row r="137" spans="1:41" ht="15.75" thickBot="1" x14ac:dyDescent="0.3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25</v>
      </c>
      <c r="I137" s="46">
        <f>COUNTIF(K137:AL137,"APAGADO")</f>
        <v>4</v>
      </c>
      <c r="J137" s="47">
        <f>(H137)/(I137+H137)</f>
        <v>0.86206896551724133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1274</v>
      </c>
      <c r="AD137" s="21"/>
      <c r="AE137" s="21"/>
      <c r="AF137" s="21"/>
      <c r="AG137" s="21"/>
      <c r="AH137" s="21"/>
      <c r="AI137" s="21"/>
      <c r="AJ137" s="21" t="s">
        <v>1274</v>
      </c>
      <c r="AK137" s="21" t="s">
        <v>1274</v>
      </c>
      <c r="AL137" s="21" t="s">
        <v>1274</v>
      </c>
      <c r="AM137" s="21"/>
      <c r="AN137" s="21" t="s">
        <v>1274</v>
      </c>
      <c r="AO137" s="21" t="s">
        <v>1274</v>
      </c>
    </row>
    <row r="138" spans="1:41" ht="15.75" thickBot="1" x14ac:dyDescent="0.3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29</v>
      </c>
      <c r="I138" s="46">
        <f t="shared" si="11"/>
        <v>1</v>
      </c>
      <c r="J138" s="47">
        <f t="shared" si="12"/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1274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28</v>
      </c>
      <c r="I139" s="46">
        <f t="shared" si="11"/>
        <v>2</v>
      </c>
      <c r="J139" s="47">
        <f t="shared" si="12"/>
        <v>0.93333333333333335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1274</v>
      </c>
      <c r="AD139" s="21"/>
      <c r="AE139" s="21"/>
      <c r="AF139" s="21" t="s">
        <v>1274</v>
      </c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29</v>
      </c>
      <c r="I140" s="46">
        <f t="shared" si="11"/>
        <v>1</v>
      </c>
      <c r="J140" s="47">
        <f t="shared" si="12"/>
        <v>0.96666666666666667</v>
      </c>
      <c r="K140" s="21"/>
      <c r="L140" s="21"/>
      <c r="M140" s="21" t="s">
        <v>1274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29</v>
      </c>
      <c r="I143" s="46">
        <f t="shared" si="13"/>
        <v>1</v>
      </c>
      <c r="J143" s="47">
        <f t="shared" si="14"/>
        <v>0.96666666666666667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 t="s">
        <v>1274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1274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1274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1274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1274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1274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18</v>
      </c>
      <c r="I149" s="46">
        <f t="shared" si="13"/>
        <v>12</v>
      </c>
      <c r="J149" s="47">
        <f t="shared" si="14"/>
        <v>0.6</v>
      </c>
      <c r="K149" s="21"/>
      <c r="L149" s="21"/>
      <c r="M149" s="21" t="s">
        <v>1274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1274</v>
      </c>
      <c r="AA149" s="21"/>
      <c r="AB149" s="21" t="s">
        <v>1274</v>
      </c>
      <c r="AC149" s="21" t="s">
        <v>1274</v>
      </c>
      <c r="AD149" s="21" t="s">
        <v>1274</v>
      </c>
      <c r="AE149" s="21" t="s">
        <v>1274</v>
      </c>
      <c r="AF149" s="21" t="s">
        <v>1274</v>
      </c>
      <c r="AG149" s="21" t="s">
        <v>1274</v>
      </c>
      <c r="AH149" s="21" t="s">
        <v>1274</v>
      </c>
      <c r="AI149" s="21" t="s">
        <v>1274</v>
      </c>
      <c r="AJ149" s="21" t="s">
        <v>1274</v>
      </c>
      <c r="AK149" s="21" t="s">
        <v>1274</v>
      </c>
      <c r="AL149" s="21"/>
      <c r="AM149" s="21"/>
      <c r="AN149" s="21"/>
      <c r="AO149" s="21"/>
    </row>
    <row r="150" spans="1:41" ht="15.75" thickBot="1" x14ac:dyDescent="0.3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28</v>
      </c>
      <c r="I150" s="46">
        <f t="shared" si="13"/>
        <v>2</v>
      </c>
      <c r="J150" s="47">
        <f t="shared" si="14"/>
        <v>0.93333333333333335</v>
      </c>
      <c r="K150" s="21"/>
      <c r="L150" s="21"/>
      <c r="M150" s="21" t="s">
        <v>1274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 t="s">
        <v>1274</v>
      </c>
      <c r="AL150" s="21"/>
      <c r="AM150" s="21"/>
      <c r="AN150" s="21"/>
      <c r="AO150" s="21"/>
    </row>
    <row r="151" spans="1:41" ht="15.75" thickBot="1" x14ac:dyDescent="0.3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26</v>
      </c>
      <c r="I152" s="46">
        <f t="shared" si="13"/>
        <v>4</v>
      </c>
      <c r="J152" s="47">
        <f t="shared" si="14"/>
        <v>0.8666666666666667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 t="s">
        <v>1274</v>
      </c>
      <c r="V152" s="21" t="s">
        <v>1274</v>
      </c>
      <c r="W152" s="21"/>
      <c r="X152" s="21"/>
      <c r="Y152" s="21"/>
      <c r="Z152" s="21"/>
      <c r="AA152" s="21"/>
      <c r="AB152" s="21" t="s">
        <v>1274</v>
      </c>
      <c r="AC152" s="21"/>
      <c r="AD152" s="21"/>
      <c r="AE152" s="21"/>
      <c r="AF152" s="21"/>
      <c r="AG152" s="21" t="s">
        <v>1274</v>
      </c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29</v>
      </c>
      <c r="I153" s="46">
        <f t="shared" si="13"/>
        <v>1</v>
      </c>
      <c r="J153" s="47">
        <f t="shared" si="14"/>
        <v>0.96666666666666667</v>
      </c>
      <c r="K153" s="21"/>
      <c r="L153" s="21"/>
      <c r="M153" s="21" t="s">
        <v>1274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26</v>
      </c>
      <c r="I154" s="46">
        <f t="shared" si="13"/>
        <v>4</v>
      </c>
      <c r="J154" s="47">
        <f t="shared" si="14"/>
        <v>0.8666666666666667</v>
      </c>
      <c r="K154" s="21"/>
      <c r="L154" s="21"/>
      <c r="M154" s="21"/>
      <c r="N154" s="21"/>
      <c r="O154" s="21"/>
      <c r="P154" s="21"/>
      <c r="Q154" s="21"/>
      <c r="R154" s="21"/>
      <c r="S154" s="21" t="s">
        <v>1274</v>
      </c>
      <c r="T154" s="21" t="s">
        <v>1274</v>
      </c>
      <c r="U154" s="21" t="s">
        <v>1274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 t="s">
        <v>1274</v>
      </c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29</v>
      </c>
      <c r="I158" s="46">
        <f t="shared" si="13"/>
        <v>1</v>
      </c>
      <c r="J158" s="47">
        <f t="shared" si="14"/>
        <v>0.96666666666666667</v>
      </c>
      <c r="K158" s="21"/>
      <c r="L158" s="21"/>
      <c r="M158" s="21" t="s">
        <v>1274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28</v>
      </c>
      <c r="I159" s="46">
        <f t="shared" si="13"/>
        <v>2</v>
      </c>
      <c r="J159" s="47">
        <f t="shared" si="14"/>
        <v>0.93333333333333335</v>
      </c>
      <c r="K159" s="21"/>
      <c r="L159" s="21"/>
      <c r="M159" s="21" t="s">
        <v>1274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 t="s">
        <v>1274</v>
      </c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1274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1274</v>
      </c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29</v>
      </c>
      <c r="I163" s="46">
        <f t="shared" si="13"/>
        <v>1</v>
      </c>
      <c r="J163" s="47">
        <f t="shared" si="14"/>
        <v>0.96666666666666667</v>
      </c>
      <c r="K163" s="21"/>
      <c r="L163" s="21"/>
      <c r="M163" s="21" t="s">
        <v>1274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10</v>
      </c>
      <c r="I165" s="46">
        <f t="shared" si="13"/>
        <v>19</v>
      </c>
      <c r="J165" s="47">
        <f t="shared" si="14"/>
        <v>0.34482758620689657</v>
      </c>
      <c r="K165" s="21"/>
      <c r="L165" s="21"/>
      <c r="M165" s="21"/>
      <c r="N165" s="21"/>
      <c r="O165" s="21"/>
      <c r="P165" s="21"/>
      <c r="Q165" s="21"/>
      <c r="R165" s="21"/>
      <c r="S165" s="21" t="s">
        <v>1274</v>
      </c>
      <c r="T165" s="21" t="s">
        <v>1274</v>
      </c>
      <c r="U165" s="21" t="s">
        <v>1274</v>
      </c>
      <c r="V165" s="21" t="s">
        <v>1274</v>
      </c>
      <c r="W165" s="21" t="s">
        <v>1274</v>
      </c>
      <c r="X165" s="21" t="s">
        <v>1274</v>
      </c>
      <c r="Y165" s="21" t="s">
        <v>1274</v>
      </c>
      <c r="Z165" s="21" t="s">
        <v>1274</v>
      </c>
      <c r="AA165" s="21"/>
      <c r="AB165" s="21" t="s">
        <v>1274</v>
      </c>
      <c r="AC165" s="21" t="s">
        <v>1274</v>
      </c>
      <c r="AD165" s="21" t="s">
        <v>1274</v>
      </c>
      <c r="AE165" s="21" t="s">
        <v>1274</v>
      </c>
      <c r="AF165" s="21" t="s">
        <v>1274</v>
      </c>
      <c r="AG165" s="21" t="s">
        <v>1274</v>
      </c>
      <c r="AH165" s="21" t="s">
        <v>1274</v>
      </c>
      <c r="AI165" s="21" t="s">
        <v>1274</v>
      </c>
      <c r="AJ165" s="21" t="s">
        <v>1274</v>
      </c>
      <c r="AK165" s="21" t="s">
        <v>1274</v>
      </c>
      <c r="AL165" s="21" t="s">
        <v>1274</v>
      </c>
      <c r="AM165" s="21"/>
      <c r="AN165" s="21" t="s">
        <v>1274</v>
      </c>
      <c r="AO165" s="21" t="s">
        <v>1274</v>
      </c>
    </row>
    <row r="166" spans="1:41" ht="15.75" thickBot="1" x14ac:dyDescent="0.3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10</v>
      </c>
      <c r="I166" s="46">
        <f t="shared" si="13"/>
        <v>19</v>
      </c>
      <c r="J166" s="47">
        <f t="shared" si="14"/>
        <v>0.34482758620689657</v>
      </c>
      <c r="K166" s="21"/>
      <c r="L166" s="21"/>
      <c r="M166" s="21"/>
      <c r="N166" s="21"/>
      <c r="O166" s="21"/>
      <c r="P166" s="21"/>
      <c r="Q166" s="21"/>
      <c r="R166" s="21"/>
      <c r="S166" s="21" t="s">
        <v>1274</v>
      </c>
      <c r="T166" s="21" t="s">
        <v>1274</v>
      </c>
      <c r="U166" s="21" t="s">
        <v>1274</v>
      </c>
      <c r="V166" s="21" t="s">
        <v>1274</v>
      </c>
      <c r="W166" s="21" t="s">
        <v>1274</v>
      </c>
      <c r="X166" s="21" t="s">
        <v>1274</v>
      </c>
      <c r="Y166" s="21" t="s">
        <v>1274</v>
      </c>
      <c r="Z166" s="21" t="s">
        <v>1274</v>
      </c>
      <c r="AA166" s="21"/>
      <c r="AB166" s="21" t="s">
        <v>1274</v>
      </c>
      <c r="AC166" s="21" t="s">
        <v>1274</v>
      </c>
      <c r="AD166" s="21" t="s">
        <v>1274</v>
      </c>
      <c r="AE166" s="21" t="s">
        <v>1274</v>
      </c>
      <c r="AF166" s="21" t="s">
        <v>1274</v>
      </c>
      <c r="AG166" s="21" t="s">
        <v>1274</v>
      </c>
      <c r="AH166" s="21" t="s">
        <v>1274</v>
      </c>
      <c r="AI166" s="21" t="s">
        <v>1274</v>
      </c>
      <c r="AJ166" s="21" t="s">
        <v>1274</v>
      </c>
      <c r="AK166" s="21" t="s">
        <v>1274</v>
      </c>
      <c r="AL166" s="21" t="s">
        <v>1274</v>
      </c>
      <c r="AM166" s="21"/>
      <c r="AN166" s="21" t="s">
        <v>1274</v>
      </c>
      <c r="AO166" s="21" t="s">
        <v>1274</v>
      </c>
    </row>
    <row r="167" spans="1:41" ht="15.75" thickBot="1" x14ac:dyDescent="0.3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26</v>
      </c>
      <c r="I170" s="46">
        <f t="shared" si="13"/>
        <v>4</v>
      </c>
      <c r="J170" s="47">
        <f t="shared" si="14"/>
        <v>0.8666666666666667</v>
      </c>
      <c r="K170" s="21" t="s">
        <v>1274</v>
      </c>
      <c r="L170" s="21" t="s">
        <v>1274</v>
      </c>
      <c r="M170" s="21" t="s">
        <v>1274</v>
      </c>
      <c r="N170" s="21"/>
      <c r="O170" s="21" t="s">
        <v>1274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4</v>
      </c>
      <c r="I175" s="46">
        <f t="shared" si="13"/>
        <v>24</v>
      </c>
      <c r="J175" s="47">
        <f t="shared" si="14"/>
        <v>0.14285714285714285</v>
      </c>
      <c r="K175" s="21" t="s">
        <v>1274</v>
      </c>
      <c r="L175" s="21" t="s">
        <v>1274</v>
      </c>
      <c r="M175" s="21" t="s">
        <v>1274</v>
      </c>
      <c r="N175" s="21" t="s">
        <v>1274</v>
      </c>
      <c r="O175" s="21" t="s">
        <v>1274</v>
      </c>
      <c r="P175" s="21"/>
      <c r="Q175" s="21" t="s">
        <v>1274</v>
      </c>
      <c r="R175" s="21"/>
      <c r="S175" s="21" t="s">
        <v>1274</v>
      </c>
      <c r="T175" s="21" t="s">
        <v>1274</v>
      </c>
      <c r="U175" s="21" t="s">
        <v>1274</v>
      </c>
      <c r="V175" s="21" t="s">
        <v>1274</v>
      </c>
      <c r="W175" s="21" t="s">
        <v>1274</v>
      </c>
      <c r="X175" s="21" t="s">
        <v>1274</v>
      </c>
      <c r="Y175" s="21" t="s">
        <v>1274</v>
      </c>
      <c r="Z175" s="21" t="s">
        <v>1274</v>
      </c>
      <c r="AA175" s="21"/>
      <c r="AB175" s="21" t="s">
        <v>1274</v>
      </c>
      <c r="AC175" s="21" t="s">
        <v>1274</v>
      </c>
      <c r="AD175" s="21" t="s">
        <v>1274</v>
      </c>
      <c r="AE175" s="21" t="s">
        <v>1274</v>
      </c>
      <c r="AF175" s="21"/>
      <c r="AG175" s="21" t="s">
        <v>1274</v>
      </c>
      <c r="AH175" s="21" t="s">
        <v>1274</v>
      </c>
      <c r="AI175" s="21" t="s">
        <v>1274</v>
      </c>
      <c r="AJ175" s="21" t="s">
        <v>1274</v>
      </c>
      <c r="AK175" s="21" t="s">
        <v>1274</v>
      </c>
      <c r="AL175" s="21" t="s">
        <v>1274</v>
      </c>
      <c r="AM175" s="21" t="s">
        <v>1274</v>
      </c>
      <c r="AN175" s="21" t="s">
        <v>1274</v>
      </c>
      <c r="AO175" s="21" t="s">
        <v>1274</v>
      </c>
    </row>
    <row r="176" spans="1:41" ht="15.75" thickBot="1" x14ac:dyDescent="0.3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5</v>
      </c>
      <c r="I177" s="46">
        <f t="shared" si="13"/>
        <v>23</v>
      </c>
      <c r="J177" s="47">
        <f t="shared" si="14"/>
        <v>0.17857142857142858</v>
      </c>
      <c r="K177" s="21" t="s">
        <v>1274</v>
      </c>
      <c r="L177" s="21" t="s">
        <v>1274</v>
      </c>
      <c r="M177" s="21" t="s">
        <v>1274</v>
      </c>
      <c r="N177" s="21" t="s">
        <v>1274</v>
      </c>
      <c r="O177" s="21" t="s">
        <v>1274</v>
      </c>
      <c r="P177" s="21"/>
      <c r="Q177" s="21" t="s">
        <v>1274</v>
      </c>
      <c r="R177" s="21"/>
      <c r="S177" s="21" t="s">
        <v>1274</v>
      </c>
      <c r="T177" s="21" t="s">
        <v>1274</v>
      </c>
      <c r="U177" s="21" t="s">
        <v>1274</v>
      </c>
      <c r="V177" s="21" t="s">
        <v>1274</v>
      </c>
      <c r="W177" s="21" t="s">
        <v>1274</v>
      </c>
      <c r="X177" s="21" t="s">
        <v>1274</v>
      </c>
      <c r="Y177" s="21"/>
      <c r="Z177" s="21" t="s">
        <v>1274</v>
      </c>
      <c r="AA177" s="21"/>
      <c r="AB177" s="21" t="s">
        <v>1274</v>
      </c>
      <c r="AC177" s="21" t="s">
        <v>1274</v>
      </c>
      <c r="AD177" s="21" t="s">
        <v>1274</v>
      </c>
      <c r="AE177" s="21" t="s">
        <v>1274</v>
      </c>
      <c r="AF177" s="21"/>
      <c r="AG177" s="21" t="s">
        <v>1274</v>
      </c>
      <c r="AH177" s="21" t="s">
        <v>1274</v>
      </c>
      <c r="AI177" s="21" t="s">
        <v>1274</v>
      </c>
      <c r="AJ177" s="21" t="s">
        <v>1274</v>
      </c>
      <c r="AK177" s="21" t="s">
        <v>1274</v>
      </c>
      <c r="AL177" s="21" t="s">
        <v>1274</v>
      </c>
      <c r="AM177" s="21" t="s">
        <v>1274</v>
      </c>
      <c r="AN177" s="21" t="s">
        <v>1274</v>
      </c>
      <c r="AO177" s="21" t="s">
        <v>1274</v>
      </c>
    </row>
    <row r="178" spans="1:41" ht="15.75" thickBot="1" x14ac:dyDescent="0.3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27</v>
      </c>
      <c r="I179" s="46">
        <f t="shared" si="13"/>
        <v>3</v>
      </c>
      <c r="J179" s="47">
        <f t="shared" si="14"/>
        <v>0.9</v>
      </c>
      <c r="K179" s="21"/>
      <c r="L179" s="21" t="s">
        <v>1274</v>
      </c>
      <c r="M179" s="21" t="s">
        <v>1274</v>
      </c>
      <c r="N179" s="21" t="s">
        <v>1274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7</v>
      </c>
      <c r="I182" s="46">
        <f t="shared" si="13"/>
        <v>21</v>
      </c>
      <c r="J182" s="47">
        <f t="shared" si="14"/>
        <v>0.25</v>
      </c>
      <c r="K182" s="21" t="s">
        <v>1274</v>
      </c>
      <c r="L182" s="21" t="s">
        <v>1274</v>
      </c>
      <c r="M182" s="21"/>
      <c r="N182" s="21"/>
      <c r="O182" s="21"/>
      <c r="P182" s="21"/>
      <c r="Q182" s="21" t="s">
        <v>1274</v>
      </c>
      <c r="R182" s="21"/>
      <c r="S182" s="21" t="s">
        <v>1274</v>
      </c>
      <c r="T182" s="21" t="s">
        <v>1274</v>
      </c>
      <c r="U182" s="21" t="s">
        <v>1274</v>
      </c>
      <c r="V182" s="21" t="s">
        <v>1274</v>
      </c>
      <c r="W182" s="21" t="s">
        <v>1274</v>
      </c>
      <c r="X182" s="21" t="s">
        <v>1274</v>
      </c>
      <c r="Y182" s="21" t="s">
        <v>1274</v>
      </c>
      <c r="Z182" s="21" t="s">
        <v>1274</v>
      </c>
      <c r="AA182" s="21"/>
      <c r="AB182" s="21" t="s">
        <v>1274</v>
      </c>
      <c r="AC182" s="21" t="s">
        <v>1274</v>
      </c>
      <c r="AD182" s="21" t="s">
        <v>1274</v>
      </c>
      <c r="AE182" s="21" t="s">
        <v>1274</v>
      </c>
      <c r="AF182" s="21"/>
      <c r="AG182" s="21" t="s">
        <v>1274</v>
      </c>
      <c r="AH182" s="21" t="s">
        <v>1274</v>
      </c>
      <c r="AI182" s="21" t="s">
        <v>1274</v>
      </c>
      <c r="AJ182" s="21" t="s">
        <v>1274</v>
      </c>
      <c r="AK182" s="21" t="s">
        <v>1274</v>
      </c>
      <c r="AL182" s="21" t="s">
        <v>1274</v>
      </c>
      <c r="AM182" s="21" t="s">
        <v>1274</v>
      </c>
      <c r="AN182" s="21" t="s">
        <v>1274</v>
      </c>
      <c r="AO182" s="21" t="s">
        <v>1274</v>
      </c>
    </row>
    <row r="183" spans="1:41" ht="15.75" thickBot="1" x14ac:dyDescent="0.3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26</v>
      </c>
      <c r="I184" s="46">
        <f t="shared" si="13"/>
        <v>3</v>
      </c>
      <c r="J184" s="47">
        <f t="shared" si="14"/>
        <v>0.89655172413793105</v>
      </c>
      <c r="K184" s="21"/>
      <c r="L184" s="21"/>
      <c r="M184" s="21" t="s">
        <v>1274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 t="s">
        <v>1274</v>
      </c>
      <c r="AE184" s="21"/>
      <c r="AF184" s="21"/>
      <c r="AG184" s="21" t="s">
        <v>1274</v>
      </c>
      <c r="AH184" s="21"/>
      <c r="AI184" s="21"/>
      <c r="AJ184" s="21"/>
      <c r="AK184" s="21"/>
      <c r="AL184" s="21"/>
      <c r="AM184" s="21"/>
      <c r="AN184" s="21" t="s">
        <v>1274</v>
      </c>
      <c r="AO184" s="21"/>
    </row>
    <row r="185" spans="1:41" ht="15.75" thickBot="1" x14ac:dyDescent="0.3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4</v>
      </c>
      <c r="I185" s="46">
        <f t="shared" si="13"/>
        <v>24</v>
      </c>
      <c r="J185" s="47">
        <f t="shared" si="14"/>
        <v>0.14285714285714285</v>
      </c>
      <c r="K185" s="21" t="s">
        <v>1274</v>
      </c>
      <c r="L185" s="21" t="s">
        <v>1274</v>
      </c>
      <c r="M185" s="21" t="s">
        <v>1274</v>
      </c>
      <c r="N185" s="21" t="s">
        <v>1274</v>
      </c>
      <c r="O185" s="21" t="s">
        <v>1274</v>
      </c>
      <c r="P185" s="21"/>
      <c r="Q185" s="21" t="s">
        <v>1274</v>
      </c>
      <c r="R185" s="21"/>
      <c r="S185" s="21" t="s">
        <v>1274</v>
      </c>
      <c r="T185" s="21" t="s">
        <v>1274</v>
      </c>
      <c r="U185" s="21" t="s">
        <v>1274</v>
      </c>
      <c r="V185" s="21" t="s">
        <v>1274</v>
      </c>
      <c r="W185" s="21" t="s">
        <v>1274</v>
      </c>
      <c r="X185" s="21" t="s">
        <v>1274</v>
      </c>
      <c r="Y185" s="21" t="s">
        <v>1274</v>
      </c>
      <c r="Z185" s="21" t="s">
        <v>1274</v>
      </c>
      <c r="AA185" s="21"/>
      <c r="AB185" s="21" t="s">
        <v>1274</v>
      </c>
      <c r="AC185" s="21" t="s">
        <v>1274</v>
      </c>
      <c r="AD185" s="21" t="s">
        <v>1274</v>
      </c>
      <c r="AE185" s="21" t="s">
        <v>1274</v>
      </c>
      <c r="AF185" s="21"/>
      <c r="AG185" s="21" t="s">
        <v>1274</v>
      </c>
      <c r="AH185" s="21" t="s">
        <v>1274</v>
      </c>
      <c r="AI185" s="21" t="s">
        <v>1274</v>
      </c>
      <c r="AJ185" s="21" t="s">
        <v>1274</v>
      </c>
      <c r="AK185" s="21" t="s">
        <v>1274</v>
      </c>
      <c r="AL185" s="21" t="s">
        <v>1274</v>
      </c>
      <c r="AM185" s="21" t="s">
        <v>1274</v>
      </c>
      <c r="AN185" s="21" t="s">
        <v>1274</v>
      </c>
      <c r="AO185" s="21" t="s">
        <v>1274</v>
      </c>
    </row>
    <row r="186" spans="1:41" ht="15.75" thickBot="1" x14ac:dyDescent="0.3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28</v>
      </c>
      <c r="I186" s="46">
        <f t="shared" si="13"/>
        <v>2</v>
      </c>
      <c r="J186" s="47">
        <f t="shared" si="14"/>
        <v>0.93333333333333335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 t="s">
        <v>1274</v>
      </c>
      <c r="AD186" s="21"/>
      <c r="AE186" s="21"/>
      <c r="AF186" s="21"/>
      <c r="AG186" s="21" t="s">
        <v>1274</v>
      </c>
      <c r="AH186" s="21"/>
      <c r="AI186" s="21"/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29</v>
      </c>
      <c r="I190" s="46">
        <f t="shared" si="13"/>
        <v>1</v>
      </c>
      <c r="J190" s="47">
        <f t="shared" si="14"/>
        <v>0.96666666666666667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 t="s">
        <v>1274</v>
      </c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 t="s">
        <v>1274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29</v>
      </c>
      <c r="I193" s="46">
        <f t="shared" si="13"/>
        <v>1</v>
      </c>
      <c r="J193" s="47">
        <f t="shared" si="14"/>
        <v>0.96666666666666667</v>
      </c>
      <c r="K193" s="21"/>
      <c r="L193" s="21"/>
      <c r="M193" s="21" t="s">
        <v>1274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1274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29</v>
      </c>
      <c r="I197" s="46">
        <f t="shared" si="13"/>
        <v>1</v>
      </c>
      <c r="J197" s="47">
        <f t="shared" si="14"/>
        <v>0.96666666666666667</v>
      </c>
      <c r="K197" s="21"/>
      <c r="L197" s="21"/>
      <c r="M197" s="21" t="s">
        <v>1274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4</v>
      </c>
      <c r="I198" s="46">
        <f>COUNTIF(K198:AL198,"APAGADO")</f>
        <v>24</v>
      </c>
      <c r="J198" s="47">
        <f>(H198)/(I198+H198)</f>
        <v>0.14285714285714285</v>
      </c>
      <c r="K198" s="21"/>
      <c r="L198" s="21" t="s">
        <v>1274</v>
      </c>
      <c r="M198" s="21" t="s">
        <v>1274</v>
      </c>
      <c r="N198" s="21" t="s">
        <v>1274</v>
      </c>
      <c r="O198" s="21" t="s">
        <v>1274</v>
      </c>
      <c r="P198" s="21"/>
      <c r="Q198" s="21" t="s">
        <v>1274</v>
      </c>
      <c r="R198" s="21"/>
      <c r="S198" s="21" t="s">
        <v>1274</v>
      </c>
      <c r="T198" s="21" t="s">
        <v>1274</v>
      </c>
      <c r="U198" s="21" t="s">
        <v>1274</v>
      </c>
      <c r="V198" s="21" t="s">
        <v>1274</v>
      </c>
      <c r="W198" s="21" t="s">
        <v>1274</v>
      </c>
      <c r="X198" s="21" t="s">
        <v>1274</v>
      </c>
      <c r="Y198" s="21" t="s">
        <v>1274</v>
      </c>
      <c r="Z198" s="21" t="s">
        <v>1274</v>
      </c>
      <c r="AA198" s="21"/>
      <c r="AB198" s="21" t="s">
        <v>1274</v>
      </c>
      <c r="AC198" s="21" t="s">
        <v>1274</v>
      </c>
      <c r="AD198" s="21" t="s">
        <v>1274</v>
      </c>
      <c r="AE198" s="21" t="s">
        <v>1274</v>
      </c>
      <c r="AF198" s="21" t="s">
        <v>1274</v>
      </c>
      <c r="AG198" s="21" t="s">
        <v>1274</v>
      </c>
      <c r="AH198" s="21" t="s">
        <v>1274</v>
      </c>
      <c r="AI198" s="21" t="s">
        <v>1274</v>
      </c>
      <c r="AJ198" s="21" t="s">
        <v>1274</v>
      </c>
      <c r="AK198" s="21" t="s">
        <v>1274</v>
      </c>
      <c r="AL198" s="21" t="s">
        <v>1274</v>
      </c>
      <c r="AM198" s="21" t="s">
        <v>1274</v>
      </c>
      <c r="AN198" s="21" t="s">
        <v>1274</v>
      </c>
      <c r="AO198" s="21" t="s">
        <v>1274</v>
      </c>
    </row>
    <row r="199" spans="1:41" ht="15.75" thickBot="1" x14ac:dyDescent="0.3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29</v>
      </c>
      <c r="I199" s="46">
        <f t="shared" si="13"/>
        <v>1</v>
      </c>
      <c r="J199" s="47">
        <f t="shared" si="14"/>
        <v>0.96666666666666667</v>
      </c>
      <c r="K199" s="21"/>
      <c r="L199" s="21"/>
      <c r="M199" s="21" t="s">
        <v>1274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1274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27</v>
      </c>
      <c r="I201" s="46">
        <f t="shared" si="13"/>
        <v>3</v>
      </c>
      <c r="J201" s="47">
        <f t="shared" si="14"/>
        <v>0.9</v>
      </c>
      <c r="K201" s="21"/>
      <c r="L201" s="21"/>
      <c r="M201" s="21" t="s">
        <v>1274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 t="s">
        <v>1274</v>
      </c>
      <c r="AL201" s="21" t="s">
        <v>1274</v>
      </c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1274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1274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1274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1274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1274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27</v>
      </c>
      <c r="I208" s="46">
        <f t="shared" si="13"/>
        <v>3</v>
      </c>
      <c r="J208" s="47">
        <f t="shared" si="14"/>
        <v>0.9</v>
      </c>
      <c r="K208" s="21"/>
      <c r="L208" s="21"/>
      <c r="M208" s="21" t="s">
        <v>1274</v>
      </c>
      <c r="N208" s="21" t="s">
        <v>1274</v>
      </c>
      <c r="O208" s="21" t="s">
        <v>1274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24</v>
      </c>
      <c r="I209" s="46">
        <f t="shared" si="13"/>
        <v>6</v>
      </c>
      <c r="J209" s="47">
        <f t="shared" si="14"/>
        <v>0.8</v>
      </c>
      <c r="K209" s="21"/>
      <c r="L209" s="21"/>
      <c r="M209" s="21" t="s">
        <v>1274</v>
      </c>
      <c r="N209" s="21"/>
      <c r="O209" s="21"/>
      <c r="P209" s="21"/>
      <c r="Q209" s="21"/>
      <c r="R209" s="21"/>
      <c r="S209" s="21" t="s">
        <v>1274</v>
      </c>
      <c r="T209" s="21"/>
      <c r="U209" s="21" t="s">
        <v>1274</v>
      </c>
      <c r="V209" s="21"/>
      <c r="W209" s="21"/>
      <c r="X209" s="21"/>
      <c r="Y209" s="21"/>
      <c r="Z209" s="21" t="s">
        <v>1274</v>
      </c>
      <c r="AA209" s="21"/>
      <c r="AB209" s="21"/>
      <c r="AC209" s="21"/>
      <c r="AD209" s="21"/>
      <c r="AE209" s="21"/>
      <c r="AF209" s="21" t="s">
        <v>1274</v>
      </c>
      <c r="AG209" s="21" t="s">
        <v>1274</v>
      </c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29</v>
      </c>
      <c r="I210" s="46">
        <f t="shared" si="13"/>
        <v>1</v>
      </c>
      <c r="J210" s="47">
        <f t="shared" si="14"/>
        <v>0.96666666666666667</v>
      </c>
      <c r="K210" s="21"/>
      <c r="L210" s="21"/>
      <c r="M210" s="21" t="s">
        <v>1274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27</v>
      </c>
      <c r="I211" s="46">
        <f>COUNTIF(K211:AL211,"APAGADO")</f>
        <v>3</v>
      </c>
      <c r="J211" s="47">
        <f>(H211)/(I211+H211)</f>
        <v>0.9</v>
      </c>
      <c r="K211" s="21"/>
      <c r="L211" s="21"/>
      <c r="M211" s="21" t="s">
        <v>1274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 t="s">
        <v>1274</v>
      </c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 t="s">
        <v>1274</v>
      </c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26</v>
      </c>
      <c r="I213" s="46">
        <f t="shared" si="13"/>
        <v>4</v>
      </c>
      <c r="J213" s="47">
        <f t="shared" si="14"/>
        <v>0.8666666666666667</v>
      </c>
      <c r="K213" s="21"/>
      <c r="L213" s="21"/>
      <c r="M213" s="21" t="s">
        <v>1274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1274</v>
      </c>
      <c r="AA213" s="21"/>
      <c r="AB213" s="21" t="s">
        <v>1274</v>
      </c>
      <c r="AC213" s="21" t="s">
        <v>1274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28</v>
      </c>
      <c r="I214" s="46">
        <f t="shared" si="13"/>
        <v>2</v>
      </c>
      <c r="J214" s="47">
        <f t="shared" si="14"/>
        <v>0.93333333333333335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 t="s">
        <v>1274</v>
      </c>
      <c r="AA214" s="21"/>
      <c r="AB214" s="21" t="s">
        <v>1274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1274</v>
      </c>
      <c r="AA215" s="21"/>
      <c r="AB215" s="21" t="s">
        <v>1274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1274</v>
      </c>
      <c r="AA216" s="21"/>
      <c r="AB216" s="21" t="s">
        <v>1274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1274</v>
      </c>
      <c r="AA217" s="21"/>
      <c r="AB217" s="21" t="s">
        <v>1274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29</v>
      </c>
      <c r="I218" s="46">
        <f t="shared" si="13"/>
        <v>1</v>
      </c>
      <c r="J218" s="47">
        <f t="shared" si="14"/>
        <v>0.96666666666666667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 t="s">
        <v>1274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28</v>
      </c>
      <c r="I219" s="46">
        <f t="shared" si="13"/>
        <v>2</v>
      </c>
      <c r="J219" s="47">
        <f t="shared" si="14"/>
        <v>0.93333333333333335</v>
      </c>
      <c r="K219" s="21"/>
      <c r="L219" s="21"/>
      <c r="M219" s="21" t="s">
        <v>1274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1274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29</v>
      </c>
      <c r="I220" s="46">
        <f t="shared" si="13"/>
        <v>1</v>
      </c>
      <c r="J220" s="47">
        <f t="shared" si="14"/>
        <v>0.96666666666666667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1274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 t="s">
        <v>1274</v>
      </c>
    </row>
    <row r="221" spans="1:41" ht="15.75" thickBot="1" x14ac:dyDescent="0.3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1274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1274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1274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1274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1274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28</v>
      </c>
      <c r="I226" s="46">
        <f t="shared" si="13"/>
        <v>2</v>
      </c>
      <c r="J226" s="47">
        <f t="shared" si="14"/>
        <v>0.93333333333333335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1274</v>
      </c>
      <c r="AD226" s="21"/>
      <c r="AE226" s="21"/>
      <c r="AF226" s="21"/>
      <c r="AG226" s="21" t="s">
        <v>1274</v>
      </c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1274</v>
      </c>
      <c r="AA227" s="21"/>
      <c r="AB227" s="21"/>
      <c r="AC227" s="21" t="s">
        <v>1274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1274</v>
      </c>
      <c r="AA228" s="21"/>
      <c r="AB228" s="21"/>
      <c r="AC228" s="21" t="s">
        <v>1274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4</v>
      </c>
      <c r="I229" s="46">
        <f t="shared" si="13"/>
        <v>25</v>
      </c>
      <c r="J229" s="47">
        <f t="shared" si="14"/>
        <v>0.13793103448275862</v>
      </c>
      <c r="K229" s="21" t="s">
        <v>1274</v>
      </c>
      <c r="L229" s="21" t="s">
        <v>1274</v>
      </c>
      <c r="M229" s="21" t="s">
        <v>1274</v>
      </c>
      <c r="N229" s="21" t="s">
        <v>1274</v>
      </c>
      <c r="O229" s="21" t="s">
        <v>1274</v>
      </c>
      <c r="P229" s="21"/>
      <c r="Q229" s="21" t="s">
        <v>1274</v>
      </c>
      <c r="R229" s="21"/>
      <c r="S229" s="21" t="s">
        <v>1274</v>
      </c>
      <c r="T229" s="21" t="s">
        <v>1274</v>
      </c>
      <c r="U229" s="21" t="s">
        <v>1274</v>
      </c>
      <c r="V229" s="21" t="s">
        <v>1274</v>
      </c>
      <c r="W229" s="21" t="s">
        <v>1274</v>
      </c>
      <c r="X229" s="21" t="s">
        <v>1274</v>
      </c>
      <c r="Y229" s="21" t="s">
        <v>1274</v>
      </c>
      <c r="Z229" s="21" t="s">
        <v>1274</v>
      </c>
      <c r="AA229" s="21"/>
      <c r="AB229" s="21" t="s">
        <v>1274</v>
      </c>
      <c r="AC229" s="21" t="s">
        <v>1274</v>
      </c>
      <c r="AD229" s="21" t="s">
        <v>1274</v>
      </c>
      <c r="AE229" s="21" t="s">
        <v>1274</v>
      </c>
      <c r="AF229" s="21" t="s">
        <v>1274</v>
      </c>
      <c r="AG229" s="21" t="s">
        <v>1274</v>
      </c>
      <c r="AH229" s="21" t="s">
        <v>1274</v>
      </c>
      <c r="AI229" s="21" t="s">
        <v>1274</v>
      </c>
      <c r="AJ229" s="21" t="s">
        <v>1274</v>
      </c>
      <c r="AK229" s="21" t="s">
        <v>1274</v>
      </c>
      <c r="AL229" s="21" t="s">
        <v>1274</v>
      </c>
      <c r="AM229" s="21" t="s">
        <v>1274</v>
      </c>
      <c r="AN229" s="21"/>
      <c r="AO229" s="21" t="s">
        <v>1274</v>
      </c>
    </row>
    <row r="230" spans="1:41" ht="15.75" thickBot="1" x14ac:dyDescent="0.3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29</v>
      </c>
      <c r="I230" s="46">
        <f t="shared" si="13"/>
        <v>1</v>
      </c>
      <c r="J230" s="47">
        <f t="shared" si="14"/>
        <v>0.96666666666666667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 t="s">
        <v>1274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1274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27</v>
      </c>
      <c r="I232" s="46">
        <f t="shared" si="13"/>
        <v>3</v>
      </c>
      <c r="J232" s="47">
        <f t="shared" si="14"/>
        <v>0.9</v>
      </c>
      <c r="K232" s="21"/>
      <c r="L232" s="21"/>
      <c r="M232" s="21" t="s">
        <v>1274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 t="s">
        <v>1274</v>
      </c>
      <c r="AA232" s="21"/>
      <c r="AB232" s="21" t="s">
        <v>1274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24</v>
      </c>
      <c r="I233" s="46">
        <f t="shared" si="13"/>
        <v>6</v>
      </c>
      <c r="J233" s="47">
        <f t="shared" si="14"/>
        <v>0.8</v>
      </c>
      <c r="K233" s="21"/>
      <c r="L233" s="21" t="s">
        <v>1274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1274</v>
      </c>
      <c r="AA233" s="21"/>
      <c r="AB233" s="21" t="s">
        <v>1274</v>
      </c>
      <c r="AC233" s="21" t="s">
        <v>1274</v>
      </c>
      <c r="AD233" s="21" t="s">
        <v>1274</v>
      </c>
      <c r="AE233" s="21" t="s">
        <v>1274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27</v>
      </c>
      <c r="I234" s="46">
        <f t="shared" si="13"/>
        <v>3</v>
      </c>
      <c r="J234" s="47">
        <f t="shared" si="14"/>
        <v>0.9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1274</v>
      </c>
      <c r="AA234" s="21"/>
      <c r="AB234" s="21"/>
      <c r="AC234" s="21" t="s">
        <v>1274</v>
      </c>
      <c r="AD234" s="21" t="s">
        <v>1274</v>
      </c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27</v>
      </c>
      <c r="I235" s="46">
        <f t="shared" ref="I235:I300" si="17">COUNTIF(K235:AL235,"APAGADO")</f>
        <v>3</v>
      </c>
      <c r="J235" s="47">
        <f t="shared" ref="J235:J300" si="18">(H235)/(I235+H235)</f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1274</v>
      </c>
      <c r="AA235" s="21"/>
      <c r="AB235" s="21"/>
      <c r="AC235" s="21" t="s">
        <v>1274</v>
      </c>
      <c r="AD235" s="21" t="s">
        <v>1274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8</v>
      </c>
      <c r="I236" s="46">
        <f t="shared" si="17"/>
        <v>21</v>
      </c>
      <c r="J236" s="47">
        <f t="shared" si="18"/>
        <v>0.27586206896551724</v>
      </c>
      <c r="K236" s="21" t="s">
        <v>1274</v>
      </c>
      <c r="L236" s="21" t="s">
        <v>1274</v>
      </c>
      <c r="M236" s="21" t="s">
        <v>1274</v>
      </c>
      <c r="N236" s="21" t="s">
        <v>1274</v>
      </c>
      <c r="O236" s="21" t="s">
        <v>1274</v>
      </c>
      <c r="P236" s="21"/>
      <c r="Q236" s="21" t="s">
        <v>1274</v>
      </c>
      <c r="R236" s="21"/>
      <c r="S236" s="21" t="s">
        <v>1274</v>
      </c>
      <c r="T236" s="21" t="s">
        <v>1274</v>
      </c>
      <c r="U236" s="21" t="s">
        <v>1274</v>
      </c>
      <c r="V236" s="21"/>
      <c r="W236" s="21"/>
      <c r="X236" s="21"/>
      <c r="Y236" s="21" t="s">
        <v>1274</v>
      </c>
      <c r="Z236" s="21" t="s">
        <v>1274</v>
      </c>
      <c r="AA236" s="21"/>
      <c r="AB236" s="21" t="s">
        <v>1274</v>
      </c>
      <c r="AC236" s="21" t="s">
        <v>1274</v>
      </c>
      <c r="AD236" s="21" t="s">
        <v>1274</v>
      </c>
      <c r="AE236" s="21" t="s">
        <v>1274</v>
      </c>
      <c r="AF236" s="21"/>
      <c r="AG236" s="21" t="s">
        <v>1274</v>
      </c>
      <c r="AH236" s="21" t="s">
        <v>1274</v>
      </c>
      <c r="AI236" s="21" t="s">
        <v>1274</v>
      </c>
      <c r="AJ236" s="21" t="s">
        <v>1274</v>
      </c>
      <c r="AK236" s="21" t="s">
        <v>1274</v>
      </c>
      <c r="AL236" s="21" t="s">
        <v>1274</v>
      </c>
      <c r="AM236" s="21" t="s">
        <v>1274</v>
      </c>
      <c r="AN236" s="21"/>
      <c r="AO236" s="21" t="s">
        <v>1274</v>
      </c>
    </row>
    <row r="237" spans="1:41" ht="15.75" thickBot="1" x14ac:dyDescent="0.3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29</v>
      </c>
      <c r="I237" s="46">
        <f t="shared" si="17"/>
        <v>1</v>
      </c>
      <c r="J237" s="47">
        <f t="shared" si="18"/>
        <v>0.96666666666666667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 t="s">
        <v>1274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1274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27</v>
      </c>
      <c r="I239" s="46">
        <f t="shared" si="17"/>
        <v>3</v>
      </c>
      <c r="J239" s="47">
        <f t="shared" si="18"/>
        <v>0.9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 t="s">
        <v>1274</v>
      </c>
      <c r="X239" s="21"/>
      <c r="Y239" s="21"/>
      <c r="Z239" s="21"/>
      <c r="AA239" s="21"/>
      <c r="AB239" s="21"/>
      <c r="AC239" s="21" t="s">
        <v>1274</v>
      </c>
      <c r="AD239" s="21"/>
      <c r="AE239" s="21"/>
      <c r="AF239" s="21"/>
      <c r="AG239" s="21" t="s">
        <v>1274</v>
      </c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28</v>
      </c>
      <c r="I240" s="46">
        <f t="shared" si="17"/>
        <v>2</v>
      </c>
      <c r="J240" s="47">
        <f t="shared" si="18"/>
        <v>0.93333333333333335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 t="s">
        <v>1274</v>
      </c>
      <c r="AD240" s="21"/>
      <c r="AE240" s="21"/>
      <c r="AF240" s="21"/>
      <c r="AG240" s="21" t="s">
        <v>1274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27</v>
      </c>
      <c r="I241" s="46">
        <f t="shared" si="17"/>
        <v>3</v>
      </c>
      <c r="J241" s="47">
        <f t="shared" si="18"/>
        <v>0.9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1274</v>
      </c>
      <c r="V241" s="21"/>
      <c r="W241" s="21"/>
      <c r="X241" s="21"/>
      <c r="Y241" s="21"/>
      <c r="Z241" s="21" t="s">
        <v>1274</v>
      </c>
      <c r="AA241" s="21"/>
      <c r="AB241" s="21"/>
      <c r="AC241" s="21" t="s">
        <v>1274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29</v>
      </c>
      <c r="I242" s="46">
        <f t="shared" si="17"/>
        <v>1</v>
      </c>
      <c r="J242" s="47">
        <f t="shared" si="18"/>
        <v>0.96666666666666667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 t="s">
        <v>1274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25</v>
      </c>
      <c r="I243" s="46">
        <f t="shared" si="17"/>
        <v>5</v>
      </c>
      <c r="J243" s="47">
        <f t="shared" si="18"/>
        <v>0.83333333333333337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1274</v>
      </c>
      <c r="AA243" s="21"/>
      <c r="AB243" s="21" t="s">
        <v>1274</v>
      </c>
      <c r="AC243" s="21" t="s">
        <v>1274</v>
      </c>
      <c r="AD243" s="21" t="s">
        <v>1274</v>
      </c>
      <c r="AE243" s="21" t="s">
        <v>1274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27</v>
      </c>
      <c r="I244" s="46">
        <f t="shared" si="17"/>
        <v>3</v>
      </c>
      <c r="J244" s="47">
        <f t="shared" si="18"/>
        <v>0.9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1274</v>
      </c>
      <c r="AA244" s="21"/>
      <c r="AB244" s="21"/>
      <c r="AC244" s="21" t="s">
        <v>1274</v>
      </c>
      <c r="AD244" s="21" t="s">
        <v>1274</v>
      </c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29</v>
      </c>
      <c r="I245" s="46">
        <f t="shared" si="17"/>
        <v>1</v>
      </c>
      <c r="J245" s="47">
        <f t="shared" si="18"/>
        <v>0.96666666666666667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 t="s">
        <v>1274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29</v>
      </c>
      <c r="I251" s="46">
        <f t="shared" si="17"/>
        <v>1</v>
      </c>
      <c r="J251" s="47">
        <f t="shared" si="18"/>
        <v>0.96666666666666667</v>
      </c>
      <c r="K251" s="21"/>
      <c r="L251" s="21"/>
      <c r="M251" s="21" t="s">
        <v>1274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29</v>
      </c>
      <c r="I255" s="46">
        <f>COUNTIF(K255:AL255,"APAGADO")</f>
        <v>1</v>
      </c>
      <c r="J255" s="47">
        <f>(H255)/(I255+H255)</f>
        <v>0.96666666666666667</v>
      </c>
      <c r="K255" s="21"/>
      <c r="L255" s="21"/>
      <c r="M255" s="21" t="s">
        <v>1274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1274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1274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1274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1274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1274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1274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1274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1274</v>
      </c>
      <c r="L279" s="21" t="s">
        <v>1274</v>
      </c>
      <c r="M279" s="21" t="s">
        <v>1274</v>
      </c>
      <c r="N279" s="21" t="s">
        <v>1274</v>
      </c>
      <c r="O279" s="21" t="s">
        <v>1274</v>
      </c>
      <c r="P279" s="21"/>
      <c r="Q279" s="21" t="s">
        <v>1274</v>
      </c>
      <c r="R279" s="21"/>
      <c r="S279" s="21" t="s">
        <v>1274</v>
      </c>
      <c r="T279" s="21" t="s">
        <v>1274</v>
      </c>
      <c r="U279" s="21" t="s">
        <v>1274</v>
      </c>
      <c r="V279" s="21" t="s">
        <v>1274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1274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1274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29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 t="s">
        <v>1274</v>
      </c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1274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1274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1274</v>
      </c>
      <c r="N297" s="21"/>
      <c r="O297" s="21"/>
      <c r="P297" s="21"/>
      <c r="Q297" s="21"/>
      <c r="R297" s="21"/>
      <c r="S297" s="21" t="s">
        <v>1274</v>
      </c>
      <c r="T297" s="21" t="s">
        <v>1274</v>
      </c>
      <c r="U297" s="21" t="s">
        <v>1274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1274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1274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1274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1274</v>
      </c>
      <c r="L301" s="21"/>
      <c r="M301" s="21" t="s">
        <v>1274</v>
      </c>
      <c r="N301" s="21"/>
      <c r="O301" s="21"/>
      <c r="P301" s="21"/>
      <c r="Q301" s="21"/>
      <c r="R301" s="21"/>
      <c r="S301" s="21" t="s">
        <v>1274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26</v>
      </c>
      <c r="I302" s="46">
        <f t="shared" si="20"/>
        <v>3</v>
      </c>
      <c r="J302" s="47">
        <f t="shared" si="21"/>
        <v>0.89655172413793105</v>
      </c>
      <c r="K302" s="21"/>
      <c r="L302" s="21"/>
      <c r="M302" s="21" t="s">
        <v>1274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1274</v>
      </c>
      <c r="AE302" s="21"/>
      <c r="AF302" s="21"/>
      <c r="AG302" s="21" t="s">
        <v>1274</v>
      </c>
      <c r="AH302" s="21"/>
      <c r="AI302" s="21"/>
      <c r="AJ302" s="21"/>
      <c r="AK302" s="21"/>
      <c r="AL302" s="21"/>
      <c r="AM302" s="21" t="s">
        <v>1274</v>
      </c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1274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1274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1274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1274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1274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1274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1274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1274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1274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1274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1274</v>
      </c>
      <c r="L317" s="21" t="s">
        <v>1274</v>
      </c>
      <c r="M317" s="21" t="s">
        <v>1274</v>
      </c>
      <c r="N317" s="21" t="s">
        <v>1274</v>
      </c>
      <c r="O317" s="21" t="s">
        <v>1274</v>
      </c>
      <c r="P317" s="21"/>
      <c r="Q317" s="21" t="s">
        <v>1274</v>
      </c>
      <c r="R317" s="21"/>
      <c r="S317" s="21" t="s">
        <v>1274</v>
      </c>
      <c r="T317" s="21" t="s">
        <v>1274</v>
      </c>
      <c r="U317" s="21" t="s">
        <v>1274</v>
      </c>
      <c r="V317" s="21" t="s">
        <v>1274</v>
      </c>
      <c r="W317" s="21" t="s">
        <v>1274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1274</v>
      </c>
      <c r="L318" s="21" t="s">
        <v>1274</v>
      </c>
      <c r="M318" s="21" t="s">
        <v>1274</v>
      </c>
      <c r="N318" s="21" t="s">
        <v>1274</v>
      </c>
      <c r="O318" s="21" t="s">
        <v>1274</v>
      </c>
      <c r="P318" s="21"/>
      <c r="Q318" s="21" t="s">
        <v>1274</v>
      </c>
      <c r="R318" s="21"/>
      <c r="S318" s="21" t="s">
        <v>1274</v>
      </c>
      <c r="T318" s="21" t="s">
        <v>1274</v>
      </c>
      <c r="U318" s="21" t="s">
        <v>1274</v>
      </c>
      <c r="V318" s="21" t="s">
        <v>1274</v>
      </c>
      <c r="W318" s="21" t="s">
        <v>1274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1274</v>
      </c>
      <c r="L319" s="21" t="s">
        <v>1274</v>
      </c>
      <c r="M319" s="21" t="s">
        <v>1274</v>
      </c>
      <c r="N319" s="21" t="s">
        <v>1274</v>
      </c>
      <c r="O319" s="21" t="s">
        <v>1274</v>
      </c>
      <c r="P319" s="21"/>
      <c r="Q319" s="21" t="s">
        <v>1274</v>
      </c>
      <c r="R319" s="21"/>
      <c r="S319" s="21" t="s">
        <v>1274</v>
      </c>
      <c r="T319" s="21" t="s">
        <v>1274</v>
      </c>
      <c r="U319" s="21" t="s">
        <v>1274</v>
      </c>
      <c r="V319" s="21" t="s">
        <v>1274</v>
      </c>
      <c r="W319" s="21" t="s">
        <v>1274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1274</v>
      </c>
      <c r="L320" s="21" t="s">
        <v>1274</v>
      </c>
      <c r="M320" s="21" t="s">
        <v>1274</v>
      </c>
      <c r="N320" s="21" t="s">
        <v>1274</v>
      </c>
      <c r="O320" s="21" t="s">
        <v>1274</v>
      </c>
      <c r="P320" s="21"/>
      <c r="Q320" s="21" t="s">
        <v>1274</v>
      </c>
      <c r="R320" s="21"/>
      <c r="S320" s="21" t="s">
        <v>1274</v>
      </c>
      <c r="T320" s="21" t="s">
        <v>1274</v>
      </c>
      <c r="U320" s="21" t="s">
        <v>1274</v>
      </c>
      <c r="V320" s="21" t="s">
        <v>1274</v>
      </c>
      <c r="W320" s="21" t="s">
        <v>1274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1274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1274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28</v>
      </c>
      <c r="I325" s="46">
        <f t="shared" si="20"/>
        <v>1</v>
      </c>
      <c r="J325" s="47">
        <f t="shared" si="21"/>
        <v>0.96551724137931039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1274</v>
      </c>
      <c r="AG325" s="21"/>
      <c r="AH325" s="21"/>
      <c r="AI325" s="21"/>
      <c r="AJ325" s="21"/>
      <c r="AK325" s="21"/>
      <c r="AL325" s="21"/>
      <c r="AM325" s="21"/>
      <c r="AN325" s="21" t="s">
        <v>1274</v>
      </c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1274</v>
      </c>
      <c r="AA326" s="21"/>
      <c r="AB326" s="21"/>
      <c r="AC326" s="21" t="s">
        <v>1274</v>
      </c>
      <c r="AD326" s="21" t="s">
        <v>1274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1274</v>
      </c>
      <c r="AA327" s="21"/>
      <c r="AB327" s="21"/>
      <c r="AC327" s="21" t="s">
        <v>1274</v>
      </c>
      <c r="AD327" s="21" t="s">
        <v>1274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1274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1274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1274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1274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1274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1274</v>
      </c>
      <c r="R344" s="21"/>
      <c r="S344" s="21"/>
      <c r="T344" s="21" t="s">
        <v>1274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3</v>
      </c>
      <c r="I345" s="46">
        <f t="shared" si="20"/>
        <v>25</v>
      </c>
      <c r="J345" s="47">
        <f t="shared" si="21"/>
        <v>0.10714285714285714</v>
      </c>
      <c r="K345" s="21" t="s">
        <v>1274</v>
      </c>
      <c r="L345" s="21" t="s">
        <v>1274</v>
      </c>
      <c r="M345" s="21" t="s">
        <v>1274</v>
      </c>
      <c r="N345" s="21" t="s">
        <v>1274</v>
      </c>
      <c r="O345" s="21" t="s">
        <v>1274</v>
      </c>
      <c r="P345" s="21"/>
      <c r="Q345" s="21" t="s">
        <v>1274</v>
      </c>
      <c r="R345" s="21"/>
      <c r="S345" s="21" t="s">
        <v>1274</v>
      </c>
      <c r="T345" s="21" t="s">
        <v>1274</v>
      </c>
      <c r="U345" s="21" t="s">
        <v>1274</v>
      </c>
      <c r="V345" s="21" t="s">
        <v>1274</v>
      </c>
      <c r="W345" s="21" t="s">
        <v>1274</v>
      </c>
      <c r="X345" s="21" t="s">
        <v>1274</v>
      </c>
      <c r="Y345" s="21" t="s">
        <v>1274</v>
      </c>
      <c r="Z345" s="21" t="s">
        <v>1274</v>
      </c>
      <c r="AA345" s="21"/>
      <c r="AB345" s="21" t="s">
        <v>1274</v>
      </c>
      <c r="AC345" s="21" t="s">
        <v>1274</v>
      </c>
      <c r="AD345" s="21" t="s">
        <v>1274</v>
      </c>
      <c r="AE345" s="21" t="s">
        <v>1274</v>
      </c>
      <c r="AF345" s="21" t="s">
        <v>1274</v>
      </c>
      <c r="AG345" s="21" t="s">
        <v>1274</v>
      </c>
      <c r="AH345" s="21" t="s">
        <v>1274</v>
      </c>
      <c r="AI345" s="21" t="s">
        <v>1274</v>
      </c>
      <c r="AJ345" s="21" t="s">
        <v>1274</v>
      </c>
      <c r="AK345" s="21" t="s">
        <v>1274</v>
      </c>
      <c r="AL345" s="21" t="s">
        <v>1274</v>
      </c>
      <c r="AM345" s="21" t="s">
        <v>1274</v>
      </c>
      <c r="AN345" s="21" t="s">
        <v>1274</v>
      </c>
      <c r="AO345" s="21" t="s">
        <v>1274</v>
      </c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3</v>
      </c>
      <c r="I346" s="46">
        <f t="shared" si="20"/>
        <v>25</v>
      </c>
      <c r="J346" s="47">
        <f t="shared" si="21"/>
        <v>0.10714285714285714</v>
      </c>
      <c r="K346" s="21" t="s">
        <v>1274</v>
      </c>
      <c r="L346" s="21" t="s">
        <v>1274</v>
      </c>
      <c r="M346" s="21" t="s">
        <v>1274</v>
      </c>
      <c r="N346" s="21" t="s">
        <v>1274</v>
      </c>
      <c r="O346" s="21" t="s">
        <v>1274</v>
      </c>
      <c r="P346" s="21"/>
      <c r="Q346" s="21" t="s">
        <v>1274</v>
      </c>
      <c r="R346" s="21"/>
      <c r="S346" s="21" t="s">
        <v>1274</v>
      </c>
      <c r="T346" s="21" t="s">
        <v>1274</v>
      </c>
      <c r="U346" s="21" t="s">
        <v>1274</v>
      </c>
      <c r="V346" s="21" t="s">
        <v>1274</v>
      </c>
      <c r="W346" s="21" t="s">
        <v>1274</v>
      </c>
      <c r="X346" s="21" t="s">
        <v>1274</v>
      </c>
      <c r="Y346" s="21" t="s">
        <v>1274</v>
      </c>
      <c r="Z346" s="21" t="s">
        <v>1274</v>
      </c>
      <c r="AA346" s="21"/>
      <c r="AB346" s="21" t="s">
        <v>1274</v>
      </c>
      <c r="AC346" s="21" t="s">
        <v>1274</v>
      </c>
      <c r="AD346" s="21" t="s">
        <v>1274</v>
      </c>
      <c r="AE346" s="21" t="s">
        <v>1274</v>
      </c>
      <c r="AF346" s="21" t="s">
        <v>1274</v>
      </c>
      <c r="AG346" s="21" t="s">
        <v>1274</v>
      </c>
      <c r="AH346" s="21" t="s">
        <v>1274</v>
      </c>
      <c r="AI346" s="21" t="s">
        <v>1274</v>
      </c>
      <c r="AJ346" s="21" t="s">
        <v>1274</v>
      </c>
      <c r="AK346" s="21" t="s">
        <v>1274</v>
      </c>
      <c r="AL346" s="21" t="s">
        <v>1274</v>
      </c>
      <c r="AM346" s="21" t="s">
        <v>1274</v>
      </c>
      <c r="AN346" s="21" t="s">
        <v>1274</v>
      </c>
      <c r="AO346" s="21" t="s">
        <v>1274</v>
      </c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5</v>
      </c>
      <c r="I347" s="46">
        <f t="shared" si="20"/>
        <v>25</v>
      </c>
      <c r="J347" s="47">
        <f t="shared" si="21"/>
        <v>0.16666666666666666</v>
      </c>
      <c r="K347" s="21" t="s">
        <v>1274</v>
      </c>
      <c r="L347" s="21" t="s">
        <v>1274</v>
      </c>
      <c r="M347" s="21" t="s">
        <v>1274</v>
      </c>
      <c r="N347" s="21" t="s">
        <v>1274</v>
      </c>
      <c r="O347" s="21" t="s">
        <v>1274</v>
      </c>
      <c r="P347" s="21"/>
      <c r="Q347" s="21" t="s">
        <v>1274</v>
      </c>
      <c r="R347" s="21"/>
      <c r="S347" s="21" t="s">
        <v>1274</v>
      </c>
      <c r="T347" s="21" t="s">
        <v>1274</v>
      </c>
      <c r="U347" s="21" t="s">
        <v>1274</v>
      </c>
      <c r="V347" s="21" t="s">
        <v>1274</v>
      </c>
      <c r="W347" s="21" t="s">
        <v>1274</v>
      </c>
      <c r="X347" s="21" t="s">
        <v>1274</v>
      </c>
      <c r="Y347" s="21" t="s">
        <v>1274</v>
      </c>
      <c r="Z347" s="21" t="s">
        <v>1274</v>
      </c>
      <c r="AA347" s="21"/>
      <c r="AB347" s="21" t="s">
        <v>1274</v>
      </c>
      <c r="AC347" s="21" t="s">
        <v>1274</v>
      </c>
      <c r="AD347" s="21" t="s">
        <v>1274</v>
      </c>
      <c r="AE347" s="21" t="s">
        <v>1274</v>
      </c>
      <c r="AF347" s="21" t="s">
        <v>1274</v>
      </c>
      <c r="AG347" s="21" t="s">
        <v>1274</v>
      </c>
      <c r="AH347" s="21" t="s">
        <v>1274</v>
      </c>
      <c r="AI347" s="21" t="s">
        <v>1274</v>
      </c>
      <c r="AJ347" s="21" t="s">
        <v>1274</v>
      </c>
      <c r="AK347" s="21" t="s">
        <v>1274</v>
      </c>
      <c r="AL347" s="21" t="s">
        <v>1274</v>
      </c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5</v>
      </c>
      <c r="I348" s="46">
        <f t="shared" si="20"/>
        <v>25</v>
      </c>
      <c r="J348" s="47">
        <f t="shared" si="21"/>
        <v>0.16666666666666666</v>
      </c>
      <c r="K348" s="21" t="s">
        <v>1274</v>
      </c>
      <c r="L348" s="21" t="s">
        <v>1274</v>
      </c>
      <c r="M348" s="21" t="s">
        <v>1274</v>
      </c>
      <c r="N348" s="21" t="s">
        <v>1274</v>
      </c>
      <c r="O348" s="21" t="s">
        <v>1274</v>
      </c>
      <c r="P348" s="21"/>
      <c r="Q348" s="21" t="s">
        <v>1274</v>
      </c>
      <c r="R348" s="21"/>
      <c r="S348" s="21" t="s">
        <v>1274</v>
      </c>
      <c r="T348" s="21" t="s">
        <v>1274</v>
      </c>
      <c r="U348" s="21" t="s">
        <v>1274</v>
      </c>
      <c r="V348" s="21" t="s">
        <v>1274</v>
      </c>
      <c r="W348" s="21" t="s">
        <v>1274</v>
      </c>
      <c r="X348" s="21" t="s">
        <v>1274</v>
      </c>
      <c r="Y348" s="21" t="s">
        <v>1274</v>
      </c>
      <c r="Z348" s="21" t="s">
        <v>1274</v>
      </c>
      <c r="AA348" s="21"/>
      <c r="AB348" s="21" t="s">
        <v>1274</v>
      </c>
      <c r="AC348" s="21" t="s">
        <v>1274</v>
      </c>
      <c r="AD348" s="21" t="s">
        <v>1274</v>
      </c>
      <c r="AE348" s="21" t="s">
        <v>1274</v>
      </c>
      <c r="AF348" s="21" t="s">
        <v>1274</v>
      </c>
      <c r="AG348" s="21" t="s">
        <v>1274</v>
      </c>
      <c r="AH348" s="21" t="s">
        <v>1274</v>
      </c>
      <c r="AI348" s="21" t="s">
        <v>1274</v>
      </c>
      <c r="AJ348" s="21" t="s">
        <v>1274</v>
      </c>
      <c r="AK348" s="21" t="s">
        <v>1274</v>
      </c>
      <c r="AL348" s="21" t="s">
        <v>1274</v>
      </c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5</v>
      </c>
      <c r="I349" s="46">
        <f t="shared" si="20"/>
        <v>25</v>
      </c>
      <c r="J349" s="47">
        <f t="shared" si="21"/>
        <v>0.16666666666666666</v>
      </c>
      <c r="K349" s="21" t="s">
        <v>1274</v>
      </c>
      <c r="L349" s="21" t="s">
        <v>1274</v>
      </c>
      <c r="M349" s="21" t="s">
        <v>1274</v>
      </c>
      <c r="N349" s="21" t="s">
        <v>1274</v>
      </c>
      <c r="O349" s="21" t="s">
        <v>1274</v>
      </c>
      <c r="P349" s="21"/>
      <c r="Q349" s="21" t="s">
        <v>1274</v>
      </c>
      <c r="R349" s="21"/>
      <c r="S349" s="21" t="s">
        <v>1274</v>
      </c>
      <c r="T349" s="21" t="s">
        <v>1274</v>
      </c>
      <c r="U349" s="21" t="s">
        <v>1274</v>
      </c>
      <c r="V349" s="21" t="s">
        <v>1274</v>
      </c>
      <c r="W349" s="21" t="s">
        <v>1274</v>
      </c>
      <c r="X349" s="21" t="s">
        <v>1274</v>
      </c>
      <c r="Y349" s="21" t="s">
        <v>1274</v>
      </c>
      <c r="Z349" s="21" t="s">
        <v>1274</v>
      </c>
      <c r="AA349" s="21"/>
      <c r="AB349" s="21" t="s">
        <v>1274</v>
      </c>
      <c r="AC349" s="21" t="s">
        <v>1274</v>
      </c>
      <c r="AD349" s="21" t="s">
        <v>1274</v>
      </c>
      <c r="AE349" s="21" t="s">
        <v>1274</v>
      </c>
      <c r="AF349" s="21" t="s">
        <v>1274</v>
      </c>
      <c r="AG349" s="21" t="s">
        <v>1274</v>
      </c>
      <c r="AH349" s="21" t="s">
        <v>1274</v>
      </c>
      <c r="AI349" s="21" t="s">
        <v>1274</v>
      </c>
      <c r="AJ349" s="21" t="s">
        <v>1274</v>
      </c>
      <c r="AK349" s="21" t="s">
        <v>1274</v>
      </c>
      <c r="AL349" s="21" t="s">
        <v>1274</v>
      </c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4</v>
      </c>
      <c r="I350" s="46">
        <f t="shared" si="20"/>
        <v>25</v>
      </c>
      <c r="J350" s="47">
        <f t="shared" si="21"/>
        <v>0.13793103448275862</v>
      </c>
      <c r="K350" s="21" t="s">
        <v>1274</v>
      </c>
      <c r="L350" s="21" t="s">
        <v>1274</v>
      </c>
      <c r="M350" s="21" t="s">
        <v>1274</v>
      </c>
      <c r="N350" s="21" t="s">
        <v>1274</v>
      </c>
      <c r="O350" s="21" t="s">
        <v>1274</v>
      </c>
      <c r="P350" s="21"/>
      <c r="Q350" s="21" t="s">
        <v>1274</v>
      </c>
      <c r="R350" s="21"/>
      <c r="S350" s="21" t="s">
        <v>1274</v>
      </c>
      <c r="T350" s="21" t="s">
        <v>1274</v>
      </c>
      <c r="U350" s="21" t="s">
        <v>1274</v>
      </c>
      <c r="V350" s="21" t="s">
        <v>1274</v>
      </c>
      <c r="W350" s="21" t="s">
        <v>1274</v>
      </c>
      <c r="X350" s="21" t="s">
        <v>1274</v>
      </c>
      <c r="Y350" s="21" t="s">
        <v>1274</v>
      </c>
      <c r="Z350" s="21" t="s">
        <v>1274</v>
      </c>
      <c r="AA350" s="21"/>
      <c r="AB350" s="21" t="s">
        <v>1274</v>
      </c>
      <c r="AC350" s="21" t="s">
        <v>1274</v>
      </c>
      <c r="AD350" s="21" t="s">
        <v>1274</v>
      </c>
      <c r="AE350" s="21" t="s">
        <v>1274</v>
      </c>
      <c r="AF350" s="21" t="s">
        <v>1274</v>
      </c>
      <c r="AG350" s="21" t="s">
        <v>1274</v>
      </c>
      <c r="AH350" s="21" t="s">
        <v>1274</v>
      </c>
      <c r="AI350" s="21" t="s">
        <v>1274</v>
      </c>
      <c r="AJ350" s="21" t="s">
        <v>1274</v>
      </c>
      <c r="AK350" s="21" t="s">
        <v>1274</v>
      </c>
      <c r="AL350" s="21" t="s">
        <v>1274</v>
      </c>
      <c r="AM350" s="21" t="s">
        <v>1274</v>
      </c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5</v>
      </c>
      <c r="I351" s="46">
        <f t="shared" si="20"/>
        <v>25</v>
      </c>
      <c r="J351" s="47">
        <f t="shared" si="21"/>
        <v>0.16666666666666666</v>
      </c>
      <c r="K351" s="21" t="s">
        <v>1274</v>
      </c>
      <c r="L351" s="21" t="s">
        <v>1274</v>
      </c>
      <c r="M351" s="21" t="s">
        <v>1274</v>
      </c>
      <c r="N351" s="21" t="s">
        <v>1274</v>
      </c>
      <c r="O351" s="21" t="s">
        <v>1274</v>
      </c>
      <c r="P351" s="21"/>
      <c r="Q351" s="21" t="s">
        <v>1274</v>
      </c>
      <c r="R351" s="21"/>
      <c r="S351" s="21" t="s">
        <v>1274</v>
      </c>
      <c r="T351" s="21" t="s">
        <v>1274</v>
      </c>
      <c r="U351" s="21" t="s">
        <v>1274</v>
      </c>
      <c r="V351" s="21" t="s">
        <v>1274</v>
      </c>
      <c r="W351" s="21" t="s">
        <v>1274</v>
      </c>
      <c r="X351" s="21" t="s">
        <v>1274</v>
      </c>
      <c r="Y351" s="21" t="s">
        <v>1274</v>
      </c>
      <c r="Z351" s="21" t="s">
        <v>1274</v>
      </c>
      <c r="AA351" s="21"/>
      <c r="AB351" s="21" t="s">
        <v>1274</v>
      </c>
      <c r="AC351" s="21" t="s">
        <v>1274</v>
      </c>
      <c r="AD351" s="21" t="s">
        <v>1274</v>
      </c>
      <c r="AE351" s="21" t="s">
        <v>1274</v>
      </c>
      <c r="AF351" s="21" t="s">
        <v>1274</v>
      </c>
      <c r="AG351" s="21" t="s">
        <v>1274</v>
      </c>
      <c r="AH351" s="21" t="s">
        <v>1274</v>
      </c>
      <c r="AI351" s="21" t="s">
        <v>1274</v>
      </c>
      <c r="AJ351" s="21" t="s">
        <v>1274</v>
      </c>
      <c r="AK351" s="21" t="s">
        <v>1274</v>
      </c>
      <c r="AL351" s="21" t="s">
        <v>1274</v>
      </c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1274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1274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17</v>
      </c>
      <c r="I360" s="46">
        <f t="shared" si="20"/>
        <v>12</v>
      </c>
      <c r="J360" s="47">
        <f t="shared" si="21"/>
        <v>0.58620689655172409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1274</v>
      </c>
      <c r="AA360" s="21"/>
      <c r="AB360" s="21" t="s">
        <v>1274</v>
      </c>
      <c r="AC360" s="21" t="s">
        <v>1274</v>
      </c>
      <c r="AD360" s="21" t="s">
        <v>1274</v>
      </c>
      <c r="AE360" s="21" t="s">
        <v>1274</v>
      </c>
      <c r="AF360" s="21" t="s">
        <v>1274</v>
      </c>
      <c r="AG360" s="21" t="s">
        <v>1274</v>
      </c>
      <c r="AH360" s="21" t="s">
        <v>1274</v>
      </c>
      <c r="AI360" s="21" t="s">
        <v>1274</v>
      </c>
      <c r="AJ360" s="21" t="s">
        <v>1274</v>
      </c>
      <c r="AK360" s="21" t="s">
        <v>1274</v>
      </c>
      <c r="AL360" s="21" t="s">
        <v>1274</v>
      </c>
      <c r="AM360" s="21"/>
      <c r="AN360" s="21" t="s">
        <v>1274</v>
      </c>
      <c r="AO360" s="21" t="s">
        <v>1274</v>
      </c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1274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1274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1274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1274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1274</v>
      </c>
      <c r="AC365" s="21" t="s">
        <v>1274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1274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1274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1274</v>
      </c>
      <c r="N369" s="21"/>
      <c r="O369" s="21"/>
      <c r="P369" s="21"/>
      <c r="Q369" s="21" t="s">
        <v>1274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1274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1274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23</v>
      </c>
      <c r="I374" s="46">
        <f t="shared" si="20"/>
        <v>6</v>
      </c>
      <c r="J374" s="47">
        <f t="shared" si="21"/>
        <v>0.7931034482758621</v>
      </c>
      <c r="K374" s="21"/>
      <c r="L374" s="21"/>
      <c r="M374" s="21" t="s">
        <v>1274</v>
      </c>
      <c r="N374" s="21"/>
      <c r="O374" s="21"/>
      <c r="P374" s="21"/>
      <c r="Q374" s="21"/>
      <c r="R374" s="21"/>
      <c r="S374" s="21" t="s">
        <v>1274</v>
      </c>
      <c r="T374" s="21"/>
      <c r="U374" s="21"/>
      <c r="V374" s="21"/>
      <c r="W374" s="21"/>
      <c r="X374" s="21"/>
      <c r="Y374" s="21"/>
      <c r="Z374" s="21" t="s">
        <v>1274</v>
      </c>
      <c r="AA374" s="21"/>
      <c r="AB374" s="21"/>
      <c r="AC374" s="21"/>
      <c r="AD374" s="21"/>
      <c r="AE374" s="21"/>
      <c r="AF374" s="21" t="s">
        <v>1274</v>
      </c>
      <c r="AG374" s="21" t="s">
        <v>1274</v>
      </c>
      <c r="AH374" s="21"/>
      <c r="AI374" s="21"/>
      <c r="AJ374" s="21"/>
      <c r="AK374" s="21"/>
      <c r="AL374" s="21" t="s">
        <v>1274</v>
      </c>
      <c r="AM374" s="21" t="s">
        <v>1274</v>
      </c>
      <c r="AN374" s="21"/>
      <c r="AO374" s="21" t="s">
        <v>1274</v>
      </c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1274</v>
      </c>
      <c r="N378" s="21"/>
      <c r="O378" s="21"/>
      <c r="P378" s="21"/>
      <c r="Q378" s="21"/>
      <c r="R378" s="21"/>
      <c r="S378" s="21" t="s">
        <v>1274</v>
      </c>
      <c r="T378" s="21" t="s">
        <v>1274</v>
      </c>
      <c r="U378" s="21" t="s">
        <v>1274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7</v>
      </c>
      <c r="I379" s="46">
        <f t="shared" si="26"/>
        <v>22</v>
      </c>
      <c r="J379" s="47">
        <f t="shared" si="27"/>
        <v>0.2413793103448276</v>
      </c>
      <c r="K379" s="21"/>
      <c r="L379" s="21" t="s">
        <v>1274</v>
      </c>
      <c r="M379" s="21" t="s">
        <v>1274</v>
      </c>
      <c r="N379" s="21" t="s">
        <v>1274</v>
      </c>
      <c r="O379" s="21" t="s">
        <v>1274</v>
      </c>
      <c r="P379" s="21"/>
      <c r="Q379" s="21"/>
      <c r="R379" s="21"/>
      <c r="S379" s="21" t="s">
        <v>1274</v>
      </c>
      <c r="T379" s="21" t="s">
        <v>1274</v>
      </c>
      <c r="U379" s="21" t="s">
        <v>1274</v>
      </c>
      <c r="V379" s="21" t="s">
        <v>1274</v>
      </c>
      <c r="W379" s="21" t="s">
        <v>1274</v>
      </c>
      <c r="X379" s="21" t="s">
        <v>1274</v>
      </c>
      <c r="Y379" s="21" t="s">
        <v>1274</v>
      </c>
      <c r="Z379" s="21" t="s">
        <v>1274</v>
      </c>
      <c r="AA379" s="21"/>
      <c r="AB379" s="21"/>
      <c r="AC379" s="21" t="s">
        <v>1274</v>
      </c>
      <c r="AD379" s="21" t="s">
        <v>1274</v>
      </c>
      <c r="AE379" s="21" t="s">
        <v>1274</v>
      </c>
      <c r="AF379" s="21" t="s">
        <v>1274</v>
      </c>
      <c r="AG379" s="21" t="s">
        <v>1274</v>
      </c>
      <c r="AH379" s="21" t="s">
        <v>1274</v>
      </c>
      <c r="AI379" s="21" t="s">
        <v>1274</v>
      </c>
      <c r="AJ379" s="21" t="s">
        <v>1274</v>
      </c>
      <c r="AK379" s="21" t="s">
        <v>1274</v>
      </c>
      <c r="AL379" s="21" t="s">
        <v>1274</v>
      </c>
      <c r="AM379" s="21"/>
      <c r="AN379" s="21" t="s">
        <v>1274</v>
      </c>
      <c r="AO379" s="21" t="s">
        <v>1274</v>
      </c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26</v>
      </c>
      <c r="I380" s="46">
        <f t="shared" si="26"/>
        <v>4</v>
      </c>
      <c r="J380" s="47">
        <f t="shared" si="27"/>
        <v>0.8666666666666667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1274</v>
      </c>
      <c r="Z380" s="21" t="s">
        <v>1274</v>
      </c>
      <c r="AA380" s="21"/>
      <c r="AB380" s="21"/>
      <c r="AC380" s="21"/>
      <c r="AD380" s="21"/>
      <c r="AE380" s="21"/>
      <c r="AF380" s="21" t="s">
        <v>1274</v>
      </c>
      <c r="AG380" s="21"/>
      <c r="AH380" s="21"/>
      <c r="AI380" s="21"/>
      <c r="AJ380" s="21"/>
      <c r="AK380" s="21" t="s">
        <v>1274</v>
      </c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1274</v>
      </c>
      <c r="T381" s="21" t="s">
        <v>1274</v>
      </c>
      <c r="U381" s="21" t="s">
        <v>1274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1274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1274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1274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1274</v>
      </c>
      <c r="AG387" s="21" t="s">
        <v>1274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29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 t="s">
        <v>1274</v>
      </c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23</v>
      </c>
      <c r="I390" s="46">
        <f t="shared" si="26"/>
        <v>6</v>
      </c>
      <c r="J390" s="47">
        <f t="shared" si="27"/>
        <v>0.7931034482758621</v>
      </c>
      <c r="K390" s="21"/>
      <c r="L390" s="21"/>
      <c r="M390" s="21" t="s">
        <v>1274</v>
      </c>
      <c r="N390" s="21"/>
      <c r="O390" s="21"/>
      <c r="P390" s="21"/>
      <c r="Q390" s="21"/>
      <c r="R390" s="21"/>
      <c r="S390" s="21" t="s">
        <v>1274</v>
      </c>
      <c r="T390" s="21"/>
      <c r="U390" s="21"/>
      <c r="V390" s="21"/>
      <c r="W390" s="21"/>
      <c r="X390" s="21"/>
      <c r="Y390" s="21"/>
      <c r="Z390" s="21" t="s">
        <v>1274</v>
      </c>
      <c r="AA390" s="21"/>
      <c r="AB390" s="21"/>
      <c r="AC390" s="21"/>
      <c r="AD390" s="21"/>
      <c r="AE390" s="21"/>
      <c r="AF390" s="21" t="s">
        <v>1274</v>
      </c>
      <c r="AG390" s="21" t="s">
        <v>1274</v>
      </c>
      <c r="AH390" s="21"/>
      <c r="AI390" s="21"/>
      <c r="AJ390" s="21"/>
      <c r="AK390" s="21"/>
      <c r="AL390" s="21" t="s">
        <v>1274</v>
      </c>
      <c r="AM390" s="21" t="s">
        <v>1274</v>
      </c>
      <c r="AN390" s="21"/>
      <c r="AO390" s="21" t="s">
        <v>1274</v>
      </c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23</v>
      </c>
      <c r="I391" s="46">
        <f t="shared" si="26"/>
        <v>6</v>
      </c>
      <c r="J391" s="47">
        <f t="shared" si="27"/>
        <v>0.7931034482758621</v>
      </c>
      <c r="K391" s="21"/>
      <c r="L391" s="21"/>
      <c r="M391" s="21" t="s">
        <v>1274</v>
      </c>
      <c r="N391" s="21"/>
      <c r="O391" s="21"/>
      <c r="P391" s="21"/>
      <c r="Q391" s="21"/>
      <c r="R391" s="21"/>
      <c r="S391" s="21" t="s">
        <v>1274</v>
      </c>
      <c r="T391" s="21"/>
      <c r="U391" s="21"/>
      <c r="V391" s="21"/>
      <c r="W391" s="21"/>
      <c r="X391" s="21"/>
      <c r="Y391" s="21"/>
      <c r="Z391" s="21" t="s">
        <v>1274</v>
      </c>
      <c r="AA391" s="21"/>
      <c r="AB391" s="21"/>
      <c r="AC391" s="21"/>
      <c r="AD391" s="21"/>
      <c r="AE391" s="21"/>
      <c r="AF391" s="21" t="s">
        <v>1274</v>
      </c>
      <c r="AG391" s="21" t="s">
        <v>1274</v>
      </c>
      <c r="AH391" s="21"/>
      <c r="AI391" s="21"/>
      <c r="AJ391" s="21"/>
      <c r="AK391" s="21"/>
      <c r="AL391" s="21" t="s">
        <v>1274</v>
      </c>
      <c r="AM391" s="21" t="s">
        <v>1274</v>
      </c>
      <c r="AN391" s="21"/>
      <c r="AO391" s="21" t="s">
        <v>1274</v>
      </c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1274</v>
      </c>
      <c r="N392" s="21"/>
      <c r="O392" s="21"/>
      <c r="P392" s="21"/>
      <c r="Q392" s="21"/>
      <c r="R392" s="21"/>
      <c r="S392" s="21"/>
      <c r="T392" s="21" t="s">
        <v>1274</v>
      </c>
      <c r="U392" s="21" t="s">
        <v>1274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1274</v>
      </c>
      <c r="N393" s="21"/>
      <c r="O393" s="21"/>
      <c r="P393" s="21"/>
      <c r="Q393" s="21"/>
      <c r="R393" s="21"/>
      <c r="S393" s="21"/>
      <c r="T393" s="21" t="s">
        <v>1274</v>
      </c>
      <c r="U393" s="21" t="s">
        <v>1274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1274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1274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1274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1274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5</v>
      </c>
      <c r="I402" s="46">
        <f t="shared" si="26"/>
        <v>23</v>
      </c>
      <c r="J402" s="47">
        <f t="shared" si="27"/>
        <v>0.17857142857142858</v>
      </c>
      <c r="K402" s="21" t="s">
        <v>1274</v>
      </c>
      <c r="L402" s="21" t="s">
        <v>1274</v>
      </c>
      <c r="M402" s="21" t="s">
        <v>1274</v>
      </c>
      <c r="N402" s="21" t="s">
        <v>1274</v>
      </c>
      <c r="O402" s="21" t="s">
        <v>1274</v>
      </c>
      <c r="P402" s="21"/>
      <c r="Q402" s="21"/>
      <c r="R402" s="21"/>
      <c r="S402" s="21" t="s">
        <v>1274</v>
      </c>
      <c r="T402" s="21" t="s">
        <v>1274</v>
      </c>
      <c r="U402" s="21" t="s">
        <v>1274</v>
      </c>
      <c r="V402" s="21" t="s">
        <v>1274</v>
      </c>
      <c r="W402" s="21" t="s">
        <v>1274</v>
      </c>
      <c r="X402" s="21" t="s">
        <v>1274</v>
      </c>
      <c r="Y402" s="21" t="s">
        <v>1274</v>
      </c>
      <c r="Z402" s="21" t="s">
        <v>1274</v>
      </c>
      <c r="AA402" s="21"/>
      <c r="AB402" s="21" t="s">
        <v>1274</v>
      </c>
      <c r="AC402" s="21" t="s">
        <v>1274</v>
      </c>
      <c r="AD402" s="21" t="s">
        <v>1274</v>
      </c>
      <c r="AE402" s="21" t="s">
        <v>1274</v>
      </c>
      <c r="AF402" s="21"/>
      <c r="AG402" s="21" t="s">
        <v>1274</v>
      </c>
      <c r="AH402" s="21" t="s">
        <v>1274</v>
      </c>
      <c r="AI402" s="21" t="s">
        <v>1274</v>
      </c>
      <c r="AJ402" s="21" t="s">
        <v>1274</v>
      </c>
      <c r="AK402" s="21" t="s">
        <v>1274</v>
      </c>
      <c r="AL402" s="21" t="s">
        <v>1274</v>
      </c>
      <c r="AM402" s="21" t="s">
        <v>1274</v>
      </c>
      <c r="AN402" s="21" t="s">
        <v>1274</v>
      </c>
      <c r="AO402" s="21" t="s">
        <v>1274</v>
      </c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1274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1274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4</v>
      </c>
      <c r="I405" s="46">
        <f t="shared" si="26"/>
        <v>25</v>
      </c>
      <c r="J405" s="47">
        <f t="shared" si="27"/>
        <v>0.13793103448275862</v>
      </c>
      <c r="K405" s="21" t="s">
        <v>1274</v>
      </c>
      <c r="L405" s="21" t="s">
        <v>1274</v>
      </c>
      <c r="M405" s="21" t="s">
        <v>1274</v>
      </c>
      <c r="N405" s="21" t="s">
        <v>1274</v>
      </c>
      <c r="O405" s="21" t="s">
        <v>1274</v>
      </c>
      <c r="P405" s="21"/>
      <c r="Q405" s="21" t="s">
        <v>1274</v>
      </c>
      <c r="R405" s="21"/>
      <c r="S405" s="21" t="s">
        <v>1274</v>
      </c>
      <c r="T405" s="21" t="s">
        <v>1274</v>
      </c>
      <c r="U405" s="21" t="s">
        <v>1274</v>
      </c>
      <c r="V405" s="21" t="s">
        <v>1274</v>
      </c>
      <c r="W405" s="21" t="s">
        <v>1274</v>
      </c>
      <c r="X405" s="21" t="s">
        <v>1274</v>
      </c>
      <c r="Y405" s="21" t="s">
        <v>1274</v>
      </c>
      <c r="Z405" s="21" t="s">
        <v>1274</v>
      </c>
      <c r="AA405" s="21"/>
      <c r="AB405" s="21" t="s">
        <v>1274</v>
      </c>
      <c r="AC405" s="21" t="s">
        <v>1274</v>
      </c>
      <c r="AD405" s="21" t="s">
        <v>1274</v>
      </c>
      <c r="AE405" s="21" t="s">
        <v>1274</v>
      </c>
      <c r="AF405" s="21" t="s">
        <v>1274</v>
      </c>
      <c r="AG405" s="21" t="s">
        <v>1274</v>
      </c>
      <c r="AH405" s="21" t="s">
        <v>1274</v>
      </c>
      <c r="AI405" s="21" t="s">
        <v>1274</v>
      </c>
      <c r="AJ405" s="21" t="s">
        <v>1274</v>
      </c>
      <c r="AK405" s="21" t="s">
        <v>1274</v>
      </c>
      <c r="AL405" s="21" t="s">
        <v>1274</v>
      </c>
      <c r="AM405" s="21" t="s">
        <v>1274</v>
      </c>
      <c r="AN405" s="21"/>
      <c r="AO405" s="21" t="s">
        <v>1274</v>
      </c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1274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24</v>
      </c>
      <c r="I407" s="46">
        <f t="shared" si="26"/>
        <v>6</v>
      </c>
      <c r="J407" s="47">
        <f t="shared" si="27"/>
        <v>0.8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1274</v>
      </c>
      <c r="AE407" s="21" t="s">
        <v>1274</v>
      </c>
      <c r="AF407" s="21"/>
      <c r="AG407" s="21"/>
      <c r="AH407" s="21" t="s">
        <v>1274</v>
      </c>
      <c r="AI407" s="21" t="s">
        <v>1274</v>
      </c>
      <c r="AJ407" s="21"/>
      <c r="AK407" s="21" t="s">
        <v>1274</v>
      </c>
      <c r="AL407" s="21" t="s">
        <v>1274</v>
      </c>
      <c r="AM407" s="21"/>
      <c r="AN407" s="21"/>
      <c r="AO407" s="21" t="s">
        <v>1274</v>
      </c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24</v>
      </c>
      <c r="I408" s="46">
        <f t="shared" si="26"/>
        <v>6</v>
      </c>
      <c r="J408" s="47">
        <f t="shared" si="27"/>
        <v>0.8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1274</v>
      </c>
      <c r="AE408" s="21" t="s">
        <v>1274</v>
      </c>
      <c r="AF408" s="21"/>
      <c r="AG408" s="21"/>
      <c r="AH408" s="21" t="s">
        <v>1274</v>
      </c>
      <c r="AI408" s="21" t="s">
        <v>1274</v>
      </c>
      <c r="AJ408" s="21"/>
      <c r="AK408" s="21" t="s">
        <v>1274</v>
      </c>
      <c r="AL408" s="21" t="s">
        <v>1274</v>
      </c>
      <c r="AM408" s="21"/>
      <c r="AN408" s="21"/>
      <c r="AO408" s="21" t="s">
        <v>1274</v>
      </c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25</v>
      </c>
      <c r="I409" s="46">
        <f t="shared" si="26"/>
        <v>3</v>
      </c>
      <c r="J409" s="47">
        <f t="shared" si="27"/>
        <v>0.8928571428571429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1274</v>
      </c>
      <c r="X409" s="21" t="s">
        <v>1274</v>
      </c>
      <c r="Y409" s="21"/>
      <c r="Z409" s="21"/>
      <c r="AA409" s="21"/>
      <c r="AB409" s="21"/>
      <c r="AC409" s="21"/>
      <c r="AD409" s="21"/>
      <c r="AE409" s="21"/>
      <c r="AF409" s="21" t="s">
        <v>1274</v>
      </c>
      <c r="AG409" s="21"/>
      <c r="AH409" s="21"/>
      <c r="AI409" s="21"/>
      <c r="AJ409" s="21"/>
      <c r="AK409" s="21"/>
      <c r="AL409" s="21"/>
      <c r="AM409" s="21" t="s">
        <v>1274</v>
      </c>
      <c r="AN409" s="21" t="s">
        <v>1274</v>
      </c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25</v>
      </c>
      <c r="I410" s="46">
        <f t="shared" si="26"/>
        <v>3</v>
      </c>
      <c r="J410" s="47">
        <f t="shared" si="27"/>
        <v>0.8928571428571429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1274</v>
      </c>
      <c r="X410" s="21" t="s">
        <v>1274</v>
      </c>
      <c r="Y410" s="21"/>
      <c r="Z410" s="21"/>
      <c r="AA410" s="21"/>
      <c r="AB410" s="21"/>
      <c r="AC410" s="21"/>
      <c r="AD410" s="21"/>
      <c r="AE410" s="21"/>
      <c r="AF410" s="21" t="s">
        <v>1274</v>
      </c>
      <c r="AG410" s="21"/>
      <c r="AH410" s="21"/>
      <c r="AI410" s="21"/>
      <c r="AJ410" s="21"/>
      <c r="AK410" s="21"/>
      <c r="AL410" s="21"/>
      <c r="AM410" s="21" t="s">
        <v>1274</v>
      </c>
      <c r="AN410" s="21" t="s">
        <v>1274</v>
      </c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19</v>
      </c>
      <c r="I420" s="46">
        <f t="shared" si="26"/>
        <v>9</v>
      </c>
      <c r="J420" s="47">
        <f t="shared" si="27"/>
        <v>0.6785714285714286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1274</v>
      </c>
      <c r="AE420" s="21" t="s">
        <v>1274</v>
      </c>
      <c r="AF420" s="21" t="s">
        <v>1274</v>
      </c>
      <c r="AG420" s="21" t="s">
        <v>1274</v>
      </c>
      <c r="AH420" s="21" t="s">
        <v>1274</v>
      </c>
      <c r="AI420" s="21" t="s">
        <v>1274</v>
      </c>
      <c r="AJ420" s="21" t="s">
        <v>1274</v>
      </c>
      <c r="AK420" s="21" t="s">
        <v>1274</v>
      </c>
      <c r="AL420" s="21" t="s">
        <v>1274</v>
      </c>
      <c r="AM420" s="21" t="s">
        <v>1274</v>
      </c>
      <c r="AN420" s="21" t="s">
        <v>1274</v>
      </c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1274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1274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1274</v>
      </c>
      <c r="Y427" s="21"/>
      <c r="Z427" s="21" t="s">
        <v>1274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1274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1274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1274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1274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1274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1274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1274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1274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1274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AO106:AO260 J116:AN204 L409:AF434 J396:J434 K15:AO22 J4:J22 AO264:AO405 J264:AN307 J261:AO263 L317:AN353 J354:AN377 R378:AN391 AG396:AN405 R205:AN260 J23:AO10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E426:G426 E428:G1048576 E1:G415">
    <cfRule type="containsText" dxfId="715" priority="566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116:AN160 K5:AO6 K14:AI14 AK14:AO14 K8:AO13 K308:K353 L161:AN204 K161:K260 AO106:AO260 K435:AO1048576 AO264:AO434 K261:AO263 L317:AN353 K354:AN377 R378:AN391 R394:AN408 K409:AN434 R205:AN260 K15:AO103">
    <cfRule type="notContainsText" dxfId="714" priority="564" operator="notContains" text="Caida">
      <formula>ISERROR(SEARCH("Caida",K5))</formula>
    </cfRule>
    <cfRule type="containsText" dxfId="713" priority="565" operator="containsText" text="Caida">
      <formula>NOT(ISERROR(SEARCH("Caida",K5)))</formula>
    </cfRule>
  </conditionalFormatting>
  <conditionalFormatting sqref="L382">
    <cfRule type="cellIs" dxfId="712" priority="525" operator="lessThan">
      <formula>0.8</formula>
    </cfRule>
    <cfRule type="cellIs" dxfId="711" priority="526" operator="greaterThan">
      <formula>0.8</formula>
    </cfRule>
  </conditionalFormatting>
  <conditionalFormatting sqref="L382">
    <cfRule type="notContainsText" dxfId="710" priority="523" operator="notContains" text="Caida">
      <formula>ISERROR(SEARCH("Caida",L382))</formula>
    </cfRule>
    <cfRule type="containsText" dxfId="709" priority="524" operator="containsText" text="Caida">
      <formula>NOT(ISERROR(SEARCH("Caida",L382)))</formula>
    </cfRule>
  </conditionalFormatting>
  <conditionalFormatting sqref="L73">
    <cfRule type="containsText" dxfId="708" priority="563" operator="containsText" text="Instaladas en Funcionamiento Caida">
      <formula>NOT(ISERROR(SEARCH("Instaladas en Funcionamiento Caida",L73)))</formula>
    </cfRule>
  </conditionalFormatting>
  <conditionalFormatting sqref="L310">
    <cfRule type="cellIs" dxfId="707" priority="561" operator="lessThan">
      <formula>0.8</formula>
    </cfRule>
    <cfRule type="cellIs" dxfId="706" priority="562" operator="greaterThan">
      <formula>0.8</formula>
    </cfRule>
  </conditionalFormatting>
  <conditionalFormatting sqref="L310">
    <cfRule type="notContainsText" dxfId="705" priority="559" operator="notContains" text="Caida">
      <formula>ISERROR(SEARCH("Caida",L310))</formula>
    </cfRule>
    <cfRule type="containsText" dxfId="704" priority="560" operator="containsText" text="Caida">
      <formula>NOT(ISERROR(SEARCH("Caida",L310)))</formula>
    </cfRule>
  </conditionalFormatting>
  <conditionalFormatting sqref="L311:L312">
    <cfRule type="cellIs" dxfId="703" priority="557" operator="lessThan">
      <formula>0.8</formula>
    </cfRule>
    <cfRule type="cellIs" dxfId="702" priority="558" operator="greaterThan">
      <formula>0.8</formula>
    </cfRule>
  </conditionalFormatting>
  <conditionalFormatting sqref="L311:L312">
    <cfRule type="notContainsText" dxfId="701" priority="555" operator="notContains" text="Caida">
      <formula>ISERROR(SEARCH("Caida",L311))</formula>
    </cfRule>
    <cfRule type="containsText" dxfId="700" priority="556" operator="containsText" text="Caida">
      <formula>NOT(ISERROR(SEARCH("Caida",L311)))</formula>
    </cfRule>
  </conditionalFormatting>
  <conditionalFormatting sqref="L7">
    <cfRule type="cellIs" dxfId="699" priority="553" operator="lessThan">
      <formula>0.8</formula>
    </cfRule>
    <cfRule type="cellIs" dxfId="698" priority="554" operator="greaterThan">
      <formula>0.8</formula>
    </cfRule>
  </conditionalFormatting>
  <conditionalFormatting sqref="L7">
    <cfRule type="notContainsText" dxfId="697" priority="551" operator="notContains" text="Caida">
      <formula>ISERROR(SEARCH("Caida",L7))</formula>
    </cfRule>
    <cfRule type="containsText" dxfId="696" priority="552" operator="containsText" text="Caida">
      <formula>NOT(ISERROR(SEARCH("Caida",L7)))</formula>
    </cfRule>
  </conditionalFormatting>
  <conditionalFormatting sqref="L250">
    <cfRule type="cellIs" dxfId="695" priority="549" operator="lessThan">
      <formula>0.8</formula>
    </cfRule>
    <cfRule type="cellIs" dxfId="694" priority="550" operator="greaterThan">
      <formula>0.8</formula>
    </cfRule>
  </conditionalFormatting>
  <conditionalFormatting sqref="L250">
    <cfRule type="notContainsText" dxfId="693" priority="547" operator="notContains" text="Caida">
      <formula>ISERROR(SEARCH("Caida",L250))</formula>
    </cfRule>
    <cfRule type="containsText" dxfId="692" priority="548" operator="containsText" text="Caida">
      <formula>NOT(ISERROR(SEARCH("Caida",L250)))</formula>
    </cfRule>
  </conditionalFormatting>
  <conditionalFormatting sqref="L251:L255">
    <cfRule type="cellIs" dxfId="691" priority="545" operator="lessThan">
      <formula>0.8</formula>
    </cfRule>
    <cfRule type="cellIs" dxfId="690" priority="546" operator="greaterThan">
      <formula>0.8</formula>
    </cfRule>
  </conditionalFormatting>
  <conditionalFormatting sqref="L251:L255">
    <cfRule type="notContainsText" dxfId="689" priority="543" operator="notContains" text="Caida">
      <formula>ISERROR(SEARCH("Caida",L251))</formula>
    </cfRule>
    <cfRule type="containsText" dxfId="688" priority="544" operator="containsText" text="Caida">
      <formula>NOT(ISERROR(SEARCH("Caida",L251)))</formula>
    </cfRule>
  </conditionalFormatting>
  <conditionalFormatting sqref="L256">
    <cfRule type="cellIs" dxfId="687" priority="541" operator="lessThan">
      <formula>0.8</formula>
    </cfRule>
    <cfRule type="cellIs" dxfId="686" priority="542" operator="greaterThan">
      <formula>0.8</formula>
    </cfRule>
  </conditionalFormatting>
  <conditionalFormatting sqref="L256">
    <cfRule type="notContainsText" dxfId="685" priority="539" operator="notContains" text="Caida">
      <formula>ISERROR(SEARCH("Caida",L256))</formula>
    </cfRule>
    <cfRule type="containsText" dxfId="684" priority="540" operator="containsText" text="Caida">
      <formula>NOT(ISERROR(SEARCH("Caida",L256)))</formula>
    </cfRule>
  </conditionalFormatting>
  <conditionalFormatting sqref="L257">
    <cfRule type="cellIs" dxfId="683" priority="537" operator="lessThan">
      <formula>0.8</formula>
    </cfRule>
    <cfRule type="cellIs" dxfId="682" priority="538" operator="greaterThan">
      <formula>0.8</formula>
    </cfRule>
  </conditionalFormatting>
  <conditionalFormatting sqref="L257">
    <cfRule type="notContainsText" dxfId="681" priority="535" operator="notContains" text="Caida">
      <formula>ISERROR(SEARCH("Caida",L257))</formula>
    </cfRule>
    <cfRule type="containsText" dxfId="680" priority="536" operator="containsText" text="Caida">
      <formula>NOT(ISERROR(SEARCH("Caida",L257)))</formula>
    </cfRule>
  </conditionalFormatting>
  <conditionalFormatting sqref="L258">
    <cfRule type="cellIs" dxfId="679" priority="533" operator="lessThan">
      <formula>0.8</formula>
    </cfRule>
    <cfRule type="cellIs" dxfId="678" priority="534" operator="greaterThan">
      <formula>0.8</formula>
    </cfRule>
  </conditionalFormatting>
  <conditionalFormatting sqref="L258">
    <cfRule type="notContainsText" dxfId="677" priority="531" operator="notContains" text="Caida">
      <formula>ISERROR(SEARCH("Caida",L258))</formula>
    </cfRule>
    <cfRule type="containsText" dxfId="676" priority="532" operator="containsText" text="Caida">
      <formula>NOT(ISERROR(SEARCH("Caida",L258)))</formula>
    </cfRule>
  </conditionalFormatting>
  <conditionalFormatting sqref="L381">
    <cfRule type="cellIs" dxfId="675" priority="529" operator="lessThan">
      <formula>0.8</formula>
    </cfRule>
    <cfRule type="cellIs" dxfId="674" priority="530" operator="greaterThan">
      <formula>0.8</formula>
    </cfRule>
  </conditionalFormatting>
  <conditionalFormatting sqref="L381">
    <cfRule type="notContainsText" dxfId="673" priority="527" operator="notContains" text="Caida">
      <formula>ISERROR(SEARCH("Caida",L381))</formula>
    </cfRule>
    <cfRule type="containsText" dxfId="672" priority="528" operator="containsText" text="Caida">
      <formula>NOT(ISERROR(SEARCH("Caida",L381)))</formula>
    </cfRule>
  </conditionalFormatting>
  <conditionalFormatting sqref="M382">
    <cfRule type="cellIs" dxfId="671" priority="484" operator="lessThan">
      <formula>0.8</formula>
    </cfRule>
    <cfRule type="cellIs" dxfId="670" priority="485" operator="greaterThan">
      <formula>0.8</formula>
    </cfRule>
  </conditionalFormatting>
  <conditionalFormatting sqref="M382">
    <cfRule type="notContainsText" dxfId="669" priority="482" operator="notContains" text="Caida">
      <formula>ISERROR(SEARCH("Caida",M382))</formula>
    </cfRule>
    <cfRule type="containsText" dxfId="668" priority="483" operator="containsText" text="Caida">
      <formula>NOT(ISERROR(SEARCH("Caida",M382)))</formula>
    </cfRule>
  </conditionalFormatting>
  <conditionalFormatting sqref="M73">
    <cfRule type="containsText" dxfId="667" priority="522" operator="containsText" text="Instaladas en Funcionamiento Caida">
      <formula>NOT(ISERROR(SEARCH("Instaladas en Funcionamiento Caida",M73)))</formula>
    </cfRule>
  </conditionalFormatting>
  <conditionalFormatting sqref="M310">
    <cfRule type="cellIs" dxfId="666" priority="520" operator="lessThan">
      <formula>0.8</formula>
    </cfRule>
    <cfRule type="cellIs" dxfId="665" priority="521" operator="greaterThan">
      <formula>0.8</formula>
    </cfRule>
  </conditionalFormatting>
  <conditionalFormatting sqref="M310">
    <cfRule type="notContainsText" dxfId="664" priority="518" operator="notContains" text="Caida">
      <formula>ISERROR(SEARCH("Caida",M310))</formula>
    </cfRule>
    <cfRule type="containsText" dxfId="663" priority="519" operator="containsText" text="Caida">
      <formula>NOT(ISERROR(SEARCH("Caida",M310)))</formula>
    </cfRule>
  </conditionalFormatting>
  <conditionalFormatting sqref="M311:M312">
    <cfRule type="cellIs" dxfId="662" priority="516" operator="lessThan">
      <formula>0.8</formula>
    </cfRule>
    <cfRule type="cellIs" dxfId="661" priority="517" operator="greaterThan">
      <formula>0.8</formula>
    </cfRule>
  </conditionalFormatting>
  <conditionalFormatting sqref="M311:M312">
    <cfRule type="notContainsText" dxfId="660" priority="514" operator="notContains" text="Caida">
      <formula>ISERROR(SEARCH("Caida",M311))</formula>
    </cfRule>
    <cfRule type="containsText" dxfId="659" priority="515" operator="containsText" text="Caida">
      <formula>NOT(ISERROR(SEARCH("Caida",M311)))</formula>
    </cfRule>
  </conditionalFormatting>
  <conditionalFormatting sqref="M7">
    <cfRule type="cellIs" dxfId="658" priority="512" operator="lessThan">
      <formula>0.8</formula>
    </cfRule>
    <cfRule type="cellIs" dxfId="657" priority="513" operator="greaterThan">
      <formula>0.8</formula>
    </cfRule>
  </conditionalFormatting>
  <conditionalFormatting sqref="M7">
    <cfRule type="notContainsText" dxfId="656" priority="510" operator="notContains" text="Caida">
      <formula>ISERROR(SEARCH("Caida",M7))</formula>
    </cfRule>
    <cfRule type="containsText" dxfId="655" priority="511" operator="containsText" text="Caida">
      <formula>NOT(ISERROR(SEARCH("Caida",M7)))</formula>
    </cfRule>
  </conditionalFormatting>
  <conditionalFormatting sqref="M250">
    <cfRule type="cellIs" dxfId="654" priority="508" operator="lessThan">
      <formula>0.8</formula>
    </cfRule>
    <cfRule type="cellIs" dxfId="653" priority="509" operator="greaterThan">
      <formula>0.8</formula>
    </cfRule>
  </conditionalFormatting>
  <conditionalFormatting sqref="M250">
    <cfRule type="notContainsText" dxfId="652" priority="506" operator="notContains" text="Caida">
      <formula>ISERROR(SEARCH("Caida",M250))</formula>
    </cfRule>
    <cfRule type="containsText" dxfId="651" priority="507" operator="containsText" text="Caida">
      <formula>NOT(ISERROR(SEARCH("Caida",M250)))</formula>
    </cfRule>
  </conditionalFormatting>
  <conditionalFormatting sqref="M251:M255">
    <cfRule type="cellIs" dxfId="650" priority="504" operator="lessThan">
      <formula>0.8</formula>
    </cfRule>
    <cfRule type="cellIs" dxfId="649" priority="505" operator="greaterThan">
      <formula>0.8</formula>
    </cfRule>
  </conditionalFormatting>
  <conditionalFormatting sqref="M251:M255">
    <cfRule type="notContainsText" dxfId="648" priority="502" operator="notContains" text="Caida">
      <formula>ISERROR(SEARCH("Caida",M251))</formula>
    </cfRule>
    <cfRule type="containsText" dxfId="647" priority="503" operator="containsText" text="Caida">
      <formula>NOT(ISERROR(SEARCH("Caida",M251)))</formula>
    </cfRule>
  </conditionalFormatting>
  <conditionalFormatting sqref="M256">
    <cfRule type="cellIs" dxfId="646" priority="500" operator="lessThan">
      <formula>0.8</formula>
    </cfRule>
    <cfRule type="cellIs" dxfId="645" priority="501" operator="greaterThan">
      <formula>0.8</formula>
    </cfRule>
  </conditionalFormatting>
  <conditionalFormatting sqref="M256">
    <cfRule type="notContainsText" dxfId="644" priority="498" operator="notContains" text="Caida">
      <formula>ISERROR(SEARCH("Caida",M256))</formula>
    </cfRule>
    <cfRule type="containsText" dxfId="643" priority="499" operator="containsText" text="Caida">
      <formula>NOT(ISERROR(SEARCH("Caida",M256)))</formula>
    </cfRule>
  </conditionalFormatting>
  <conditionalFormatting sqref="M257">
    <cfRule type="cellIs" dxfId="642" priority="496" operator="lessThan">
      <formula>0.8</formula>
    </cfRule>
    <cfRule type="cellIs" dxfId="641" priority="497" operator="greaterThan">
      <formula>0.8</formula>
    </cfRule>
  </conditionalFormatting>
  <conditionalFormatting sqref="M257">
    <cfRule type="notContainsText" dxfId="640" priority="494" operator="notContains" text="Caida">
      <formula>ISERROR(SEARCH("Caida",M257))</formula>
    </cfRule>
    <cfRule type="containsText" dxfId="639" priority="495" operator="containsText" text="Caida">
      <formula>NOT(ISERROR(SEARCH("Caida",M257)))</formula>
    </cfRule>
  </conditionalFormatting>
  <conditionalFormatting sqref="M258">
    <cfRule type="cellIs" dxfId="638" priority="492" operator="lessThan">
      <formula>0.8</formula>
    </cfRule>
    <cfRule type="cellIs" dxfId="637" priority="493" operator="greaterThan">
      <formula>0.8</formula>
    </cfRule>
  </conditionalFormatting>
  <conditionalFormatting sqref="M258">
    <cfRule type="notContainsText" dxfId="636" priority="490" operator="notContains" text="Caida">
      <formula>ISERROR(SEARCH("Caida",M258))</formula>
    </cfRule>
    <cfRule type="containsText" dxfId="635" priority="491" operator="containsText" text="Caida">
      <formula>NOT(ISERROR(SEARCH("Caida",M258)))</formula>
    </cfRule>
  </conditionalFormatting>
  <conditionalFormatting sqref="M381">
    <cfRule type="cellIs" dxfId="634" priority="488" operator="lessThan">
      <formula>0.8</formula>
    </cfRule>
    <cfRule type="cellIs" dxfId="633" priority="489" operator="greaterThan">
      <formula>0.8</formula>
    </cfRule>
  </conditionalFormatting>
  <conditionalFormatting sqref="M381">
    <cfRule type="notContainsText" dxfId="632" priority="486" operator="notContains" text="Caida">
      <formula>ISERROR(SEARCH("Caida",M381))</formula>
    </cfRule>
    <cfRule type="containsText" dxfId="631" priority="487" operator="containsText" text="Caida">
      <formula>NOT(ISERROR(SEARCH("Caida",M381)))</formula>
    </cfRule>
  </conditionalFormatting>
  <conditionalFormatting sqref="N382:P382">
    <cfRule type="cellIs" dxfId="630" priority="443" operator="lessThan">
      <formula>0.8</formula>
    </cfRule>
    <cfRule type="cellIs" dxfId="629" priority="444" operator="greaterThan">
      <formula>0.8</formula>
    </cfRule>
  </conditionalFormatting>
  <conditionalFormatting sqref="N382:P382">
    <cfRule type="notContainsText" dxfId="628" priority="441" operator="notContains" text="Caida">
      <formula>ISERROR(SEARCH("Caida",N382))</formula>
    </cfRule>
    <cfRule type="containsText" dxfId="627" priority="442" operator="containsText" text="Caida">
      <formula>NOT(ISERROR(SEARCH("Caida",N382)))</formula>
    </cfRule>
  </conditionalFormatting>
  <conditionalFormatting sqref="N73:P73">
    <cfRule type="containsText" dxfId="626" priority="481" operator="containsText" text="Instaladas en Funcionamiento Caida">
      <formula>NOT(ISERROR(SEARCH("Instaladas en Funcionamiento Caida",N73)))</formula>
    </cfRule>
  </conditionalFormatting>
  <conditionalFormatting sqref="N310:P310">
    <cfRule type="cellIs" dxfId="625" priority="479" operator="lessThan">
      <formula>0.8</formula>
    </cfRule>
    <cfRule type="cellIs" dxfId="624" priority="480" operator="greaterThan">
      <formula>0.8</formula>
    </cfRule>
  </conditionalFormatting>
  <conditionalFormatting sqref="N310:P310">
    <cfRule type="notContainsText" dxfId="623" priority="477" operator="notContains" text="Caida">
      <formula>ISERROR(SEARCH("Caida",N310))</formula>
    </cfRule>
    <cfRule type="containsText" dxfId="622" priority="478" operator="containsText" text="Caida">
      <formula>NOT(ISERROR(SEARCH("Caida",N310)))</formula>
    </cfRule>
  </conditionalFormatting>
  <conditionalFormatting sqref="N311:P312">
    <cfRule type="cellIs" dxfId="621" priority="475" operator="lessThan">
      <formula>0.8</formula>
    </cfRule>
    <cfRule type="cellIs" dxfId="620" priority="476" operator="greaterThan">
      <formula>0.8</formula>
    </cfRule>
  </conditionalFormatting>
  <conditionalFormatting sqref="N311:P312">
    <cfRule type="notContainsText" dxfId="619" priority="473" operator="notContains" text="Caida">
      <formula>ISERROR(SEARCH("Caida",N311))</formula>
    </cfRule>
    <cfRule type="containsText" dxfId="618" priority="474" operator="containsText" text="Caida">
      <formula>NOT(ISERROR(SEARCH("Caida",N311)))</formula>
    </cfRule>
  </conditionalFormatting>
  <conditionalFormatting sqref="N7:P7">
    <cfRule type="cellIs" dxfId="617" priority="471" operator="lessThan">
      <formula>0.8</formula>
    </cfRule>
    <cfRule type="cellIs" dxfId="616" priority="472" operator="greaterThan">
      <formula>0.8</formula>
    </cfRule>
  </conditionalFormatting>
  <conditionalFormatting sqref="N7:P7">
    <cfRule type="notContainsText" dxfId="615" priority="469" operator="notContains" text="Caida">
      <formula>ISERROR(SEARCH("Caida",N7))</formula>
    </cfRule>
    <cfRule type="containsText" dxfId="614" priority="470" operator="containsText" text="Caida">
      <formula>NOT(ISERROR(SEARCH("Caida",N7)))</formula>
    </cfRule>
  </conditionalFormatting>
  <conditionalFormatting sqref="N250:P250">
    <cfRule type="cellIs" dxfId="613" priority="467" operator="lessThan">
      <formula>0.8</formula>
    </cfRule>
    <cfRule type="cellIs" dxfId="612" priority="468" operator="greaterThan">
      <formula>0.8</formula>
    </cfRule>
  </conditionalFormatting>
  <conditionalFormatting sqref="N250:P250">
    <cfRule type="notContainsText" dxfId="611" priority="465" operator="notContains" text="Caida">
      <formula>ISERROR(SEARCH("Caida",N250))</formula>
    </cfRule>
    <cfRule type="containsText" dxfId="610" priority="466" operator="containsText" text="Caida">
      <formula>NOT(ISERROR(SEARCH("Caida",N250)))</formula>
    </cfRule>
  </conditionalFormatting>
  <conditionalFormatting sqref="N251:P255">
    <cfRule type="cellIs" dxfId="609" priority="463" operator="lessThan">
      <formula>0.8</formula>
    </cfRule>
    <cfRule type="cellIs" dxfId="608" priority="464" operator="greaterThan">
      <formula>0.8</formula>
    </cfRule>
  </conditionalFormatting>
  <conditionalFormatting sqref="N251:P255">
    <cfRule type="notContainsText" dxfId="607" priority="461" operator="notContains" text="Caida">
      <formula>ISERROR(SEARCH("Caida",N251))</formula>
    </cfRule>
    <cfRule type="containsText" dxfId="606" priority="462" operator="containsText" text="Caida">
      <formula>NOT(ISERROR(SEARCH("Caida",N251)))</formula>
    </cfRule>
  </conditionalFormatting>
  <conditionalFormatting sqref="N256:P256">
    <cfRule type="cellIs" dxfId="605" priority="459" operator="lessThan">
      <formula>0.8</formula>
    </cfRule>
    <cfRule type="cellIs" dxfId="604" priority="460" operator="greaterThan">
      <formula>0.8</formula>
    </cfRule>
  </conditionalFormatting>
  <conditionalFormatting sqref="N256:P256">
    <cfRule type="notContainsText" dxfId="603" priority="457" operator="notContains" text="Caida">
      <formula>ISERROR(SEARCH("Caida",N256))</formula>
    </cfRule>
    <cfRule type="containsText" dxfId="602" priority="458" operator="containsText" text="Caida">
      <formula>NOT(ISERROR(SEARCH("Caida",N256)))</formula>
    </cfRule>
  </conditionalFormatting>
  <conditionalFormatting sqref="N257:P257">
    <cfRule type="cellIs" dxfId="601" priority="455" operator="lessThan">
      <formula>0.8</formula>
    </cfRule>
    <cfRule type="cellIs" dxfId="600" priority="456" operator="greaterThan">
      <formula>0.8</formula>
    </cfRule>
  </conditionalFormatting>
  <conditionalFormatting sqref="N257:P257">
    <cfRule type="notContainsText" dxfId="599" priority="453" operator="notContains" text="Caida">
      <formula>ISERROR(SEARCH("Caida",N257))</formula>
    </cfRule>
    <cfRule type="containsText" dxfId="598" priority="454" operator="containsText" text="Caida">
      <formula>NOT(ISERROR(SEARCH("Caida",N257)))</formula>
    </cfRule>
  </conditionalFormatting>
  <conditionalFormatting sqref="N258:P258">
    <cfRule type="cellIs" dxfId="597" priority="451" operator="lessThan">
      <formula>0.8</formula>
    </cfRule>
    <cfRule type="cellIs" dxfId="596" priority="452" operator="greaterThan">
      <formula>0.8</formula>
    </cfRule>
  </conditionalFormatting>
  <conditionalFormatting sqref="N258:P258">
    <cfRule type="notContainsText" dxfId="595" priority="449" operator="notContains" text="Caida">
      <formula>ISERROR(SEARCH("Caida",N258))</formula>
    </cfRule>
    <cfRule type="containsText" dxfId="594" priority="450" operator="containsText" text="Caida">
      <formula>NOT(ISERROR(SEARCH("Caida",N258)))</formula>
    </cfRule>
  </conditionalFormatting>
  <conditionalFormatting sqref="N381:P381">
    <cfRule type="cellIs" dxfId="593" priority="447" operator="lessThan">
      <formula>0.8</formula>
    </cfRule>
    <cfRule type="cellIs" dxfId="592" priority="448" operator="greaterThan">
      <formula>0.8</formula>
    </cfRule>
  </conditionalFormatting>
  <conditionalFormatting sqref="N381:P381">
    <cfRule type="notContainsText" dxfId="591" priority="445" operator="notContains" text="Caida">
      <formula>ISERROR(SEARCH("Caida",N381))</formula>
    </cfRule>
    <cfRule type="containsText" dxfId="590" priority="446" operator="containsText" text="Caida">
      <formula>NOT(ISERROR(SEARCH("Caida",N381)))</formula>
    </cfRule>
  </conditionalFormatting>
  <conditionalFormatting sqref="L104:L106">
    <cfRule type="cellIs" dxfId="589" priority="439" operator="lessThan">
      <formula>0.8</formula>
    </cfRule>
    <cfRule type="cellIs" dxfId="588" priority="440" operator="greaterThan">
      <formula>0.8</formula>
    </cfRule>
  </conditionalFormatting>
  <conditionalFormatting sqref="L104:L106">
    <cfRule type="notContainsText" dxfId="587" priority="437" operator="notContains" text="Caida">
      <formula>ISERROR(SEARCH("Caida",L104))</formula>
    </cfRule>
    <cfRule type="containsText" dxfId="586" priority="438" operator="containsText" text="Caida">
      <formula>NOT(ISERROR(SEARCH("Caida",L104)))</formula>
    </cfRule>
  </conditionalFormatting>
  <conditionalFormatting sqref="M104:M106">
    <cfRule type="cellIs" dxfId="585" priority="435" operator="lessThan">
      <formula>0.8</formula>
    </cfRule>
    <cfRule type="cellIs" dxfId="584" priority="436" operator="greaterThan">
      <formula>0.8</formula>
    </cfRule>
  </conditionalFormatting>
  <conditionalFormatting sqref="M104:M106">
    <cfRule type="notContainsText" dxfId="583" priority="433" operator="notContains" text="Caida">
      <formula>ISERROR(SEARCH("Caida",M104))</formula>
    </cfRule>
    <cfRule type="containsText" dxfId="582" priority="434" operator="containsText" text="Caida">
      <formula>NOT(ISERROR(SEARCH("Caida",M104)))</formula>
    </cfRule>
  </conditionalFormatting>
  <conditionalFormatting sqref="N104:N106">
    <cfRule type="cellIs" dxfId="581" priority="431" operator="lessThan">
      <formula>0.8</formula>
    </cfRule>
    <cfRule type="cellIs" dxfId="580" priority="432" operator="greaterThan">
      <formula>0.8</formula>
    </cfRule>
  </conditionalFormatting>
  <conditionalFormatting sqref="N104:N106">
    <cfRule type="notContainsText" dxfId="579" priority="429" operator="notContains" text="Caida">
      <formula>ISERROR(SEARCH("Caida",N104))</formula>
    </cfRule>
    <cfRule type="containsText" dxfId="578" priority="430" operator="containsText" text="Caida">
      <formula>NOT(ISERROR(SEARCH("Caida",N104)))</formula>
    </cfRule>
  </conditionalFormatting>
  <conditionalFormatting sqref="L403">
    <cfRule type="cellIs" dxfId="577" priority="427" operator="lessThan">
      <formula>0.8</formula>
    </cfRule>
    <cfRule type="cellIs" dxfId="576" priority="428" operator="greaterThan">
      <formula>0.8</formula>
    </cfRule>
  </conditionalFormatting>
  <conditionalFormatting sqref="L403">
    <cfRule type="notContainsText" dxfId="575" priority="425" operator="notContains" text="Caida">
      <formula>ISERROR(SEARCH("Caida",L403))</formula>
    </cfRule>
    <cfRule type="containsText" dxfId="574" priority="426" operator="containsText" text="Caida">
      <formula>NOT(ISERROR(SEARCH("Caida",L403)))</formula>
    </cfRule>
  </conditionalFormatting>
  <conditionalFormatting sqref="M403">
    <cfRule type="cellIs" dxfId="573" priority="423" operator="lessThan">
      <formula>0.8</formula>
    </cfRule>
    <cfRule type="cellIs" dxfId="572" priority="424" operator="greaterThan">
      <formula>0.8</formula>
    </cfRule>
  </conditionalFormatting>
  <conditionalFormatting sqref="M403">
    <cfRule type="notContainsText" dxfId="571" priority="421" operator="notContains" text="Caida">
      <formula>ISERROR(SEARCH("Caida",M403))</formula>
    </cfRule>
    <cfRule type="containsText" dxfId="570" priority="422" operator="containsText" text="Caida">
      <formula>NOT(ISERROR(SEARCH("Caida",M403)))</formula>
    </cfRule>
  </conditionalFormatting>
  <conditionalFormatting sqref="N403:P403">
    <cfRule type="cellIs" dxfId="569" priority="419" operator="lessThan">
      <formula>0.8</formula>
    </cfRule>
    <cfRule type="cellIs" dxfId="568" priority="420" operator="greaterThan">
      <formula>0.8</formula>
    </cfRule>
  </conditionalFormatting>
  <conditionalFormatting sqref="N403:P403">
    <cfRule type="notContainsText" dxfId="567" priority="417" operator="notContains" text="Caida">
      <formula>ISERROR(SEARCH("Caida",N403))</formula>
    </cfRule>
    <cfRule type="containsText" dxfId="566" priority="418" operator="containsText" text="Caida">
      <formula>NOT(ISERROR(SEARCH("Caida",N403)))</formula>
    </cfRule>
  </conditionalFormatting>
  <conditionalFormatting sqref="L404">
    <cfRule type="cellIs" dxfId="565" priority="415" operator="lessThan">
      <formula>0.8</formula>
    </cfRule>
    <cfRule type="cellIs" dxfId="564" priority="416" operator="greaterThan">
      <formula>0.8</formula>
    </cfRule>
  </conditionalFormatting>
  <conditionalFormatting sqref="L404">
    <cfRule type="notContainsText" dxfId="563" priority="413" operator="notContains" text="Caida">
      <formula>ISERROR(SEARCH("Caida",L404))</formula>
    </cfRule>
    <cfRule type="containsText" dxfId="562" priority="414" operator="containsText" text="Caida">
      <formula>NOT(ISERROR(SEARCH("Caida",L404)))</formula>
    </cfRule>
  </conditionalFormatting>
  <conditionalFormatting sqref="M404">
    <cfRule type="cellIs" dxfId="561" priority="411" operator="lessThan">
      <formula>0.8</formula>
    </cfRule>
    <cfRule type="cellIs" dxfId="560" priority="412" operator="greaterThan">
      <formula>0.8</formula>
    </cfRule>
  </conditionalFormatting>
  <conditionalFormatting sqref="M404">
    <cfRule type="notContainsText" dxfId="559" priority="409" operator="notContains" text="Caida">
      <formula>ISERROR(SEARCH("Caida",M404))</formula>
    </cfRule>
    <cfRule type="containsText" dxfId="558" priority="410" operator="containsText" text="Caida">
      <formula>NOT(ISERROR(SEARCH("Caida",M404)))</formula>
    </cfRule>
  </conditionalFormatting>
  <conditionalFormatting sqref="N404:P404">
    <cfRule type="cellIs" dxfId="557" priority="407" operator="lessThan">
      <formula>0.8</formula>
    </cfRule>
    <cfRule type="cellIs" dxfId="556" priority="408" operator="greaterThan">
      <formula>0.8</formula>
    </cfRule>
  </conditionalFormatting>
  <conditionalFormatting sqref="N404:P404">
    <cfRule type="notContainsText" dxfId="555" priority="405" operator="notContains" text="Caida">
      <formula>ISERROR(SEARCH("Caida",N404))</formula>
    </cfRule>
    <cfRule type="containsText" dxfId="554" priority="406" operator="containsText" text="Caida">
      <formula>NOT(ISERROR(SEARCH("Caida",N404)))</formula>
    </cfRule>
  </conditionalFormatting>
  <conditionalFormatting sqref="L405">
    <cfRule type="cellIs" dxfId="553" priority="403" operator="lessThan">
      <formula>0.8</formula>
    </cfRule>
    <cfRule type="cellIs" dxfId="552" priority="404" operator="greaterThan">
      <formula>0.8</formula>
    </cfRule>
  </conditionalFormatting>
  <conditionalFormatting sqref="L405">
    <cfRule type="notContainsText" dxfId="551" priority="401" operator="notContains" text="Caida">
      <formula>ISERROR(SEARCH("Caida",L405))</formula>
    </cfRule>
    <cfRule type="containsText" dxfId="550" priority="402" operator="containsText" text="Caida">
      <formula>NOT(ISERROR(SEARCH("Caida",L405)))</formula>
    </cfRule>
  </conditionalFormatting>
  <conditionalFormatting sqref="M405">
    <cfRule type="cellIs" dxfId="549" priority="399" operator="lessThan">
      <formula>0.8</formula>
    </cfRule>
    <cfRule type="cellIs" dxfId="548" priority="400" operator="greaterThan">
      <formula>0.8</formula>
    </cfRule>
  </conditionalFormatting>
  <conditionalFormatting sqref="M405">
    <cfRule type="notContainsText" dxfId="547" priority="397" operator="notContains" text="Caida">
      <formula>ISERROR(SEARCH("Caida",M405))</formula>
    </cfRule>
    <cfRule type="containsText" dxfId="546" priority="398" operator="containsText" text="Caida">
      <formula>NOT(ISERROR(SEARCH("Caida",M405)))</formula>
    </cfRule>
  </conditionalFormatting>
  <conditionalFormatting sqref="N405:P405">
    <cfRule type="cellIs" dxfId="545" priority="395" operator="lessThan">
      <formula>0.8</formula>
    </cfRule>
    <cfRule type="cellIs" dxfId="544" priority="396" operator="greaterThan">
      <formula>0.8</formula>
    </cfRule>
  </conditionalFormatting>
  <conditionalFormatting sqref="N405:P405">
    <cfRule type="notContainsText" dxfId="543" priority="393" operator="notContains" text="Caida">
      <formula>ISERROR(SEARCH("Caida",N405))</formula>
    </cfRule>
    <cfRule type="containsText" dxfId="542" priority="394" operator="containsText" text="Caida">
      <formula>NOT(ISERROR(SEARCH("Caida",N405)))</formula>
    </cfRule>
  </conditionalFormatting>
  <conditionalFormatting sqref="Q250">
    <cfRule type="cellIs" dxfId="541" priority="366" operator="lessThan">
      <formula>0.8</formula>
    </cfRule>
    <cfRule type="cellIs" dxfId="540" priority="367" operator="greaterThan">
      <formula>0.8</formula>
    </cfRule>
  </conditionalFormatting>
  <conditionalFormatting sqref="Q250">
    <cfRule type="notContainsText" dxfId="539" priority="364" operator="notContains" text="Caida">
      <formula>ISERROR(SEARCH("Caida",Q250))</formula>
    </cfRule>
    <cfRule type="containsText" dxfId="538" priority="365" operator="containsText" text="Caida">
      <formula>NOT(ISERROR(SEARCH("Caida",Q250)))</formula>
    </cfRule>
  </conditionalFormatting>
  <conditionalFormatting sqref="Q251:Q255">
    <cfRule type="cellIs" dxfId="537" priority="362" operator="lessThan">
      <formula>0.8</formula>
    </cfRule>
    <cfRule type="cellIs" dxfId="536" priority="363" operator="greaterThan">
      <formula>0.8</formula>
    </cfRule>
  </conditionalFormatting>
  <conditionalFormatting sqref="Q251:Q255">
    <cfRule type="notContainsText" dxfId="535" priority="360" operator="notContains" text="Caida">
      <formula>ISERROR(SEARCH("Caida",Q251))</formula>
    </cfRule>
    <cfRule type="containsText" dxfId="534" priority="361" operator="containsText" text="Caida">
      <formula>NOT(ISERROR(SEARCH("Caida",Q251)))</formula>
    </cfRule>
  </conditionalFormatting>
  <conditionalFormatting sqref="L406:L408">
    <cfRule type="cellIs" dxfId="533" priority="391" operator="lessThan">
      <formula>0.8</formula>
    </cfRule>
    <cfRule type="cellIs" dxfId="532" priority="392" operator="greaterThan">
      <formula>0.8</formula>
    </cfRule>
  </conditionalFormatting>
  <conditionalFormatting sqref="L406:L408">
    <cfRule type="notContainsText" dxfId="531" priority="389" operator="notContains" text="Caida">
      <formula>ISERROR(SEARCH("Caida",L406))</formula>
    </cfRule>
    <cfRule type="containsText" dxfId="530" priority="390" operator="containsText" text="Caida">
      <formula>NOT(ISERROR(SEARCH("Caida",L406)))</formula>
    </cfRule>
  </conditionalFormatting>
  <conditionalFormatting sqref="M406:M408">
    <cfRule type="cellIs" dxfId="529" priority="387" operator="lessThan">
      <formula>0.8</formula>
    </cfRule>
    <cfRule type="cellIs" dxfId="528" priority="388" operator="greaterThan">
      <formula>0.8</formula>
    </cfRule>
  </conditionalFormatting>
  <conditionalFormatting sqref="M406:M408">
    <cfRule type="notContainsText" dxfId="527" priority="385" operator="notContains" text="Caida">
      <formula>ISERROR(SEARCH("Caida",M406))</formula>
    </cfRule>
    <cfRule type="containsText" dxfId="526" priority="386" operator="containsText" text="Caida">
      <formula>NOT(ISERROR(SEARCH("Caida",M406)))</formula>
    </cfRule>
  </conditionalFormatting>
  <conditionalFormatting sqref="N406:P406">
    <cfRule type="cellIs" dxfId="525" priority="383" operator="lessThan">
      <formula>0.8</formula>
    </cfRule>
    <cfRule type="cellIs" dxfId="524" priority="384" operator="greaterThan">
      <formula>0.8</formula>
    </cfRule>
  </conditionalFormatting>
  <conditionalFormatting sqref="N406:P406">
    <cfRule type="notContainsText" dxfId="523" priority="381" operator="notContains" text="Caida">
      <formula>ISERROR(SEARCH("Caida",N406))</formula>
    </cfRule>
    <cfRule type="containsText" dxfId="522" priority="382" operator="containsText" text="Caida">
      <formula>NOT(ISERROR(SEARCH("Caida",N406)))</formula>
    </cfRule>
  </conditionalFormatting>
  <conditionalFormatting sqref="Q404">
    <cfRule type="cellIs" dxfId="521" priority="330" operator="lessThan">
      <formula>0.8</formula>
    </cfRule>
    <cfRule type="cellIs" dxfId="520" priority="331" operator="greaterThan">
      <formula>0.8</formula>
    </cfRule>
  </conditionalFormatting>
  <conditionalFormatting sqref="Q404">
    <cfRule type="notContainsText" dxfId="519" priority="328" operator="notContains" text="Caida">
      <formula>ISERROR(SEARCH("Caida",Q404))</formula>
    </cfRule>
    <cfRule type="containsText" dxfId="518" priority="329" operator="containsText" text="Caida">
      <formula>NOT(ISERROR(SEARCH("Caida",Q404)))</formula>
    </cfRule>
  </conditionalFormatting>
  <conditionalFormatting sqref="Q405">
    <cfRule type="cellIs" dxfId="517" priority="326" operator="lessThan">
      <formula>0.8</formula>
    </cfRule>
    <cfRule type="cellIs" dxfId="516" priority="327" operator="greaterThan">
      <formula>0.8</formula>
    </cfRule>
  </conditionalFormatting>
  <conditionalFormatting sqref="Q405">
    <cfRule type="notContainsText" dxfId="515" priority="324" operator="notContains" text="Caida">
      <formula>ISERROR(SEARCH("Caida",Q405))</formula>
    </cfRule>
    <cfRule type="containsText" dxfId="514" priority="325" operator="containsText" text="Caida">
      <formula>NOT(ISERROR(SEARCH("Caida",Q405)))</formula>
    </cfRule>
  </conditionalFormatting>
  <conditionalFormatting sqref="Q406:Q408">
    <cfRule type="cellIs" dxfId="513" priority="322" operator="lessThan">
      <formula>0.8</formula>
    </cfRule>
    <cfRule type="cellIs" dxfId="512" priority="323" operator="greaterThan">
      <formula>0.8</formula>
    </cfRule>
  </conditionalFormatting>
  <conditionalFormatting sqref="Q406:Q408">
    <cfRule type="notContainsText" dxfId="511" priority="320" operator="notContains" text="Caida">
      <formula>ISERROR(SEARCH("Caida",Q406))</formula>
    </cfRule>
    <cfRule type="containsText" dxfId="510" priority="321" operator="containsText" text="Caida">
      <formula>NOT(ISERROR(SEARCH("Caida",Q406)))</formula>
    </cfRule>
  </conditionalFormatting>
  <conditionalFormatting sqref="Q382">
    <cfRule type="cellIs" dxfId="509" priority="342" operator="lessThan">
      <formula>0.8</formula>
    </cfRule>
    <cfRule type="cellIs" dxfId="508" priority="343" operator="greaterThan">
      <formula>0.8</formula>
    </cfRule>
  </conditionalFormatting>
  <conditionalFormatting sqref="Q382">
    <cfRule type="notContainsText" dxfId="507" priority="340" operator="notContains" text="Caida">
      <formula>ISERROR(SEARCH("Caida",Q382))</formula>
    </cfRule>
    <cfRule type="containsText" dxfId="506" priority="341" operator="containsText" text="Caida">
      <formula>NOT(ISERROR(SEARCH("Caida",Q382)))</formula>
    </cfRule>
  </conditionalFormatting>
  <conditionalFormatting sqref="Q73">
    <cfRule type="containsText" dxfId="505" priority="380" operator="containsText" text="Instaladas en Funcionamiento Caida">
      <formula>NOT(ISERROR(SEARCH("Instaladas en Funcionamiento Caida",Q73)))</formula>
    </cfRule>
  </conditionalFormatting>
  <conditionalFormatting sqref="Q310">
    <cfRule type="cellIs" dxfId="504" priority="378" operator="lessThan">
      <formula>0.8</formula>
    </cfRule>
    <cfRule type="cellIs" dxfId="503" priority="379" operator="greaterThan">
      <formula>0.8</formula>
    </cfRule>
  </conditionalFormatting>
  <conditionalFormatting sqref="Q310">
    <cfRule type="notContainsText" dxfId="502" priority="376" operator="notContains" text="Caida">
      <formula>ISERROR(SEARCH("Caida",Q310))</formula>
    </cfRule>
    <cfRule type="containsText" dxfId="501" priority="377" operator="containsText" text="Caida">
      <formula>NOT(ISERROR(SEARCH("Caida",Q310)))</formula>
    </cfRule>
  </conditionalFormatting>
  <conditionalFormatting sqref="Q311:Q312">
    <cfRule type="cellIs" dxfId="500" priority="374" operator="lessThan">
      <formula>0.8</formula>
    </cfRule>
    <cfRule type="cellIs" dxfId="499" priority="375" operator="greaterThan">
      <formula>0.8</formula>
    </cfRule>
  </conditionalFormatting>
  <conditionalFormatting sqref="Q311:Q312">
    <cfRule type="notContainsText" dxfId="498" priority="372" operator="notContains" text="Caida">
      <formula>ISERROR(SEARCH("Caida",Q311))</formula>
    </cfRule>
    <cfRule type="containsText" dxfId="497" priority="373" operator="containsText" text="Caida">
      <formula>NOT(ISERROR(SEARCH("Caida",Q311)))</formula>
    </cfRule>
  </conditionalFormatting>
  <conditionalFormatting sqref="Q7">
    <cfRule type="cellIs" dxfId="496" priority="370" operator="lessThan">
      <formula>0.8</formula>
    </cfRule>
    <cfRule type="cellIs" dxfId="495" priority="371" operator="greaterThan">
      <formula>0.8</formula>
    </cfRule>
  </conditionalFormatting>
  <conditionalFormatting sqref="Q7">
    <cfRule type="notContainsText" dxfId="494" priority="368" operator="notContains" text="Caida">
      <formula>ISERROR(SEARCH("Caida",Q7))</formula>
    </cfRule>
    <cfRule type="containsText" dxfId="493" priority="369" operator="containsText" text="Caida">
      <formula>NOT(ISERROR(SEARCH("Caida",Q7)))</formula>
    </cfRule>
  </conditionalFormatting>
  <conditionalFormatting sqref="Q256">
    <cfRule type="cellIs" dxfId="492" priority="358" operator="lessThan">
      <formula>0.8</formula>
    </cfRule>
    <cfRule type="cellIs" dxfId="491" priority="359" operator="greaterThan">
      <formula>0.8</formula>
    </cfRule>
  </conditionalFormatting>
  <conditionalFormatting sqref="Q256">
    <cfRule type="notContainsText" dxfId="490" priority="356" operator="notContains" text="Caida">
      <formula>ISERROR(SEARCH("Caida",Q256))</formula>
    </cfRule>
    <cfRule type="containsText" dxfId="489" priority="357" operator="containsText" text="Caida">
      <formula>NOT(ISERROR(SEARCH("Caida",Q256)))</formula>
    </cfRule>
  </conditionalFormatting>
  <conditionalFormatting sqref="Q257">
    <cfRule type="cellIs" dxfId="488" priority="354" operator="lessThan">
      <formula>0.8</formula>
    </cfRule>
    <cfRule type="cellIs" dxfId="487" priority="355" operator="greaterThan">
      <formula>0.8</formula>
    </cfRule>
  </conditionalFormatting>
  <conditionalFormatting sqref="Q257">
    <cfRule type="notContainsText" dxfId="486" priority="352" operator="notContains" text="Caida">
      <formula>ISERROR(SEARCH("Caida",Q257))</formula>
    </cfRule>
    <cfRule type="containsText" dxfId="485" priority="353" operator="containsText" text="Caida">
      <formula>NOT(ISERROR(SEARCH("Caida",Q257)))</formula>
    </cfRule>
  </conditionalFormatting>
  <conditionalFormatting sqref="Q258">
    <cfRule type="cellIs" dxfId="484" priority="350" operator="lessThan">
      <formula>0.8</formula>
    </cfRule>
    <cfRule type="cellIs" dxfId="483" priority="351" operator="greaterThan">
      <formula>0.8</formula>
    </cfRule>
  </conditionalFormatting>
  <conditionalFormatting sqref="Q258">
    <cfRule type="notContainsText" dxfId="482" priority="348" operator="notContains" text="Caida">
      <formula>ISERROR(SEARCH("Caida",Q258))</formula>
    </cfRule>
    <cfRule type="containsText" dxfId="481" priority="349" operator="containsText" text="Caida">
      <formula>NOT(ISERROR(SEARCH("Caida",Q258)))</formula>
    </cfRule>
  </conditionalFormatting>
  <conditionalFormatting sqref="Q381">
    <cfRule type="cellIs" dxfId="480" priority="346" operator="lessThan">
      <formula>0.8</formula>
    </cfRule>
    <cfRule type="cellIs" dxfId="479" priority="347" operator="greaterThan">
      <formula>0.8</formula>
    </cfRule>
  </conditionalFormatting>
  <conditionalFormatting sqref="Q381">
    <cfRule type="notContainsText" dxfId="478" priority="344" operator="notContains" text="Caida">
      <formula>ISERROR(SEARCH("Caida",Q381))</formula>
    </cfRule>
    <cfRule type="containsText" dxfId="477" priority="345" operator="containsText" text="Caida">
      <formula>NOT(ISERROR(SEARCH("Caida",Q381)))</formula>
    </cfRule>
  </conditionalFormatting>
  <conditionalFormatting sqref="Q104:Q106">
    <cfRule type="cellIs" dxfId="476" priority="338" operator="lessThan">
      <formula>0.8</formula>
    </cfRule>
    <cfRule type="cellIs" dxfId="475" priority="339" operator="greaterThan">
      <formula>0.8</formula>
    </cfRule>
  </conditionalFormatting>
  <conditionalFormatting sqref="Q104:Q106">
    <cfRule type="notContainsText" dxfId="474" priority="336" operator="notContains" text="Caida">
      <formula>ISERROR(SEARCH("Caida",Q104))</formula>
    </cfRule>
    <cfRule type="containsText" dxfId="473" priority="337" operator="containsText" text="Caida">
      <formula>NOT(ISERROR(SEARCH("Caida",Q104)))</formula>
    </cfRule>
  </conditionalFormatting>
  <conditionalFormatting sqref="Q403">
    <cfRule type="cellIs" dxfId="472" priority="334" operator="lessThan">
      <formula>0.8</formula>
    </cfRule>
    <cfRule type="cellIs" dxfId="471" priority="335" operator="greaterThan">
      <formula>0.8</formula>
    </cfRule>
  </conditionalFormatting>
  <conditionalFormatting sqref="Q403">
    <cfRule type="notContainsText" dxfId="470" priority="332" operator="notContains" text="Caida">
      <formula>ISERROR(SEARCH("Caida",Q403))</formula>
    </cfRule>
    <cfRule type="containsText" dxfId="469" priority="333" operator="containsText" text="Caida">
      <formula>NOT(ISERROR(SEARCH("Caida",Q403)))</formula>
    </cfRule>
  </conditionalFormatting>
  <conditionalFormatting sqref="R73:T73 W73:AD73 AF73">
    <cfRule type="containsText" dxfId="468" priority="31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7" priority="317" operator="lessThan">
      <formula>0.8</formula>
    </cfRule>
    <cfRule type="cellIs" dxfId="466" priority="318" operator="greaterThan">
      <formula>0.8</formula>
    </cfRule>
  </conditionalFormatting>
  <conditionalFormatting sqref="R7:T7 W7:AD7 AF7">
    <cfRule type="notContainsText" dxfId="465" priority="315" operator="notContains" text="Caida">
      <formula>ISERROR(SEARCH("Caida",R7))</formula>
    </cfRule>
    <cfRule type="containsText" dxfId="464" priority="316" operator="containsText" text="Caida">
      <formula>NOT(ISERROR(SEARCH("Caida",R7)))</formula>
    </cfRule>
  </conditionalFormatting>
  <conditionalFormatting sqref="R104:T106">
    <cfRule type="cellIs" dxfId="463" priority="313" operator="lessThan">
      <formula>0.8</formula>
    </cfRule>
    <cfRule type="cellIs" dxfId="462" priority="314" operator="greaterThan">
      <formula>0.8</formula>
    </cfRule>
  </conditionalFormatting>
  <conditionalFormatting sqref="R104:T106">
    <cfRule type="notContainsText" dxfId="461" priority="311" operator="notContains" text="Caida">
      <formula>ISERROR(SEARCH("Caida",R104))</formula>
    </cfRule>
    <cfRule type="containsText" dxfId="460" priority="312" operator="containsText" text="Caida">
      <formula>NOT(ISERROR(SEARCH("Caida",R104)))</formula>
    </cfRule>
  </conditionalFormatting>
  <conditionalFormatting sqref="E426 E428:E1048576 E1:E408">
    <cfRule type="containsText" dxfId="459" priority="309" operator="containsText" text="fija">
      <formula>NOT(ISERROR(SEARCH("fija",E1)))</formula>
    </cfRule>
    <cfRule type="containsText" dxfId="458" priority="310" operator="containsText" text="domo">
      <formula>NOT(ISERROR(SEARCH("domo",E1)))</formula>
    </cfRule>
  </conditionalFormatting>
  <conditionalFormatting sqref="AG73:AO73">
    <cfRule type="containsText" dxfId="457" priority="308" operator="containsText" text="Instaladas en Funcionamiento Caida">
      <formula>NOT(ISERROR(SEARCH("Instaladas en Funcionamiento Caida",AG73)))</formula>
    </cfRule>
  </conditionalFormatting>
  <conditionalFormatting sqref="AG7:AO7">
    <cfRule type="cellIs" dxfId="456" priority="306" operator="lessThan">
      <formula>0.8</formula>
    </cfRule>
    <cfRule type="cellIs" dxfId="455" priority="307" operator="greaterThan">
      <formula>0.8</formula>
    </cfRule>
  </conditionalFormatting>
  <conditionalFormatting sqref="AG7:AO7">
    <cfRule type="notContainsText" dxfId="454" priority="304" operator="notContains" text="Caida">
      <formula>ISERROR(SEARCH("Caida",AG7))</formula>
    </cfRule>
    <cfRule type="containsText" dxfId="453" priority="305" operator="containsText" text="Caida">
      <formula>NOT(ISERROR(SEARCH("Caida",AG7)))</formula>
    </cfRule>
  </conditionalFormatting>
  <conditionalFormatting sqref="AG104:AL105">
    <cfRule type="cellIs" dxfId="452" priority="302" operator="lessThan">
      <formula>0.8</formula>
    </cfRule>
    <cfRule type="cellIs" dxfId="451" priority="303" operator="greaterThan">
      <formula>0.8</formula>
    </cfRule>
  </conditionalFormatting>
  <conditionalFormatting sqref="AG104:AL105">
    <cfRule type="notContainsText" dxfId="450" priority="300" operator="notContains" text="Caida">
      <formula>ISERROR(SEARCH("Caida",AG104))</formula>
    </cfRule>
    <cfRule type="containsText" dxfId="449" priority="301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48" priority="299" operator="equal">
      <formula>"APAGADO"</formula>
    </cfRule>
  </conditionalFormatting>
  <conditionalFormatting sqref="O104:O106">
    <cfRule type="cellIs" dxfId="447" priority="297" operator="lessThan">
      <formula>0.8</formula>
    </cfRule>
    <cfRule type="cellIs" dxfId="446" priority="298" operator="greaterThan">
      <formula>0.8</formula>
    </cfRule>
  </conditionalFormatting>
  <conditionalFormatting sqref="O104:O106">
    <cfRule type="notContainsText" dxfId="445" priority="295" operator="notContains" text="Caida">
      <formula>ISERROR(SEARCH("Caida",O104))</formula>
    </cfRule>
    <cfRule type="containsText" dxfId="444" priority="296" operator="containsText" text="Caida">
      <formula>NOT(ISERROR(SEARCH("Caida",O104)))</formula>
    </cfRule>
  </conditionalFormatting>
  <conditionalFormatting sqref="P104:P106">
    <cfRule type="cellIs" dxfId="443" priority="293" operator="lessThan">
      <formula>0.8</formula>
    </cfRule>
    <cfRule type="cellIs" dxfId="442" priority="294" operator="greaterThan">
      <formula>0.8</formula>
    </cfRule>
  </conditionalFormatting>
  <conditionalFormatting sqref="P104:P106">
    <cfRule type="notContainsText" dxfId="441" priority="291" operator="notContains" text="Caida">
      <formula>ISERROR(SEARCH("Caida",P104))</formula>
    </cfRule>
    <cfRule type="containsText" dxfId="440" priority="292" operator="containsText" text="Caida">
      <formula>NOT(ISERROR(SEARCH("Caida",P104)))</formula>
    </cfRule>
  </conditionalFormatting>
  <conditionalFormatting sqref="F426 F428:F1048576 F1:F408">
    <cfRule type="cellIs" dxfId="439" priority="290" operator="equal">
      <formula>"PTP A FO"</formula>
    </cfRule>
  </conditionalFormatting>
  <conditionalFormatting sqref="N407:P408">
    <cfRule type="cellIs" dxfId="438" priority="288" operator="lessThan">
      <formula>0.8</formula>
    </cfRule>
    <cfRule type="cellIs" dxfId="437" priority="289" operator="greaterThan">
      <formula>0.8</formula>
    </cfRule>
  </conditionalFormatting>
  <conditionalFormatting sqref="N407:P408">
    <cfRule type="notContainsText" dxfId="436" priority="286" operator="notContains" text="Caida">
      <formula>ISERROR(SEARCH("Caida",N407))</formula>
    </cfRule>
    <cfRule type="containsText" dxfId="435" priority="287" operator="containsText" text="Caida">
      <formula>NOT(ISERROR(SEARCH("Caida",N407)))</formula>
    </cfRule>
  </conditionalFormatting>
  <conditionalFormatting sqref="K73">
    <cfRule type="containsText" dxfId="434" priority="285" operator="containsText" text="Instaladas en Funcionamiento Caida">
      <formula>NOT(ISERROR(SEARCH("Instaladas en Funcionamiento Caida",K73)))</formula>
    </cfRule>
  </conditionalFormatting>
  <conditionalFormatting sqref="K7">
    <cfRule type="cellIs" dxfId="433" priority="283" operator="lessThan">
      <formula>0.8</formula>
    </cfRule>
    <cfRule type="cellIs" dxfId="432" priority="284" operator="greaterThan">
      <formula>0.8</formula>
    </cfRule>
  </conditionalFormatting>
  <conditionalFormatting sqref="K7">
    <cfRule type="notContainsText" dxfId="431" priority="281" operator="notContains" text="Caida">
      <formula>ISERROR(SEARCH("Caida",K7))</formula>
    </cfRule>
    <cfRule type="containsText" dxfId="430" priority="282" operator="containsText" text="Caida">
      <formula>NOT(ISERROR(SEARCH("Caida",K7)))</formula>
    </cfRule>
  </conditionalFormatting>
  <conditionalFormatting sqref="K104:K105">
    <cfRule type="cellIs" dxfId="429" priority="279" operator="lessThan">
      <formula>0.8</formula>
    </cfRule>
    <cfRule type="cellIs" dxfId="428" priority="280" operator="greaterThan">
      <formula>0.8</formula>
    </cfRule>
  </conditionalFormatting>
  <conditionalFormatting sqref="K104:K105">
    <cfRule type="notContainsText" dxfId="427" priority="277" operator="notContains" text="Caida">
      <formula>ISERROR(SEARCH("Caida",K104))</formula>
    </cfRule>
    <cfRule type="containsText" dxfId="426" priority="278" operator="containsText" text="Caida">
      <formula>NOT(ISERROR(SEARCH("Caida",K104)))</formula>
    </cfRule>
  </conditionalFormatting>
  <conditionalFormatting sqref="AN104:AN105">
    <cfRule type="cellIs" dxfId="425" priority="275" operator="lessThan">
      <formula>0.8</formula>
    </cfRule>
    <cfRule type="cellIs" dxfId="424" priority="276" operator="greaterThan">
      <formula>0.8</formula>
    </cfRule>
  </conditionalFormatting>
  <conditionalFormatting sqref="AN104:AN105">
    <cfRule type="notContainsText" dxfId="423" priority="273" operator="notContains" text="Caida">
      <formula>ISERROR(SEARCH("Caida",AN104))</formula>
    </cfRule>
    <cfRule type="containsText" dxfId="422" priority="274" operator="containsText" text="Caida">
      <formula>NOT(ISERROR(SEARCH("Caida",AN104)))</formula>
    </cfRule>
  </conditionalFormatting>
  <conditionalFormatting sqref="W104:AB106">
    <cfRule type="cellIs" dxfId="421" priority="271" operator="lessThan">
      <formula>0.8</formula>
    </cfRule>
    <cfRule type="cellIs" dxfId="420" priority="272" operator="greaterThan">
      <formula>0.8</formula>
    </cfRule>
  </conditionalFormatting>
  <conditionalFormatting sqref="W104:AB106">
    <cfRule type="notContainsText" dxfId="419" priority="269" operator="notContains" text="Caida">
      <formula>ISERROR(SEARCH("Caida",W104))</formula>
    </cfRule>
    <cfRule type="containsText" dxfId="418" priority="270" operator="containsText" text="Caida">
      <formula>NOT(ISERROR(SEARCH("Caida",W104)))</formula>
    </cfRule>
  </conditionalFormatting>
  <conditionalFormatting sqref="AB3 AM5:AM1048576 U5:AF1048576">
    <cfRule type="cellIs" dxfId="417" priority="268" operator="equal">
      <formula>"apagado"</formula>
    </cfRule>
  </conditionalFormatting>
  <conditionalFormatting sqref="AA3">
    <cfRule type="cellIs" dxfId="416" priority="267" operator="equal">
      <formula>"apagado"</formula>
    </cfRule>
  </conditionalFormatting>
  <conditionalFormatting sqref="Z3">
    <cfRule type="cellIs" dxfId="415" priority="266" operator="equal">
      <formula>"apagado"</formula>
    </cfRule>
  </conditionalFormatting>
  <conditionalFormatting sqref="Y3">
    <cfRule type="cellIs" dxfId="414" priority="265" operator="equal">
      <formula>"apagado"</formula>
    </cfRule>
  </conditionalFormatting>
  <conditionalFormatting sqref="X3">
    <cfRule type="cellIs" dxfId="413" priority="264" operator="equal">
      <formula>"apagado"</formula>
    </cfRule>
  </conditionalFormatting>
  <conditionalFormatting sqref="W3">
    <cfRule type="cellIs" dxfId="412" priority="263" operator="equal">
      <formula>"apagado"</formula>
    </cfRule>
  </conditionalFormatting>
  <conditionalFormatting sqref="V3">
    <cfRule type="cellIs" dxfId="411" priority="262" operator="equal">
      <formula>"apagado"</formula>
    </cfRule>
  </conditionalFormatting>
  <conditionalFormatting sqref="U3">
    <cfRule type="cellIs" dxfId="410" priority="261" operator="equal">
      <formula>"apagado"</formula>
    </cfRule>
  </conditionalFormatting>
  <conditionalFormatting sqref="AC104:AC106">
    <cfRule type="cellIs" dxfId="409" priority="259" operator="lessThan">
      <formula>0.8</formula>
    </cfRule>
    <cfRule type="cellIs" dxfId="408" priority="260" operator="greaterThan">
      <formula>0.8</formula>
    </cfRule>
  </conditionalFormatting>
  <conditionalFormatting sqref="AC104:AC106">
    <cfRule type="notContainsText" dxfId="407" priority="257" operator="notContains" text="Caida">
      <formula>ISERROR(SEARCH("Caida",AC104))</formula>
    </cfRule>
    <cfRule type="containsText" dxfId="406" priority="258" operator="containsText" text="Caida">
      <formula>NOT(ISERROR(SEARCH("Caida",AC104)))</formula>
    </cfRule>
  </conditionalFormatting>
  <conditionalFormatting sqref="AC3">
    <cfRule type="cellIs" dxfId="405" priority="256" operator="equal">
      <formula>"apagado"</formula>
    </cfRule>
  </conditionalFormatting>
  <conditionalFormatting sqref="AD104:AD106">
    <cfRule type="cellIs" dxfId="404" priority="254" operator="lessThan">
      <formula>0.8</formula>
    </cfRule>
    <cfRule type="cellIs" dxfId="403" priority="255" operator="greaterThan">
      <formula>0.8</formula>
    </cfRule>
  </conditionalFormatting>
  <conditionalFormatting sqref="AD104:AD106">
    <cfRule type="notContainsText" dxfId="402" priority="252" operator="notContains" text="Caida">
      <formula>ISERROR(SEARCH("Caida",AD104))</formula>
    </cfRule>
    <cfRule type="containsText" dxfId="401" priority="253" operator="containsText" text="Caida">
      <formula>NOT(ISERROR(SEARCH("Caida",AD104)))</formula>
    </cfRule>
  </conditionalFormatting>
  <conditionalFormatting sqref="AD3">
    <cfRule type="cellIs" dxfId="400" priority="251" operator="equal">
      <formula>"apagado"</formula>
    </cfRule>
  </conditionalFormatting>
  <conditionalFormatting sqref="AE3">
    <cfRule type="cellIs" dxfId="399" priority="250" operator="equal">
      <formula>"apagado"</formula>
    </cfRule>
  </conditionalFormatting>
  <conditionalFormatting sqref="AF104:AF106">
    <cfRule type="cellIs" dxfId="398" priority="248" operator="lessThan">
      <formula>0.8</formula>
    </cfRule>
    <cfRule type="cellIs" dxfId="397" priority="249" operator="greaterThan">
      <formula>0.8</formula>
    </cfRule>
  </conditionalFormatting>
  <conditionalFormatting sqref="AF104:AF106">
    <cfRule type="notContainsText" dxfId="396" priority="246" operator="notContains" text="Caida">
      <formula>ISERROR(SEARCH("Caida",AF104))</formula>
    </cfRule>
    <cfRule type="containsText" dxfId="395" priority="247" operator="containsText" text="Caida">
      <formula>NOT(ISERROR(SEARCH("Caida",AF104)))</formula>
    </cfRule>
  </conditionalFormatting>
  <conditionalFormatting sqref="AF3">
    <cfRule type="cellIs" dxfId="394" priority="245" operator="equal">
      <formula>"apagado"</formula>
    </cfRule>
  </conditionalFormatting>
  <conditionalFormatting sqref="AM104:AM105">
    <cfRule type="cellIs" dxfId="393" priority="243" operator="lessThan">
      <formula>0.8</formula>
    </cfRule>
    <cfRule type="cellIs" dxfId="392" priority="244" operator="greaterThan">
      <formula>0.8</formula>
    </cfRule>
  </conditionalFormatting>
  <conditionalFormatting sqref="AM104:AM105">
    <cfRule type="notContainsText" dxfId="391" priority="241" operator="notContains" text="Caida">
      <formula>ISERROR(SEARCH("Caida",AM104))</formula>
    </cfRule>
    <cfRule type="containsText" dxfId="390" priority="242" operator="containsText" text="Caida">
      <formula>NOT(ISERROR(SEARCH("Caida",AM104)))</formula>
    </cfRule>
  </conditionalFormatting>
  <conditionalFormatting sqref="AM14">
    <cfRule type="cellIs" dxfId="389" priority="236" operator="equal">
      <formula>"apagado"</formula>
    </cfRule>
    <cfRule type="cellIs" dxfId="388" priority="239" operator="lessThan">
      <formula>0.8</formula>
    </cfRule>
    <cfRule type="cellIs" dxfId="387" priority="240" operator="greaterThan">
      <formula>0.8</formula>
    </cfRule>
  </conditionalFormatting>
  <conditionalFormatting sqref="AM14">
    <cfRule type="notContainsText" dxfId="386" priority="237" operator="notContains" text="Caida">
      <formula>ISERROR(SEARCH("Caida",AM14))</formula>
    </cfRule>
    <cfRule type="containsText" dxfId="385" priority="238" operator="containsText" text="Caida">
      <formula>NOT(ISERROR(SEARCH("Caida",AM14)))</formula>
    </cfRule>
  </conditionalFormatting>
  <conditionalFormatting sqref="AM3">
    <cfRule type="cellIs" dxfId="384" priority="235" operator="equal">
      <formula>"apagado"</formula>
    </cfRule>
  </conditionalFormatting>
  <conditionalFormatting sqref="U73">
    <cfRule type="containsText" dxfId="383" priority="234" operator="containsText" text="Instaladas en Funcionamiento Caida">
      <formula>NOT(ISERROR(SEARCH("Instaladas en Funcionamiento Caida",U73)))</formula>
    </cfRule>
  </conditionalFormatting>
  <conditionalFormatting sqref="U7">
    <cfRule type="cellIs" dxfId="382" priority="232" operator="lessThan">
      <formula>0.8</formula>
    </cfRule>
    <cfRule type="cellIs" dxfId="381" priority="233" operator="greaterThan">
      <formula>0.8</formula>
    </cfRule>
  </conditionalFormatting>
  <conditionalFormatting sqref="U7">
    <cfRule type="notContainsText" dxfId="380" priority="230" operator="notContains" text="Caida">
      <formula>ISERROR(SEARCH("Caida",U7))</formula>
    </cfRule>
    <cfRule type="containsText" dxfId="379" priority="231" operator="containsText" text="Caida">
      <formula>NOT(ISERROR(SEARCH("Caida",U7)))</formula>
    </cfRule>
  </conditionalFormatting>
  <conditionalFormatting sqref="U104:U106">
    <cfRule type="cellIs" dxfId="378" priority="228" operator="lessThan">
      <formula>0.8</formula>
    </cfRule>
    <cfRule type="cellIs" dxfId="377" priority="229" operator="greaterThan">
      <formula>0.8</formula>
    </cfRule>
  </conditionalFormatting>
  <conditionalFormatting sqref="U104:U106">
    <cfRule type="notContainsText" dxfId="376" priority="226" operator="notContains" text="Caida">
      <formula>ISERROR(SEARCH("Caida",U104))</formula>
    </cfRule>
    <cfRule type="containsText" dxfId="375" priority="227" operator="containsText" text="Caida">
      <formula>NOT(ISERROR(SEARCH("Caida",U104)))</formula>
    </cfRule>
  </conditionalFormatting>
  <conditionalFormatting sqref="V73">
    <cfRule type="containsText" dxfId="374" priority="225" operator="containsText" text="Instaladas en Funcionamiento Caida">
      <formula>NOT(ISERROR(SEARCH("Instaladas en Funcionamiento Caida",V73)))</formula>
    </cfRule>
  </conditionalFormatting>
  <conditionalFormatting sqref="V7">
    <cfRule type="cellIs" dxfId="373" priority="223" operator="lessThan">
      <formula>0.8</formula>
    </cfRule>
    <cfRule type="cellIs" dxfId="372" priority="224" operator="greaterThan">
      <formula>0.8</formula>
    </cfRule>
  </conditionalFormatting>
  <conditionalFormatting sqref="V7">
    <cfRule type="notContainsText" dxfId="371" priority="221" operator="notContains" text="Caida">
      <formula>ISERROR(SEARCH("Caida",V7))</formula>
    </cfRule>
    <cfRule type="containsText" dxfId="370" priority="222" operator="containsText" text="Caida">
      <formula>NOT(ISERROR(SEARCH("Caida",V7)))</formula>
    </cfRule>
  </conditionalFormatting>
  <conditionalFormatting sqref="V104:V106">
    <cfRule type="cellIs" dxfId="369" priority="219" operator="lessThan">
      <formula>0.8</formula>
    </cfRule>
    <cfRule type="cellIs" dxfId="368" priority="220" operator="greaterThan">
      <formula>0.8</formula>
    </cfRule>
  </conditionalFormatting>
  <conditionalFormatting sqref="V104:V106">
    <cfRule type="notContainsText" dxfId="367" priority="217" operator="notContains" text="Caida">
      <formula>ISERROR(SEARCH("Caida",V104))</formula>
    </cfRule>
    <cfRule type="containsText" dxfId="366" priority="218" operator="containsText" text="Caida">
      <formula>NOT(ISERROR(SEARCH("Caida",V104)))</formula>
    </cfRule>
  </conditionalFormatting>
  <conditionalFormatting sqref="AD105">
    <cfRule type="cellIs" dxfId="365" priority="215" operator="lessThan">
      <formula>0.8</formula>
    </cfRule>
    <cfRule type="cellIs" dxfId="364" priority="216" operator="greaterThan">
      <formula>0.8</formula>
    </cfRule>
  </conditionalFormatting>
  <conditionalFormatting sqref="AD105">
    <cfRule type="notContainsText" dxfId="363" priority="213" operator="notContains" text="Caida">
      <formula>ISERROR(SEARCH("Caida",AD105))</formula>
    </cfRule>
    <cfRule type="containsText" dxfId="362" priority="214" operator="containsText" text="Caida">
      <formula>NOT(ISERROR(SEARCH("Caida",AD105)))</formula>
    </cfRule>
  </conditionalFormatting>
  <conditionalFormatting sqref="AD107">
    <cfRule type="cellIs" dxfId="361" priority="211" operator="lessThan">
      <formula>0.8</formula>
    </cfRule>
    <cfRule type="cellIs" dxfId="360" priority="212" operator="greaterThan">
      <formula>0.8</formula>
    </cfRule>
  </conditionalFormatting>
  <conditionalFormatting sqref="AD107">
    <cfRule type="notContainsText" dxfId="359" priority="209" operator="notContains" text="Caida">
      <formula>ISERROR(SEARCH("Caida",AD107))</formula>
    </cfRule>
    <cfRule type="containsText" dxfId="358" priority="210" operator="containsText" text="Caida">
      <formula>NOT(ISERROR(SEARCH("Caida",AD107)))</formula>
    </cfRule>
  </conditionalFormatting>
  <conditionalFormatting sqref="AD110:AD111">
    <cfRule type="cellIs" dxfId="357" priority="207" operator="lessThan">
      <formula>0.8</formula>
    </cfRule>
    <cfRule type="cellIs" dxfId="356" priority="208" operator="greaterThan">
      <formula>0.8</formula>
    </cfRule>
  </conditionalFormatting>
  <conditionalFormatting sqref="AD110:AD111">
    <cfRule type="notContainsText" dxfId="355" priority="205" operator="notContains" text="Caida">
      <formula>ISERROR(SEARCH("Caida",AD110))</formula>
    </cfRule>
    <cfRule type="containsText" dxfId="354" priority="206" operator="containsText" text="Caida">
      <formula>NOT(ISERROR(SEARCH("Caida",AD110)))</formula>
    </cfRule>
  </conditionalFormatting>
  <conditionalFormatting sqref="AD128">
    <cfRule type="cellIs" dxfId="353" priority="203" operator="lessThan">
      <formula>0.8</formula>
    </cfRule>
    <cfRule type="cellIs" dxfId="352" priority="204" operator="greaterThan">
      <formula>0.8</formula>
    </cfRule>
  </conditionalFormatting>
  <conditionalFormatting sqref="AD128">
    <cfRule type="notContainsText" dxfId="351" priority="201" operator="notContains" text="Caida">
      <formula>ISERROR(SEARCH("Caida",AD128))</formula>
    </cfRule>
    <cfRule type="containsText" dxfId="350" priority="202" operator="containsText" text="Caida">
      <formula>NOT(ISERROR(SEARCH("Caida",AD128)))</formula>
    </cfRule>
  </conditionalFormatting>
  <conditionalFormatting sqref="AD129">
    <cfRule type="cellIs" dxfId="349" priority="199" operator="lessThan">
      <formula>0.8</formula>
    </cfRule>
    <cfRule type="cellIs" dxfId="348" priority="200" operator="greaterThan">
      <formula>0.8</formula>
    </cfRule>
  </conditionalFormatting>
  <conditionalFormatting sqref="AD129">
    <cfRule type="notContainsText" dxfId="347" priority="197" operator="notContains" text="Caida">
      <formula>ISERROR(SEARCH("Caida",AD129))</formula>
    </cfRule>
    <cfRule type="containsText" dxfId="346" priority="198" operator="containsText" text="Caida">
      <formula>NOT(ISERROR(SEARCH("Caida",AD129)))</formula>
    </cfRule>
  </conditionalFormatting>
  <conditionalFormatting sqref="AD133:AD137">
    <cfRule type="cellIs" dxfId="345" priority="195" operator="lessThan">
      <formula>0.8</formula>
    </cfRule>
    <cfRule type="cellIs" dxfId="344" priority="196" operator="greaterThan">
      <formula>0.8</formula>
    </cfRule>
  </conditionalFormatting>
  <conditionalFormatting sqref="AD133:AD137">
    <cfRule type="notContainsText" dxfId="343" priority="193" operator="notContains" text="Caida">
      <formula>ISERROR(SEARCH("Caida",AD133))</formula>
    </cfRule>
    <cfRule type="containsText" dxfId="342" priority="194" operator="containsText" text="Caida">
      <formula>NOT(ISERROR(SEARCH("Caida",AD133)))</formula>
    </cfRule>
  </conditionalFormatting>
  <conditionalFormatting sqref="AD138">
    <cfRule type="cellIs" dxfId="341" priority="191" operator="lessThan">
      <formula>0.8</formula>
    </cfRule>
    <cfRule type="cellIs" dxfId="340" priority="192" operator="greaterThan">
      <formula>0.8</formula>
    </cfRule>
  </conditionalFormatting>
  <conditionalFormatting sqref="AD138">
    <cfRule type="notContainsText" dxfId="339" priority="189" operator="notContains" text="Caida">
      <formula>ISERROR(SEARCH("Caida",AD138))</formula>
    </cfRule>
    <cfRule type="containsText" dxfId="338" priority="190" operator="containsText" text="Caida">
      <formula>NOT(ISERROR(SEARCH("Caida",AD138)))</formula>
    </cfRule>
  </conditionalFormatting>
  <conditionalFormatting sqref="AD150">
    <cfRule type="cellIs" dxfId="337" priority="187" operator="lessThan">
      <formula>0.8</formula>
    </cfRule>
    <cfRule type="cellIs" dxfId="336" priority="188" operator="greaterThan">
      <formula>0.8</formula>
    </cfRule>
  </conditionalFormatting>
  <conditionalFormatting sqref="AD150">
    <cfRule type="notContainsText" dxfId="335" priority="185" operator="notContains" text="Caida">
      <formula>ISERROR(SEARCH("Caida",AD150))</formula>
    </cfRule>
    <cfRule type="containsText" dxfId="334" priority="186" operator="containsText" text="Caida">
      <formula>NOT(ISERROR(SEARCH("Caida",AD150)))</formula>
    </cfRule>
  </conditionalFormatting>
  <conditionalFormatting sqref="AD152">
    <cfRule type="cellIs" dxfId="333" priority="183" operator="lessThan">
      <formula>0.8</formula>
    </cfRule>
    <cfRule type="cellIs" dxfId="332" priority="184" operator="greaterThan">
      <formula>0.8</formula>
    </cfRule>
  </conditionalFormatting>
  <conditionalFormatting sqref="AD152">
    <cfRule type="notContainsText" dxfId="331" priority="181" operator="notContains" text="Caida">
      <formula>ISERROR(SEARCH("Caida",AD152))</formula>
    </cfRule>
    <cfRule type="containsText" dxfId="330" priority="182" operator="containsText" text="Caida">
      <formula>NOT(ISERROR(SEARCH("Caida",AD152)))</formula>
    </cfRule>
  </conditionalFormatting>
  <conditionalFormatting sqref="AD159">
    <cfRule type="cellIs" dxfId="329" priority="179" operator="lessThan">
      <formula>0.8</formula>
    </cfRule>
    <cfRule type="cellIs" dxfId="328" priority="180" operator="greaterThan">
      <formula>0.8</formula>
    </cfRule>
  </conditionalFormatting>
  <conditionalFormatting sqref="AD159">
    <cfRule type="notContainsText" dxfId="327" priority="177" operator="notContains" text="Caida">
      <formula>ISERROR(SEARCH("Caida",AD159))</formula>
    </cfRule>
    <cfRule type="containsText" dxfId="326" priority="178" operator="containsText" text="Caida">
      <formula>NOT(ISERROR(SEARCH("Caida",AD159)))</formula>
    </cfRule>
  </conditionalFormatting>
  <conditionalFormatting sqref="AD160:AD162">
    <cfRule type="cellIs" dxfId="325" priority="175" operator="lessThan">
      <formula>0.8</formula>
    </cfRule>
    <cfRule type="cellIs" dxfId="324" priority="176" operator="greaterThan">
      <formula>0.8</formula>
    </cfRule>
  </conditionalFormatting>
  <conditionalFormatting sqref="AD160:AD162">
    <cfRule type="notContainsText" dxfId="323" priority="173" operator="notContains" text="Caida">
      <formula>ISERROR(SEARCH("Caida",AD160))</formula>
    </cfRule>
    <cfRule type="containsText" dxfId="322" priority="174" operator="containsText" text="Caida">
      <formula>NOT(ISERROR(SEARCH("Caida",AD160)))</formula>
    </cfRule>
  </conditionalFormatting>
  <conditionalFormatting sqref="AD163">
    <cfRule type="cellIs" dxfId="321" priority="171" operator="lessThan">
      <formula>0.8</formula>
    </cfRule>
    <cfRule type="cellIs" dxfId="320" priority="172" operator="greaterThan">
      <formula>0.8</formula>
    </cfRule>
  </conditionalFormatting>
  <conditionalFormatting sqref="AD163">
    <cfRule type="notContainsText" dxfId="319" priority="169" operator="notContains" text="Caida">
      <formula>ISERROR(SEARCH("Caida",AD163))</formula>
    </cfRule>
    <cfRule type="containsText" dxfId="318" priority="170" operator="containsText" text="Caida">
      <formula>NOT(ISERROR(SEARCH("Caida",AD163)))</formula>
    </cfRule>
  </conditionalFormatting>
  <conditionalFormatting sqref="AD182">
    <cfRule type="cellIs" dxfId="317" priority="167" operator="lessThan">
      <formula>0.8</formula>
    </cfRule>
    <cfRule type="cellIs" dxfId="316" priority="168" operator="greaterThan">
      <formula>0.8</formula>
    </cfRule>
  </conditionalFormatting>
  <conditionalFormatting sqref="AD182">
    <cfRule type="notContainsText" dxfId="315" priority="165" operator="notContains" text="Caida">
      <formula>ISERROR(SEARCH("Caida",AD182))</formula>
    </cfRule>
    <cfRule type="containsText" dxfId="314" priority="166" operator="containsText" text="Caida">
      <formula>NOT(ISERROR(SEARCH("Caida",AD182)))</formula>
    </cfRule>
  </conditionalFormatting>
  <conditionalFormatting sqref="AD183">
    <cfRule type="cellIs" dxfId="313" priority="163" operator="lessThan">
      <formula>0.8</formula>
    </cfRule>
    <cfRule type="cellIs" dxfId="312" priority="164" operator="greaterThan">
      <formula>0.8</formula>
    </cfRule>
  </conditionalFormatting>
  <conditionalFormatting sqref="AD183">
    <cfRule type="notContainsText" dxfId="311" priority="161" operator="notContains" text="Caida">
      <formula>ISERROR(SEARCH("Caida",AD183))</formula>
    </cfRule>
    <cfRule type="containsText" dxfId="310" priority="162" operator="containsText" text="Caida">
      <formula>NOT(ISERROR(SEARCH("Caida",AD183)))</formula>
    </cfRule>
  </conditionalFormatting>
  <conditionalFormatting sqref="AD185">
    <cfRule type="cellIs" dxfId="309" priority="159" operator="lessThan">
      <formula>0.8</formula>
    </cfRule>
    <cfRule type="cellIs" dxfId="308" priority="160" operator="greaterThan">
      <formula>0.8</formula>
    </cfRule>
  </conditionalFormatting>
  <conditionalFormatting sqref="AD185">
    <cfRule type="notContainsText" dxfId="307" priority="157" operator="notContains" text="Caida">
      <formula>ISERROR(SEARCH("Caida",AD185))</formula>
    </cfRule>
    <cfRule type="containsText" dxfId="306" priority="158" operator="containsText" text="Caida">
      <formula>NOT(ISERROR(SEARCH("Caida",AD185)))</formula>
    </cfRule>
  </conditionalFormatting>
  <conditionalFormatting sqref="AD198">
    <cfRule type="cellIs" dxfId="305" priority="155" operator="lessThan">
      <formula>0.8</formula>
    </cfRule>
    <cfRule type="cellIs" dxfId="304" priority="156" operator="greaterThan">
      <formula>0.8</formula>
    </cfRule>
  </conditionalFormatting>
  <conditionalFormatting sqref="AD198">
    <cfRule type="notContainsText" dxfId="303" priority="153" operator="notContains" text="Caida">
      <formula>ISERROR(SEARCH("Caida",AD198))</formula>
    </cfRule>
    <cfRule type="containsText" dxfId="302" priority="154" operator="containsText" text="Caida">
      <formula>NOT(ISERROR(SEARCH("Caida",AD198)))</formula>
    </cfRule>
  </conditionalFormatting>
  <conditionalFormatting sqref="AD209">
    <cfRule type="cellIs" dxfId="301" priority="151" operator="lessThan">
      <formula>0.8</formula>
    </cfRule>
    <cfRule type="cellIs" dxfId="300" priority="152" operator="greaterThan">
      <formula>0.8</formula>
    </cfRule>
  </conditionalFormatting>
  <conditionalFormatting sqref="AD209">
    <cfRule type="notContainsText" dxfId="299" priority="149" operator="notContains" text="Caida">
      <formula>ISERROR(SEARCH("Caida",AD209))</formula>
    </cfRule>
    <cfRule type="containsText" dxfId="298" priority="150" operator="containsText" text="Caida">
      <formula>NOT(ISERROR(SEARCH("Caida",AD209)))</formula>
    </cfRule>
  </conditionalFormatting>
  <conditionalFormatting sqref="AD210:AD211">
    <cfRule type="cellIs" dxfId="297" priority="147" operator="lessThan">
      <formula>0.8</formula>
    </cfRule>
    <cfRule type="cellIs" dxfId="296" priority="148" operator="greaterThan">
      <formula>0.8</formula>
    </cfRule>
  </conditionalFormatting>
  <conditionalFormatting sqref="AD210:AD211">
    <cfRule type="notContainsText" dxfId="295" priority="145" operator="notContains" text="Caida">
      <formula>ISERROR(SEARCH("Caida",AD210))</formula>
    </cfRule>
    <cfRule type="containsText" dxfId="294" priority="146" operator="containsText" text="Caida">
      <formula>NOT(ISERROR(SEARCH("Caida",AD210)))</formula>
    </cfRule>
  </conditionalFormatting>
  <conditionalFormatting sqref="AD217">
    <cfRule type="cellIs" dxfId="293" priority="143" operator="lessThan">
      <formula>0.8</formula>
    </cfRule>
    <cfRule type="cellIs" dxfId="292" priority="144" operator="greaterThan">
      <formula>0.8</formula>
    </cfRule>
  </conditionalFormatting>
  <conditionalFormatting sqref="AD217">
    <cfRule type="notContainsText" dxfId="291" priority="141" operator="notContains" text="Caida">
      <formula>ISERROR(SEARCH("Caida",AD217))</formula>
    </cfRule>
    <cfRule type="containsText" dxfId="290" priority="142" operator="containsText" text="Caida">
      <formula>NOT(ISERROR(SEARCH("Caida",AD217)))</formula>
    </cfRule>
  </conditionalFormatting>
  <conditionalFormatting sqref="AD225">
    <cfRule type="cellIs" dxfId="289" priority="139" operator="lessThan">
      <formula>0.8</formula>
    </cfRule>
    <cfRule type="cellIs" dxfId="288" priority="140" operator="greaterThan">
      <formula>0.8</formula>
    </cfRule>
  </conditionalFormatting>
  <conditionalFormatting sqref="AD225">
    <cfRule type="notContainsText" dxfId="287" priority="137" operator="notContains" text="Caida">
      <formula>ISERROR(SEARCH("Caida",AD225))</formula>
    </cfRule>
    <cfRule type="containsText" dxfId="286" priority="138" operator="containsText" text="Caida">
      <formula>NOT(ISERROR(SEARCH("Caida",AD225)))</formula>
    </cfRule>
  </conditionalFormatting>
  <conditionalFormatting sqref="AD230">
    <cfRule type="cellIs" dxfId="285" priority="135" operator="lessThan">
      <formula>0.8</formula>
    </cfRule>
    <cfRule type="cellIs" dxfId="284" priority="136" operator="greaterThan">
      <formula>0.8</formula>
    </cfRule>
  </conditionalFormatting>
  <conditionalFormatting sqref="AD230">
    <cfRule type="notContainsText" dxfId="283" priority="133" operator="notContains" text="Caida">
      <formula>ISERROR(SEARCH("Caida",AD230))</formula>
    </cfRule>
    <cfRule type="containsText" dxfId="282" priority="134" operator="containsText" text="Caida">
      <formula>NOT(ISERROR(SEARCH("Caida",AD230)))</formula>
    </cfRule>
  </conditionalFormatting>
  <conditionalFormatting sqref="AD231">
    <cfRule type="cellIs" dxfId="281" priority="131" operator="lessThan">
      <formula>0.8</formula>
    </cfRule>
    <cfRule type="cellIs" dxfId="280" priority="132" operator="greaterThan">
      <formula>0.8</formula>
    </cfRule>
  </conditionalFormatting>
  <conditionalFormatting sqref="AD231">
    <cfRule type="notContainsText" dxfId="279" priority="129" operator="notContains" text="Caida">
      <formula>ISERROR(SEARCH("Caida",AD231))</formula>
    </cfRule>
    <cfRule type="containsText" dxfId="278" priority="130" operator="containsText" text="Caida">
      <formula>NOT(ISERROR(SEARCH("Caida",AD231)))</formula>
    </cfRule>
  </conditionalFormatting>
  <conditionalFormatting sqref="AD395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396">
    <cfRule type="cellIs" dxfId="275" priority="126" operator="equal">
      <formula>"apagado"</formula>
    </cfRule>
  </conditionalFormatting>
  <conditionalFormatting sqref="AD397">
    <cfRule type="cellIs" dxfId="274" priority="125" operator="equal">
      <formula>"apagado"</formula>
    </cfRule>
  </conditionalFormatting>
  <conditionalFormatting sqref="AD225">
    <cfRule type="cellIs" dxfId="273" priority="124" operator="equal">
      <formula>"apagado"</formula>
    </cfRule>
  </conditionalFormatting>
  <conditionalFormatting sqref="AD230">
    <cfRule type="cellIs" dxfId="272" priority="123" operator="equal">
      <formula>"apagado"</formula>
    </cfRule>
  </conditionalFormatting>
  <conditionalFormatting sqref="AD231">
    <cfRule type="cellIs" dxfId="271" priority="122" operator="equal">
      <formula>"apagado"</formula>
    </cfRule>
  </conditionalFormatting>
  <conditionalFormatting sqref="AD217">
    <cfRule type="cellIs" dxfId="270" priority="121" operator="equal">
      <formula>"apagado"</formula>
    </cfRule>
  </conditionalFormatting>
  <conditionalFormatting sqref="AD210:AD211">
    <cfRule type="cellIs" dxfId="269" priority="120" operator="equal">
      <formula>"apagado"</formula>
    </cfRule>
  </conditionalFormatting>
  <conditionalFormatting sqref="AD209">
    <cfRule type="cellIs" dxfId="268" priority="119" operator="equal">
      <formula>"apagado"</formula>
    </cfRule>
  </conditionalFormatting>
  <conditionalFormatting sqref="AD198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82">
    <cfRule type="cellIs" dxfId="265" priority="116" operator="equal">
      <formula>"apagado"</formula>
    </cfRule>
  </conditionalFormatting>
  <conditionalFormatting sqref="AD183">
    <cfRule type="cellIs" dxfId="264" priority="115" operator="equal">
      <formula>"apagado"</formula>
    </cfRule>
  </conditionalFormatting>
  <conditionalFormatting sqref="AD159">
    <cfRule type="cellIs" dxfId="263" priority="114" operator="equal">
      <formula>"apagado"</formula>
    </cfRule>
  </conditionalFormatting>
  <conditionalFormatting sqref="AD160:AD162">
    <cfRule type="cellIs" dxfId="262" priority="113" operator="equal">
      <formula>"apagado"</formula>
    </cfRule>
  </conditionalFormatting>
  <conditionalFormatting sqref="AD163">
    <cfRule type="cellIs" dxfId="261" priority="112" operator="equal">
      <formula>"apagado"</formula>
    </cfRule>
  </conditionalFormatting>
  <conditionalFormatting sqref="AD150">
    <cfRule type="cellIs" dxfId="260" priority="111" operator="equal">
      <formula>"apagado"</formula>
    </cfRule>
  </conditionalFormatting>
  <conditionalFormatting sqref="AD152">
    <cfRule type="cellIs" dxfId="259" priority="110" operator="equal">
      <formula>"apagado"</formula>
    </cfRule>
  </conditionalFormatting>
  <conditionalFormatting sqref="AD128">
    <cfRule type="cellIs" dxfId="258" priority="109" operator="equal">
      <formula>"apagado"</formula>
    </cfRule>
  </conditionalFormatting>
  <conditionalFormatting sqref="AD129">
    <cfRule type="cellIs" dxfId="257" priority="108" operator="equal">
      <formula>"apagado"</formula>
    </cfRule>
  </conditionalFormatting>
  <conditionalFormatting sqref="AD133:AD137">
    <cfRule type="cellIs" dxfId="256" priority="107" operator="equal">
      <formula>"apagado"</formula>
    </cfRule>
  </conditionalFormatting>
  <conditionalFormatting sqref="AD138">
    <cfRule type="cellIs" dxfId="255" priority="106" operator="equal">
      <formula>"apagado"</formula>
    </cfRule>
  </conditionalFormatting>
  <conditionalFormatting sqref="AD110:AD111">
    <cfRule type="cellIs" dxfId="254" priority="105" operator="equal">
      <formula>"apagado"</formula>
    </cfRule>
  </conditionalFormatting>
  <conditionalFormatting sqref="AD105">
    <cfRule type="cellIs" dxfId="253" priority="103" operator="lessThan">
      <formula>0.8</formula>
    </cfRule>
    <cfRule type="cellIs" dxfId="252" priority="104" operator="greaterThan">
      <formula>0.8</formula>
    </cfRule>
  </conditionalFormatting>
  <conditionalFormatting sqref="AD105">
    <cfRule type="notContainsText" dxfId="251" priority="101" operator="notContains" text="Caida">
      <formula>ISERROR(SEARCH("Caida",AD105))</formula>
    </cfRule>
    <cfRule type="containsText" dxfId="250" priority="102" operator="containsText" text="Caida">
      <formula>NOT(ISERROR(SEARCH("Caida",AD105)))</formula>
    </cfRule>
  </conditionalFormatting>
  <conditionalFormatting sqref="AD105">
    <cfRule type="cellIs" dxfId="249" priority="100" operator="equal">
      <formula>"apagado"</formula>
    </cfRule>
  </conditionalFormatting>
  <conditionalFormatting sqref="AD107">
    <cfRule type="cellIs" dxfId="248" priority="99" operator="equal">
      <formula>"apagado"</formula>
    </cfRule>
  </conditionalFormatting>
  <conditionalFormatting sqref="E409:E415">
    <cfRule type="containsText" dxfId="247" priority="97" operator="containsText" text="fija">
      <formula>NOT(ISERROR(SEARCH("fija",E409)))</formula>
    </cfRule>
    <cfRule type="containsText" dxfId="246" priority="98" operator="containsText" text="domo">
      <formula>NOT(ISERROR(SEARCH("domo",E409)))</formula>
    </cfRule>
  </conditionalFormatting>
  <conditionalFormatting sqref="F409:F415">
    <cfRule type="cellIs" dxfId="245" priority="96" operator="equal">
      <formula>"PTP A FO"</formula>
    </cfRule>
  </conditionalFormatting>
  <conditionalFormatting sqref="F1:F1048576">
    <cfRule type="cellIs" dxfId="244" priority="94" operator="equal">
      <formula>$F$10</formula>
    </cfRule>
    <cfRule type="cellIs" dxfId="243" priority="95" operator="equal">
      <formula>"PTP A FO"</formula>
    </cfRule>
  </conditionalFormatting>
  <conditionalFormatting sqref="E1:E1048576">
    <cfRule type="cellIs" dxfId="242" priority="93" operator="equal">
      <formula>$E$7</formula>
    </cfRule>
  </conditionalFormatting>
  <conditionalFormatting sqref="D352:D353 D161:D162 C1:C1048576">
    <cfRule type="cellIs" dxfId="241" priority="91" operator="equal">
      <formula>$C$213</formula>
    </cfRule>
    <cfRule type="cellIs" dxfId="240" priority="92" operator="equal">
      <formula>$C$201</formula>
    </cfRule>
  </conditionalFormatting>
  <conditionalFormatting sqref="AE73">
    <cfRule type="containsText" dxfId="239" priority="90" operator="containsText" text="Instaladas en Funcionamiento Caida">
      <formula>NOT(ISERROR(SEARCH("Instaladas en Funcionamiento Caida",AE73)))</formula>
    </cfRule>
  </conditionalFormatting>
  <conditionalFormatting sqref="AE7">
    <cfRule type="cellIs" dxfId="238" priority="88" operator="lessThan">
      <formula>0.8</formula>
    </cfRule>
    <cfRule type="cellIs" dxfId="237" priority="89" operator="greaterThan">
      <formula>0.8</formula>
    </cfRule>
  </conditionalFormatting>
  <conditionalFormatting sqref="AE7">
    <cfRule type="notContainsText" dxfId="236" priority="86" operator="notContains" text="Caida">
      <formula>ISERROR(SEARCH("Caida",AE7))</formula>
    </cfRule>
    <cfRule type="containsText" dxfId="235" priority="87" operator="containsText" text="Caida">
      <formula>NOT(ISERROR(SEARCH("Caida",AE7)))</formula>
    </cfRule>
  </conditionalFormatting>
  <conditionalFormatting sqref="AE104:AE106">
    <cfRule type="cellIs" dxfId="234" priority="84" operator="lessThan">
      <formula>0.8</formula>
    </cfRule>
    <cfRule type="cellIs" dxfId="233" priority="85" operator="greaterThan">
      <formula>0.8</formula>
    </cfRule>
  </conditionalFormatting>
  <conditionalFormatting sqref="AE104:AE106">
    <cfRule type="notContainsText" dxfId="232" priority="82" operator="notContains" text="Caida">
      <formula>ISERROR(SEARCH("Caida",AE104))</formula>
    </cfRule>
    <cfRule type="containsText" dxfId="231" priority="83" operator="containsText" text="Caida">
      <formula>NOT(ISERROR(SEARCH("Caida",AE104)))</formula>
    </cfRule>
  </conditionalFormatting>
  <conditionalFormatting sqref="AA87">
    <cfRule type="cellIs" dxfId="230" priority="81" operator="equal">
      <formula>"apagado"</formula>
    </cfRule>
  </conditionalFormatting>
  <conditionalFormatting sqref="AB107">
    <cfRule type="cellIs" dxfId="229" priority="79" operator="lessThan">
      <formula>0.8</formula>
    </cfRule>
    <cfRule type="cellIs" dxfId="228" priority="80" operator="greaterThan">
      <formula>0.8</formula>
    </cfRule>
  </conditionalFormatting>
  <conditionalFormatting sqref="AB107">
    <cfRule type="notContainsText" dxfId="227" priority="77" operator="notContains" text="Caida">
      <formula>ISERROR(SEARCH("Caida",AB107))</formula>
    </cfRule>
    <cfRule type="containsText" dxfId="226" priority="78" operator="containsText" text="Caida">
      <formula>NOT(ISERROR(SEARCH("Caida",AB107)))</formula>
    </cfRule>
  </conditionalFormatting>
  <conditionalFormatting sqref="AB107">
    <cfRule type="cellIs" dxfId="225" priority="76" operator="equal">
      <formula>"apagado"</formula>
    </cfRule>
  </conditionalFormatting>
  <conditionalFormatting sqref="AB151">
    <cfRule type="cellIs" dxfId="224" priority="75" operator="equal">
      <formula>"apagado"</formula>
    </cfRule>
  </conditionalFormatting>
  <conditionalFormatting sqref="AB175">
    <cfRule type="cellIs" dxfId="223" priority="74" operator="equal">
      <formula>"apagado"</formula>
    </cfRule>
  </conditionalFormatting>
  <conditionalFormatting sqref="AB177">
    <cfRule type="cellIs" dxfId="222" priority="73" operator="equal">
      <formula>"apagado"</formula>
    </cfRule>
  </conditionalFormatting>
  <conditionalFormatting sqref="AB182">
    <cfRule type="cellIs" dxfId="221" priority="72" operator="equal">
      <formula>"apagado"</formula>
    </cfRule>
  </conditionalFormatting>
  <conditionalFormatting sqref="AB185">
    <cfRule type="cellIs" dxfId="220" priority="71" operator="equal">
      <formula>"apagado"</formula>
    </cfRule>
  </conditionalFormatting>
  <conditionalFormatting sqref="AB88">
    <cfRule type="cellIs" dxfId="219" priority="69" operator="lessThan">
      <formula>0.8</formula>
    </cfRule>
    <cfRule type="cellIs" dxfId="218" priority="70" operator="greaterThan">
      <formula>0.8</formula>
    </cfRule>
  </conditionalFormatting>
  <conditionalFormatting sqref="AB88">
    <cfRule type="notContainsText" dxfId="217" priority="67" operator="notContains" text="Caida">
      <formula>ISERROR(SEARCH("Caida",AB88))</formula>
    </cfRule>
    <cfRule type="containsText" dxfId="216" priority="68" operator="containsText" text="Caida">
      <formula>NOT(ISERROR(SEARCH("Caida",AB88)))</formula>
    </cfRule>
  </conditionalFormatting>
  <conditionalFormatting sqref="AB88">
    <cfRule type="cellIs" dxfId="215" priority="66" operator="equal">
      <formula>"apagado"</formula>
    </cfRule>
  </conditionalFormatting>
  <conditionalFormatting sqref="AB209">
    <cfRule type="cellIs" dxfId="214" priority="65" operator="equal">
      <formula>"apagado"</formula>
    </cfRule>
  </conditionalFormatting>
  <conditionalFormatting sqref="AB280">
    <cfRule type="cellIs" dxfId="213" priority="64" operator="equal">
      <formula>"apagado"</formula>
    </cfRule>
  </conditionalFormatting>
  <conditionalFormatting sqref="AB281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">
    <cfRule type="cellIs" dxfId="210" priority="61" operator="equal">
      <formula>"apagado"</formula>
    </cfRule>
  </conditionalFormatting>
  <conditionalFormatting sqref="AB317">
    <cfRule type="cellIs" dxfId="209" priority="60" operator="equal">
      <formula>"apagado"</formula>
    </cfRule>
  </conditionalFormatting>
  <conditionalFormatting sqref="AB318:AB320">
    <cfRule type="cellIs" dxfId="208" priority="59" operator="equal">
      <formula>"apagado"</formula>
    </cfRule>
  </conditionalFormatting>
  <conditionalFormatting sqref="AB345">
    <cfRule type="cellIs" dxfId="207" priority="58" operator="equal">
      <formula>"apagado"</formula>
    </cfRule>
  </conditionalFormatting>
  <conditionalFormatting sqref="AB356">
    <cfRule type="cellIs" dxfId="206" priority="57" operator="equal">
      <formula>"apagado"</formula>
    </cfRule>
  </conditionalFormatting>
  <conditionalFormatting sqref="AB357">
    <cfRule type="cellIs" dxfId="205" priority="56" operator="equal">
      <formula>"apagado"</formula>
    </cfRule>
  </conditionalFormatting>
  <conditionalFormatting sqref="AB374">
    <cfRule type="cellIs" dxfId="204" priority="55" operator="equal">
      <formula>"apagado"</formula>
    </cfRule>
  </conditionalFormatting>
  <conditionalFormatting sqref="AB390">
    <cfRule type="cellIs" dxfId="203" priority="54" operator="equal">
      <formula>"apagado"</formula>
    </cfRule>
  </conditionalFormatting>
  <conditionalFormatting sqref="AB391:AB393">
    <cfRule type="cellIs" dxfId="202" priority="53" operator="equal">
      <formula>"apagado"</formula>
    </cfRule>
  </conditionalFormatting>
  <conditionalFormatting sqref="AB396">
    <cfRule type="cellIs" dxfId="201" priority="52" operator="equal">
      <formula>"apagado"</formula>
    </cfRule>
  </conditionalFormatting>
  <conditionalFormatting sqref="AB397">
    <cfRule type="cellIs" dxfId="200" priority="51" operator="equal">
      <formula>"apagado"</formula>
    </cfRule>
  </conditionalFormatting>
  <conditionalFormatting sqref="AB405">
    <cfRule type="cellIs" dxfId="199" priority="50" operator="equal">
      <formula>"apagado"</formula>
    </cfRule>
  </conditionalFormatting>
  <conditionalFormatting sqref="AB232">
    <cfRule type="cellIs" dxfId="198" priority="49" operator="equal">
      <formula>"apagado"</formula>
    </cfRule>
  </conditionalFormatting>
  <conditionalFormatting sqref="AB233">
    <cfRule type="cellIs" dxfId="197" priority="48" operator="equal">
      <formula>"apagado"</formula>
    </cfRule>
  </conditionalFormatting>
  <conditionalFormatting sqref="AB234">
    <cfRule type="cellIs" dxfId="196" priority="47" operator="equal">
      <formula>"apagado"</formula>
    </cfRule>
  </conditionalFormatting>
  <conditionalFormatting sqref="AB235">
    <cfRule type="cellIs" dxfId="195" priority="46" operator="equal">
      <formula>"apagado"</formula>
    </cfRule>
  </conditionalFormatting>
  <conditionalFormatting sqref="AB243">
    <cfRule type="cellIs" dxfId="194" priority="45" operator="equal">
      <formula>"apagado"</formula>
    </cfRule>
  </conditionalFormatting>
  <conditionalFormatting sqref="AB236">
    <cfRule type="cellIs" dxfId="193" priority="44" operator="equal">
      <formula>"apagado"</formula>
    </cfRule>
  </conditionalFormatting>
  <conditionalFormatting sqref="AB229">
    <cfRule type="cellIs" dxfId="192" priority="43" operator="equal">
      <formula>"apagado"</formula>
    </cfRule>
  </conditionalFormatting>
  <conditionalFormatting sqref="E429:E430">
    <cfRule type="containsText" dxfId="191" priority="41" operator="containsText" text="fija">
      <formula>NOT(ISERROR(SEARCH("fija",E429)))</formula>
    </cfRule>
    <cfRule type="containsText" dxfId="190" priority="42" operator="containsText" text="domo">
      <formula>NOT(ISERROR(SEARCH("domo",E429)))</formula>
    </cfRule>
  </conditionalFormatting>
  <conditionalFormatting sqref="E417">
    <cfRule type="containsText" dxfId="189" priority="40" operator="containsText" text="Radio">
      <formula>NOT(ISERROR(SEARCH("Radio",E417)))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7">
    <cfRule type="containsText" dxfId="186" priority="36" operator="containsText" text="fija">
      <formula>NOT(ISERROR(SEARCH("fija",E417)))</formula>
    </cfRule>
    <cfRule type="containsText" dxfId="185" priority="37" operator="containsText" text="domo">
      <formula>NOT(ISERROR(SEARCH("domo",E417)))</formula>
    </cfRule>
  </conditionalFormatting>
  <conditionalFormatting sqref="E418">
    <cfRule type="containsText" dxfId="184" priority="35" operator="containsText" text="Radio">
      <formula>NOT(ISERROR(SEARCH("Radio",E418)))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18">
    <cfRule type="containsText" dxfId="181" priority="31" operator="containsText" text="fija">
      <formula>NOT(ISERROR(SEARCH("fija",E418)))</formula>
    </cfRule>
    <cfRule type="containsText" dxfId="180" priority="32" operator="containsText" text="domo">
      <formula>NOT(ISERROR(SEARCH("domo",E418)))</formula>
    </cfRule>
  </conditionalFormatting>
  <conditionalFormatting sqref="E421">
    <cfRule type="containsText" dxfId="179" priority="30" operator="containsText" text="Radio">
      <formula>NOT(ISERROR(SEARCH("Radio",E421)))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1">
    <cfRule type="containsText" dxfId="176" priority="26" operator="containsText" text="fija">
      <formula>NOT(ISERROR(SEARCH("fija",E421)))</formula>
    </cfRule>
    <cfRule type="containsText" dxfId="175" priority="27" operator="containsText" text="domo">
      <formula>NOT(ISERROR(SEARCH("domo",E421)))</formula>
    </cfRule>
  </conditionalFormatting>
  <conditionalFormatting sqref="E422">
    <cfRule type="containsText" dxfId="174" priority="25" operator="containsText" text="Radio">
      <formula>NOT(ISERROR(SEARCH("Radio",E422)))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2">
    <cfRule type="containsText" dxfId="171" priority="21" operator="containsText" text="fija">
      <formula>NOT(ISERROR(SEARCH("fija",E422)))</formula>
    </cfRule>
    <cfRule type="containsText" dxfId="170" priority="22" operator="containsText" text="domo">
      <formula>NOT(ISERROR(SEARCH("domo",E422)))</formula>
    </cfRule>
  </conditionalFormatting>
  <conditionalFormatting sqref="E423">
    <cfRule type="containsText" dxfId="169" priority="20" operator="containsText" text="Radio">
      <formula>NOT(ISERROR(SEARCH("Radio",E423)))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3">
    <cfRule type="containsText" dxfId="166" priority="16" operator="containsText" text="fija">
      <formula>NOT(ISERROR(SEARCH("fija",E423)))</formula>
    </cfRule>
    <cfRule type="containsText" dxfId="165" priority="17" operator="containsText" text="domo">
      <formula>NOT(ISERROR(SEARCH("domo",E423)))</formula>
    </cfRule>
  </conditionalFormatting>
  <conditionalFormatting sqref="E424">
    <cfRule type="containsText" dxfId="164" priority="15" operator="containsText" text="Radio">
      <formula>NOT(ISERROR(SEARCH("Radio",E424)))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E424">
    <cfRule type="containsText" dxfId="161" priority="11" operator="containsText" text="fija">
      <formula>NOT(ISERROR(SEARCH("fija",E424)))</formula>
    </cfRule>
    <cfRule type="containsText" dxfId="160" priority="12" operator="containsText" text="domo">
      <formula>NOT(ISERROR(SEARCH("domo",E424)))</formula>
    </cfRule>
  </conditionalFormatting>
  <conditionalFormatting sqref="AO104:AO105">
    <cfRule type="cellIs" dxfId="159" priority="9" operator="lessThan">
      <formula>0.8</formula>
    </cfRule>
    <cfRule type="cellIs" dxfId="158" priority="10" operator="greaterThan">
      <formula>0.8</formula>
    </cfRule>
  </conditionalFormatting>
  <conditionalFormatting sqref="AO104:AO105">
    <cfRule type="notContainsText" dxfId="157" priority="7" operator="notContains" text="Caida">
      <formula>ISERROR(SEARCH("Caida",AO104))</formula>
    </cfRule>
    <cfRule type="containsText" dxfId="156" priority="8" operator="containsText" text="Caida">
      <formula>NOT(ISERROR(SEARCH("Caida",AO104)))</formula>
    </cfRule>
  </conditionalFormatting>
  <conditionalFormatting sqref="AL407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08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20">
    <cfRule type="cellIs" dxfId="151" priority="1" operator="lessThan">
      <formula>0.8</formula>
    </cfRule>
    <cfRule type="cellIs" dxfId="150" priority="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 t="str">
        <f>'RESUMEN TOTAL'!AK16</f>
        <v>APAGADO</v>
      </c>
      <c r="AG13" s="24" t="str">
        <f>'RESUMEN TOTAL'!AL16</f>
        <v>APAGADO</v>
      </c>
      <c r="AH13" s="24" t="str">
        <f>'RESUMEN TOTAL'!AM16</f>
        <v>APAGADO</v>
      </c>
      <c r="AI13" s="24" t="str">
        <f>'RESUMEN TOTAL'!AN16</f>
        <v>APAGADO</v>
      </c>
    </row>
    <row r="14" spans="1:35" x14ac:dyDescent="0.25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25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 t="str">
        <f>'RESUMEN TOTAL'!M23</f>
        <v>APAGADO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25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 t="str">
        <f>'RESUMEN TOTAL'!M24</f>
        <v>APAGADO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25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 t="str">
        <f>'RESUMEN TOTAL'!M25</f>
        <v>APAGADO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25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25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 t="str">
        <f>'RESUMEN TOTAL'!M27</f>
        <v>APAGADO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25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 t="str">
        <f>'RESUMEN TOTAL'!M28</f>
        <v>APAGADO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25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 t="str">
        <f>'RESUMEN TOTAL'!M29</f>
        <v>APAGADO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25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25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25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 t="str">
        <f>'RESUMEN TOTAL'!M32</f>
        <v>APAGADO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25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25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 t="str">
        <f>'RESUMEN TOTAL'!N34</f>
        <v>APAGADO</v>
      </c>
      <c r="J32" s="24" t="str">
        <f>'RESUMEN TOTAL'!O34</f>
        <v>APAGADO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 t="str">
        <f>'RESUMEN TOTAL'!W34</f>
        <v>APAGADO</v>
      </c>
      <c r="S32" s="24" t="str">
        <f>'RESUMEN TOTAL'!X34</f>
        <v>APAGADO</v>
      </c>
      <c r="T32" s="24" t="str">
        <f>'RESUMEN TOTAL'!Y34</f>
        <v>APAGADO</v>
      </c>
      <c r="U32" s="24" t="str">
        <f>'RESUMEN TOTAL'!Z34</f>
        <v>APAGADO</v>
      </c>
      <c r="V32" s="24">
        <f>'RESUMEN TOTAL'!AA34</f>
        <v>0</v>
      </c>
      <c r="W32" s="24" t="str">
        <f>'RESUMEN TOTAL'!AB34</f>
        <v>APAGADO</v>
      </c>
      <c r="X32" s="24" t="str">
        <f>'RESUMEN TOTAL'!AC34</f>
        <v>APAGADO</v>
      </c>
      <c r="Y32" s="24" t="str">
        <f>'RESUMEN TOTAL'!AD34</f>
        <v>APAGADO</v>
      </c>
      <c r="Z32" s="24" t="str">
        <f>'RESUMEN TOTAL'!AE34</f>
        <v>APAGADO</v>
      </c>
      <c r="AA32" s="24" t="str">
        <f>'RESUMEN TOTAL'!AF34</f>
        <v>APAGADO</v>
      </c>
      <c r="AB32" s="24" t="str">
        <f>'RESUMEN TOTAL'!AG34</f>
        <v>APAGADO</v>
      </c>
      <c r="AC32" s="24" t="str">
        <f>'RESUMEN TOTAL'!AH34</f>
        <v>APAGADO</v>
      </c>
      <c r="AD32" s="24" t="str">
        <f>'RESUMEN TOTAL'!AI34</f>
        <v>APAGADO</v>
      </c>
      <c r="AE32" s="24" t="str">
        <f>'RESUMEN TOTAL'!AJ34</f>
        <v>APAGADO</v>
      </c>
      <c r="AF32" s="24" t="str">
        <f>'RESUMEN TOTAL'!AK34</f>
        <v>APAGADO</v>
      </c>
      <c r="AG32" s="24" t="str">
        <f>'RESUMEN TOTAL'!AL34</f>
        <v>APAGADO</v>
      </c>
      <c r="AH32" s="24" t="str">
        <f>'RESUMEN TOTAL'!AM34</f>
        <v>APAGADO</v>
      </c>
      <c r="AI32" s="24" t="str">
        <f>'RESUMEN TOTAL'!AN34</f>
        <v>APAGADO</v>
      </c>
    </row>
    <row r="33" spans="1:35" x14ac:dyDescent="0.25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 t="str">
        <f>'RESUMEN TOTAL'!M35</f>
        <v>APAGADO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 t="str">
        <f>'RESUMEN TOTAL'!Q35</f>
        <v>APAGADO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 t="str">
        <f>'RESUMEN TOTAL'!AK35</f>
        <v>APAGADO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25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25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 t="str">
        <f>'RESUMEN TOTAL'!L37</f>
        <v>APAGADO</v>
      </c>
      <c r="H35" s="24" t="str">
        <f>'RESUMEN TOTAL'!M37</f>
        <v>APAGADO</v>
      </c>
      <c r="I35" s="24" t="str">
        <f>'RESUMEN TOTAL'!N37</f>
        <v>APAGADO</v>
      </c>
      <c r="J35" s="24" t="str">
        <f>'RESUMEN TOTAL'!O37</f>
        <v>APAGADO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 t="str">
        <f>'RESUMEN TOTAL'!S37</f>
        <v>APAGADO</v>
      </c>
      <c r="O35" s="24" t="str">
        <f>'RESUMEN TOTAL'!T37</f>
        <v>APAGADO</v>
      </c>
      <c r="P35" s="24" t="str">
        <f>'RESUMEN TOTAL'!U37</f>
        <v>APAGADO</v>
      </c>
      <c r="Q35" s="24" t="str">
        <f>'RESUMEN TOTAL'!V37</f>
        <v>APAGADO</v>
      </c>
      <c r="R35" s="24" t="str">
        <f>'RESUMEN TOTAL'!W37</f>
        <v>APAGADO</v>
      </c>
      <c r="S35" s="24" t="str">
        <f>'RESUMEN TOTAL'!X37</f>
        <v>APAGADO</v>
      </c>
      <c r="T35" s="24" t="str">
        <f>'RESUMEN TOTAL'!Y37</f>
        <v>APAGADO</v>
      </c>
      <c r="U35" s="24" t="str">
        <f>'RESUMEN TOTAL'!Z37</f>
        <v>APAGADO</v>
      </c>
      <c r="V35" s="24">
        <f>'RESUMEN TOTAL'!AA37</f>
        <v>0</v>
      </c>
      <c r="W35" s="24" t="str">
        <f>'RESUMEN TOTAL'!AB37</f>
        <v>APAGADO</v>
      </c>
      <c r="X35" s="24" t="str">
        <f>'RESUMEN TOTAL'!AC37</f>
        <v>APAGADO</v>
      </c>
      <c r="Y35" s="24" t="str">
        <f>'RESUMEN TOTAL'!AD37</f>
        <v>APAGADO</v>
      </c>
      <c r="Z35" s="24" t="str">
        <f>'RESUMEN TOTAL'!AE37</f>
        <v>APAGADO</v>
      </c>
      <c r="AA35" s="24" t="str">
        <f>'RESUMEN TOTAL'!AF37</f>
        <v>APAGADO</v>
      </c>
      <c r="AB35" s="24" t="str">
        <f>'RESUMEN TOTAL'!AG37</f>
        <v>APAGADO</v>
      </c>
      <c r="AC35" s="24" t="str">
        <f>'RESUMEN TOTAL'!AH37</f>
        <v>APAGADO</v>
      </c>
      <c r="AD35" s="24" t="str">
        <f>'RESUMEN TOTAL'!AI37</f>
        <v>APAGADO</v>
      </c>
      <c r="AE35" s="24" t="str">
        <f>'RESUMEN TOTAL'!AJ37</f>
        <v>APAGADO</v>
      </c>
      <c r="AF35" s="24" t="str">
        <f>'RESUMEN TOTAL'!AK37</f>
        <v>APAGADO</v>
      </c>
      <c r="AG35" s="24" t="str">
        <f>'RESUMEN TOTAL'!AL37</f>
        <v>APAGADO</v>
      </c>
      <c r="AH35" s="24" t="str">
        <f>'RESUMEN TOTAL'!AM37</f>
        <v>APAGADO</v>
      </c>
      <c r="AI35" s="24" t="str">
        <f>'RESUMEN TOTAL'!AN37</f>
        <v>APAGADO</v>
      </c>
    </row>
    <row r="36" spans="1:35" x14ac:dyDescent="0.25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 t="str">
        <f>'RESUMEN TOTAL'!M38</f>
        <v>APAGADO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25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 t="str">
        <f>'RESUMEN TOTAL'!M39</f>
        <v>APAGADO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25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 t="str">
        <f>'RESUMEN TOTAL'!M40</f>
        <v>APAGADO</v>
      </c>
      <c r="I38" s="24" t="str">
        <f>'RESUMEN TOTAL'!N40</f>
        <v>APAGADO</v>
      </c>
      <c r="J38" s="24" t="str">
        <f>'RESUMEN TOTAL'!O40</f>
        <v>APAGADO</v>
      </c>
      <c r="K38" s="24">
        <f>'RESUMEN TOTAL'!P40</f>
        <v>0</v>
      </c>
      <c r="L38" s="24" t="str">
        <f>'RESUMEN TOTAL'!Q40</f>
        <v>APAGADO</v>
      </c>
      <c r="M38" s="24">
        <f>'RESUMEN TOTAL'!R40</f>
        <v>0</v>
      </c>
      <c r="N38" s="24" t="str">
        <f>'RESUMEN TOTAL'!S40</f>
        <v>APAGADO</v>
      </c>
      <c r="O38" s="24" t="str">
        <f>'RESUMEN TOTAL'!T40</f>
        <v>APAGADO</v>
      </c>
      <c r="P38" s="24" t="str">
        <f>'RESUMEN TOTAL'!U40</f>
        <v>APAGADO</v>
      </c>
      <c r="Q38" s="24" t="str">
        <f>'RESUMEN TOTAL'!V40</f>
        <v>APAGADO</v>
      </c>
      <c r="R38" s="24" t="str">
        <f>'RESUMEN TOTAL'!W40</f>
        <v>APAGADO</v>
      </c>
      <c r="S38" s="24" t="str">
        <f>'RESUMEN TOTAL'!X40</f>
        <v>APAGADO</v>
      </c>
      <c r="T38" s="24" t="str">
        <f>'RESUMEN TOTAL'!Y40</f>
        <v>APAGADO</v>
      </c>
      <c r="U38" s="24" t="str">
        <f>'RESUMEN TOTAL'!Z40</f>
        <v>APAGADO</v>
      </c>
      <c r="V38" s="24">
        <f>'RESUMEN TOTAL'!AA40</f>
        <v>0</v>
      </c>
      <c r="W38" s="24" t="str">
        <f>'RESUMEN TOTAL'!AB40</f>
        <v>APAGADO</v>
      </c>
      <c r="X38" s="24" t="str">
        <f>'RESUMEN TOTAL'!AC40</f>
        <v>APAGADO</v>
      </c>
      <c r="Y38" s="24" t="str">
        <f>'RESUMEN TOTAL'!AD40</f>
        <v>APAGADO</v>
      </c>
      <c r="Z38" s="24" t="str">
        <f>'RESUMEN TOTAL'!AE40</f>
        <v>APAGADO</v>
      </c>
      <c r="AA38" s="24" t="str">
        <f>'RESUMEN TOTAL'!AF40</f>
        <v>APAGADO</v>
      </c>
      <c r="AB38" s="24" t="str">
        <f>'RESUMEN TOTAL'!AG40</f>
        <v>APAGADO</v>
      </c>
      <c r="AC38" s="24" t="str">
        <f>'RESUMEN TOTAL'!AH40</f>
        <v>APAGADO</v>
      </c>
      <c r="AD38" s="24" t="str">
        <f>'RESUMEN TOTAL'!AI40</f>
        <v>APAGADO</v>
      </c>
      <c r="AE38" s="24" t="str">
        <f>'RESUMEN TOTAL'!AJ40</f>
        <v>APAGADO</v>
      </c>
      <c r="AF38" s="24" t="str">
        <f>'RESUMEN TOTAL'!AK40</f>
        <v>APAGADO</v>
      </c>
      <c r="AG38" s="24" t="str">
        <f>'RESUMEN TOTAL'!AL40</f>
        <v>APAGADO</v>
      </c>
      <c r="AH38" s="24" t="str">
        <f>'RESUMEN TOTAL'!AM40</f>
        <v>APAGADO</v>
      </c>
      <c r="AI38" s="24">
        <f>'RESUMEN TOTAL'!AN40</f>
        <v>0</v>
      </c>
    </row>
    <row r="39" spans="1:35" x14ac:dyDescent="0.25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25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 t="str">
        <f>'RESUMEN TOTAL'!K42</f>
        <v>APAGADO</v>
      </c>
      <c r="G40" s="24" t="str">
        <f>'RESUMEN TOTAL'!L42</f>
        <v>APAGADO</v>
      </c>
      <c r="H40" s="24" t="str">
        <f>'RESUMEN TOTAL'!M42</f>
        <v>APAGADO</v>
      </c>
      <c r="I40" s="24" t="str">
        <f>'RESUMEN TOTAL'!N42</f>
        <v>APAGADO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25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 t="str">
        <f>'RESUMEN TOTAL'!M43</f>
        <v>APAGADO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25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25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 t="str">
        <f>'RESUMEN TOTAL'!M45</f>
        <v>APAGADO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25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 t="str">
        <f>'RESUMEN TOTAL'!L46</f>
        <v>APAGADO</v>
      </c>
      <c r="H44" s="24">
        <f>'RESUMEN TOTAL'!M46</f>
        <v>0</v>
      </c>
      <c r="I44" s="24" t="str">
        <f>'RESUMEN TOTAL'!N46</f>
        <v>APAGADO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25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 t="str">
        <f>'RESUMEN TOTAL'!M47</f>
        <v>APAGADO</v>
      </c>
      <c r="I45" s="24" t="str">
        <f>'RESUMEN TOTAL'!N47</f>
        <v>APAGADO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25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 t="str">
        <f>'RESUMEN TOTAL'!M48</f>
        <v>APAGADO</v>
      </c>
      <c r="I46" s="24" t="str">
        <f>'RESUMEN TOTAL'!N48</f>
        <v>APAGADO</v>
      </c>
      <c r="J46" s="24" t="str">
        <f>'RESUMEN TOTAL'!O48</f>
        <v>APAGADO</v>
      </c>
      <c r="K46" s="24">
        <f>'RESUMEN TOTAL'!P48</f>
        <v>0</v>
      </c>
      <c r="L46" s="24" t="str">
        <f>'RESUMEN TOTAL'!Q48</f>
        <v>APAGADO</v>
      </c>
      <c r="M46" s="24">
        <f>'RESUMEN TOTAL'!R48</f>
        <v>0</v>
      </c>
      <c r="N46" s="24" t="str">
        <f>'RESUMEN TOTAL'!S48</f>
        <v>APAGADO</v>
      </c>
      <c r="O46" s="24" t="str">
        <f>'RESUMEN TOTAL'!T48</f>
        <v>APAGADO</v>
      </c>
      <c r="P46" s="24" t="str">
        <f>'RESUMEN TOTAL'!U48</f>
        <v>APAGADO</v>
      </c>
      <c r="Q46" s="24" t="str">
        <f>'RESUMEN TOTAL'!V48</f>
        <v>APAGADO</v>
      </c>
      <c r="R46" s="24" t="str">
        <f>'RESUMEN TOTAL'!W48</f>
        <v>APAGADO</v>
      </c>
      <c r="S46" s="24" t="str">
        <f>'RESUMEN TOTAL'!X48</f>
        <v>APAGADO</v>
      </c>
      <c r="T46" s="24" t="str">
        <f>'RESUMEN TOTAL'!Y48</f>
        <v>APAGADO</v>
      </c>
      <c r="U46" s="24" t="str">
        <f>'RESUMEN TOTAL'!Z48</f>
        <v>APAGADO</v>
      </c>
      <c r="V46" s="24">
        <f>'RESUMEN TOTAL'!AA48</f>
        <v>0</v>
      </c>
      <c r="W46" s="24" t="str">
        <f>'RESUMEN TOTAL'!AB48</f>
        <v>APAGADO</v>
      </c>
      <c r="X46" s="24" t="str">
        <f>'RESUMEN TOTAL'!AC48</f>
        <v>APAGADO</v>
      </c>
      <c r="Y46" s="24" t="str">
        <f>'RESUMEN TOTAL'!AD48</f>
        <v>APAGADO</v>
      </c>
      <c r="Z46" s="24" t="str">
        <f>'RESUMEN TOTAL'!AE48</f>
        <v>APAGADO</v>
      </c>
      <c r="AA46" s="24" t="str">
        <f>'RESUMEN TOTAL'!AF48</f>
        <v>APAGADO</v>
      </c>
      <c r="AB46" s="24" t="str">
        <f>'RESUMEN TOTAL'!AG48</f>
        <v>APAGADO</v>
      </c>
      <c r="AC46" s="24" t="str">
        <f>'RESUMEN TOTAL'!AH48</f>
        <v>APAGADO</v>
      </c>
      <c r="AD46" s="24" t="str">
        <f>'RESUMEN TOTAL'!AI48</f>
        <v>APAGADO</v>
      </c>
      <c r="AE46" s="24" t="str">
        <f>'RESUMEN TOTAL'!AJ48</f>
        <v>APAGADO</v>
      </c>
      <c r="AF46" s="24" t="str">
        <f>'RESUMEN TOTAL'!AK48</f>
        <v>APAGADO</v>
      </c>
      <c r="AG46" s="24" t="str">
        <f>'RESUMEN TOTAL'!AL48</f>
        <v>APAGADO</v>
      </c>
      <c r="AH46" s="24" t="str">
        <f>'RESUMEN TOTAL'!AM48</f>
        <v>APAGADO</v>
      </c>
      <c r="AI46" s="24" t="str">
        <f>'RESUMEN TOTAL'!AN48</f>
        <v>APAGADO</v>
      </c>
    </row>
    <row r="47" spans="1:35" x14ac:dyDescent="0.25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 t="str">
        <f>'RESUMEN TOTAL'!AB49</f>
        <v>APAGADO</v>
      </c>
      <c r="X47" s="24" t="str">
        <f>'RESUMEN TOTAL'!AC49</f>
        <v>APAGADO</v>
      </c>
      <c r="Y47" s="24" t="str">
        <f>'RESUMEN TOTAL'!AD49</f>
        <v>APAGADO</v>
      </c>
      <c r="Z47" s="24" t="str">
        <f>'RESUMEN TOTAL'!AE49</f>
        <v>APAGADO</v>
      </c>
      <c r="AA47" s="24" t="str">
        <f>'RESUMEN TOTAL'!AF49</f>
        <v>APAGADO</v>
      </c>
      <c r="AB47" s="24" t="str">
        <f>'RESUMEN TOTAL'!AG49</f>
        <v>APAGADO</v>
      </c>
      <c r="AC47" s="24" t="str">
        <f>'RESUMEN TOTAL'!AH49</f>
        <v>APAGADO</v>
      </c>
      <c r="AD47" s="24" t="str">
        <f>'RESUMEN TOTAL'!AI49</f>
        <v>APAGADO</v>
      </c>
      <c r="AE47" s="24" t="str">
        <f>'RESUMEN TOTAL'!AJ49</f>
        <v>APAGADO</v>
      </c>
      <c r="AF47" s="24" t="str">
        <f>'RESUMEN TOTAL'!AK49</f>
        <v>APAGADO</v>
      </c>
      <c r="AG47" s="24" t="str">
        <f>'RESUMEN TOTAL'!AL49</f>
        <v>APAGADO</v>
      </c>
      <c r="AH47" s="24" t="str">
        <f>'RESUMEN TOTAL'!AM49</f>
        <v>APAGADO</v>
      </c>
      <c r="AI47" s="24" t="str">
        <f>'RESUMEN TOTAL'!AN49</f>
        <v>APAGADO</v>
      </c>
    </row>
    <row r="48" spans="1:35" x14ac:dyDescent="0.25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 t="str">
        <f>'RESUMEN TOTAL'!M50</f>
        <v>APAGADO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25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 t="str">
        <f>'RESUMEN TOTAL'!M51</f>
        <v>APAGADO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 t="str">
        <f>'RESUMEN TOTAL'!AB51</f>
        <v>APAGADO</v>
      </c>
      <c r="X49" s="24" t="str">
        <f>'RESUMEN TOTAL'!AC51</f>
        <v>APAGADO</v>
      </c>
      <c r="Y49" s="24" t="str">
        <f>'RESUMEN TOTAL'!AD51</f>
        <v>APAGADO</v>
      </c>
      <c r="Z49" s="24" t="str">
        <f>'RESUMEN TOTAL'!AE51</f>
        <v>APAGADO</v>
      </c>
      <c r="AA49" s="24" t="str">
        <f>'RESUMEN TOTAL'!AF51</f>
        <v>APAGADO</v>
      </c>
      <c r="AB49" s="24" t="str">
        <f>'RESUMEN TOTAL'!AG51</f>
        <v>APAGADO</v>
      </c>
      <c r="AC49" s="24" t="str">
        <f>'RESUMEN TOTAL'!AH51</f>
        <v>APAGADO</v>
      </c>
      <c r="AD49" s="24" t="str">
        <f>'RESUMEN TOTAL'!AI51</f>
        <v>APAGADO</v>
      </c>
      <c r="AE49" s="24" t="str">
        <f>'RESUMEN TOTAL'!AJ51</f>
        <v>APAGADO</v>
      </c>
      <c r="AF49" s="24" t="str">
        <f>'RESUMEN TOTAL'!AK51</f>
        <v>APAGADO</v>
      </c>
      <c r="AG49" s="24" t="str">
        <f>'RESUMEN TOTAL'!AL51</f>
        <v>APAGADO</v>
      </c>
      <c r="AH49" s="24" t="str">
        <f>'RESUMEN TOTAL'!AM51</f>
        <v>APAGADO</v>
      </c>
      <c r="AI49" s="24" t="str">
        <f>'RESUMEN TOTAL'!AN51</f>
        <v>APAGADO</v>
      </c>
    </row>
    <row r="50" spans="1:35" x14ac:dyDescent="0.25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 t="str">
        <f>'RESUMEN TOTAL'!M52</f>
        <v>APAGADO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25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 t="str">
        <f>'RESUMEN TOTAL'!M53</f>
        <v>APAGADO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25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 t="str">
        <f>'RESUMEN TOTAL'!M54</f>
        <v>APAGADO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 t="str">
        <f>'RESUMEN TOTAL'!AB54</f>
        <v>APAGADO</v>
      </c>
      <c r="X52" s="24" t="str">
        <f>'RESUMEN TOTAL'!AC54</f>
        <v>APAGADO</v>
      </c>
      <c r="Y52" s="24" t="str">
        <f>'RESUMEN TOTAL'!AD54</f>
        <v>APAGADO</v>
      </c>
      <c r="Z52" s="24" t="str">
        <f>'RESUMEN TOTAL'!AE54</f>
        <v>APAGADO</v>
      </c>
      <c r="AA52" s="24" t="str">
        <f>'RESUMEN TOTAL'!AF54</f>
        <v>APAGADO</v>
      </c>
      <c r="AB52" s="24" t="str">
        <f>'RESUMEN TOTAL'!AG54</f>
        <v>APAGADO</v>
      </c>
      <c r="AC52" s="24" t="str">
        <f>'RESUMEN TOTAL'!AH54</f>
        <v>APAGADO</v>
      </c>
      <c r="AD52" s="24" t="str">
        <f>'RESUMEN TOTAL'!AI54</f>
        <v>APAGADO</v>
      </c>
      <c r="AE52" s="24" t="str">
        <f>'RESUMEN TOTAL'!AJ54</f>
        <v>APAGADO</v>
      </c>
      <c r="AF52" s="24" t="str">
        <f>'RESUMEN TOTAL'!AK54</f>
        <v>APAGADO</v>
      </c>
      <c r="AG52" s="24" t="str">
        <f>'RESUMEN TOTAL'!AL54</f>
        <v>APAGADO</v>
      </c>
      <c r="AH52" s="24" t="str">
        <f>'RESUMEN TOTAL'!AM54</f>
        <v>APAGADO</v>
      </c>
      <c r="AI52" s="24" t="str">
        <f>'RESUMEN TOTAL'!AN54</f>
        <v>APAGADO</v>
      </c>
    </row>
    <row r="53" spans="1:35" x14ac:dyDescent="0.25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 t="str">
        <f>'RESUMEN TOTAL'!M55</f>
        <v>APAGADO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25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 t="str">
        <f>'RESUMEN TOTAL'!M56</f>
        <v>APAGADO</v>
      </c>
      <c r="I54" s="24" t="str">
        <f>'RESUMEN TOTAL'!N56</f>
        <v>APAGADO</v>
      </c>
      <c r="J54" s="24" t="str">
        <f>'RESUMEN TOTAL'!O56</f>
        <v>APAGADO</v>
      </c>
      <c r="K54" s="24">
        <f>'RESUMEN TOTAL'!P56</f>
        <v>0</v>
      </c>
      <c r="L54" s="24" t="str">
        <f>'RESUMEN TOTAL'!Q56</f>
        <v>APAGADO</v>
      </c>
      <c r="M54" s="24">
        <f>'RESUMEN TOTAL'!R56</f>
        <v>0</v>
      </c>
      <c r="N54" s="24" t="str">
        <f>'RESUMEN TOTAL'!S56</f>
        <v>APAGADO</v>
      </c>
      <c r="O54" s="24" t="str">
        <f>'RESUMEN TOTAL'!T56</f>
        <v>APAGADO</v>
      </c>
      <c r="P54" s="24" t="str">
        <f>'RESUMEN TOTAL'!U56</f>
        <v>APAGADO</v>
      </c>
      <c r="Q54" s="24" t="str">
        <f>'RESUMEN TOTAL'!V56</f>
        <v>APAGADO</v>
      </c>
      <c r="R54" s="24" t="str">
        <f>'RESUMEN TOTAL'!W56</f>
        <v>APAGADO</v>
      </c>
      <c r="S54" s="24" t="str">
        <f>'RESUMEN TOTAL'!X56</f>
        <v>APAGADO</v>
      </c>
      <c r="T54" s="24" t="str">
        <f>'RESUMEN TOTAL'!Y56</f>
        <v>APAGADO</v>
      </c>
      <c r="U54" s="24" t="str">
        <f>'RESUMEN TOTAL'!Z56</f>
        <v>APAGADO</v>
      </c>
      <c r="V54" s="24">
        <f>'RESUMEN TOTAL'!AA56</f>
        <v>0</v>
      </c>
      <c r="W54" s="24" t="str">
        <f>'RESUMEN TOTAL'!AB56</f>
        <v>APAGADO</v>
      </c>
      <c r="X54" s="24" t="str">
        <f>'RESUMEN TOTAL'!AC56</f>
        <v>APAGADO</v>
      </c>
      <c r="Y54" s="24" t="str">
        <f>'RESUMEN TOTAL'!AD56</f>
        <v>APAGADO</v>
      </c>
      <c r="Z54" s="24" t="str">
        <f>'RESUMEN TOTAL'!AE56</f>
        <v>APAGADO</v>
      </c>
      <c r="AA54" s="24" t="str">
        <f>'RESUMEN TOTAL'!AF56</f>
        <v>APAGADO</v>
      </c>
      <c r="AB54" s="24" t="str">
        <f>'RESUMEN TOTAL'!AG56</f>
        <v>APAGADO</v>
      </c>
      <c r="AC54" s="24" t="str">
        <f>'RESUMEN TOTAL'!AH56</f>
        <v>APAGADO</v>
      </c>
      <c r="AD54" s="24" t="str">
        <f>'RESUMEN TOTAL'!AI56</f>
        <v>APAGADO</v>
      </c>
      <c r="AE54" s="24" t="str">
        <f>'RESUMEN TOTAL'!AJ56</f>
        <v>APAGADO</v>
      </c>
      <c r="AF54" s="24" t="str">
        <f>'RESUMEN TOTAL'!AK56</f>
        <v>APAGADO</v>
      </c>
      <c r="AG54" s="24" t="str">
        <f>'RESUMEN TOTAL'!AL56</f>
        <v>APAGADO</v>
      </c>
      <c r="AH54" s="24" t="str">
        <f>'RESUMEN TOTAL'!AM56</f>
        <v>APAGADO</v>
      </c>
      <c r="AI54" s="24" t="str">
        <f>'RESUMEN TOTAL'!AN56</f>
        <v>APAGADO</v>
      </c>
    </row>
    <row r="55" spans="1:35" x14ac:dyDescent="0.25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 t="str">
        <f>'RESUMEN TOTAL'!M57</f>
        <v>APAGADO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 t="str">
        <f>'RESUMEN TOTAL'!AK57</f>
        <v>APAGADO</v>
      </c>
      <c r="AG55" s="24" t="str">
        <f>'RESUMEN TOTAL'!AL57</f>
        <v>APAGADO</v>
      </c>
      <c r="AH55" s="24" t="str">
        <f>'RESUMEN TOTAL'!AM57</f>
        <v>APAGADO</v>
      </c>
      <c r="AI55" s="24" t="str">
        <f>'RESUMEN TOTAL'!AN57</f>
        <v>APAGADO</v>
      </c>
    </row>
    <row r="56" spans="1:35" x14ac:dyDescent="0.25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25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 t="str">
        <f>'RESUMEN TOTAL'!M59</f>
        <v>APAGADO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25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25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 t="str">
        <f>'RESUMEN TOTAL'!M61</f>
        <v>APAGADO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25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25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25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25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25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 t="str">
        <f>'RESUMEN TOTAL'!S66</f>
        <v>APAGADO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 t="str">
        <f>'RESUMEN TOTAL'!Z66</f>
        <v>APAGADO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25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25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25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 t="str">
        <f>'RESUMEN TOTAL'!M69</f>
        <v>APAGADO</v>
      </c>
      <c r="I67" s="24" t="str">
        <f>'RESUMEN TOTAL'!N69</f>
        <v>APAGADO</v>
      </c>
      <c r="J67" s="24" t="str">
        <f>'RESUMEN TOTAL'!O69</f>
        <v>APAGADO</v>
      </c>
      <c r="K67" s="24">
        <f>'RESUMEN TOTAL'!P69</f>
        <v>0</v>
      </c>
      <c r="L67" s="24" t="str">
        <f>'RESUMEN TOTAL'!Q69</f>
        <v>APAGADO</v>
      </c>
      <c r="M67" s="24">
        <f>'RESUMEN TOTAL'!R69</f>
        <v>0</v>
      </c>
      <c r="N67" s="24" t="str">
        <f>'RESUMEN TOTAL'!S69</f>
        <v>APAGADO</v>
      </c>
      <c r="O67" s="24" t="str">
        <f>'RESUMEN TOTAL'!T69</f>
        <v>APAGADO</v>
      </c>
      <c r="P67" s="24" t="str">
        <f>'RESUMEN TOTAL'!U69</f>
        <v>APAGADO</v>
      </c>
      <c r="Q67" s="24" t="str">
        <f>'RESUMEN TOTAL'!V69</f>
        <v>APAGADO</v>
      </c>
      <c r="R67" s="24" t="str">
        <f>'RESUMEN TOTAL'!W69</f>
        <v>APAGADO</v>
      </c>
      <c r="S67" s="24" t="str">
        <f>'RESUMEN TOTAL'!X69</f>
        <v>APAGADO</v>
      </c>
      <c r="T67" s="24" t="str">
        <f>'RESUMEN TOTAL'!Y69</f>
        <v>APAGADO</v>
      </c>
      <c r="U67" s="24" t="str">
        <f>'RESUMEN TOTAL'!Z69</f>
        <v>APAGADO</v>
      </c>
      <c r="V67" s="24">
        <f>'RESUMEN TOTAL'!AA69</f>
        <v>0</v>
      </c>
      <c r="W67" s="24" t="str">
        <f>'RESUMEN TOTAL'!AB69</f>
        <v>APAGADO</v>
      </c>
      <c r="X67" s="24" t="str">
        <f>'RESUMEN TOTAL'!AC69</f>
        <v>APAGADO</v>
      </c>
      <c r="Y67" s="24" t="str">
        <f>'RESUMEN TOTAL'!AD69</f>
        <v>APAGADO</v>
      </c>
      <c r="Z67" s="24" t="str">
        <f>'RESUMEN TOTAL'!AE69</f>
        <v>APAGADO</v>
      </c>
      <c r="AA67" s="24" t="str">
        <f>'RESUMEN TOTAL'!AF69</f>
        <v>APAGADO</v>
      </c>
      <c r="AB67" s="24" t="str">
        <f>'RESUMEN TOTAL'!AG69</f>
        <v>APAGADO</v>
      </c>
      <c r="AC67" s="24" t="str">
        <f>'RESUMEN TOTAL'!AH69</f>
        <v>APAGADO</v>
      </c>
      <c r="AD67" s="24" t="str">
        <f>'RESUMEN TOTAL'!AI69</f>
        <v>APAGADO</v>
      </c>
      <c r="AE67" s="24" t="str">
        <f>'RESUMEN TOTAL'!AJ69</f>
        <v>APAGADO</v>
      </c>
      <c r="AF67" s="24" t="str">
        <f>'RESUMEN TOTAL'!AK69</f>
        <v>APAGADO</v>
      </c>
      <c r="AG67" s="24" t="str">
        <f>'RESUMEN TOTAL'!AL69</f>
        <v>APAGADO</v>
      </c>
      <c r="AH67" s="24" t="str">
        <f>'RESUMEN TOTAL'!AM69</f>
        <v>APAGADO</v>
      </c>
      <c r="AI67" s="24" t="str">
        <f>'RESUMEN TOTAL'!AN69</f>
        <v>APAGADO</v>
      </c>
    </row>
    <row r="68" spans="1:35" x14ac:dyDescent="0.25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25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 t="str">
        <f>'RESUMEN TOTAL'!M71</f>
        <v>APAGADO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25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 t="str">
        <f>'RESUMEN TOTAL'!K72</f>
        <v>APAGADO</v>
      </c>
      <c r="G70" s="24">
        <f>'RESUMEN TOTAL'!L72</f>
        <v>0</v>
      </c>
      <c r="H70" s="24" t="str">
        <f>'RESUMEN TOTAL'!M72</f>
        <v>APAGADO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 t="str">
        <f>'RESUMEN TOTAL'!AG72</f>
        <v>APAGADO</v>
      </c>
      <c r="AC70" s="24" t="str">
        <f>'RESUMEN TOTAL'!AH72</f>
        <v>APAGADO</v>
      </c>
      <c r="AD70" s="24" t="str">
        <f>'RESUMEN TOTAL'!AI72</f>
        <v>APAGADO</v>
      </c>
      <c r="AE70" s="24" t="str">
        <f>'RESUMEN TOTAL'!AJ72</f>
        <v>APAGADO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25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25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25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 t="str">
        <f>'RESUMEN TOTAL'!N75</f>
        <v>APAGADO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 t="str">
        <f>'RESUMEN TOTAL'!W75</f>
        <v>APAGADO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25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 t="str">
        <f>'RESUMEN TOTAL'!W76</f>
        <v>APAGADO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25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 t="str">
        <f>'RESUMEN TOTAL'!V77</f>
        <v>APAGADO</v>
      </c>
      <c r="R75" s="24" t="str">
        <f>'RESUMEN TOTAL'!W77</f>
        <v>APAGADO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 t="str">
        <f>'RESUMEN TOTAL'!AD77</f>
        <v>APAGADO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25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25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25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25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25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 t="str">
        <f>'RESUMEN TOTAL'!AK82</f>
        <v>APAGADO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25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 t="str">
        <f>'RESUMEN TOTAL'!M83</f>
        <v>APAGADO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25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25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25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25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 t="str">
        <f>'RESUMEN TOTAL'!M87</f>
        <v>APAGADO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 t="str">
        <f>'RESUMEN TOTAL'!S87</f>
        <v>APAGADO</v>
      </c>
      <c r="O85" s="24" t="str">
        <f>'RESUMEN TOTAL'!T87</f>
        <v>APAGADO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 t="str">
        <f>'RESUMEN TOTAL'!AF87</f>
        <v>APAGADO</v>
      </c>
      <c r="AB85" s="24" t="str">
        <f>'RESUMEN TOTAL'!AG87</f>
        <v>APAGADO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 t="str">
        <f>'RESUMEN TOTAL'!AL87</f>
        <v>APAGADO</v>
      </c>
      <c r="AH85" s="24">
        <f>'RESUMEN TOTAL'!AM87</f>
        <v>0</v>
      </c>
      <c r="AI85" s="24">
        <f>'RESUMEN TOTAL'!AN87</f>
        <v>0</v>
      </c>
    </row>
    <row r="86" spans="1:35" x14ac:dyDescent="0.25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 t="str">
        <f>'RESUMEN TOTAL'!M88</f>
        <v>APAGADO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 t="str">
        <f>'RESUMEN TOTAL'!S88</f>
        <v>APAGADO</v>
      </c>
      <c r="O86" s="24" t="str">
        <f>'RESUMEN TOTAL'!T88</f>
        <v>APAGADO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 t="str">
        <f>'RESUMEN TOTAL'!AF88</f>
        <v>APAGADO</v>
      </c>
      <c r="AB86" s="24" t="str">
        <f>'RESUMEN TOTAL'!AG88</f>
        <v>APAGADO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 t="str">
        <f>'RESUMEN TOTAL'!AL88</f>
        <v>APAGADO</v>
      </c>
      <c r="AH86" s="24">
        <f>'RESUMEN TOTAL'!AM88</f>
        <v>0</v>
      </c>
      <c r="AI86" s="24">
        <f>'RESUMEN TOTAL'!AN88</f>
        <v>0</v>
      </c>
    </row>
    <row r="87" spans="1:35" x14ac:dyDescent="0.25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25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25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25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25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25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 t="str">
        <f>'RESUMEN TOTAL'!M94</f>
        <v>APAGADO</v>
      </c>
      <c r="I92" s="24" t="str">
        <f>'RESUMEN TOTAL'!N94</f>
        <v>APAGADO</v>
      </c>
      <c r="J92" s="24" t="str">
        <f>'RESUMEN TOTAL'!O94</f>
        <v>APAGADO</v>
      </c>
      <c r="K92" s="24">
        <f>'RESUMEN TOTAL'!P94</f>
        <v>0</v>
      </c>
      <c r="L92" s="24" t="str">
        <f>'RESUMEN TOTAL'!Q94</f>
        <v>APAGADO</v>
      </c>
      <c r="M92" s="24">
        <f>'RESUMEN TOTAL'!R94</f>
        <v>0</v>
      </c>
      <c r="N92" s="24" t="str">
        <f>'RESUMEN TOTAL'!S94</f>
        <v>APAGADO</v>
      </c>
      <c r="O92" s="24" t="str">
        <f>'RESUMEN TOTAL'!T94</f>
        <v>APAGADO</v>
      </c>
      <c r="P92" s="24" t="str">
        <f>'RESUMEN TOTAL'!U94</f>
        <v>APAGADO</v>
      </c>
      <c r="Q92" s="24" t="str">
        <f>'RESUMEN TOTAL'!V94</f>
        <v>APAGADO</v>
      </c>
      <c r="R92" s="24" t="str">
        <f>'RESUMEN TOTAL'!W94</f>
        <v>APAGADO</v>
      </c>
      <c r="S92" s="24" t="str">
        <f>'RESUMEN TOTAL'!X94</f>
        <v>APAGADO</v>
      </c>
      <c r="T92" s="24" t="str">
        <f>'RESUMEN TOTAL'!Y94</f>
        <v>APAGADO</v>
      </c>
      <c r="U92" s="24" t="str">
        <f>'RESUMEN TOTAL'!Z94</f>
        <v>APAGADO</v>
      </c>
      <c r="V92" s="24">
        <f>'RESUMEN TOTAL'!AA94</f>
        <v>0</v>
      </c>
      <c r="W92" s="24" t="str">
        <f>'RESUMEN TOTAL'!AB94</f>
        <v>APAGADO</v>
      </c>
      <c r="X92" s="24" t="str">
        <f>'RESUMEN TOTAL'!AC94</f>
        <v>APAGADO</v>
      </c>
      <c r="Y92" s="24" t="str">
        <f>'RESUMEN TOTAL'!AD94</f>
        <v>APAGADO</v>
      </c>
      <c r="Z92" s="24" t="str">
        <f>'RESUMEN TOTAL'!AE94</f>
        <v>APAGADO</v>
      </c>
      <c r="AA92" s="24" t="str">
        <f>'RESUMEN TOTAL'!AF94</f>
        <v>APAGADO</v>
      </c>
      <c r="AB92" s="24" t="str">
        <f>'RESUMEN TOTAL'!AG94</f>
        <v>APAGADO</v>
      </c>
      <c r="AC92" s="24" t="str">
        <f>'RESUMEN TOTAL'!AH94</f>
        <v>APAGADO</v>
      </c>
      <c r="AD92" s="24" t="str">
        <f>'RESUMEN TOTAL'!AI94</f>
        <v>APAGADO</v>
      </c>
      <c r="AE92" s="24" t="str">
        <f>'RESUMEN TOTAL'!AJ94</f>
        <v>APAGADO</v>
      </c>
      <c r="AF92" s="24" t="str">
        <f>'RESUMEN TOTAL'!AK94</f>
        <v>APAGADO</v>
      </c>
      <c r="AG92" s="24" t="str">
        <f>'RESUMEN TOTAL'!AL94</f>
        <v>APAGADO</v>
      </c>
      <c r="AH92" s="24">
        <f>'RESUMEN TOTAL'!AM94</f>
        <v>0</v>
      </c>
      <c r="AI92" s="24" t="str">
        <f>'RESUMEN TOTAL'!AN94</f>
        <v>APAGADO</v>
      </c>
    </row>
    <row r="93" spans="1:35" x14ac:dyDescent="0.25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 t="str">
        <f>'RESUMEN TOTAL'!M95</f>
        <v>APAGADO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25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25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25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 t="str">
        <f>'RESUMEN TOTAL'!M98</f>
        <v>APAGADO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 t="str">
        <f>'RESUMEN TOTAL'!AB98</f>
        <v>APAGADO</v>
      </c>
      <c r="X96" s="24" t="str">
        <f>'RESUMEN TOTAL'!AC98</f>
        <v>APAGADO</v>
      </c>
      <c r="Y96" s="24" t="str">
        <f>'RESUMEN TOTAL'!AD98</f>
        <v>APAGADO</v>
      </c>
      <c r="Z96" s="24" t="str">
        <f>'RESUMEN TOTAL'!AE98</f>
        <v>APAGADO</v>
      </c>
      <c r="AA96" s="24" t="str">
        <f>'RESUMEN TOTAL'!AF98</f>
        <v>APAGADO</v>
      </c>
      <c r="AB96" s="24" t="str">
        <f>'RESUMEN TOTAL'!AG98</f>
        <v>APAGADO</v>
      </c>
      <c r="AC96" s="24" t="str">
        <f>'RESUMEN TOTAL'!AH98</f>
        <v>APAGADO</v>
      </c>
      <c r="AD96" s="24" t="str">
        <f>'RESUMEN TOTAL'!AI98</f>
        <v>APAGADO</v>
      </c>
      <c r="AE96" s="24" t="str">
        <f>'RESUMEN TOTAL'!AJ98</f>
        <v>APAGADO</v>
      </c>
      <c r="AF96" s="24" t="str">
        <f>'RESUMEN TOTAL'!AK98</f>
        <v>APAGADO</v>
      </c>
      <c r="AG96" s="24" t="str">
        <f>'RESUMEN TOTAL'!AL98</f>
        <v>APAGADO</v>
      </c>
      <c r="AH96" s="24">
        <f>'RESUMEN TOTAL'!AM98</f>
        <v>0</v>
      </c>
      <c r="AI96" s="24" t="str">
        <f>'RESUMEN TOTAL'!AN98</f>
        <v>APAGADO</v>
      </c>
    </row>
    <row r="97" spans="1:35" x14ac:dyDescent="0.25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 t="str">
        <f>'RESUMEN TOTAL'!M99</f>
        <v>APAGADO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25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25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 t="str">
        <f>'RESUMEN TOTAL'!M101</f>
        <v>APAGADO</v>
      </c>
      <c r="I99" s="24" t="str">
        <f>'RESUMEN TOTAL'!N101</f>
        <v>APAGADO</v>
      </c>
      <c r="J99" s="24" t="str">
        <f>'RESUMEN TOTAL'!O101</f>
        <v>APAGADO</v>
      </c>
      <c r="K99" s="24">
        <f>'RESUMEN TOTAL'!P101</f>
        <v>0</v>
      </c>
      <c r="L99" s="24" t="str">
        <f>'RESUMEN TOTAL'!Q101</f>
        <v>APAGADO</v>
      </c>
      <c r="M99" s="24">
        <f>'RESUMEN TOTAL'!R101</f>
        <v>0</v>
      </c>
      <c r="N99" s="24" t="str">
        <f>'RESUMEN TOTAL'!S101</f>
        <v>APAGADO</v>
      </c>
      <c r="O99" s="24" t="str">
        <f>'RESUMEN TOTAL'!T101</f>
        <v>APAGADO</v>
      </c>
      <c r="P99" s="24" t="str">
        <f>'RESUMEN TOTAL'!U101</f>
        <v>APAGADO</v>
      </c>
      <c r="Q99" s="24" t="str">
        <f>'RESUMEN TOTAL'!V101</f>
        <v>APAGADO</v>
      </c>
      <c r="R99" s="24" t="str">
        <f>'RESUMEN TOTAL'!W101</f>
        <v>APAGADO</v>
      </c>
      <c r="S99" s="24" t="str">
        <f>'RESUMEN TOTAL'!X101</f>
        <v>APAGADO</v>
      </c>
      <c r="T99" s="24" t="str">
        <f>'RESUMEN TOTAL'!Y101</f>
        <v>APAGADO</v>
      </c>
      <c r="U99" s="24" t="str">
        <f>'RESUMEN TOTAL'!Z101</f>
        <v>APAGADO</v>
      </c>
      <c r="V99" s="24">
        <f>'RESUMEN TOTAL'!AA101</f>
        <v>0</v>
      </c>
      <c r="W99" s="24" t="str">
        <f>'RESUMEN TOTAL'!AB101</f>
        <v>APAGADO</v>
      </c>
      <c r="X99" s="24" t="str">
        <f>'RESUMEN TOTAL'!AC101</f>
        <v>APAGADO</v>
      </c>
      <c r="Y99" s="24" t="str">
        <f>'RESUMEN TOTAL'!AD101</f>
        <v>APAGADO</v>
      </c>
      <c r="Z99" s="24" t="str">
        <f>'RESUMEN TOTAL'!AE101</f>
        <v>APAGADO</v>
      </c>
      <c r="AA99" s="24" t="str">
        <f>'RESUMEN TOTAL'!AF101</f>
        <v>APAGADO</v>
      </c>
      <c r="AB99" s="24" t="str">
        <f>'RESUMEN TOTAL'!AG101</f>
        <v>APAGADO</v>
      </c>
      <c r="AC99" s="24" t="str">
        <f>'RESUMEN TOTAL'!AH101</f>
        <v>APAGADO</v>
      </c>
      <c r="AD99" s="24" t="str">
        <f>'RESUMEN TOTAL'!AI101</f>
        <v>APAGADO</v>
      </c>
      <c r="AE99" s="24" t="str">
        <f>'RESUMEN TOTAL'!AJ101</f>
        <v>APAGADO</v>
      </c>
      <c r="AF99" s="24" t="str">
        <f>'RESUMEN TOTAL'!AK101</f>
        <v>APAGADO</v>
      </c>
      <c r="AG99" s="24" t="str">
        <f>'RESUMEN TOTAL'!AL101</f>
        <v>APAGADO</v>
      </c>
      <c r="AH99" s="24">
        <f>'RESUMEN TOTAL'!AM101</f>
        <v>0</v>
      </c>
      <c r="AI99" s="24" t="str">
        <f>'RESUMEN TOTAL'!AN101</f>
        <v>APAGADO</v>
      </c>
    </row>
    <row r="100" spans="1:35" x14ac:dyDescent="0.25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 t="str">
        <f>'RESUMEN TOTAL'!M102</f>
        <v>APAGADO</v>
      </c>
      <c r="I100" s="24" t="str">
        <f>'RESUMEN TOTAL'!N102</f>
        <v>APAGADO</v>
      </c>
      <c r="J100" s="24" t="str">
        <f>'RESUMEN TOTAL'!O102</f>
        <v>APAGADO</v>
      </c>
      <c r="K100" s="24">
        <f>'RESUMEN TOTAL'!P102</f>
        <v>0</v>
      </c>
      <c r="L100" s="24" t="str">
        <f>'RESUMEN TOTAL'!Q102</f>
        <v>APAGADO</v>
      </c>
      <c r="M100" s="24">
        <f>'RESUMEN TOTAL'!R102</f>
        <v>0</v>
      </c>
      <c r="N100" s="24" t="str">
        <f>'RESUMEN TOTAL'!S102</f>
        <v>APAGADO</v>
      </c>
      <c r="O100" s="24" t="str">
        <f>'RESUMEN TOTAL'!T102</f>
        <v>APAGADO</v>
      </c>
      <c r="P100" s="24" t="str">
        <f>'RESUMEN TOTAL'!U102</f>
        <v>APAGADO</v>
      </c>
      <c r="Q100" s="24" t="str">
        <f>'RESUMEN TOTAL'!V102</f>
        <v>APAGADO</v>
      </c>
      <c r="R100" s="24" t="str">
        <f>'RESUMEN TOTAL'!W102</f>
        <v>APAGADO</v>
      </c>
      <c r="S100" s="24" t="str">
        <f>'RESUMEN TOTAL'!X102</f>
        <v>APAGADO</v>
      </c>
      <c r="T100" s="24" t="str">
        <f>'RESUMEN TOTAL'!Y102</f>
        <v>APAGADO</v>
      </c>
      <c r="U100" s="24" t="str">
        <f>'RESUMEN TOTAL'!Z102</f>
        <v>APAGADO</v>
      </c>
      <c r="V100" s="24">
        <f>'RESUMEN TOTAL'!AA102</f>
        <v>0</v>
      </c>
      <c r="W100" s="24" t="str">
        <f>'RESUMEN TOTAL'!AB102</f>
        <v>APAGADO</v>
      </c>
      <c r="X100" s="24" t="str">
        <f>'RESUMEN TOTAL'!AC102</f>
        <v>APAGADO</v>
      </c>
      <c r="Y100" s="24" t="str">
        <f>'RESUMEN TOTAL'!AD102</f>
        <v>APAGADO</v>
      </c>
      <c r="Z100" s="24" t="str">
        <f>'RESUMEN TOTAL'!AE102</f>
        <v>APAGADO</v>
      </c>
      <c r="AA100" s="24" t="str">
        <f>'RESUMEN TOTAL'!AF102</f>
        <v>APAGADO</v>
      </c>
      <c r="AB100" s="24" t="str">
        <f>'RESUMEN TOTAL'!AG102</f>
        <v>APAGADO</v>
      </c>
      <c r="AC100" s="24" t="str">
        <f>'RESUMEN TOTAL'!AH102</f>
        <v>APAGADO</v>
      </c>
      <c r="AD100" s="24" t="str">
        <f>'RESUMEN TOTAL'!AI102</f>
        <v>APAGADO</v>
      </c>
      <c r="AE100" s="24" t="str">
        <f>'RESUMEN TOTAL'!AJ102</f>
        <v>APAGADO</v>
      </c>
      <c r="AF100" s="24" t="str">
        <f>'RESUMEN TOTAL'!AK102</f>
        <v>APAGADO</v>
      </c>
      <c r="AG100" s="24" t="str">
        <f>'RESUMEN TOTAL'!AL102</f>
        <v>APAGADO</v>
      </c>
      <c r="AH100" s="24">
        <f>'RESUMEN TOTAL'!AM102</f>
        <v>0</v>
      </c>
      <c r="AI100" s="24" t="str">
        <f>'RESUMEN TOTAL'!AN102</f>
        <v>APAGADO</v>
      </c>
    </row>
    <row r="101" spans="1:35" x14ac:dyDescent="0.25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 t="str">
        <f>'RESUMEN TOTAL'!K103</f>
        <v>APAGADO</v>
      </c>
      <c r="G101" s="24" t="str">
        <f>'RESUMEN TOTAL'!L103</f>
        <v>APAGADO</v>
      </c>
      <c r="H101" s="24" t="str">
        <f>'RESUMEN TOTAL'!M103</f>
        <v>APAGADO</v>
      </c>
      <c r="I101" s="24" t="str">
        <f>'RESUMEN TOTAL'!N103</f>
        <v>APAGADO</v>
      </c>
      <c r="J101" s="24" t="str">
        <f>'RESUMEN TOTAL'!O103</f>
        <v>APAGADO</v>
      </c>
      <c r="K101" s="24">
        <f>'RESUMEN TOTAL'!P103</f>
        <v>0</v>
      </c>
      <c r="L101" s="24" t="str">
        <f>'RESUMEN TOTAL'!Q103</f>
        <v>APAGADO</v>
      </c>
      <c r="M101" s="24">
        <f>'RESUMEN TOTAL'!R103</f>
        <v>0</v>
      </c>
      <c r="N101" s="24" t="str">
        <f>'RESUMEN TOTAL'!S103</f>
        <v>APAGADO</v>
      </c>
      <c r="O101" s="24" t="str">
        <f>'RESUMEN TOTAL'!T103</f>
        <v>APAGADO</v>
      </c>
      <c r="P101" s="24" t="str">
        <f>'RESUMEN TOTAL'!U103</f>
        <v>APAGADO</v>
      </c>
      <c r="Q101" s="24" t="str">
        <f>'RESUMEN TOTAL'!V103</f>
        <v>APAGADO</v>
      </c>
      <c r="R101" s="24" t="str">
        <f>'RESUMEN TOTAL'!W103</f>
        <v>APAGADO</v>
      </c>
      <c r="S101" s="24" t="str">
        <f>'RESUMEN TOTAL'!X103</f>
        <v>APAGADO</v>
      </c>
      <c r="T101" s="24" t="str">
        <f>'RESUMEN TOTAL'!Y103</f>
        <v>APAGADO</v>
      </c>
      <c r="U101" s="24" t="str">
        <f>'RESUMEN TOTAL'!Z103</f>
        <v>APAGADO</v>
      </c>
      <c r="V101" s="24">
        <f>'RESUMEN TOTAL'!AA103</f>
        <v>0</v>
      </c>
      <c r="W101" s="24" t="str">
        <f>'RESUMEN TOTAL'!AB103</f>
        <v>APAGADO</v>
      </c>
      <c r="X101" s="24" t="str">
        <f>'RESUMEN TOTAL'!AC103</f>
        <v>APAGADO</v>
      </c>
      <c r="Y101" s="24" t="str">
        <f>'RESUMEN TOTAL'!AD103</f>
        <v>APAGADO</v>
      </c>
      <c r="Z101" s="24" t="str">
        <f>'RESUMEN TOTAL'!AE103</f>
        <v>APAGADO</v>
      </c>
      <c r="AA101" s="24" t="str">
        <f>'RESUMEN TOTAL'!AF103</f>
        <v>APAGADO</v>
      </c>
      <c r="AB101" s="24" t="str">
        <f>'RESUMEN TOTAL'!AG103</f>
        <v>APAGADO</v>
      </c>
      <c r="AC101" s="24" t="str">
        <f>'RESUMEN TOTAL'!AH103</f>
        <v>APAGADO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25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25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 t="str">
        <f>'RESUMEN TOTAL'!M105</f>
        <v>APAGADO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25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 t="str">
        <f>'RESUMEN TOTAL'!M106</f>
        <v>APAGADO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25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 t="str">
        <f>'RESUMEN TOTAL'!K107</f>
        <v>APAGADO</v>
      </c>
      <c r="G105" s="24" t="str">
        <f>'RESUMEN TOTAL'!L107</f>
        <v>APAGADO</v>
      </c>
      <c r="H105" s="24" t="str">
        <f>'RESUMEN TOTAL'!M107</f>
        <v>APAGADO</v>
      </c>
      <c r="I105" s="24" t="str">
        <f>'RESUMEN TOTAL'!N107</f>
        <v>APAGADO</v>
      </c>
      <c r="J105" s="24" t="str">
        <f>'RESUMEN TOTAL'!O107</f>
        <v>APAGADO</v>
      </c>
      <c r="K105" s="24">
        <f>'RESUMEN TOTAL'!P107</f>
        <v>0</v>
      </c>
      <c r="L105" s="24" t="str">
        <f>'RESUMEN TOTAL'!Q107</f>
        <v>APAGADO</v>
      </c>
      <c r="M105" s="24">
        <f>'RESUMEN TOTAL'!R107</f>
        <v>0</v>
      </c>
      <c r="N105" s="24" t="str">
        <f>'RESUMEN TOTAL'!S107</f>
        <v>APAGADO</v>
      </c>
      <c r="O105" s="24" t="str">
        <f>'RESUMEN TOTAL'!T107</f>
        <v>APAGADO</v>
      </c>
      <c r="P105" s="24" t="str">
        <f>'RESUMEN TOTAL'!U107</f>
        <v>APAGADO</v>
      </c>
      <c r="Q105" s="24" t="str">
        <f>'RESUMEN TOTAL'!V107</f>
        <v>APAGADO</v>
      </c>
      <c r="R105" s="24" t="str">
        <f>'RESUMEN TOTAL'!W107</f>
        <v>APAGADO</v>
      </c>
      <c r="S105" s="24" t="str">
        <f>'RESUMEN TOTAL'!X107</f>
        <v>APAGADO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25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25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25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 t="str">
        <f>'RESUMEN TOTAL'!M110</f>
        <v>APAGADO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25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 t="str">
        <f>'RESUMEN TOTAL'!AC111</f>
        <v>APAGADO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25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25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25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 t="str">
        <f>'RESUMEN TOTAL'!M114</f>
        <v>APAGADO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25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 t="str">
        <f>'RESUMEN TOTAL'!M115</f>
        <v>APAGADO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25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25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25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25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25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25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25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 t="str">
        <f>'RESUMEN TOTAL'!M122</f>
        <v>APAGADO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 t="str">
        <f>'RESUMEN TOTAL'!AC122</f>
        <v>APAGADO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25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 t="str">
        <f>'RESUMEN TOTAL'!Y123</f>
        <v>APAGADO</v>
      </c>
      <c r="U121" s="24" t="str">
        <f>'RESUMEN TOTAL'!Z123</f>
        <v>APAGADO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 t="str">
        <f>'RESUMEN TOTAL'!AD123</f>
        <v>APAGADO</v>
      </c>
      <c r="Z121" s="24">
        <f>'RESUMEN TOTAL'!AE123</f>
        <v>0</v>
      </c>
      <c r="AA121" s="24" t="str">
        <f>'RESUMEN TOTAL'!AF123</f>
        <v>APAGADO</v>
      </c>
      <c r="AB121" s="24" t="str">
        <f>'RESUMEN TOTAL'!AG123</f>
        <v>APAGADO</v>
      </c>
      <c r="AC121" s="24">
        <f>'RESUMEN TOTAL'!AH123</f>
        <v>0</v>
      </c>
      <c r="AD121" s="24" t="str">
        <f>'RESUMEN TOTAL'!AI123</f>
        <v>APAGADO</v>
      </c>
      <c r="AE121" s="24" t="str">
        <f>'RESUMEN TOTAL'!AJ123</f>
        <v>APAGADO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 t="str">
        <f>'RESUMEN TOTAL'!AN123</f>
        <v>APAGADO</v>
      </c>
    </row>
    <row r="122" spans="1:35" x14ac:dyDescent="0.25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25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 t="str">
        <f>'RESUMEN TOTAL'!M125</f>
        <v>APAGADO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25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 t="str">
        <f>'RESUMEN TOTAL'!AC126</f>
        <v>APAGADO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 t="str">
        <f>'RESUMEN TOTAL'!AL126</f>
        <v>APAGADO</v>
      </c>
      <c r="AH124" s="24">
        <f>'RESUMEN TOTAL'!AM126</f>
        <v>0</v>
      </c>
      <c r="AI124" s="24" t="str">
        <f>'RESUMEN TOTAL'!AN126</f>
        <v>APAGADO</v>
      </c>
    </row>
    <row r="125" spans="1:35" x14ac:dyDescent="0.25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 t="str">
        <f>'RESUMEN TOTAL'!M127</f>
        <v>APAGADO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 t="str">
        <f>'RESUMEN TOTAL'!AC127</f>
        <v>APAGADO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 t="str">
        <f>'RESUMEN TOTAL'!AK127</f>
        <v>APAGADO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25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 t="str">
        <f>'RESUMEN TOTAL'!M128</f>
        <v>APAGADO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 t="str">
        <f>'RESUMEN TOTAL'!AC128</f>
        <v>APAGADO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25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 t="str">
        <f>'RESUMEN TOTAL'!M129</f>
        <v>APAGADO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25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 t="str">
        <f>'RESUMEN TOTAL'!AC130</f>
        <v>APAGADO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25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 t="str">
        <f>'RESUMEN TOTAL'!AC131</f>
        <v>APAGADO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25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25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25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 t="str">
        <f>'RESUMEN TOTAL'!M134</f>
        <v>APAGADO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25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 t="str">
        <f>'RESUMEN TOTAL'!M135</f>
        <v>APAGADO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25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 t="str">
        <f>'RESUMEN TOTAL'!AC136</f>
        <v>APAGADO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 t="str">
        <f>'RESUMEN TOTAL'!AJ136</f>
        <v>APAGADO</v>
      </c>
      <c r="AF134" s="24" t="str">
        <f>'RESUMEN TOTAL'!AK136</f>
        <v>APAGADO</v>
      </c>
      <c r="AG134" s="24" t="str">
        <f>'RESUMEN TOTAL'!AL136</f>
        <v>APAGADO</v>
      </c>
      <c r="AH134" s="24">
        <f>'RESUMEN TOTAL'!AM136</f>
        <v>0</v>
      </c>
      <c r="AI134" s="24" t="str">
        <f>'RESUMEN TOTAL'!AN136</f>
        <v>APAGADO</v>
      </c>
    </row>
    <row r="135" spans="1:35" x14ac:dyDescent="0.25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 t="str">
        <f>'RESUMEN TOTAL'!AC137</f>
        <v>APAGADO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 t="str">
        <f>'RESUMEN TOTAL'!AJ137</f>
        <v>APAGADO</v>
      </c>
      <c r="AF135" s="24" t="str">
        <f>'RESUMEN TOTAL'!AK137</f>
        <v>APAGADO</v>
      </c>
      <c r="AG135" s="24" t="str">
        <f>'RESUMEN TOTAL'!AL137</f>
        <v>APAGADO</v>
      </c>
      <c r="AH135" s="24">
        <f>'RESUMEN TOTAL'!AM137</f>
        <v>0</v>
      </c>
      <c r="AI135" s="24" t="str">
        <f>'RESUMEN TOTAL'!AN137</f>
        <v>APAGADO</v>
      </c>
    </row>
    <row r="136" spans="1:35" x14ac:dyDescent="0.25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 t="str">
        <f>'RESUMEN TOTAL'!AC138</f>
        <v>APAGADO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25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 t="str">
        <f>'RESUMEN TOTAL'!AC139</f>
        <v>APAGADO</v>
      </c>
      <c r="Y137" s="24">
        <f>'RESUMEN TOTAL'!AD139</f>
        <v>0</v>
      </c>
      <c r="Z137" s="24">
        <f>'RESUMEN TOTAL'!AE139</f>
        <v>0</v>
      </c>
      <c r="AA137" s="24" t="str">
        <f>'RESUMEN TOTAL'!AF139</f>
        <v>APAGADO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25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 t="str">
        <f>'RESUMEN TOTAL'!M140</f>
        <v>APAGADO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25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25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25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 t="str">
        <f>'RESUMEN TOTAL'!AC143</f>
        <v>APAGADO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25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 t="str">
        <f>'RESUMEN TOTAL'!AC144</f>
        <v>APAGADO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25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 t="str">
        <f>'RESUMEN TOTAL'!AC145</f>
        <v>APAGADO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25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 t="str">
        <f>'RESUMEN TOTAL'!AC146</f>
        <v>APAGADO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25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 t="str">
        <f>'RESUMEN TOTAL'!AC147</f>
        <v>APAGADO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25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 t="str">
        <f>'RESUMEN TOTAL'!AC148</f>
        <v>APAGADO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25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 t="str">
        <f>'RESUMEN TOTAL'!M149</f>
        <v>APAGADO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 t="str">
        <f>'RESUMEN TOTAL'!Z149</f>
        <v>APAGADO</v>
      </c>
      <c r="V147" s="24">
        <f>'RESUMEN TOTAL'!AA149</f>
        <v>0</v>
      </c>
      <c r="W147" s="24" t="str">
        <f>'RESUMEN TOTAL'!AB149</f>
        <v>APAGADO</v>
      </c>
      <c r="X147" s="24" t="str">
        <f>'RESUMEN TOTAL'!AC149</f>
        <v>APAGADO</v>
      </c>
      <c r="Y147" s="24" t="str">
        <f>'RESUMEN TOTAL'!AD149</f>
        <v>APAGADO</v>
      </c>
      <c r="Z147" s="24" t="str">
        <f>'RESUMEN TOTAL'!AE149</f>
        <v>APAGADO</v>
      </c>
      <c r="AA147" s="24" t="str">
        <f>'RESUMEN TOTAL'!AF149</f>
        <v>APAGADO</v>
      </c>
      <c r="AB147" s="24" t="str">
        <f>'RESUMEN TOTAL'!AG149</f>
        <v>APAGADO</v>
      </c>
      <c r="AC147" s="24" t="str">
        <f>'RESUMEN TOTAL'!AH149</f>
        <v>APAGADO</v>
      </c>
      <c r="AD147" s="24" t="str">
        <f>'RESUMEN TOTAL'!AI149</f>
        <v>APAGADO</v>
      </c>
      <c r="AE147" s="24" t="str">
        <f>'RESUMEN TOTAL'!AJ149</f>
        <v>APAGADO</v>
      </c>
      <c r="AF147" s="24" t="str">
        <f>'RESUMEN TOTAL'!AK149</f>
        <v>APAGADO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25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 t="str">
        <f>'RESUMEN TOTAL'!M150</f>
        <v>APAGADO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 t="str">
        <f>'RESUMEN TOTAL'!AK150</f>
        <v>APAGADO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25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25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 t="str">
        <f>'RESUMEN TOTAL'!U152</f>
        <v>APAGADO</v>
      </c>
      <c r="Q150" s="24" t="str">
        <f>'RESUMEN TOTAL'!V152</f>
        <v>APAGADO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 t="str">
        <f>'RESUMEN TOTAL'!AB152</f>
        <v>APAGADO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 t="str">
        <f>'RESUMEN TOTAL'!AG152</f>
        <v>APAGADO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25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 t="str">
        <f>'RESUMEN TOTAL'!M153</f>
        <v>APAGADO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25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 t="str">
        <f>'RESUMEN TOTAL'!S154</f>
        <v>APAGADO</v>
      </c>
      <c r="O152" s="24" t="str">
        <f>'RESUMEN TOTAL'!T154</f>
        <v>APAGADO</v>
      </c>
      <c r="P152" s="24" t="str">
        <f>'RESUMEN TOTAL'!U154</f>
        <v>APAGADO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 t="str">
        <f>'RESUMEN TOTAL'!AG154</f>
        <v>APAGADO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25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25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25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25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 t="str">
        <f>'RESUMEN TOTAL'!M158</f>
        <v>APAGADO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25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 t="str">
        <f>'RESUMEN TOTAL'!M159</f>
        <v>APAGADO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 t="str">
        <f>'RESUMEN TOTAL'!AG159</f>
        <v>APAGADO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25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 t="str">
        <f>'RESUMEN TOTAL'!M160</f>
        <v>APAGADO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 t="str">
        <f>'RESUMEN TOTAL'!Z160</f>
        <v>APAGADO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25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25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25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 t="str">
        <f>'RESUMEN TOTAL'!M163</f>
        <v>APAGADO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25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25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 t="str">
        <f>'RESUMEN TOTAL'!S165</f>
        <v>APAGADO</v>
      </c>
      <c r="O163" s="24" t="str">
        <f>'RESUMEN TOTAL'!T165</f>
        <v>APAGADO</v>
      </c>
      <c r="P163" s="24" t="str">
        <f>'RESUMEN TOTAL'!U165</f>
        <v>APAGADO</v>
      </c>
      <c r="Q163" s="24" t="str">
        <f>'RESUMEN TOTAL'!V165</f>
        <v>APAGADO</v>
      </c>
      <c r="R163" s="24" t="str">
        <f>'RESUMEN TOTAL'!W165</f>
        <v>APAGADO</v>
      </c>
      <c r="S163" s="24" t="str">
        <f>'RESUMEN TOTAL'!X165</f>
        <v>APAGADO</v>
      </c>
      <c r="T163" s="24" t="str">
        <f>'RESUMEN TOTAL'!Y165</f>
        <v>APAGADO</v>
      </c>
      <c r="U163" s="24" t="str">
        <f>'RESUMEN TOTAL'!Z165</f>
        <v>APAGADO</v>
      </c>
      <c r="V163" s="24">
        <f>'RESUMEN TOTAL'!AA165</f>
        <v>0</v>
      </c>
      <c r="W163" s="24" t="str">
        <f>'RESUMEN TOTAL'!AB165</f>
        <v>APAGADO</v>
      </c>
      <c r="X163" s="24" t="str">
        <f>'RESUMEN TOTAL'!AC165</f>
        <v>APAGADO</v>
      </c>
      <c r="Y163" s="24" t="str">
        <f>'RESUMEN TOTAL'!AD165</f>
        <v>APAGADO</v>
      </c>
      <c r="Z163" s="24" t="str">
        <f>'RESUMEN TOTAL'!AE165</f>
        <v>APAGADO</v>
      </c>
      <c r="AA163" s="24" t="str">
        <f>'RESUMEN TOTAL'!AF165</f>
        <v>APAGADO</v>
      </c>
      <c r="AB163" s="24" t="str">
        <f>'RESUMEN TOTAL'!AG165</f>
        <v>APAGADO</v>
      </c>
      <c r="AC163" s="24" t="str">
        <f>'RESUMEN TOTAL'!AH165</f>
        <v>APAGADO</v>
      </c>
      <c r="AD163" s="24" t="str">
        <f>'RESUMEN TOTAL'!AI165</f>
        <v>APAGADO</v>
      </c>
      <c r="AE163" s="24" t="str">
        <f>'RESUMEN TOTAL'!AJ165</f>
        <v>APAGADO</v>
      </c>
      <c r="AF163" s="24" t="str">
        <f>'RESUMEN TOTAL'!AK165</f>
        <v>APAGADO</v>
      </c>
      <c r="AG163" s="24" t="str">
        <f>'RESUMEN TOTAL'!AL165</f>
        <v>APAGADO</v>
      </c>
      <c r="AH163" s="24">
        <f>'RESUMEN TOTAL'!AM165</f>
        <v>0</v>
      </c>
      <c r="AI163" s="24" t="str">
        <f>'RESUMEN TOTAL'!AN165</f>
        <v>APAGADO</v>
      </c>
    </row>
    <row r="164" spans="1:35" x14ac:dyDescent="0.25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 t="str">
        <f>'RESUMEN TOTAL'!S166</f>
        <v>APAGADO</v>
      </c>
      <c r="O164" s="24" t="str">
        <f>'RESUMEN TOTAL'!T166</f>
        <v>APAGADO</v>
      </c>
      <c r="P164" s="24" t="str">
        <f>'RESUMEN TOTAL'!U166</f>
        <v>APAGADO</v>
      </c>
      <c r="Q164" s="24" t="str">
        <f>'RESUMEN TOTAL'!V166</f>
        <v>APAGADO</v>
      </c>
      <c r="R164" s="24" t="str">
        <f>'RESUMEN TOTAL'!W166</f>
        <v>APAGADO</v>
      </c>
      <c r="S164" s="24" t="str">
        <f>'RESUMEN TOTAL'!X166</f>
        <v>APAGADO</v>
      </c>
      <c r="T164" s="24" t="str">
        <f>'RESUMEN TOTAL'!Y166</f>
        <v>APAGADO</v>
      </c>
      <c r="U164" s="24" t="str">
        <f>'RESUMEN TOTAL'!Z166</f>
        <v>APAGADO</v>
      </c>
      <c r="V164" s="24">
        <f>'RESUMEN TOTAL'!AA166</f>
        <v>0</v>
      </c>
      <c r="W164" s="24" t="str">
        <f>'RESUMEN TOTAL'!AB166</f>
        <v>APAGADO</v>
      </c>
      <c r="X164" s="24" t="str">
        <f>'RESUMEN TOTAL'!AC166</f>
        <v>APAGADO</v>
      </c>
      <c r="Y164" s="24" t="str">
        <f>'RESUMEN TOTAL'!AD166</f>
        <v>APAGADO</v>
      </c>
      <c r="Z164" s="24" t="str">
        <f>'RESUMEN TOTAL'!AE166</f>
        <v>APAGADO</v>
      </c>
      <c r="AA164" s="24" t="str">
        <f>'RESUMEN TOTAL'!AF166</f>
        <v>APAGADO</v>
      </c>
      <c r="AB164" s="24" t="str">
        <f>'RESUMEN TOTAL'!AG166</f>
        <v>APAGADO</v>
      </c>
      <c r="AC164" s="24" t="str">
        <f>'RESUMEN TOTAL'!AH166</f>
        <v>APAGADO</v>
      </c>
      <c r="AD164" s="24" t="str">
        <f>'RESUMEN TOTAL'!AI166</f>
        <v>APAGADO</v>
      </c>
      <c r="AE164" s="24" t="str">
        <f>'RESUMEN TOTAL'!AJ166</f>
        <v>APAGADO</v>
      </c>
      <c r="AF164" s="24" t="str">
        <f>'RESUMEN TOTAL'!AK166</f>
        <v>APAGADO</v>
      </c>
      <c r="AG164" s="24" t="str">
        <f>'RESUMEN TOTAL'!AL166</f>
        <v>APAGADO</v>
      </c>
      <c r="AH164" s="24">
        <f>'RESUMEN TOTAL'!AM166</f>
        <v>0</v>
      </c>
      <c r="AI164" s="24" t="str">
        <f>'RESUMEN TOTAL'!AN166</f>
        <v>APAGADO</v>
      </c>
    </row>
    <row r="165" spans="1:35" x14ac:dyDescent="0.25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25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25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25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 t="str">
        <f>'RESUMEN TOTAL'!K170</f>
        <v>APAGADO</v>
      </c>
      <c r="G168" s="24" t="str">
        <f>'RESUMEN TOTAL'!L170</f>
        <v>APAGADO</v>
      </c>
      <c r="H168" s="24" t="str">
        <f>'RESUMEN TOTAL'!M170</f>
        <v>APAGADO</v>
      </c>
      <c r="I168" s="24">
        <f>'RESUMEN TOTAL'!N170</f>
        <v>0</v>
      </c>
      <c r="J168" s="24" t="str">
        <f>'RESUMEN TOTAL'!O170</f>
        <v>APAGADO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25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25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25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25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25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 t="str">
        <f>'RESUMEN TOTAL'!M175</f>
        <v>APAGADO</v>
      </c>
      <c r="I173" s="24" t="str">
        <f>'RESUMEN TOTAL'!N175</f>
        <v>APAGADO</v>
      </c>
      <c r="J173" s="24" t="str">
        <f>'RESUMEN TOTAL'!O175</f>
        <v>APAGADO</v>
      </c>
      <c r="K173" s="24">
        <f>'RESUMEN TOTAL'!P175</f>
        <v>0</v>
      </c>
      <c r="L173" s="24" t="str">
        <f>'RESUMEN TOTAL'!Q175</f>
        <v>APAGADO</v>
      </c>
      <c r="M173" s="24">
        <f>'RESUMEN TOTAL'!R175</f>
        <v>0</v>
      </c>
      <c r="N173" s="24" t="str">
        <f>'RESUMEN TOTAL'!S175</f>
        <v>APAGADO</v>
      </c>
      <c r="O173" s="24" t="str">
        <f>'RESUMEN TOTAL'!T175</f>
        <v>APAGADO</v>
      </c>
      <c r="P173" s="24" t="str">
        <f>'RESUMEN TOTAL'!U175</f>
        <v>APAGADO</v>
      </c>
      <c r="Q173" s="24" t="str">
        <f>'RESUMEN TOTAL'!V175</f>
        <v>APAGADO</v>
      </c>
      <c r="R173" s="24" t="str">
        <f>'RESUMEN TOTAL'!W175</f>
        <v>APAGADO</v>
      </c>
      <c r="S173" s="24" t="str">
        <f>'RESUMEN TOTAL'!X175</f>
        <v>APAGADO</v>
      </c>
      <c r="T173" s="24" t="str">
        <f>'RESUMEN TOTAL'!Y175</f>
        <v>APAGADO</v>
      </c>
      <c r="U173" s="24" t="str">
        <f>'RESUMEN TOTAL'!Z175</f>
        <v>APAGADO</v>
      </c>
      <c r="V173" s="24">
        <f>'RESUMEN TOTAL'!AA175</f>
        <v>0</v>
      </c>
      <c r="W173" s="24" t="str">
        <f>'RESUMEN TOTAL'!AB175</f>
        <v>APAGADO</v>
      </c>
      <c r="X173" s="24" t="str">
        <f>'RESUMEN TOTAL'!AC175</f>
        <v>APAGADO</v>
      </c>
      <c r="Y173" s="24" t="str">
        <f>'RESUMEN TOTAL'!AD175</f>
        <v>APAGADO</v>
      </c>
      <c r="Z173" s="24" t="str">
        <f>'RESUMEN TOTAL'!AE175</f>
        <v>APAGADO</v>
      </c>
      <c r="AA173" s="24">
        <f>'RESUMEN TOTAL'!AF175</f>
        <v>0</v>
      </c>
      <c r="AB173" s="24" t="str">
        <f>'RESUMEN TOTAL'!AG175</f>
        <v>APAGADO</v>
      </c>
      <c r="AC173" s="24" t="str">
        <f>'RESUMEN TOTAL'!AH175</f>
        <v>APAGADO</v>
      </c>
      <c r="AD173" s="24" t="str">
        <f>'RESUMEN TOTAL'!AI175</f>
        <v>APAGADO</v>
      </c>
      <c r="AE173" s="24" t="str">
        <f>'RESUMEN TOTAL'!AJ175</f>
        <v>APAGADO</v>
      </c>
      <c r="AF173" s="24" t="str">
        <f>'RESUMEN TOTAL'!AK175</f>
        <v>APAGADO</v>
      </c>
      <c r="AG173" s="24" t="str">
        <f>'RESUMEN TOTAL'!AL175</f>
        <v>APAGADO</v>
      </c>
      <c r="AH173" s="24" t="str">
        <f>'RESUMEN TOTAL'!AM175</f>
        <v>APAGADO</v>
      </c>
      <c r="AI173" s="24" t="str">
        <f>'RESUMEN TOTAL'!AN175</f>
        <v>APAGADO</v>
      </c>
    </row>
    <row r="174" spans="1:35" x14ac:dyDescent="0.25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25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 t="str">
        <f>'RESUMEN TOTAL'!M177</f>
        <v>APAGADO</v>
      </c>
      <c r="I175" s="24" t="str">
        <f>'RESUMEN TOTAL'!N177</f>
        <v>APAGADO</v>
      </c>
      <c r="J175" s="24" t="str">
        <f>'RESUMEN TOTAL'!O177</f>
        <v>APAGADO</v>
      </c>
      <c r="K175" s="24">
        <f>'RESUMEN TOTAL'!P177</f>
        <v>0</v>
      </c>
      <c r="L175" s="24" t="str">
        <f>'RESUMEN TOTAL'!Q177</f>
        <v>APAGADO</v>
      </c>
      <c r="M175" s="24">
        <f>'RESUMEN TOTAL'!R177</f>
        <v>0</v>
      </c>
      <c r="N175" s="24" t="str">
        <f>'RESUMEN TOTAL'!S177</f>
        <v>APAGADO</v>
      </c>
      <c r="O175" s="24" t="str">
        <f>'RESUMEN TOTAL'!T177</f>
        <v>APAGADO</v>
      </c>
      <c r="P175" s="24" t="str">
        <f>'RESUMEN TOTAL'!U177</f>
        <v>APAGADO</v>
      </c>
      <c r="Q175" s="24" t="str">
        <f>'RESUMEN TOTAL'!V177</f>
        <v>APAGADO</v>
      </c>
      <c r="R175" s="24" t="str">
        <f>'RESUMEN TOTAL'!W177</f>
        <v>APAGADO</v>
      </c>
      <c r="S175" s="24" t="str">
        <f>'RESUMEN TOTAL'!X177</f>
        <v>APAGADO</v>
      </c>
      <c r="T175" s="24">
        <f>'RESUMEN TOTAL'!Y177</f>
        <v>0</v>
      </c>
      <c r="U175" s="24" t="str">
        <f>'RESUMEN TOTAL'!Z177</f>
        <v>APAGADO</v>
      </c>
      <c r="V175" s="24">
        <f>'RESUMEN TOTAL'!AA177</f>
        <v>0</v>
      </c>
      <c r="W175" s="24" t="str">
        <f>'RESUMEN TOTAL'!AB177</f>
        <v>APAGADO</v>
      </c>
      <c r="X175" s="24" t="str">
        <f>'RESUMEN TOTAL'!AC177</f>
        <v>APAGADO</v>
      </c>
      <c r="Y175" s="24" t="str">
        <f>'RESUMEN TOTAL'!AD177</f>
        <v>APAGADO</v>
      </c>
      <c r="Z175" s="24" t="str">
        <f>'RESUMEN TOTAL'!AE177</f>
        <v>APAGADO</v>
      </c>
      <c r="AA175" s="24">
        <f>'RESUMEN TOTAL'!AF177</f>
        <v>0</v>
      </c>
      <c r="AB175" s="24" t="str">
        <f>'RESUMEN TOTAL'!AG177</f>
        <v>APAGADO</v>
      </c>
      <c r="AC175" s="24" t="str">
        <f>'RESUMEN TOTAL'!AH177</f>
        <v>APAGADO</v>
      </c>
      <c r="AD175" s="24" t="str">
        <f>'RESUMEN TOTAL'!AI177</f>
        <v>APAGADO</v>
      </c>
      <c r="AE175" s="24" t="str">
        <f>'RESUMEN TOTAL'!AJ177</f>
        <v>APAGADO</v>
      </c>
      <c r="AF175" s="24" t="str">
        <f>'RESUMEN TOTAL'!AK177</f>
        <v>APAGADO</v>
      </c>
      <c r="AG175" s="24" t="str">
        <f>'RESUMEN TOTAL'!AL177</f>
        <v>APAGADO</v>
      </c>
      <c r="AH175" s="24" t="str">
        <f>'RESUMEN TOTAL'!AM177</f>
        <v>APAGADO</v>
      </c>
      <c r="AI175" s="24" t="str">
        <f>'RESUMEN TOTAL'!AN177</f>
        <v>APAGADO</v>
      </c>
    </row>
    <row r="176" spans="1:35" x14ac:dyDescent="0.25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25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 t="str">
        <f>'RESUMEN TOTAL'!L179</f>
        <v>APAGADO</v>
      </c>
      <c r="H177" s="24" t="str">
        <f>'RESUMEN TOTAL'!M179</f>
        <v>APAGADO</v>
      </c>
      <c r="I177" s="24" t="str">
        <f>'RESUMEN TOTAL'!N179</f>
        <v>APAGADO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25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25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25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 t="str">
        <f>'RESUMEN TOTAL'!Q182</f>
        <v>APAGADO</v>
      </c>
      <c r="M180" s="24">
        <f>'RESUMEN TOTAL'!R182</f>
        <v>0</v>
      </c>
      <c r="N180" s="24" t="str">
        <f>'RESUMEN TOTAL'!S182</f>
        <v>APAGADO</v>
      </c>
      <c r="O180" s="24" t="str">
        <f>'RESUMEN TOTAL'!T182</f>
        <v>APAGADO</v>
      </c>
      <c r="P180" s="24" t="str">
        <f>'RESUMEN TOTAL'!U182</f>
        <v>APAGADO</v>
      </c>
      <c r="Q180" s="24" t="str">
        <f>'RESUMEN TOTAL'!V182</f>
        <v>APAGADO</v>
      </c>
      <c r="R180" s="24" t="str">
        <f>'RESUMEN TOTAL'!W182</f>
        <v>APAGADO</v>
      </c>
      <c r="S180" s="24" t="str">
        <f>'RESUMEN TOTAL'!X182</f>
        <v>APAGADO</v>
      </c>
      <c r="T180" s="24" t="str">
        <f>'RESUMEN TOTAL'!Y182</f>
        <v>APAGADO</v>
      </c>
      <c r="U180" s="24" t="str">
        <f>'RESUMEN TOTAL'!Z182</f>
        <v>APAGADO</v>
      </c>
      <c r="V180" s="24">
        <f>'RESUMEN TOTAL'!AA182</f>
        <v>0</v>
      </c>
      <c r="W180" s="24" t="str">
        <f>'RESUMEN TOTAL'!AB182</f>
        <v>APAGADO</v>
      </c>
      <c r="X180" s="24" t="str">
        <f>'RESUMEN TOTAL'!AC182</f>
        <v>APAGADO</v>
      </c>
      <c r="Y180" s="24" t="str">
        <f>'RESUMEN TOTAL'!AD182</f>
        <v>APAGADO</v>
      </c>
      <c r="Z180" s="24" t="str">
        <f>'RESUMEN TOTAL'!AE182</f>
        <v>APAGADO</v>
      </c>
      <c r="AA180" s="24">
        <f>'RESUMEN TOTAL'!AF182</f>
        <v>0</v>
      </c>
      <c r="AB180" s="24" t="str">
        <f>'RESUMEN TOTAL'!AG182</f>
        <v>APAGADO</v>
      </c>
      <c r="AC180" s="24" t="str">
        <f>'RESUMEN TOTAL'!AH182</f>
        <v>APAGADO</v>
      </c>
      <c r="AD180" s="24" t="str">
        <f>'RESUMEN TOTAL'!AI182</f>
        <v>APAGADO</v>
      </c>
      <c r="AE180" s="24" t="str">
        <f>'RESUMEN TOTAL'!AJ182</f>
        <v>APAGADO</v>
      </c>
      <c r="AF180" s="24" t="str">
        <f>'RESUMEN TOTAL'!AK182</f>
        <v>APAGADO</v>
      </c>
      <c r="AG180" s="24" t="str">
        <f>'RESUMEN TOTAL'!AL182</f>
        <v>APAGADO</v>
      </c>
      <c r="AH180" s="24" t="str">
        <f>'RESUMEN TOTAL'!AM182</f>
        <v>APAGADO</v>
      </c>
      <c r="AI180" s="24" t="str">
        <f>'RESUMEN TOTAL'!AN182</f>
        <v>APAGADO</v>
      </c>
    </row>
    <row r="181" spans="1:35" x14ac:dyDescent="0.25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25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 t="str">
        <f>'RESUMEN TOTAL'!M184</f>
        <v>APAGADO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 t="str">
        <f>'RESUMEN TOTAL'!AD184</f>
        <v>APAGADO</v>
      </c>
      <c r="Z182" s="24">
        <f>'RESUMEN TOTAL'!AE184</f>
        <v>0</v>
      </c>
      <c r="AA182" s="24">
        <f>'RESUMEN TOTAL'!AF184</f>
        <v>0</v>
      </c>
      <c r="AB182" s="24" t="str">
        <f>'RESUMEN TOTAL'!AG184</f>
        <v>APAGADO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 t="str">
        <f>'RESUMEN TOTAL'!AN184</f>
        <v>APAGADO</v>
      </c>
    </row>
    <row r="183" spans="1:35" x14ac:dyDescent="0.25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 t="str">
        <f>'RESUMEN TOTAL'!M185</f>
        <v>APAGADO</v>
      </c>
      <c r="I183" s="24" t="str">
        <f>'RESUMEN TOTAL'!N185</f>
        <v>APAGADO</v>
      </c>
      <c r="J183" s="24" t="str">
        <f>'RESUMEN TOTAL'!O185</f>
        <v>APAGADO</v>
      </c>
      <c r="K183" s="24">
        <f>'RESUMEN TOTAL'!P185</f>
        <v>0</v>
      </c>
      <c r="L183" s="24" t="str">
        <f>'RESUMEN TOTAL'!Q185</f>
        <v>APAGADO</v>
      </c>
      <c r="M183" s="24">
        <f>'RESUMEN TOTAL'!R185</f>
        <v>0</v>
      </c>
      <c r="N183" s="24" t="str">
        <f>'RESUMEN TOTAL'!S185</f>
        <v>APAGADO</v>
      </c>
      <c r="O183" s="24" t="str">
        <f>'RESUMEN TOTAL'!T185</f>
        <v>APAGADO</v>
      </c>
      <c r="P183" s="24" t="str">
        <f>'RESUMEN TOTAL'!U185</f>
        <v>APAGADO</v>
      </c>
      <c r="Q183" s="24" t="str">
        <f>'RESUMEN TOTAL'!V185</f>
        <v>APAGADO</v>
      </c>
      <c r="R183" s="24" t="str">
        <f>'RESUMEN TOTAL'!W185</f>
        <v>APAGADO</v>
      </c>
      <c r="S183" s="24" t="str">
        <f>'RESUMEN TOTAL'!X185</f>
        <v>APAGADO</v>
      </c>
      <c r="T183" s="24" t="str">
        <f>'RESUMEN TOTAL'!Y185</f>
        <v>APAGADO</v>
      </c>
      <c r="U183" s="24" t="str">
        <f>'RESUMEN TOTAL'!Z185</f>
        <v>APAGADO</v>
      </c>
      <c r="V183" s="24">
        <f>'RESUMEN TOTAL'!AA185</f>
        <v>0</v>
      </c>
      <c r="W183" s="24" t="str">
        <f>'RESUMEN TOTAL'!AB185</f>
        <v>APAGADO</v>
      </c>
      <c r="X183" s="24" t="str">
        <f>'RESUMEN TOTAL'!AC185</f>
        <v>APAGADO</v>
      </c>
      <c r="Y183" s="24" t="str">
        <f>'RESUMEN TOTAL'!AD185</f>
        <v>APAGADO</v>
      </c>
      <c r="Z183" s="24" t="str">
        <f>'RESUMEN TOTAL'!AE185</f>
        <v>APAGADO</v>
      </c>
      <c r="AA183" s="24">
        <f>'RESUMEN TOTAL'!AF185</f>
        <v>0</v>
      </c>
      <c r="AB183" s="24" t="str">
        <f>'RESUMEN TOTAL'!AG185</f>
        <v>APAGADO</v>
      </c>
      <c r="AC183" s="24" t="str">
        <f>'RESUMEN TOTAL'!AH185</f>
        <v>APAGADO</v>
      </c>
      <c r="AD183" s="24" t="str">
        <f>'RESUMEN TOTAL'!AI185</f>
        <v>APAGADO</v>
      </c>
      <c r="AE183" s="24" t="str">
        <f>'RESUMEN TOTAL'!AJ185</f>
        <v>APAGADO</v>
      </c>
      <c r="AF183" s="24" t="str">
        <f>'RESUMEN TOTAL'!AK185</f>
        <v>APAGADO</v>
      </c>
      <c r="AG183" s="24" t="str">
        <f>'RESUMEN TOTAL'!AL185</f>
        <v>APAGADO</v>
      </c>
      <c r="AH183" s="24" t="str">
        <f>'RESUMEN TOTAL'!AM185</f>
        <v>APAGADO</v>
      </c>
      <c r="AI183" s="24" t="str">
        <f>'RESUMEN TOTAL'!AN185</f>
        <v>APAGADO</v>
      </c>
    </row>
    <row r="184" spans="1:35" x14ac:dyDescent="0.25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 t="str">
        <f>'RESUMEN TOTAL'!AC186</f>
        <v>APAGADO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 t="str">
        <f>'RESUMEN TOTAL'!AG186</f>
        <v>APAGADO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25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25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25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25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 t="str">
        <f>'RESUMEN TOTAL'!AI190</f>
        <v>APAGADO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25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 t="str">
        <f>'RESUMEN TOTAL'!M191</f>
        <v>APAGADO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25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25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 t="str">
        <f>'RESUMEN TOTAL'!M193</f>
        <v>APAGADO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25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 t="str">
        <f>'RESUMEN TOTAL'!M194</f>
        <v>APAGADO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25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25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25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 t="str">
        <f>'RESUMEN TOTAL'!M197</f>
        <v>APAGADO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25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 t="str">
        <f>'RESUMEN TOTAL'!L198</f>
        <v>APAGADO</v>
      </c>
      <c r="H196" s="24" t="str">
        <f>'RESUMEN TOTAL'!M198</f>
        <v>APAGADO</v>
      </c>
      <c r="I196" s="24" t="str">
        <f>'RESUMEN TOTAL'!N198</f>
        <v>APAGADO</v>
      </c>
      <c r="J196" s="24" t="str">
        <f>'RESUMEN TOTAL'!O198</f>
        <v>APAGADO</v>
      </c>
      <c r="K196" s="24">
        <f>'RESUMEN TOTAL'!P198</f>
        <v>0</v>
      </c>
      <c r="L196" s="24" t="str">
        <f>'RESUMEN TOTAL'!Q198</f>
        <v>APAGADO</v>
      </c>
      <c r="M196" s="24">
        <f>'RESUMEN TOTAL'!R198</f>
        <v>0</v>
      </c>
      <c r="N196" s="24" t="str">
        <f>'RESUMEN TOTAL'!S198</f>
        <v>APAGADO</v>
      </c>
      <c r="O196" s="24" t="str">
        <f>'RESUMEN TOTAL'!T198</f>
        <v>APAGADO</v>
      </c>
      <c r="P196" s="24" t="str">
        <f>'RESUMEN TOTAL'!U198</f>
        <v>APAGADO</v>
      </c>
      <c r="Q196" s="24" t="str">
        <f>'RESUMEN TOTAL'!V198</f>
        <v>APAGADO</v>
      </c>
      <c r="R196" s="24" t="str">
        <f>'RESUMEN TOTAL'!W198</f>
        <v>APAGADO</v>
      </c>
      <c r="S196" s="24" t="str">
        <f>'RESUMEN TOTAL'!X198</f>
        <v>APAGADO</v>
      </c>
      <c r="T196" s="24" t="str">
        <f>'RESUMEN TOTAL'!Y198</f>
        <v>APAGADO</v>
      </c>
      <c r="U196" s="24" t="str">
        <f>'RESUMEN TOTAL'!Z198</f>
        <v>APAGADO</v>
      </c>
      <c r="V196" s="24">
        <f>'RESUMEN TOTAL'!AA198</f>
        <v>0</v>
      </c>
      <c r="W196" s="24" t="str">
        <f>'RESUMEN TOTAL'!AB198</f>
        <v>APAGADO</v>
      </c>
      <c r="X196" s="24" t="str">
        <f>'RESUMEN TOTAL'!AC198</f>
        <v>APAGADO</v>
      </c>
      <c r="Y196" s="24" t="str">
        <f>'RESUMEN TOTAL'!AD198</f>
        <v>APAGADO</v>
      </c>
      <c r="Z196" s="24" t="str">
        <f>'RESUMEN TOTAL'!AE198</f>
        <v>APAGADO</v>
      </c>
      <c r="AA196" s="24" t="str">
        <f>'RESUMEN TOTAL'!AF198</f>
        <v>APAGADO</v>
      </c>
      <c r="AB196" s="24" t="str">
        <f>'RESUMEN TOTAL'!AG198</f>
        <v>APAGADO</v>
      </c>
      <c r="AC196" s="24" t="str">
        <f>'RESUMEN TOTAL'!AH198</f>
        <v>APAGADO</v>
      </c>
      <c r="AD196" s="24" t="str">
        <f>'RESUMEN TOTAL'!AI198</f>
        <v>APAGADO</v>
      </c>
      <c r="AE196" s="24" t="str">
        <f>'RESUMEN TOTAL'!AJ198</f>
        <v>APAGADO</v>
      </c>
      <c r="AF196" s="24" t="str">
        <f>'RESUMEN TOTAL'!AK198</f>
        <v>APAGADO</v>
      </c>
      <c r="AG196" s="24" t="str">
        <f>'RESUMEN TOTAL'!AL198</f>
        <v>APAGADO</v>
      </c>
      <c r="AH196" s="24" t="str">
        <f>'RESUMEN TOTAL'!AM198</f>
        <v>APAGADO</v>
      </c>
      <c r="AI196" s="24" t="str">
        <f>'RESUMEN TOTAL'!AN198</f>
        <v>APAGADO</v>
      </c>
    </row>
    <row r="197" spans="1:35" x14ac:dyDescent="0.25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 t="str">
        <f>'RESUMEN TOTAL'!M199</f>
        <v>APAGADO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25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 t="str">
        <f>'RESUMEN TOTAL'!M200</f>
        <v>APAGADO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25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 t="str">
        <f>'RESUMEN TOTAL'!M201</f>
        <v>APAGADO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 t="str">
        <f>'RESUMEN TOTAL'!AK201</f>
        <v>APAGADO</v>
      </c>
      <c r="AG199" s="24" t="str">
        <f>'RESUMEN TOTAL'!AL201</f>
        <v>APAGADO</v>
      </c>
      <c r="AH199" s="24">
        <f>'RESUMEN TOTAL'!AM201</f>
        <v>0</v>
      </c>
      <c r="AI199" s="24">
        <f>'RESUMEN TOTAL'!AN201</f>
        <v>0</v>
      </c>
    </row>
    <row r="200" spans="1:35" x14ac:dyDescent="0.25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 t="str">
        <f>'RESUMEN TOTAL'!M202</f>
        <v>APAGADO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25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 t="str">
        <f>'RESUMEN TOTAL'!M203</f>
        <v>APAGADO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25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 t="str">
        <f>'RESUMEN TOTAL'!M204</f>
        <v>APAGADO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25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 t="str">
        <f>'RESUMEN TOTAL'!M205</f>
        <v>APAGADO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25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 t="str">
        <f>'RESUMEN TOTAL'!M206</f>
        <v>APAGADO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25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 t="str">
        <f>'RESUMEN TOTAL'!M207</f>
        <v>APAGADO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25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 t="str">
        <f>'RESUMEN TOTAL'!M208</f>
        <v>APAGADO</v>
      </c>
      <c r="I206" s="24" t="str">
        <f>'RESUMEN TOTAL'!N208</f>
        <v>APAGADO</v>
      </c>
      <c r="J206" s="24" t="str">
        <f>'RESUMEN TOTAL'!O208</f>
        <v>APAGADO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25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 t="str">
        <f>'RESUMEN TOTAL'!M209</f>
        <v>APAGADO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 t="str">
        <f>'RESUMEN TOTAL'!S209</f>
        <v>APAGADO</v>
      </c>
      <c r="O207" s="24">
        <f>'RESUMEN TOTAL'!T209</f>
        <v>0</v>
      </c>
      <c r="P207" s="24" t="str">
        <f>'RESUMEN TOTAL'!U209</f>
        <v>APAGADO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 t="str">
        <f>'RESUMEN TOTAL'!Z209</f>
        <v>APAGADO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 t="str">
        <f>'RESUMEN TOTAL'!AF209</f>
        <v>APAGADO</v>
      </c>
      <c r="AB207" s="24" t="str">
        <f>'RESUMEN TOTAL'!AG209</f>
        <v>APAGADO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25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 t="str">
        <f>'RESUMEN TOTAL'!M210</f>
        <v>APAGADO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25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 t="str">
        <f>'RESUMEN TOTAL'!M211</f>
        <v>APAGADO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 t="str">
        <f>'RESUMEN TOTAL'!W211</f>
        <v>APAGADO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 t="str">
        <f>'RESUMEN TOTAL'!AL211</f>
        <v>APAGADO</v>
      </c>
      <c r="AH209" s="24">
        <f>'RESUMEN TOTAL'!AM211</f>
        <v>0</v>
      </c>
      <c r="AI209" s="24">
        <f>'RESUMEN TOTAL'!AN211</f>
        <v>0</v>
      </c>
    </row>
    <row r="210" spans="1:35" x14ac:dyDescent="0.25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25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 t="str">
        <f>'RESUMEN TOTAL'!M213</f>
        <v>APAGADO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 t="str">
        <f>'RESUMEN TOTAL'!Z213</f>
        <v>APAGADO</v>
      </c>
      <c r="V211" s="24">
        <f>'RESUMEN TOTAL'!AA213</f>
        <v>0</v>
      </c>
      <c r="W211" s="24" t="str">
        <f>'RESUMEN TOTAL'!AB213</f>
        <v>APAGADO</v>
      </c>
      <c r="X211" s="24" t="str">
        <f>'RESUMEN TOTAL'!AC213</f>
        <v>APAGADO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25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 t="str">
        <f>'RESUMEN TOTAL'!Z214</f>
        <v>APAGADO</v>
      </c>
      <c r="V212" s="24">
        <f>'RESUMEN TOTAL'!AA214</f>
        <v>0</v>
      </c>
      <c r="W212" s="24" t="str">
        <f>'RESUMEN TOTAL'!AB214</f>
        <v>APAGADO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25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 t="str">
        <f>'RESUMEN TOTAL'!Z215</f>
        <v>APAGADO</v>
      </c>
      <c r="V213" s="24">
        <f>'RESUMEN TOTAL'!AA215</f>
        <v>0</v>
      </c>
      <c r="W213" s="24" t="str">
        <f>'RESUMEN TOTAL'!AB215</f>
        <v>APAGADO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25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 t="str">
        <f>'RESUMEN TOTAL'!Z216</f>
        <v>APAGADO</v>
      </c>
      <c r="V214" s="24">
        <f>'RESUMEN TOTAL'!AA216</f>
        <v>0</v>
      </c>
      <c r="W214" s="24" t="str">
        <f>'RESUMEN TOTAL'!AB216</f>
        <v>APAGADO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25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 t="str">
        <f>'RESUMEN TOTAL'!Z217</f>
        <v>APAGADO</v>
      </c>
      <c r="V215" s="24">
        <f>'RESUMEN TOTAL'!AA217</f>
        <v>0</v>
      </c>
      <c r="W215" s="24" t="str">
        <f>'RESUMEN TOTAL'!AB217</f>
        <v>APAGADO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25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 t="str">
        <f>'RESUMEN TOTAL'!AC218</f>
        <v>APAGADO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25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 t="str">
        <f>'RESUMEN TOTAL'!M219</f>
        <v>APAGADO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 t="str">
        <f>'RESUMEN TOTAL'!AC219</f>
        <v>APAGADO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25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 t="str">
        <f>'RESUMEN TOTAL'!AC220</f>
        <v>APAGADO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25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 t="str">
        <f>'RESUMEN TOTAL'!AC221</f>
        <v>APAGADO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25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 t="str">
        <f>'RESUMEN TOTAL'!AC222</f>
        <v>APAGADO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25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 t="str">
        <f>'RESUMEN TOTAL'!AC223</f>
        <v>APAGADO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25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 t="str">
        <f>'RESUMEN TOTAL'!AC224</f>
        <v>APAGADO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25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 t="str">
        <f>'RESUMEN TOTAL'!AC225</f>
        <v>APAGADO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25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 t="str">
        <f>'RESUMEN TOTAL'!AC226</f>
        <v>APAGADO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 t="str">
        <f>'RESUMEN TOTAL'!AG226</f>
        <v>APAGADO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25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 t="str">
        <f>'RESUMEN TOTAL'!Z227</f>
        <v>APAGADO</v>
      </c>
      <c r="V225" s="24">
        <f>'RESUMEN TOTAL'!AA227</f>
        <v>0</v>
      </c>
      <c r="W225" s="24">
        <f>'RESUMEN TOTAL'!AB227</f>
        <v>0</v>
      </c>
      <c r="X225" s="24" t="str">
        <f>'RESUMEN TOTAL'!AC227</f>
        <v>APAGADO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25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 t="str">
        <f>'RESUMEN TOTAL'!Z228</f>
        <v>APAGADO</v>
      </c>
      <c r="V226" s="24">
        <f>'RESUMEN TOTAL'!AA228</f>
        <v>0</v>
      </c>
      <c r="W226" s="24">
        <f>'RESUMEN TOTAL'!AB228</f>
        <v>0</v>
      </c>
      <c r="X226" s="24" t="str">
        <f>'RESUMEN TOTAL'!AC228</f>
        <v>APAGADO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25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 t="str">
        <f>'RESUMEN TOTAL'!M229</f>
        <v>APAGADO</v>
      </c>
      <c r="I227" s="24" t="str">
        <f>'RESUMEN TOTAL'!N229</f>
        <v>APAGADO</v>
      </c>
      <c r="J227" s="24" t="str">
        <f>'RESUMEN TOTAL'!O229</f>
        <v>APAGADO</v>
      </c>
      <c r="K227" s="24">
        <f>'RESUMEN TOTAL'!P229</f>
        <v>0</v>
      </c>
      <c r="L227" s="24" t="str">
        <f>'RESUMEN TOTAL'!Q229</f>
        <v>APAGADO</v>
      </c>
      <c r="M227" s="24">
        <f>'RESUMEN TOTAL'!R229</f>
        <v>0</v>
      </c>
      <c r="N227" s="24" t="str">
        <f>'RESUMEN TOTAL'!S229</f>
        <v>APAGADO</v>
      </c>
      <c r="O227" s="24" t="str">
        <f>'RESUMEN TOTAL'!T229</f>
        <v>APAGADO</v>
      </c>
      <c r="P227" s="24" t="str">
        <f>'RESUMEN TOTAL'!U229</f>
        <v>APAGADO</v>
      </c>
      <c r="Q227" s="24" t="str">
        <f>'RESUMEN TOTAL'!V229</f>
        <v>APAGADO</v>
      </c>
      <c r="R227" s="24" t="str">
        <f>'RESUMEN TOTAL'!W229</f>
        <v>APAGADO</v>
      </c>
      <c r="S227" s="24" t="str">
        <f>'RESUMEN TOTAL'!X229</f>
        <v>APAGADO</v>
      </c>
      <c r="T227" s="24" t="str">
        <f>'RESUMEN TOTAL'!Y229</f>
        <v>APAGADO</v>
      </c>
      <c r="U227" s="24" t="str">
        <f>'RESUMEN TOTAL'!Z229</f>
        <v>APAGADO</v>
      </c>
      <c r="V227" s="24">
        <f>'RESUMEN TOTAL'!AA229</f>
        <v>0</v>
      </c>
      <c r="W227" s="24" t="str">
        <f>'RESUMEN TOTAL'!AB229</f>
        <v>APAGADO</v>
      </c>
      <c r="X227" s="24" t="str">
        <f>'RESUMEN TOTAL'!AC229</f>
        <v>APAGADO</v>
      </c>
      <c r="Y227" s="24" t="str">
        <f>'RESUMEN TOTAL'!AD229</f>
        <v>APAGADO</v>
      </c>
      <c r="Z227" s="24" t="str">
        <f>'RESUMEN TOTAL'!AE229</f>
        <v>APAGADO</v>
      </c>
      <c r="AA227" s="24" t="str">
        <f>'RESUMEN TOTAL'!AF229</f>
        <v>APAGADO</v>
      </c>
      <c r="AB227" s="24" t="str">
        <f>'RESUMEN TOTAL'!AG229</f>
        <v>APAGADO</v>
      </c>
      <c r="AC227" s="24" t="str">
        <f>'RESUMEN TOTAL'!AH229</f>
        <v>APAGADO</v>
      </c>
      <c r="AD227" s="24" t="str">
        <f>'RESUMEN TOTAL'!AI229</f>
        <v>APAGADO</v>
      </c>
      <c r="AE227" s="24" t="str">
        <f>'RESUMEN TOTAL'!AJ229</f>
        <v>APAGADO</v>
      </c>
      <c r="AF227" s="24" t="str">
        <f>'RESUMEN TOTAL'!AK229</f>
        <v>APAGADO</v>
      </c>
      <c r="AG227" s="24" t="str">
        <f>'RESUMEN TOTAL'!AL229</f>
        <v>APAGADO</v>
      </c>
      <c r="AH227" s="24" t="str">
        <f>'RESUMEN TOTAL'!AM229</f>
        <v>APAGADO</v>
      </c>
      <c r="AI227" s="24">
        <f>'RESUMEN TOTAL'!AN229</f>
        <v>0</v>
      </c>
    </row>
    <row r="228" spans="1:35" x14ac:dyDescent="0.25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 t="str">
        <f>'RESUMEN TOTAL'!AC230</f>
        <v>APAGADO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25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 t="str">
        <f>'RESUMEN TOTAL'!AC231</f>
        <v>APAGADO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25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 t="str">
        <f>'RESUMEN TOTAL'!M232</f>
        <v>APAGADO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 t="str">
        <f>'RESUMEN TOTAL'!Z232</f>
        <v>APAGADO</v>
      </c>
      <c r="V230" s="24">
        <f>'RESUMEN TOTAL'!AA232</f>
        <v>0</v>
      </c>
      <c r="W230" s="24" t="str">
        <f>'RESUMEN TOTAL'!AB232</f>
        <v>APAGADO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25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 t="str">
        <f>'RESUMEN TOTAL'!L233</f>
        <v>APAGADO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 t="str">
        <f>'RESUMEN TOTAL'!Z233</f>
        <v>APAGADO</v>
      </c>
      <c r="V231" s="24">
        <f>'RESUMEN TOTAL'!AA233</f>
        <v>0</v>
      </c>
      <c r="W231" s="24" t="str">
        <f>'RESUMEN TOTAL'!AB233</f>
        <v>APAGADO</v>
      </c>
      <c r="X231" s="24" t="str">
        <f>'RESUMEN TOTAL'!AC233</f>
        <v>APAGADO</v>
      </c>
      <c r="Y231" s="24" t="str">
        <f>'RESUMEN TOTAL'!AD233</f>
        <v>APAGADO</v>
      </c>
      <c r="Z231" s="24" t="str">
        <f>'RESUMEN TOTAL'!AE233</f>
        <v>APAGADO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25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 t="str">
        <f>'RESUMEN TOTAL'!Z234</f>
        <v>APAGADO</v>
      </c>
      <c r="V232" s="24">
        <f>'RESUMEN TOTAL'!AA234</f>
        <v>0</v>
      </c>
      <c r="W232" s="24">
        <f>'RESUMEN TOTAL'!AB234</f>
        <v>0</v>
      </c>
      <c r="X232" s="24" t="str">
        <f>'RESUMEN TOTAL'!AC234</f>
        <v>APAGADO</v>
      </c>
      <c r="Y232" s="24" t="str">
        <f>'RESUMEN TOTAL'!AD234</f>
        <v>APAGADO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25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 t="str">
        <f>'RESUMEN TOTAL'!Z235</f>
        <v>APAGADO</v>
      </c>
      <c r="V233" s="24">
        <f>'RESUMEN TOTAL'!AA235</f>
        <v>0</v>
      </c>
      <c r="W233" s="24">
        <f>'RESUMEN TOTAL'!AB235</f>
        <v>0</v>
      </c>
      <c r="X233" s="24" t="str">
        <f>'RESUMEN TOTAL'!AC235</f>
        <v>APAGADO</v>
      </c>
      <c r="Y233" s="24" t="str">
        <f>'RESUMEN TOTAL'!AD235</f>
        <v>APAGADO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25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 t="str">
        <f>'RESUMEN TOTAL'!M236</f>
        <v>APAGADO</v>
      </c>
      <c r="I234" s="24" t="str">
        <f>'RESUMEN TOTAL'!N236</f>
        <v>APAGADO</v>
      </c>
      <c r="J234" s="24" t="str">
        <f>'RESUMEN TOTAL'!O236</f>
        <v>APAGADO</v>
      </c>
      <c r="K234" s="24">
        <f>'RESUMEN TOTAL'!P236</f>
        <v>0</v>
      </c>
      <c r="L234" s="24" t="str">
        <f>'RESUMEN TOTAL'!Q236</f>
        <v>APAGADO</v>
      </c>
      <c r="M234" s="24">
        <f>'RESUMEN TOTAL'!R236</f>
        <v>0</v>
      </c>
      <c r="N234" s="24" t="str">
        <f>'RESUMEN TOTAL'!S236</f>
        <v>APAGADO</v>
      </c>
      <c r="O234" s="24" t="str">
        <f>'RESUMEN TOTAL'!T236</f>
        <v>APAGADO</v>
      </c>
      <c r="P234" s="24" t="str">
        <f>'RESUMEN TOTAL'!U236</f>
        <v>APAGADO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 t="str">
        <f>'RESUMEN TOTAL'!Y236</f>
        <v>APAGADO</v>
      </c>
      <c r="U234" s="24" t="str">
        <f>'RESUMEN TOTAL'!Z236</f>
        <v>APAGADO</v>
      </c>
      <c r="V234" s="24">
        <f>'RESUMEN TOTAL'!AA236</f>
        <v>0</v>
      </c>
      <c r="W234" s="24" t="str">
        <f>'RESUMEN TOTAL'!AB236</f>
        <v>APAGADO</v>
      </c>
      <c r="X234" s="24" t="str">
        <f>'RESUMEN TOTAL'!AC236</f>
        <v>APAGADO</v>
      </c>
      <c r="Y234" s="24" t="str">
        <f>'RESUMEN TOTAL'!AD236</f>
        <v>APAGADO</v>
      </c>
      <c r="Z234" s="24" t="str">
        <f>'RESUMEN TOTAL'!AE236</f>
        <v>APAGADO</v>
      </c>
      <c r="AA234" s="24">
        <f>'RESUMEN TOTAL'!AF236</f>
        <v>0</v>
      </c>
      <c r="AB234" s="24" t="str">
        <f>'RESUMEN TOTAL'!AG236</f>
        <v>APAGADO</v>
      </c>
      <c r="AC234" s="24" t="str">
        <f>'RESUMEN TOTAL'!AH236</f>
        <v>APAGADO</v>
      </c>
      <c r="AD234" s="24" t="str">
        <f>'RESUMEN TOTAL'!AI236</f>
        <v>APAGADO</v>
      </c>
      <c r="AE234" s="24" t="str">
        <f>'RESUMEN TOTAL'!AJ236</f>
        <v>APAGADO</v>
      </c>
      <c r="AF234" s="24" t="str">
        <f>'RESUMEN TOTAL'!AK236</f>
        <v>APAGADO</v>
      </c>
      <c r="AG234" s="24" t="str">
        <f>'RESUMEN TOTAL'!AL236</f>
        <v>APAGADO</v>
      </c>
      <c r="AH234" s="24" t="str">
        <f>'RESUMEN TOTAL'!AM236</f>
        <v>APAGADO</v>
      </c>
      <c r="AI234" s="24">
        <f>'RESUMEN TOTAL'!AN236</f>
        <v>0</v>
      </c>
    </row>
    <row r="235" spans="1:35" x14ac:dyDescent="0.25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 t="str">
        <f>'RESUMEN TOTAL'!AC237</f>
        <v>APAGADO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25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 t="str">
        <f>'RESUMEN TOTAL'!AC238</f>
        <v>APAGADO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25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 t="str">
        <f>'RESUMEN TOTAL'!W239</f>
        <v>APAGADO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 t="str">
        <f>'RESUMEN TOTAL'!AC239</f>
        <v>APAGADO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 t="str">
        <f>'RESUMEN TOTAL'!AG239</f>
        <v>APAGADO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25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 t="str">
        <f>'RESUMEN TOTAL'!AC240</f>
        <v>APAGADO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 t="str">
        <f>'RESUMEN TOTAL'!AG240</f>
        <v>APAGADO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25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 t="str">
        <f>'RESUMEN TOTAL'!U241</f>
        <v>APAGADO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 t="str">
        <f>'RESUMEN TOTAL'!Z241</f>
        <v>APAGADO</v>
      </c>
      <c r="V239" s="24">
        <f>'RESUMEN TOTAL'!AA241</f>
        <v>0</v>
      </c>
      <c r="W239" s="24">
        <f>'RESUMEN TOTAL'!AB241</f>
        <v>0</v>
      </c>
      <c r="X239" s="24" t="str">
        <f>'RESUMEN TOTAL'!AC241</f>
        <v>APAGADO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25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 t="str">
        <f>'RESUMEN TOTAL'!AC242</f>
        <v>APAGADO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25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 t="str">
        <f>'RESUMEN TOTAL'!Z243</f>
        <v>APAGADO</v>
      </c>
      <c r="V241" s="24">
        <f>'RESUMEN TOTAL'!AA243</f>
        <v>0</v>
      </c>
      <c r="W241" s="24" t="str">
        <f>'RESUMEN TOTAL'!AB243</f>
        <v>APAGADO</v>
      </c>
      <c r="X241" s="24" t="str">
        <f>'RESUMEN TOTAL'!AC243</f>
        <v>APAGADO</v>
      </c>
      <c r="Y241" s="24" t="str">
        <f>'RESUMEN TOTAL'!AD243</f>
        <v>APAGADO</v>
      </c>
      <c r="Z241" s="24" t="str">
        <f>'RESUMEN TOTAL'!AE243</f>
        <v>APAGADO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>
        <f>'RESUMEN TOTAL'!AB244</f>
        <v>0</v>
      </c>
      <c r="X242" s="24" t="str">
        <f>'RESUMEN TOTAL'!AC244</f>
        <v>APAGADO</v>
      </c>
      <c r="Y242" s="24" t="str">
        <f>'RESUMEN TOTAL'!AD244</f>
        <v>APAGADO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25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25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25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25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 t="str">
        <f>'RESUMEN TOTAL'!M251</f>
        <v>APAGADO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25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25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25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25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 t="str">
        <f>'RESUMEN TOTAL'!M255</f>
        <v>APAGADO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25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25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25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25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25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25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25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25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25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25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25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25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 t="str">
        <f>'RESUMEN TOTAL'!M268</f>
        <v>APAGADO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25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 t="str">
        <f>'RESUMEN TOTAL'!M269</f>
        <v>APAGADO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25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 t="str">
        <f>'RESUMEN TOTAL'!M270</f>
        <v>APAGADO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25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25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25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 t="str">
        <f>'RESUMEN TOTAL'!M273</f>
        <v>APAGADO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25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 t="str">
        <f>'RESUMEN TOTAL'!M274</f>
        <v>APAGADO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25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 t="str">
        <f>'RESUMEN TOTAL'!M275</f>
        <v>APAGADO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25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25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25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 t="str">
        <f>'RESUMEN TOTAL'!M278</f>
        <v>APAGADO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25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 t="str">
        <f>'RESUMEN TOTAL'!K279</f>
        <v>APAGADO</v>
      </c>
      <c r="G276" s="24" t="str">
        <f>'RESUMEN TOTAL'!L279</f>
        <v>APAGADO</v>
      </c>
      <c r="H276" s="24" t="str">
        <f>'RESUMEN TOTAL'!M279</f>
        <v>APAGADO</v>
      </c>
      <c r="I276" s="24" t="str">
        <f>'RESUMEN TOTAL'!N279</f>
        <v>APAGADO</v>
      </c>
      <c r="J276" s="24" t="str">
        <f>'RESUMEN TOTAL'!O279</f>
        <v>APAGADO</v>
      </c>
      <c r="K276" s="24">
        <f>'RESUMEN TOTAL'!P279</f>
        <v>0</v>
      </c>
      <c r="L276" s="24" t="str">
        <f>'RESUMEN TOTAL'!Q279</f>
        <v>APAGADO</v>
      </c>
      <c r="M276" s="24">
        <f>'RESUMEN TOTAL'!R279</f>
        <v>0</v>
      </c>
      <c r="N276" s="24" t="str">
        <f>'RESUMEN TOTAL'!S279</f>
        <v>APAGADO</v>
      </c>
      <c r="O276" s="24" t="str">
        <f>'RESUMEN TOTAL'!T279</f>
        <v>APAGADO</v>
      </c>
      <c r="P276" s="24" t="str">
        <f>'RESUMEN TOTAL'!U279</f>
        <v>APAGADO</v>
      </c>
      <c r="Q276" s="24" t="str">
        <f>'RESUMEN TOTAL'!V279</f>
        <v>APAGADO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25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 t="str">
        <f>'RESUMEN TOTAL'!Q280</f>
        <v>APAGADO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25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25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25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 t="str">
        <f>'RESUMEN TOTAL'!M283</f>
        <v>APAGADO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25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25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 t="str">
        <f>'RESUMEN TOTAL'!AM285</f>
        <v>APAGADO</v>
      </c>
      <c r="AI282" s="24">
        <f>'RESUMEN TOTAL'!AN285</f>
        <v>0</v>
      </c>
    </row>
    <row r="283" spans="1:35" x14ac:dyDescent="0.25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25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25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 t="str">
        <f>'RESUMEN TOTAL'!W288</f>
        <v>APAGADO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25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 t="str">
        <f>'RESUMEN TOTAL'!W289</f>
        <v>APAGADO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25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25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25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25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25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 t="str">
        <f>'RESUMEN TOTAL'!W294</f>
        <v>APAGADO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25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25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 t="str">
        <f>'RESUMEN TOTAL'!M296</f>
        <v>APAGADO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 t="str">
        <f>'RESUMEN TOTAL'!W296</f>
        <v>APAGADO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25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 t="str">
        <f>'RESUMEN TOTAL'!M297</f>
        <v>APAGADO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 t="str">
        <f>'RESUMEN TOTAL'!S297</f>
        <v>APAGADO</v>
      </c>
      <c r="O294" s="24" t="str">
        <f>'RESUMEN TOTAL'!T297</f>
        <v>APAGADO</v>
      </c>
      <c r="P294" s="24" t="str">
        <f>'RESUMEN TOTAL'!U297</f>
        <v>APAGADO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25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 t="str">
        <f>'RESUMEN TOTAL'!M298</f>
        <v>APAGADO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25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 t="str">
        <f>'RESUMEN TOTAL'!M299</f>
        <v>APAGADO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25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 t="str">
        <f>'RESUMEN TOTAL'!M300</f>
        <v>APAGADO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25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 t="str">
        <f>'RESUMEN TOTAL'!K301</f>
        <v>APAGADO</v>
      </c>
      <c r="G298" s="24">
        <f>'RESUMEN TOTAL'!L301</f>
        <v>0</v>
      </c>
      <c r="H298" s="24" t="str">
        <f>'RESUMEN TOTAL'!M301</f>
        <v>APAGADO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 t="str">
        <f>'RESUMEN TOTAL'!S301</f>
        <v>APAGADO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25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 t="str">
        <f>'RESUMEN TOTAL'!M302</f>
        <v>APAGADO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 t="str">
        <f>'RESUMEN TOTAL'!AD302</f>
        <v>APAGADO</v>
      </c>
      <c r="Z299" s="24">
        <f>'RESUMEN TOTAL'!AE302</f>
        <v>0</v>
      </c>
      <c r="AA299" s="24">
        <f>'RESUMEN TOTAL'!AF302</f>
        <v>0</v>
      </c>
      <c r="AB299" s="24" t="str">
        <f>'RESUMEN TOTAL'!AG302</f>
        <v>APAGADO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 t="str">
        <f>'RESUMEN TOTAL'!AM302</f>
        <v>APAGADO</v>
      </c>
      <c r="AI299" s="24">
        <f>'RESUMEN TOTAL'!AN302</f>
        <v>0</v>
      </c>
    </row>
    <row r="300" spans="1:35" x14ac:dyDescent="0.25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 t="str">
        <f>'RESUMEN TOTAL'!AC303</f>
        <v>APAGADO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25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 t="str">
        <f>'RESUMEN TOTAL'!AC304</f>
        <v>APAGADO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25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 t="str">
        <f>'RESUMEN TOTAL'!AC305</f>
        <v>APAGADO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25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 t="str">
        <f>'RESUMEN TOTAL'!AC306</f>
        <v>APAGADO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25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 t="str">
        <f>'RESUMEN TOTAL'!M307</f>
        <v>APAGADO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 t="str">
        <f>'RESUMEN TOTAL'!W307</f>
        <v>APAGADO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25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 t="str">
        <f>'RESUMEN TOTAL'!M308</f>
        <v>APAGADO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 t="str">
        <f>'RESUMEN TOTAL'!W308</f>
        <v>APAGADO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25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25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25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 t="str">
        <f>'RESUMEN TOTAL'!M311</f>
        <v>APAGADO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 t="str">
        <f>'RESUMEN TOTAL'!W311</f>
        <v>APAGADO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25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 t="str">
        <f>'RESUMEN TOTAL'!M312</f>
        <v>APAGADO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25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 t="str">
        <f>'RESUMEN TOTAL'!M313</f>
        <v>APAGADO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25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25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 t="str">
        <f>'RESUMEN TOTAL'!M315</f>
        <v>APAGADO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25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25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 t="str">
        <f>'RESUMEN TOTAL'!K317</f>
        <v>APAGADO</v>
      </c>
      <c r="G314" s="24" t="str">
        <f>'RESUMEN TOTAL'!L317</f>
        <v>APAGADO</v>
      </c>
      <c r="H314" s="24" t="str">
        <f>'RESUMEN TOTAL'!M317</f>
        <v>APAGADO</v>
      </c>
      <c r="I314" s="24" t="str">
        <f>'RESUMEN TOTAL'!N317</f>
        <v>APAGADO</v>
      </c>
      <c r="J314" s="24" t="str">
        <f>'RESUMEN TOTAL'!O317</f>
        <v>APAGADO</v>
      </c>
      <c r="K314" s="24">
        <f>'RESUMEN TOTAL'!P317</f>
        <v>0</v>
      </c>
      <c r="L314" s="24" t="str">
        <f>'RESUMEN TOTAL'!Q317</f>
        <v>APAGADO</v>
      </c>
      <c r="M314" s="24">
        <f>'RESUMEN TOTAL'!R317</f>
        <v>0</v>
      </c>
      <c r="N314" s="24" t="str">
        <f>'RESUMEN TOTAL'!S317</f>
        <v>APAGADO</v>
      </c>
      <c r="O314" s="24" t="str">
        <f>'RESUMEN TOTAL'!T317</f>
        <v>APAGADO</v>
      </c>
      <c r="P314" s="24" t="str">
        <f>'RESUMEN TOTAL'!U317</f>
        <v>APAGADO</v>
      </c>
      <c r="Q314" s="24" t="str">
        <f>'RESUMEN TOTAL'!V317</f>
        <v>APAGADO</v>
      </c>
      <c r="R314" s="24" t="str">
        <f>'RESUMEN TOTAL'!W317</f>
        <v>APAGADO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25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 t="str">
        <f>'RESUMEN TOTAL'!K318</f>
        <v>APAGADO</v>
      </c>
      <c r="G315" s="24" t="str">
        <f>'RESUMEN TOTAL'!L318</f>
        <v>APAGADO</v>
      </c>
      <c r="H315" s="24" t="str">
        <f>'RESUMEN TOTAL'!M318</f>
        <v>APAGADO</v>
      </c>
      <c r="I315" s="24" t="str">
        <f>'RESUMEN TOTAL'!N318</f>
        <v>APAGADO</v>
      </c>
      <c r="J315" s="24" t="str">
        <f>'RESUMEN TOTAL'!O318</f>
        <v>APAGADO</v>
      </c>
      <c r="K315" s="24">
        <f>'RESUMEN TOTAL'!P318</f>
        <v>0</v>
      </c>
      <c r="L315" s="24" t="str">
        <f>'RESUMEN TOTAL'!Q318</f>
        <v>APAGADO</v>
      </c>
      <c r="M315" s="24">
        <f>'RESUMEN TOTAL'!R318</f>
        <v>0</v>
      </c>
      <c r="N315" s="24" t="str">
        <f>'RESUMEN TOTAL'!S318</f>
        <v>APAGADO</v>
      </c>
      <c r="O315" s="24" t="str">
        <f>'RESUMEN TOTAL'!T318</f>
        <v>APAGADO</v>
      </c>
      <c r="P315" s="24" t="str">
        <f>'RESUMEN TOTAL'!U318</f>
        <v>APAGADO</v>
      </c>
      <c r="Q315" s="24" t="str">
        <f>'RESUMEN TOTAL'!V318</f>
        <v>APAGADO</v>
      </c>
      <c r="R315" s="24" t="str">
        <f>'RESUMEN TOTAL'!W318</f>
        <v>APAGADO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25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 t="str">
        <f>'RESUMEN TOTAL'!K319</f>
        <v>APAGADO</v>
      </c>
      <c r="G316" s="24" t="str">
        <f>'RESUMEN TOTAL'!L319</f>
        <v>APAGADO</v>
      </c>
      <c r="H316" s="24" t="str">
        <f>'RESUMEN TOTAL'!M319</f>
        <v>APAGADO</v>
      </c>
      <c r="I316" s="24" t="str">
        <f>'RESUMEN TOTAL'!N319</f>
        <v>APAGADO</v>
      </c>
      <c r="J316" s="24" t="str">
        <f>'RESUMEN TOTAL'!O319</f>
        <v>APAGADO</v>
      </c>
      <c r="K316" s="24">
        <f>'RESUMEN TOTAL'!P319</f>
        <v>0</v>
      </c>
      <c r="L316" s="24" t="str">
        <f>'RESUMEN TOTAL'!Q319</f>
        <v>APAGADO</v>
      </c>
      <c r="M316" s="24">
        <f>'RESUMEN TOTAL'!R319</f>
        <v>0</v>
      </c>
      <c r="N316" s="24" t="str">
        <f>'RESUMEN TOTAL'!S319</f>
        <v>APAGADO</v>
      </c>
      <c r="O316" s="24" t="str">
        <f>'RESUMEN TOTAL'!T319</f>
        <v>APAGADO</v>
      </c>
      <c r="P316" s="24" t="str">
        <f>'RESUMEN TOTAL'!U319</f>
        <v>APAGADO</v>
      </c>
      <c r="Q316" s="24" t="str">
        <f>'RESUMEN TOTAL'!V319</f>
        <v>APAGADO</v>
      </c>
      <c r="R316" s="24" t="str">
        <f>'RESUMEN TOTAL'!W319</f>
        <v>APAGADO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25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 t="str">
        <f>'RESUMEN TOTAL'!K320</f>
        <v>APAGADO</v>
      </c>
      <c r="G317" s="24" t="str">
        <f>'RESUMEN TOTAL'!L320</f>
        <v>APAGADO</v>
      </c>
      <c r="H317" s="24" t="str">
        <f>'RESUMEN TOTAL'!M320</f>
        <v>APAGADO</v>
      </c>
      <c r="I317" s="24" t="str">
        <f>'RESUMEN TOTAL'!N320</f>
        <v>APAGADO</v>
      </c>
      <c r="J317" s="24" t="str">
        <f>'RESUMEN TOTAL'!O320</f>
        <v>APAGADO</v>
      </c>
      <c r="K317" s="24">
        <f>'RESUMEN TOTAL'!P320</f>
        <v>0</v>
      </c>
      <c r="L317" s="24" t="str">
        <f>'RESUMEN TOTAL'!Q320</f>
        <v>APAGADO</v>
      </c>
      <c r="M317" s="24">
        <f>'RESUMEN TOTAL'!R320</f>
        <v>0</v>
      </c>
      <c r="N317" s="24" t="str">
        <f>'RESUMEN TOTAL'!S320</f>
        <v>APAGADO</v>
      </c>
      <c r="O317" s="24" t="str">
        <f>'RESUMEN TOTAL'!T320</f>
        <v>APAGADO</v>
      </c>
      <c r="P317" s="24" t="str">
        <f>'RESUMEN TOTAL'!U320</f>
        <v>APAGADO</v>
      </c>
      <c r="Q317" s="24" t="str">
        <f>'RESUMEN TOTAL'!V320</f>
        <v>APAGADO</v>
      </c>
      <c r="R317" s="24" t="str">
        <f>'RESUMEN TOTAL'!W320</f>
        <v>APAGADO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25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 t="str">
        <f>'RESUMEN TOTAL'!N321</f>
        <v>APAGADO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25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 t="str">
        <f>'RESUMEN TOTAL'!M322</f>
        <v>APAGADO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25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25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25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 t="str">
        <f>'RESUMEN TOTAL'!AF325</f>
        <v>APAGADO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 t="str">
        <f>'RESUMEN TOTAL'!AN325</f>
        <v>APAGADO</v>
      </c>
    </row>
    <row r="323" spans="1:35" x14ac:dyDescent="0.25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 t="str">
        <f>'RESUMEN TOTAL'!Z326</f>
        <v>APAGADO</v>
      </c>
      <c r="V323" s="24">
        <f>'RESUMEN TOTAL'!AA326</f>
        <v>0</v>
      </c>
      <c r="W323" s="24">
        <f>'RESUMEN TOTAL'!AB326</f>
        <v>0</v>
      </c>
      <c r="X323" s="24" t="str">
        <f>'RESUMEN TOTAL'!AC326</f>
        <v>APAGADO</v>
      </c>
      <c r="Y323" s="24" t="str">
        <f>'RESUMEN TOTAL'!AD326</f>
        <v>APAGADO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25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 t="str">
        <f>'RESUMEN TOTAL'!Z327</f>
        <v>APAGADO</v>
      </c>
      <c r="V324" s="24">
        <f>'RESUMEN TOTAL'!AA327</f>
        <v>0</v>
      </c>
      <c r="W324" s="24">
        <f>'RESUMEN TOTAL'!AB327</f>
        <v>0</v>
      </c>
      <c r="X324" s="24" t="str">
        <f>'RESUMEN TOTAL'!AC327</f>
        <v>APAGADO</v>
      </c>
      <c r="Y324" s="24" t="str">
        <f>'RESUMEN TOTAL'!AD327</f>
        <v>APAGADO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25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 t="str">
        <f>'RESUMEN TOTAL'!M328</f>
        <v>APAGADO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25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25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25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 t="str">
        <f>'RESUMEN TOTAL'!M331</f>
        <v>APAGADO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25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 t="str">
        <f>'RESUMEN TOTAL'!M332</f>
        <v>APAGADO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25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25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 t="str">
        <f>'RESUMEN TOTAL'!M334</f>
        <v>APAGADO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25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25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 t="str">
        <f>'RESUMEN TOTAL'!AD336</f>
        <v>APAGADO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25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25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25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25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25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25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 t="str">
        <f>'RESUMEN TOTAL'!M342</f>
        <v>APAGADO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25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25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 t="str">
        <f>'RESUMEN TOTAL'!Q344</f>
        <v>APAGADO</v>
      </c>
      <c r="M341" s="24">
        <f>'RESUMEN TOTAL'!R344</f>
        <v>0</v>
      </c>
      <c r="N341" s="24">
        <f>'RESUMEN TOTAL'!S344</f>
        <v>0</v>
      </c>
      <c r="O341" s="24" t="str">
        <f>'RESUMEN TOTAL'!T344</f>
        <v>APAGADO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25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 t="str">
        <f>'RESUMEN TOTAL'!K345</f>
        <v>APAGADO</v>
      </c>
      <c r="G342" s="24" t="str">
        <f>'RESUMEN TOTAL'!L345</f>
        <v>APAGADO</v>
      </c>
      <c r="H342" s="24" t="str">
        <f>'RESUMEN TOTAL'!M345</f>
        <v>APAGADO</v>
      </c>
      <c r="I342" s="24" t="str">
        <f>'RESUMEN TOTAL'!N345</f>
        <v>APAGADO</v>
      </c>
      <c r="J342" s="24" t="str">
        <f>'RESUMEN TOTAL'!O345</f>
        <v>APAGADO</v>
      </c>
      <c r="K342" s="24">
        <f>'RESUMEN TOTAL'!P345</f>
        <v>0</v>
      </c>
      <c r="L342" s="24" t="str">
        <f>'RESUMEN TOTAL'!Q345</f>
        <v>APAGADO</v>
      </c>
      <c r="M342" s="24">
        <f>'RESUMEN TOTAL'!R345</f>
        <v>0</v>
      </c>
      <c r="N342" s="24" t="str">
        <f>'RESUMEN TOTAL'!S345</f>
        <v>APAGADO</v>
      </c>
      <c r="O342" s="24" t="str">
        <f>'RESUMEN TOTAL'!T345</f>
        <v>APAGADO</v>
      </c>
      <c r="P342" s="24" t="str">
        <f>'RESUMEN TOTAL'!U345</f>
        <v>APAGADO</v>
      </c>
      <c r="Q342" s="24" t="str">
        <f>'RESUMEN TOTAL'!V345</f>
        <v>APAGADO</v>
      </c>
      <c r="R342" s="24" t="str">
        <f>'RESUMEN TOTAL'!W345</f>
        <v>APAGADO</v>
      </c>
      <c r="S342" s="24" t="str">
        <f>'RESUMEN TOTAL'!X345</f>
        <v>APAGADO</v>
      </c>
      <c r="T342" s="24" t="str">
        <f>'RESUMEN TOTAL'!Y345</f>
        <v>APAGADO</v>
      </c>
      <c r="U342" s="24" t="str">
        <f>'RESUMEN TOTAL'!Z345</f>
        <v>APAGADO</v>
      </c>
      <c r="V342" s="24">
        <f>'RESUMEN TOTAL'!AA345</f>
        <v>0</v>
      </c>
      <c r="W342" s="24" t="str">
        <f>'RESUMEN TOTAL'!AB345</f>
        <v>APAGADO</v>
      </c>
      <c r="X342" s="24" t="str">
        <f>'RESUMEN TOTAL'!AC345</f>
        <v>APAGADO</v>
      </c>
      <c r="Y342" s="24" t="str">
        <f>'RESUMEN TOTAL'!AD345</f>
        <v>APAGADO</v>
      </c>
      <c r="Z342" s="24" t="str">
        <f>'RESUMEN TOTAL'!AE345</f>
        <v>APAGADO</v>
      </c>
      <c r="AA342" s="24" t="str">
        <f>'RESUMEN TOTAL'!AF345</f>
        <v>APAGADO</v>
      </c>
      <c r="AB342" s="24" t="str">
        <f>'RESUMEN TOTAL'!AG345</f>
        <v>APAGADO</v>
      </c>
      <c r="AC342" s="24" t="str">
        <f>'RESUMEN TOTAL'!AH345</f>
        <v>APAGADO</v>
      </c>
      <c r="AD342" s="24" t="str">
        <f>'RESUMEN TOTAL'!AI345</f>
        <v>APAGADO</v>
      </c>
      <c r="AE342" s="24" t="str">
        <f>'RESUMEN TOTAL'!AJ345</f>
        <v>APAGADO</v>
      </c>
      <c r="AF342" s="24" t="str">
        <f>'RESUMEN TOTAL'!AK345</f>
        <v>APAGADO</v>
      </c>
      <c r="AG342" s="24" t="str">
        <f>'RESUMEN TOTAL'!AL345</f>
        <v>APAGADO</v>
      </c>
      <c r="AH342" s="24" t="str">
        <f>'RESUMEN TOTAL'!AM345</f>
        <v>APAGADO</v>
      </c>
      <c r="AI342" s="24" t="str">
        <f>'RESUMEN TOTAL'!AN345</f>
        <v>APAGADO</v>
      </c>
    </row>
    <row r="343" spans="1:35" x14ac:dyDescent="0.25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 t="str">
        <f>'RESUMEN TOTAL'!K346</f>
        <v>APAGADO</v>
      </c>
      <c r="G343" s="24" t="str">
        <f>'RESUMEN TOTAL'!L346</f>
        <v>APAGADO</v>
      </c>
      <c r="H343" s="24" t="str">
        <f>'RESUMEN TOTAL'!M346</f>
        <v>APAGADO</v>
      </c>
      <c r="I343" s="24" t="str">
        <f>'RESUMEN TOTAL'!N346</f>
        <v>APAGADO</v>
      </c>
      <c r="J343" s="24" t="str">
        <f>'RESUMEN TOTAL'!O346</f>
        <v>APAGADO</v>
      </c>
      <c r="K343" s="24">
        <f>'RESUMEN TOTAL'!P346</f>
        <v>0</v>
      </c>
      <c r="L343" s="24" t="str">
        <f>'RESUMEN TOTAL'!Q346</f>
        <v>APAGADO</v>
      </c>
      <c r="M343" s="24">
        <f>'RESUMEN TOTAL'!R346</f>
        <v>0</v>
      </c>
      <c r="N343" s="24" t="str">
        <f>'RESUMEN TOTAL'!S346</f>
        <v>APAGADO</v>
      </c>
      <c r="O343" s="24" t="str">
        <f>'RESUMEN TOTAL'!T346</f>
        <v>APAGADO</v>
      </c>
      <c r="P343" s="24" t="str">
        <f>'RESUMEN TOTAL'!U346</f>
        <v>APAGADO</v>
      </c>
      <c r="Q343" s="24" t="str">
        <f>'RESUMEN TOTAL'!V346</f>
        <v>APAGADO</v>
      </c>
      <c r="R343" s="24" t="str">
        <f>'RESUMEN TOTAL'!W346</f>
        <v>APAGADO</v>
      </c>
      <c r="S343" s="24" t="str">
        <f>'RESUMEN TOTAL'!X346</f>
        <v>APAGADO</v>
      </c>
      <c r="T343" s="24" t="str">
        <f>'RESUMEN TOTAL'!Y346</f>
        <v>APAGADO</v>
      </c>
      <c r="U343" s="24" t="str">
        <f>'RESUMEN TOTAL'!Z346</f>
        <v>APAGADO</v>
      </c>
      <c r="V343" s="24">
        <f>'RESUMEN TOTAL'!AA346</f>
        <v>0</v>
      </c>
      <c r="W343" s="24" t="str">
        <f>'RESUMEN TOTAL'!AB346</f>
        <v>APAGADO</v>
      </c>
      <c r="X343" s="24" t="str">
        <f>'RESUMEN TOTAL'!AC346</f>
        <v>APAGADO</v>
      </c>
      <c r="Y343" s="24" t="str">
        <f>'RESUMEN TOTAL'!AD346</f>
        <v>APAGADO</v>
      </c>
      <c r="Z343" s="24" t="str">
        <f>'RESUMEN TOTAL'!AE346</f>
        <v>APAGADO</v>
      </c>
      <c r="AA343" s="24" t="str">
        <f>'RESUMEN TOTAL'!AF346</f>
        <v>APAGADO</v>
      </c>
      <c r="AB343" s="24" t="str">
        <f>'RESUMEN TOTAL'!AG346</f>
        <v>APAGADO</v>
      </c>
      <c r="AC343" s="24" t="str">
        <f>'RESUMEN TOTAL'!AH346</f>
        <v>APAGADO</v>
      </c>
      <c r="AD343" s="24" t="str">
        <f>'RESUMEN TOTAL'!AI346</f>
        <v>APAGADO</v>
      </c>
      <c r="AE343" s="24" t="str">
        <f>'RESUMEN TOTAL'!AJ346</f>
        <v>APAGADO</v>
      </c>
      <c r="AF343" s="24" t="str">
        <f>'RESUMEN TOTAL'!AK346</f>
        <v>APAGADO</v>
      </c>
      <c r="AG343" s="24" t="str">
        <f>'RESUMEN TOTAL'!AL346</f>
        <v>APAGADO</v>
      </c>
      <c r="AH343" s="24" t="str">
        <f>'RESUMEN TOTAL'!AM346</f>
        <v>APAGADO</v>
      </c>
      <c r="AI343" s="24" t="str">
        <f>'RESUMEN TOTAL'!AN346</f>
        <v>APAGADO</v>
      </c>
    </row>
    <row r="344" spans="1:35" x14ac:dyDescent="0.25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 t="str">
        <f>'RESUMEN TOTAL'!K347</f>
        <v>APAGADO</v>
      </c>
      <c r="G344" s="24" t="str">
        <f>'RESUMEN TOTAL'!L347</f>
        <v>APAGADO</v>
      </c>
      <c r="H344" s="24" t="str">
        <f>'RESUMEN TOTAL'!M347</f>
        <v>APAGADO</v>
      </c>
      <c r="I344" s="24" t="str">
        <f>'RESUMEN TOTAL'!N347</f>
        <v>APAGADO</v>
      </c>
      <c r="J344" s="24" t="str">
        <f>'RESUMEN TOTAL'!O347</f>
        <v>APAGADO</v>
      </c>
      <c r="K344" s="24">
        <f>'RESUMEN TOTAL'!P347</f>
        <v>0</v>
      </c>
      <c r="L344" s="24" t="str">
        <f>'RESUMEN TOTAL'!Q347</f>
        <v>APAGADO</v>
      </c>
      <c r="M344" s="24">
        <f>'RESUMEN TOTAL'!R347</f>
        <v>0</v>
      </c>
      <c r="N344" s="24" t="str">
        <f>'RESUMEN TOTAL'!S347</f>
        <v>APAGADO</v>
      </c>
      <c r="O344" s="24" t="str">
        <f>'RESUMEN TOTAL'!T347</f>
        <v>APAGADO</v>
      </c>
      <c r="P344" s="24" t="str">
        <f>'RESUMEN TOTAL'!U347</f>
        <v>APAGADO</v>
      </c>
      <c r="Q344" s="24" t="str">
        <f>'RESUMEN TOTAL'!V347</f>
        <v>APAGADO</v>
      </c>
      <c r="R344" s="24" t="str">
        <f>'RESUMEN TOTAL'!W347</f>
        <v>APAGADO</v>
      </c>
      <c r="S344" s="24" t="str">
        <f>'RESUMEN TOTAL'!X347</f>
        <v>APAGADO</v>
      </c>
      <c r="T344" s="24" t="str">
        <f>'RESUMEN TOTAL'!Y347</f>
        <v>APAGADO</v>
      </c>
      <c r="U344" s="24" t="str">
        <f>'RESUMEN TOTAL'!Z347</f>
        <v>APAGADO</v>
      </c>
      <c r="V344" s="24">
        <f>'RESUMEN TOTAL'!AA347</f>
        <v>0</v>
      </c>
      <c r="W344" s="24" t="str">
        <f>'RESUMEN TOTAL'!AB347</f>
        <v>APAGADO</v>
      </c>
      <c r="X344" s="24" t="str">
        <f>'RESUMEN TOTAL'!AC347</f>
        <v>APAGADO</v>
      </c>
      <c r="Y344" s="24" t="str">
        <f>'RESUMEN TOTAL'!AD347</f>
        <v>APAGADO</v>
      </c>
      <c r="Z344" s="24" t="str">
        <f>'RESUMEN TOTAL'!AE347</f>
        <v>APAGADO</v>
      </c>
      <c r="AA344" s="24" t="str">
        <f>'RESUMEN TOTAL'!AF347</f>
        <v>APAGADO</v>
      </c>
      <c r="AB344" s="24" t="str">
        <f>'RESUMEN TOTAL'!AG347</f>
        <v>APAGADO</v>
      </c>
      <c r="AC344" s="24" t="str">
        <f>'RESUMEN TOTAL'!AH347</f>
        <v>APAGADO</v>
      </c>
      <c r="AD344" s="24" t="str">
        <f>'RESUMEN TOTAL'!AI347</f>
        <v>APAGADO</v>
      </c>
      <c r="AE344" s="24" t="str">
        <f>'RESUMEN TOTAL'!AJ347</f>
        <v>APAGADO</v>
      </c>
      <c r="AF344" s="24" t="str">
        <f>'RESUMEN TOTAL'!AK347</f>
        <v>APAGADO</v>
      </c>
      <c r="AG344" s="24" t="str">
        <f>'RESUMEN TOTAL'!AL347</f>
        <v>APAGADO</v>
      </c>
      <c r="AH344" s="24">
        <f>'RESUMEN TOTAL'!AM347</f>
        <v>0</v>
      </c>
      <c r="AI344" s="24">
        <f>'RESUMEN TOTAL'!AN347</f>
        <v>0</v>
      </c>
    </row>
    <row r="345" spans="1:35" x14ac:dyDescent="0.25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 t="str">
        <f>'RESUMEN TOTAL'!K348</f>
        <v>APAGADO</v>
      </c>
      <c r="G345" s="24" t="str">
        <f>'RESUMEN TOTAL'!L348</f>
        <v>APAGADO</v>
      </c>
      <c r="H345" s="24" t="str">
        <f>'RESUMEN TOTAL'!M348</f>
        <v>APAGADO</v>
      </c>
      <c r="I345" s="24" t="str">
        <f>'RESUMEN TOTAL'!N348</f>
        <v>APAGADO</v>
      </c>
      <c r="J345" s="24" t="str">
        <f>'RESUMEN TOTAL'!O348</f>
        <v>APAGADO</v>
      </c>
      <c r="K345" s="24">
        <f>'RESUMEN TOTAL'!P348</f>
        <v>0</v>
      </c>
      <c r="L345" s="24" t="str">
        <f>'RESUMEN TOTAL'!Q348</f>
        <v>APAGADO</v>
      </c>
      <c r="M345" s="24">
        <f>'RESUMEN TOTAL'!R348</f>
        <v>0</v>
      </c>
      <c r="N345" s="24" t="str">
        <f>'RESUMEN TOTAL'!S348</f>
        <v>APAGADO</v>
      </c>
      <c r="O345" s="24" t="str">
        <f>'RESUMEN TOTAL'!T348</f>
        <v>APAGADO</v>
      </c>
      <c r="P345" s="24" t="str">
        <f>'RESUMEN TOTAL'!U348</f>
        <v>APAGADO</v>
      </c>
      <c r="Q345" s="24" t="str">
        <f>'RESUMEN TOTAL'!V348</f>
        <v>APAGADO</v>
      </c>
      <c r="R345" s="24" t="str">
        <f>'RESUMEN TOTAL'!W348</f>
        <v>APAGADO</v>
      </c>
      <c r="S345" s="24" t="str">
        <f>'RESUMEN TOTAL'!X348</f>
        <v>APAGADO</v>
      </c>
      <c r="T345" s="24" t="str">
        <f>'RESUMEN TOTAL'!Y348</f>
        <v>APAGADO</v>
      </c>
      <c r="U345" s="24" t="str">
        <f>'RESUMEN TOTAL'!Z348</f>
        <v>APAGADO</v>
      </c>
      <c r="V345" s="24">
        <f>'RESUMEN TOTAL'!AA348</f>
        <v>0</v>
      </c>
      <c r="W345" s="24" t="str">
        <f>'RESUMEN TOTAL'!AB348</f>
        <v>APAGADO</v>
      </c>
      <c r="X345" s="24" t="str">
        <f>'RESUMEN TOTAL'!AC348</f>
        <v>APAGADO</v>
      </c>
      <c r="Y345" s="24" t="str">
        <f>'RESUMEN TOTAL'!AD348</f>
        <v>APAGADO</v>
      </c>
      <c r="Z345" s="24" t="str">
        <f>'RESUMEN TOTAL'!AE348</f>
        <v>APAGADO</v>
      </c>
      <c r="AA345" s="24" t="str">
        <f>'RESUMEN TOTAL'!AF348</f>
        <v>APAGADO</v>
      </c>
      <c r="AB345" s="24" t="str">
        <f>'RESUMEN TOTAL'!AG348</f>
        <v>APAGADO</v>
      </c>
      <c r="AC345" s="24" t="str">
        <f>'RESUMEN TOTAL'!AH348</f>
        <v>APAGADO</v>
      </c>
      <c r="AD345" s="24" t="str">
        <f>'RESUMEN TOTAL'!AI348</f>
        <v>APAGADO</v>
      </c>
      <c r="AE345" s="24" t="str">
        <f>'RESUMEN TOTAL'!AJ348</f>
        <v>APAGADO</v>
      </c>
      <c r="AF345" s="24" t="str">
        <f>'RESUMEN TOTAL'!AK348</f>
        <v>APAGADO</v>
      </c>
      <c r="AG345" s="24" t="str">
        <f>'RESUMEN TOTAL'!AL348</f>
        <v>APAGADO</v>
      </c>
      <c r="AH345" s="24">
        <f>'RESUMEN TOTAL'!AM348</f>
        <v>0</v>
      </c>
      <c r="AI345" s="24">
        <f>'RESUMEN TOTAL'!AN348</f>
        <v>0</v>
      </c>
    </row>
    <row r="346" spans="1:35" x14ac:dyDescent="0.25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 t="str">
        <f>'RESUMEN TOTAL'!K349</f>
        <v>APAGADO</v>
      </c>
      <c r="G346" s="24" t="str">
        <f>'RESUMEN TOTAL'!L349</f>
        <v>APAGADO</v>
      </c>
      <c r="H346" s="24" t="str">
        <f>'RESUMEN TOTAL'!M349</f>
        <v>APAGADO</v>
      </c>
      <c r="I346" s="24" t="str">
        <f>'RESUMEN TOTAL'!N349</f>
        <v>APAGADO</v>
      </c>
      <c r="J346" s="24" t="str">
        <f>'RESUMEN TOTAL'!O349</f>
        <v>APAGADO</v>
      </c>
      <c r="K346" s="24">
        <f>'RESUMEN TOTAL'!P349</f>
        <v>0</v>
      </c>
      <c r="L346" s="24" t="str">
        <f>'RESUMEN TOTAL'!Q349</f>
        <v>APAGADO</v>
      </c>
      <c r="M346" s="24">
        <f>'RESUMEN TOTAL'!R349</f>
        <v>0</v>
      </c>
      <c r="N346" s="24" t="str">
        <f>'RESUMEN TOTAL'!S349</f>
        <v>APAGADO</v>
      </c>
      <c r="O346" s="24" t="str">
        <f>'RESUMEN TOTAL'!T349</f>
        <v>APAGADO</v>
      </c>
      <c r="P346" s="24" t="str">
        <f>'RESUMEN TOTAL'!U349</f>
        <v>APAGADO</v>
      </c>
      <c r="Q346" s="24" t="str">
        <f>'RESUMEN TOTAL'!V349</f>
        <v>APAGADO</v>
      </c>
      <c r="R346" s="24" t="str">
        <f>'RESUMEN TOTAL'!W349</f>
        <v>APAGADO</v>
      </c>
      <c r="S346" s="24" t="str">
        <f>'RESUMEN TOTAL'!X349</f>
        <v>APAGADO</v>
      </c>
      <c r="T346" s="24" t="str">
        <f>'RESUMEN TOTAL'!Y349</f>
        <v>APAGADO</v>
      </c>
      <c r="U346" s="24" t="str">
        <f>'RESUMEN TOTAL'!Z349</f>
        <v>APAGADO</v>
      </c>
      <c r="V346" s="24">
        <f>'RESUMEN TOTAL'!AA349</f>
        <v>0</v>
      </c>
      <c r="W346" s="24" t="str">
        <f>'RESUMEN TOTAL'!AB349</f>
        <v>APAGADO</v>
      </c>
      <c r="X346" s="24" t="str">
        <f>'RESUMEN TOTAL'!AC349</f>
        <v>APAGADO</v>
      </c>
      <c r="Y346" s="24" t="str">
        <f>'RESUMEN TOTAL'!AD349</f>
        <v>APAGADO</v>
      </c>
      <c r="Z346" s="24" t="str">
        <f>'RESUMEN TOTAL'!AE349</f>
        <v>APAGADO</v>
      </c>
      <c r="AA346" s="24" t="str">
        <f>'RESUMEN TOTAL'!AF349</f>
        <v>APAGADO</v>
      </c>
      <c r="AB346" s="24" t="str">
        <f>'RESUMEN TOTAL'!AG349</f>
        <v>APAGADO</v>
      </c>
      <c r="AC346" s="24" t="str">
        <f>'RESUMEN TOTAL'!AH349</f>
        <v>APAGADO</v>
      </c>
      <c r="AD346" s="24" t="str">
        <f>'RESUMEN TOTAL'!AI349</f>
        <v>APAGADO</v>
      </c>
      <c r="AE346" s="24" t="str">
        <f>'RESUMEN TOTAL'!AJ349</f>
        <v>APAGADO</v>
      </c>
      <c r="AF346" s="24" t="str">
        <f>'RESUMEN TOTAL'!AK349</f>
        <v>APAGADO</v>
      </c>
      <c r="AG346" s="24" t="str">
        <f>'RESUMEN TOTAL'!AL349</f>
        <v>APAGADO</v>
      </c>
      <c r="AH346" s="24">
        <f>'RESUMEN TOTAL'!AM349</f>
        <v>0</v>
      </c>
      <c r="AI346" s="24">
        <f>'RESUMEN TOTAL'!AN349</f>
        <v>0</v>
      </c>
    </row>
    <row r="347" spans="1:35" x14ac:dyDescent="0.25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 t="str">
        <f>'RESUMEN TOTAL'!K350</f>
        <v>APAGADO</v>
      </c>
      <c r="G347" s="24" t="str">
        <f>'RESUMEN TOTAL'!L350</f>
        <v>APAGADO</v>
      </c>
      <c r="H347" s="24" t="str">
        <f>'RESUMEN TOTAL'!M350</f>
        <v>APAGADO</v>
      </c>
      <c r="I347" s="24" t="str">
        <f>'RESUMEN TOTAL'!N350</f>
        <v>APAGADO</v>
      </c>
      <c r="J347" s="24" t="str">
        <f>'RESUMEN TOTAL'!O350</f>
        <v>APAGADO</v>
      </c>
      <c r="K347" s="24">
        <f>'RESUMEN TOTAL'!P350</f>
        <v>0</v>
      </c>
      <c r="L347" s="24" t="str">
        <f>'RESUMEN TOTAL'!Q350</f>
        <v>APAGADO</v>
      </c>
      <c r="M347" s="24">
        <f>'RESUMEN TOTAL'!R350</f>
        <v>0</v>
      </c>
      <c r="N347" s="24" t="str">
        <f>'RESUMEN TOTAL'!S350</f>
        <v>APAGADO</v>
      </c>
      <c r="O347" s="24" t="str">
        <f>'RESUMEN TOTAL'!T350</f>
        <v>APAGADO</v>
      </c>
      <c r="P347" s="24" t="str">
        <f>'RESUMEN TOTAL'!U350</f>
        <v>APAGADO</v>
      </c>
      <c r="Q347" s="24" t="str">
        <f>'RESUMEN TOTAL'!V350</f>
        <v>APAGADO</v>
      </c>
      <c r="R347" s="24" t="str">
        <f>'RESUMEN TOTAL'!W350</f>
        <v>APAGADO</v>
      </c>
      <c r="S347" s="24" t="str">
        <f>'RESUMEN TOTAL'!X350</f>
        <v>APAGADO</v>
      </c>
      <c r="T347" s="24" t="str">
        <f>'RESUMEN TOTAL'!Y350</f>
        <v>APAGADO</v>
      </c>
      <c r="U347" s="24" t="str">
        <f>'RESUMEN TOTAL'!Z350</f>
        <v>APAGADO</v>
      </c>
      <c r="V347" s="24">
        <f>'RESUMEN TOTAL'!AA350</f>
        <v>0</v>
      </c>
      <c r="W347" s="24" t="str">
        <f>'RESUMEN TOTAL'!AB350</f>
        <v>APAGADO</v>
      </c>
      <c r="X347" s="24" t="str">
        <f>'RESUMEN TOTAL'!AC350</f>
        <v>APAGADO</v>
      </c>
      <c r="Y347" s="24" t="str">
        <f>'RESUMEN TOTAL'!AD350</f>
        <v>APAGADO</v>
      </c>
      <c r="Z347" s="24" t="str">
        <f>'RESUMEN TOTAL'!AE350</f>
        <v>APAGADO</v>
      </c>
      <c r="AA347" s="24" t="str">
        <f>'RESUMEN TOTAL'!AF350</f>
        <v>APAGADO</v>
      </c>
      <c r="AB347" s="24" t="str">
        <f>'RESUMEN TOTAL'!AG350</f>
        <v>APAGADO</v>
      </c>
      <c r="AC347" s="24" t="str">
        <f>'RESUMEN TOTAL'!AH350</f>
        <v>APAGADO</v>
      </c>
      <c r="AD347" s="24" t="str">
        <f>'RESUMEN TOTAL'!AI350</f>
        <v>APAGADO</v>
      </c>
      <c r="AE347" s="24" t="str">
        <f>'RESUMEN TOTAL'!AJ350</f>
        <v>APAGADO</v>
      </c>
      <c r="AF347" s="24" t="str">
        <f>'RESUMEN TOTAL'!AK350</f>
        <v>APAGADO</v>
      </c>
      <c r="AG347" s="24" t="str">
        <f>'RESUMEN TOTAL'!AL350</f>
        <v>APAGADO</v>
      </c>
      <c r="AH347" s="24" t="str">
        <f>'RESUMEN TOTAL'!AM350</f>
        <v>APAGADO</v>
      </c>
      <c r="AI347" s="24">
        <f>'RESUMEN TOTAL'!AN350</f>
        <v>0</v>
      </c>
    </row>
    <row r="348" spans="1:35" x14ac:dyDescent="0.25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 t="str">
        <f>'RESUMEN TOTAL'!K351</f>
        <v>APAGADO</v>
      </c>
      <c r="G348" s="24" t="str">
        <f>'RESUMEN TOTAL'!L351</f>
        <v>APAGADO</v>
      </c>
      <c r="H348" s="24" t="str">
        <f>'RESUMEN TOTAL'!M351</f>
        <v>APAGADO</v>
      </c>
      <c r="I348" s="24" t="str">
        <f>'RESUMEN TOTAL'!N351</f>
        <v>APAGADO</v>
      </c>
      <c r="J348" s="24" t="str">
        <f>'RESUMEN TOTAL'!O351</f>
        <v>APAGADO</v>
      </c>
      <c r="K348" s="24">
        <f>'RESUMEN TOTAL'!P351</f>
        <v>0</v>
      </c>
      <c r="L348" s="24" t="str">
        <f>'RESUMEN TOTAL'!Q351</f>
        <v>APAGADO</v>
      </c>
      <c r="M348" s="24">
        <f>'RESUMEN TOTAL'!R351</f>
        <v>0</v>
      </c>
      <c r="N348" s="24" t="str">
        <f>'RESUMEN TOTAL'!S351</f>
        <v>APAGADO</v>
      </c>
      <c r="O348" s="24" t="str">
        <f>'RESUMEN TOTAL'!T351</f>
        <v>APAGADO</v>
      </c>
      <c r="P348" s="24" t="str">
        <f>'RESUMEN TOTAL'!U351</f>
        <v>APAGADO</v>
      </c>
      <c r="Q348" s="24" t="str">
        <f>'RESUMEN TOTAL'!V351</f>
        <v>APAGADO</v>
      </c>
      <c r="R348" s="24" t="str">
        <f>'RESUMEN TOTAL'!W351</f>
        <v>APAGADO</v>
      </c>
      <c r="S348" s="24" t="str">
        <f>'RESUMEN TOTAL'!X351</f>
        <v>APAGADO</v>
      </c>
      <c r="T348" s="24" t="str">
        <f>'RESUMEN TOTAL'!Y351</f>
        <v>APAGADO</v>
      </c>
      <c r="U348" s="24" t="str">
        <f>'RESUMEN TOTAL'!Z351</f>
        <v>APAGADO</v>
      </c>
      <c r="V348" s="24">
        <f>'RESUMEN TOTAL'!AA351</f>
        <v>0</v>
      </c>
      <c r="W348" s="24" t="str">
        <f>'RESUMEN TOTAL'!AB351</f>
        <v>APAGADO</v>
      </c>
      <c r="X348" s="24" t="str">
        <f>'RESUMEN TOTAL'!AC351</f>
        <v>APAGADO</v>
      </c>
      <c r="Y348" s="24" t="str">
        <f>'RESUMEN TOTAL'!AD351</f>
        <v>APAGADO</v>
      </c>
      <c r="Z348" s="24" t="str">
        <f>'RESUMEN TOTAL'!AE351</f>
        <v>APAGADO</v>
      </c>
      <c r="AA348" s="24" t="str">
        <f>'RESUMEN TOTAL'!AF351</f>
        <v>APAGADO</v>
      </c>
      <c r="AB348" s="24" t="str">
        <f>'RESUMEN TOTAL'!AG351</f>
        <v>APAGADO</v>
      </c>
      <c r="AC348" s="24" t="str">
        <f>'RESUMEN TOTAL'!AH351</f>
        <v>APAGADO</v>
      </c>
      <c r="AD348" s="24" t="str">
        <f>'RESUMEN TOTAL'!AI351</f>
        <v>APAGADO</v>
      </c>
      <c r="AE348" s="24" t="str">
        <f>'RESUMEN TOTAL'!AJ351</f>
        <v>APAGADO</v>
      </c>
      <c r="AF348" s="24" t="str">
        <f>'RESUMEN TOTAL'!AK351</f>
        <v>APAGADO</v>
      </c>
      <c r="AG348" s="24" t="str">
        <f>'RESUMEN TOTAL'!AL351</f>
        <v>APAGADO</v>
      </c>
      <c r="AH348" s="24">
        <f>'RESUMEN TOTAL'!AM351</f>
        <v>0</v>
      </c>
      <c r="AI348" s="24">
        <f>'RESUMEN TOTAL'!AN351</f>
        <v>0</v>
      </c>
    </row>
    <row r="349" spans="1:35" x14ac:dyDescent="0.25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25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25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 t="str">
        <f>'RESUMEN TOTAL'!M354</f>
        <v>APAGADO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25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 t="str">
        <f>'RESUMEN TOTAL'!M355</f>
        <v>APAGADO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25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25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25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25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25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 t="str">
        <f>'RESUMEN TOTAL'!Z360</f>
        <v>APAGADO</v>
      </c>
      <c r="V357" s="24">
        <f>'RESUMEN TOTAL'!AA360</f>
        <v>0</v>
      </c>
      <c r="W357" s="24" t="str">
        <f>'RESUMEN TOTAL'!AB360</f>
        <v>APAGADO</v>
      </c>
      <c r="X357" s="24" t="str">
        <f>'RESUMEN TOTAL'!AC360</f>
        <v>APAGADO</v>
      </c>
      <c r="Y357" s="24" t="str">
        <f>'RESUMEN TOTAL'!AD360</f>
        <v>APAGADO</v>
      </c>
      <c r="Z357" s="24" t="str">
        <f>'RESUMEN TOTAL'!AE360</f>
        <v>APAGADO</v>
      </c>
      <c r="AA357" s="24" t="str">
        <f>'RESUMEN TOTAL'!AF360</f>
        <v>APAGADO</v>
      </c>
      <c r="AB357" s="24" t="str">
        <f>'RESUMEN TOTAL'!AG360</f>
        <v>APAGADO</v>
      </c>
      <c r="AC357" s="24" t="str">
        <f>'RESUMEN TOTAL'!AH360</f>
        <v>APAGADO</v>
      </c>
      <c r="AD357" s="24" t="str">
        <f>'RESUMEN TOTAL'!AI360</f>
        <v>APAGADO</v>
      </c>
      <c r="AE357" s="24" t="str">
        <f>'RESUMEN TOTAL'!AJ360</f>
        <v>APAGADO</v>
      </c>
      <c r="AF357" s="24" t="str">
        <f>'RESUMEN TOTAL'!AK360</f>
        <v>APAGADO</v>
      </c>
      <c r="AG357" s="24" t="str">
        <f>'RESUMEN TOTAL'!AL360</f>
        <v>APAGADO</v>
      </c>
      <c r="AH357" s="24">
        <f>'RESUMEN TOTAL'!AM360</f>
        <v>0</v>
      </c>
      <c r="AI357" s="24" t="str">
        <f>'RESUMEN TOTAL'!AN360</f>
        <v>APAGADO</v>
      </c>
    </row>
    <row r="358" spans="1:35" x14ac:dyDescent="0.25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 t="str">
        <f>'RESUMEN TOTAL'!AC361</f>
        <v>APAGADO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25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 t="str">
        <f>'RESUMEN TOTAL'!AC362</f>
        <v>APAGADO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25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 t="str">
        <f>'RESUMEN TOTAL'!AC363</f>
        <v>APAGADO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25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 t="str">
        <f>'RESUMEN TOTAL'!AC364</f>
        <v>APAGADO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25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 t="str">
        <f>'RESUMEN TOTAL'!AB365</f>
        <v>APAGADO</v>
      </c>
      <c r="X362" s="24" t="str">
        <f>'RESUMEN TOTAL'!AC365</f>
        <v>APAGADO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25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 t="str">
        <f>'RESUMEN TOTAL'!AC366</f>
        <v>APAGADO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25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 t="str">
        <f>'RESUMEN TOTAL'!AC367</f>
        <v>APAGADO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25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25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 t="str">
        <f>'RESUMEN TOTAL'!M369</f>
        <v>APAGADO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 t="str">
        <f>'RESUMEN TOTAL'!Q369</f>
        <v>APAGADO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25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25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 t="str">
        <f>'RESUMEN TOTAL'!M371</f>
        <v>APAGADO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25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25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 t="str">
        <f>'RESUMEN TOTAL'!M373</f>
        <v>APAGADO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25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 t="str">
        <f>'RESUMEN TOTAL'!M374</f>
        <v>APAGADO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 t="str">
        <f>'RESUMEN TOTAL'!S374</f>
        <v>APAGADO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 t="str">
        <f>'RESUMEN TOTAL'!Z374</f>
        <v>APAGADO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 t="str">
        <f>'RESUMEN TOTAL'!AF374</f>
        <v>APAGADO</v>
      </c>
      <c r="AB371" s="24" t="str">
        <f>'RESUMEN TOTAL'!AG374</f>
        <v>APAGADO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 t="str">
        <f>'RESUMEN TOTAL'!AL374</f>
        <v>APAGADO</v>
      </c>
      <c r="AH371" s="24" t="str">
        <f>'RESUMEN TOTAL'!AM374</f>
        <v>APAGADO</v>
      </c>
      <c r="AI371" s="24">
        <f>'RESUMEN TOTAL'!AN374</f>
        <v>0</v>
      </c>
    </row>
    <row r="372" spans="1:35" x14ac:dyDescent="0.25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25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25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25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 t="str">
        <f>'RESUMEN TOTAL'!M378</f>
        <v>APAGADO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 t="str">
        <f>'RESUMEN TOTAL'!S378</f>
        <v>APAGADO</v>
      </c>
      <c r="O375" s="24" t="str">
        <f>'RESUMEN TOTAL'!T378</f>
        <v>APAGADO</v>
      </c>
      <c r="P375" s="24" t="str">
        <f>'RESUMEN TOTAL'!U378</f>
        <v>APAGADO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25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 t="str">
        <f>'RESUMEN TOTAL'!L379</f>
        <v>APAGADO</v>
      </c>
      <c r="H376" s="24" t="str">
        <f>'RESUMEN TOTAL'!M379</f>
        <v>APAGADO</v>
      </c>
      <c r="I376" s="24" t="str">
        <f>'RESUMEN TOTAL'!N379</f>
        <v>APAGADO</v>
      </c>
      <c r="J376" s="24" t="str">
        <f>'RESUMEN TOTAL'!O379</f>
        <v>APAGADO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 t="str">
        <f>'RESUMEN TOTAL'!S379</f>
        <v>APAGADO</v>
      </c>
      <c r="O376" s="24" t="str">
        <f>'RESUMEN TOTAL'!T379</f>
        <v>APAGADO</v>
      </c>
      <c r="P376" s="24" t="str">
        <f>'RESUMEN TOTAL'!U379</f>
        <v>APAGADO</v>
      </c>
      <c r="Q376" s="24" t="str">
        <f>'RESUMEN TOTAL'!V379</f>
        <v>APAGADO</v>
      </c>
      <c r="R376" s="24" t="str">
        <f>'RESUMEN TOTAL'!W379</f>
        <v>APAGADO</v>
      </c>
      <c r="S376" s="24" t="str">
        <f>'RESUMEN TOTAL'!X379</f>
        <v>APAGADO</v>
      </c>
      <c r="T376" s="24" t="str">
        <f>'RESUMEN TOTAL'!Y379</f>
        <v>APAGADO</v>
      </c>
      <c r="U376" s="24" t="str">
        <f>'RESUMEN TOTAL'!Z379</f>
        <v>APAGADO</v>
      </c>
      <c r="V376" s="24">
        <f>'RESUMEN TOTAL'!AA379</f>
        <v>0</v>
      </c>
      <c r="W376" s="24">
        <f>'RESUMEN TOTAL'!AB379</f>
        <v>0</v>
      </c>
      <c r="X376" s="24" t="str">
        <f>'RESUMEN TOTAL'!AC379</f>
        <v>APAGADO</v>
      </c>
      <c r="Y376" s="24" t="str">
        <f>'RESUMEN TOTAL'!AD379</f>
        <v>APAGADO</v>
      </c>
      <c r="Z376" s="24" t="str">
        <f>'RESUMEN TOTAL'!AE379</f>
        <v>APAGADO</v>
      </c>
      <c r="AA376" s="24" t="str">
        <f>'RESUMEN TOTAL'!AF379</f>
        <v>APAGADO</v>
      </c>
      <c r="AB376" s="24" t="str">
        <f>'RESUMEN TOTAL'!AG379</f>
        <v>APAGADO</v>
      </c>
      <c r="AC376" s="24" t="str">
        <f>'RESUMEN TOTAL'!AH379</f>
        <v>APAGADO</v>
      </c>
      <c r="AD376" s="24" t="str">
        <f>'RESUMEN TOTAL'!AI379</f>
        <v>APAGADO</v>
      </c>
      <c r="AE376" s="24" t="str">
        <f>'RESUMEN TOTAL'!AJ379</f>
        <v>APAGADO</v>
      </c>
      <c r="AF376" s="24" t="str">
        <f>'RESUMEN TOTAL'!AK379</f>
        <v>APAGADO</v>
      </c>
      <c r="AG376" s="24" t="str">
        <f>'RESUMEN TOTAL'!AL379</f>
        <v>APAGADO</v>
      </c>
      <c r="AH376" s="24">
        <f>'RESUMEN TOTAL'!AM379</f>
        <v>0</v>
      </c>
      <c r="AI376" s="24" t="str">
        <f>'RESUMEN TOTAL'!AN379</f>
        <v>APAGADO</v>
      </c>
    </row>
    <row r="377" spans="1:35" x14ac:dyDescent="0.25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 t="str">
        <f>'RESUMEN TOTAL'!Y380</f>
        <v>APAGADO</v>
      </c>
      <c r="U377" s="24" t="str">
        <f>'RESUMEN TOTAL'!Z380</f>
        <v>APAGADO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 t="str">
        <f>'RESUMEN TOTAL'!AF380</f>
        <v>APAGADO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 t="str">
        <f>'RESUMEN TOTAL'!AK380</f>
        <v>APAGADO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25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 t="str">
        <f>'RESUMEN TOTAL'!S381</f>
        <v>APAGADO</v>
      </c>
      <c r="O378" s="24" t="str">
        <f>'RESUMEN TOTAL'!T381</f>
        <v>APAGADO</v>
      </c>
      <c r="P378" s="24" t="str">
        <f>'RESUMEN TOTAL'!U381</f>
        <v>APAGADO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25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 t="str">
        <f>'RESUMEN TOTAL'!M382</f>
        <v>APAGADO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25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 t="str">
        <f>'RESUMEN TOTAL'!M383</f>
        <v>APAGADO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25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25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25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25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 t="str">
        <f>'RESUMEN TOTAL'!M387</f>
        <v>APAGADO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 t="str">
        <f>'RESUMEN TOTAL'!AF387</f>
        <v>APAGADO</v>
      </c>
      <c r="AB384" s="24" t="str">
        <f>'RESUMEN TOTAL'!AG387</f>
        <v>APAGADO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25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 t="str">
        <f>'RESUMEN TOTAL'!AM388</f>
        <v>APAGADO</v>
      </c>
      <c r="AI385" s="24">
        <f>'RESUMEN TOTAL'!AN388</f>
        <v>0</v>
      </c>
    </row>
    <row r="386" spans="1:35" x14ac:dyDescent="0.25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25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 t="str">
        <f>'RESUMEN TOTAL'!M390</f>
        <v>APAGADO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 t="str">
        <f>'RESUMEN TOTAL'!S390</f>
        <v>APAGADO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 t="str">
        <f>'RESUMEN TOTAL'!Z390</f>
        <v>APAGADO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 t="str">
        <f>'RESUMEN TOTAL'!AF390</f>
        <v>APAGADO</v>
      </c>
      <c r="AB387" s="24" t="str">
        <f>'RESUMEN TOTAL'!AG390</f>
        <v>APAGADO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 t="str">
        <f>'RESUMEN TOTAL'!AL390</f>
        <v>APAGADO</v>
      </c>
      <c r="AH387" s="24" t="str">
        <f>'RESUMEN TOTAL'!AM390</f>
        <v>APAGADO</v>
      </c>
      <c r="AI387" s="24">
        <f>'RESUMEN TOTAL'!AN390</f>
        <v>0</v>
      </c>
    </row>
    <row r="388" spans="1:35" x14ac:dyDescent="0.25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 t="str">
        <f>'RESUMEN TOTAL'!M391</f>
        <v>APAGADO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 t="str">
        <f>'RESUMEN TOTAL'!S391</f>
        <v>APAGADO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 t="str">
        <f>'RESUMEN TOTAL'!Z391</f>
        <v>APAGADO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 t="str">
        <f>'RESUMEN TOTAL'!AF391</f>
        <v>APAGADO</v>
      </c>
      <c r="AB388" s="24" t="str">
        <f>'RESUMEN TOTAL'!AG391</f>
        <v>APAGADO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 t="str">
        <f>'RESUMEN TOTAL'!AL391</f>
        <v>APAGADO</v>
      </c>
      <c r="AH388" s="24" t="str">
        <f>'RESUMEN TOTAL'!AM391</f>
        <v>APAGADO</v>
      </c>
      <c r="AI388" s="24">
        <f>'RESUMEN TOTAL'!AN391</f>
        <v>0</v>
      </c>
    </row>
    <row r="389" spans="1:35" x14ac:dyDescent="0.25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 t="str">
        <f>'RESUMEN TOTAL'!M392</f>
        <v>APAGADO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 t="str">
        <f>'RESUMEN TOTAL'!T392</f>
        <v>APAGADO</v>
      </c>
      <c r="P389" s="24" t="str">
        <f>'RESUMEN TOTAL'!U392</f>
        <v>APAGADO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25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 t="str">
        <f>'RESUMEN TOTAL'!M393</f>
        <v>APAGADO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 t="str">
        <f>'RESUMEN TOTAL'!T393</f>
        <v>APAGADO</v>
      </c>
      <c r="P390" s="24" t="str">
        <f>'RESUMEN TOTAL'!U393</f>
        <v>APAGADO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25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 t="str">
        <f>'RESUMEN TOTAL'!M394</f>
        <v>APAGADO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25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 t="str">
        <f>'RESUMEN TOTAL'!M395</f>
        <v>APAGADO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25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25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25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 t="str">
        <f>'RESUMEN TOTAL'!W398</f>
        <v>APAGADO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25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 t="str">
        <f>'RESUMEN TOTAL'!W399</f>
        <v>APAGADO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25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 t="str">
        <f>'RESUMEN TOTAL'!W400</f>
        <v>APAGADO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25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 t="str">
        <f>'RESUMEN TOTAL'!W401</f>
        <v>APAGADO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25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 t="str">
        <f>'RESUMEN TOTAL'!K402</f>
        <v>APAGADO</v>
      </c>
      <c r="G399" s="24" t="str">
        <f>'RESUMEN TOTAL'!L402</f>
        <v>APAGADO</v>
      </c>
      <c r="H399" s="24" t="str">
        <f>'RESUMEN TOTAL'!M402</f>
        <v>APAGADO</v>
      </c>
      <c r="I399" s="24" t="str">
        <f>'RESUMEN TOTAL'!N402</f>
        <v>APAGADO</v>
      </c>
      <c r="J399" s="24" t="str">
        <f>'RESUMEN TOTAL'!O402</f>
        <v>APAGADO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 t="str">
        <f>'RESUMEN TOTAL'!S402</f>
        <v>APAGADO</v>
      </c>
      <c r="O399" s="24" t="str">
        <f>'RESUMEN TOTAL'!T402</f>
        <v>APAGADO</v>
      </c>
      <c r="P399" s="24" t="str">
        <f>'RESUMEN TOTAL'!U402</f>
        <v>APAGADO</v>
      </c>
      <c r="Q399" s="24" t="str">
        <f>'RESUMEN TOTAL'!V402</f>
        <v>APAGADO</v>
      </c>
      <c r="R399" s="24" t="str">
        <f>'RESUMEN TOTAL'!W402</f>
        <v>APAGADO</v>
      </c>
      <c r="S399" s="24" t="str">
        <f>'RESUMEN TOTAL'!X402</f>
        <v>APAGADO</v>
      </c>
      <c r="T399" s="24" t="str">
        <f>'RESUMEN TOTAL'!Y402</f>
        <v>APAGADO</v>
      </c>
      <c r="U399" s="24" t="str">
        <f>'RESUMEN TOTAL'!Z402</f>
        <v>APAGADO</v>
      </c>
      <c r="V399" s="24">
        <f>'RESUMEN TOTAL'!AA402</f>
        <v>0</v>
      </c>
      <c r="W399" s="24" t="str">
        <f>'RESUMEN TOTAL'!AB402</f>
        <v>APAGADO</v>
      </c>
      <c r="X399" s="24" t="str">
        <f>'RESUMEN TOTAL'!AC402</f>
        <v>APAGADO</v>
      </c>
      <c r="Y399" s="24" t="str">
        <f>'RESUMEN TOTAL'!AD402</f>
        <v>APAGADO</v>
      </c>
      <c r="Z399" s="24" t="str">
        <f>'RESUMEN TOTAL'!AE402</f>
        <v>APAGADO</v>
      </c>
      <c r="AA399" s="24">
        <f>'RESUMEN TOTAL'!AF402</f>
        <v>0</v>
      </c>
      <c r="AB399" s="24" t="str">
        <f>'RESUMEN TOTAL'!AG402</f>
        <v>APAGADO</v>
      </c>
      <c r="AC399" s="24" t="str">
        <f>'RESUMEN TOTAL'!AH402</f>
        <v>APAGADO</v>
      </c>
      <c r="AD399" s="24" t="str">
        <f>'RESUMEN TOTAL'!AI402</f>
        <v>APAGADO</v>
      </c>
      <c r="AE399" s="24" t="str">
        <f>'RESUMEN TOTAL'!AJ402</f>
        <v>APAGADO</v>
      </c>
      <c r="AF399" s="24" t="str">
        <f>'RESUMEN TOTAL'!AK402</f>
        <v>APAGADO</v>
      </c>
      <c r="AG399" s="24" t="str">
        <f>'RESUMEN TOTAL'!AL402</f>
        <v>APAGADO</v>
      </c>
      <c r="AH399" s="24" t="str">
        <f>'RESUMEN TOTAL'!AM402</f>
        <v>APAGADO</v>
      </c>
      <c r="AI399" s="24" t="str">
        <f>'RESUMEN TOTAL'!AN402</f>
        <v>APAGADO</v>
      </c>
    </row>
    <row r="400" spans="1:35" x14ac:dyDescent="0.25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 t="str">
        <f>'RESUMEN TOTAL'!W403</f>
        <v>APAGADO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25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 t="str">
        <f>'RESUMEN TOTAL'!W404</f>
        <v>APAGADO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25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 t="str">
        <f>'RESUMEN TOTAL'!K405</f>
        <v>APAGADO</v>
      </c>
      <c r="G402" s="24" t="str">
        <f>'RESUMEN TOTAL'!L405</f>
        <v>APAGADO</v>
      </c>
      <c r="H402" s="24" t="str">
        <f>'RESUMEN TOTAL'!M405</f>
        <v>APAGADO</v>
      </c>
      <c r="I402" s="24" t="str">
        <f>'RESUMEN TOTAL'!N405</f>
        <v>APAGADO</v>
      </c>
      <c r="J402" s="24" t="str">
        <f>'RESUMEN TOTAL'!O405</f>
        <v>APAGADO</v>
      </c>
      <c r="K402" s="24">
        <f>'RESUMEN TOTAL'!P405</f>
        <v>0</v>
      </c>
      <c r="L402" s="24" t="str">
        <f>'RESUMEN TOTAL'!Q405</f>
        <v>APAGADO</v>
      </c>
      <c r="M402" s="24">
        <f>'RESUMEN TOTAL'!R405</f>
        <v>0</v>
      </c>
      <c r="N402" s="24" t="str">
        <f>'RESUMEN TOTAL'!S405</f>
        <v>APAGADO</v>
      </c>
      <c r="O402" s="24" t="str">
        <f>'RESUMEN TOTAL'!T405</f>
        <v>APAGADO</v>
      </c>
      <c r="P402" s="24" t="str">
        <f>'RESUMEN TOTAL'!U405</f>
        <v>APAGADO</v>
      </c>
      <c r="Q402" s="24" t="str">
        <f>'RESUMEN TOTAL'!V405</f>
        <v>APAGADO</v>
      </c>
      <c r="R402" s="24" t="str">
        <f>'RESUMEN TOTAL'!W405</f>
        <v>APAGADO</v>
      </c>
      <c r="S402" s="24" t="str">
        <f>'RESUMEN TOTAL'!X405</f>
        <v>APAGADO</v>
      </c>
      <c r="T402" s="24" t="str">
        <f>'RESUMEN TOTAL'!Y405</f>
        <v>APAGADO</v>
      </c>
      <c r="U402" s="24" t="str">
        <f>'RESUMEN TOTAL'!Z405</f>
        <v>APAGADO</v>
      </c>
      <c r="V402" s="24">
        <f>'RESUMEN TOTAL'!AA405</f>
        <v>0</v>
      </c>
      <c r="W402" s="24" t="str">
        <f>'RESUMEN TOTAL'!AB405</f>
        <v>APAGADO</v>
      </c>
      <c r="X402" s="24" t="str">
        <f>'RESUMEN TOTAL'!AC405</f>
        <v>APAGADO</v>
      </c>
      <c r="Y402" s="24" t="str">
        <f>'RESUMEN TOTAL'!AD405</f>
        <v>APAGADO</v>
      </c>
      <c r="Z402" s="24" t="str">
        <f>'RESUMEN TOTAL'!AE405</f>
        <v>APAGADO</v>
      </c>
      <c r="AA402" s="24" t="str">
        <f>'RESUMEN TOTAL'!AF405</f>
        <v>APAGADO</v>
      </c>
      <c r="AB402" s="24" t="str">
        <f>'RESUMEN TOTAL'!AG405</f>
        <v>APAGADO</v>
      </c>
      <c r="AC402" s="24" t="str">
        <f>'RESUMEN TOTAL'!AH405</f>
        <v>APAGADO</v>
      </c>
      <c r="AD402" s="24" t="str">
        <f>'RESUMEN TOTAL'!AI405</f>
        <v>APAGADO</v>
      </c>
      <c r="AE402" s="24" t="str">
        <f>'RESUMEN TOTAL'!AJ405</f>
        <v>APAGADO</v>
      </c>
      <c r="AF402" s="24" t="str">
        <f>'RESUMEN TOTAL'!AK405</f>
        <v>APAGADO</v>
      </c>
      <c r="AG402" s="24" t="str">
        <f>'RESUMEN TOTAL'!AL405</f>
        <v>APAGADO</v>
      </c>
      <c r="AH402" s="24" t="str">
        <f>'RESUMEN TOTAL'!AM405</f>
        <v>APAGADO</v>
      </c>
      <c r="AI402" s="24">
        <f>'RESUMEN TOTAL'!AN405</f>
        <v>0</v>
      </c>
    </row>
    <row r="403" spans="1:35" x14ac:dyDescent="0.25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 t="str">
        <f>'RESUMEN TOTAL'!W406</f>
        <v>APAGADO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25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 t="str">
        <f>'RESUMEN TOTAL'!AD407</f>
        <v>APAGADO</v>
      </c>
      <c r="Z404" s="24" t="str">
        <f>'RESUMEN TOTAL'!AE407</f>
        <v>APAGADO</v>
      </c>
      <c r="AA404" s="24">
        <f>'RESUMEN TOTAL'!AF407</f>
        <v>0</v>
      </c>
      <c r="AB404" s="24">
        <f>'RESUMEN TOTAL'!AG407</f>
        <v>0</v>
      </c>
      <c r="AC404" s="24" t="str">
        <f>'RESUMEN TOTAL'!AH407</f>
        <v>APAGADO</v>
      </c>
      <c r="AD404" s="24" t="str">
        <f>'RESUMEN TOTAL'!AI407</f>
        <v>APAGADO</v>
      </c>
      <c r="AE404" s="24">
        <f>'RESUMEN TOTAL'!AJ407</f>
        <v>0</v>
      </c>
      <c r="AF404" s="24" t="str">
        <f>'RESUMEN TOTAL'!AK407</f>
        <v>APAGADO</v>
      </c>
      <c r="AG404" s="24" t="str">
        <f>'RESUMEN TOTAL'!AL407</f>
        <v>APAGADO</v>
      </c>
      <c r="AH404" s="24">
        <f>'RESUMEN TOTAL'!AM407</f>
        <v>0</v>
      </c>
      <c r="AI404" s="24">
        <f>'RESUMEN TOTAL'!AN407</f>
        <v>0</v>
      </c>
    </row>
    <row r="405" spans="1:35" x14ac:dyDescent="0.25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 t="str">
        <f>'RESUMEN TOTAL'!AD408</f>
        <v>APAGADO</v>
      </c>
      <c r="Z405" s="24" t="str">
        <f>'RESUMEN TOTAL'!AE408</f>
        <v>APAGADO</v>
      </c>
      <c r="AA405" s="24">
        <f>'RESUMEN TOTAL'!AF408</f>
        <v>0</v>
      </c>
      <c r="AB405" s="24">
        <f>'RESUMEN TOTAL'!AG408</f>
        <v>0</v>
      </c>
      <c r="AC405" s="24" t="str">
        <f>'RESUMEN TOTAL'!AH408</f>
        <v>APAGADO</v>
      </c>
      <c r="AD405" s="24" t="str">
        <f>'RESUMEN TOTAL'!AI408</f>
        <v>APAGADO</v>
      </c>
      <c r="AE405" s="24">
        <f>'RESUMEN TOTAL'!AJ408</f>
        <v>0</v>
      </c>
      <c r="AF405" s="24" t="str">
        <f>'RESUMEN TOTAL'!AK408</f>
        <v>APAGADO</v>
      </c>
      <c r="AG405" s="24" t="str">
        <f>'RESUMEN TOTAL'!AL408</f>
        <v>APAGADO</v>
      </c>
      <c r="AH405" s="24">
        <f>'RESUMEN TOTAL'!AM408</f>
        <v>0</v>
      </c>
      <c r="AI405" s="24">
        <f>'RESUMEN TOTAL'!AN408</f>
        <v>0</v>
      </c>
    </row>
    <row r="406" spans="1:35" x14ac:dyDescent="0.25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 t="str">
        <f>'RESUMEN TOTAL'!W409</f>
        <v>APAGADO</v>
      </c>
      <c r="S406" s="24" t="str">
        <f>'RESUMEN TOTAL'!X409</f>
        <v>APAGADO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 t="str">
        <f>'RESUMEN TOTAL'!AF409</f>
        <v>APAGADO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 t="str">
        <f>'RESUMEN TOTAL'!AM409</f>
        <v>APAGADO</v>
      </c>
      <c r="AI406" s="24" t="str">
        <f>'RESUMEN TOTAL'!AN409</f>
        <v>APAGADO</v>
      </c>
    </row>
    <row r="407" spans="1:35" x14ac:dyDescent="0.25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 t="str">
        <f>'RESUMEN TOTAL'!W410</f>
        <v>APAGADO</v>
      </c>
      <c r="S407" s="24" t="str">
        <f>'RESUMEN TOTAL'!X410</f>
        <v>APAGADO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 t="str">
        <f>'RESUMEN TOTAL'!AF410</f>
        <v>APAGADO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 t="str">
        <f>'RESUMEN TOTAL'!AM410</f>
        <v>APAGADO</v>
      </c>
      <c r="AI407" s="24" t="str">
        <f>'RESUMEN TOTAL'!AN410</f>
        <v>APAGADO</v>
      </c>
    </row>
    <row r="408" spans="1:35" x14ac:dyDescent="0.25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25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25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25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25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25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25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25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25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25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 t="str">
        <f>'RESUMEN TOTAL'!AD420</f>
        <v>APAGADO</v>
      </c>
      <c r="Z417" s="24" t="str">
        <f>'RESUMEN TOTAL'!AE420</f>
        <v>APAGADO</v>
      </c>
      <c r="AA417" s="24" t="str">
        <f>'RESUMEN TOTAL'!AF420</f>
        <v>APAGADO</v>
      </c>
      <c r="AB417" s="24" t="str">
        <f>'RESUMEN TOTAL'!AG420</f>
        <v>APAGADO</v>
      </c>
      <c r="AC417" s="24" t="str">
        <f>'RESUMEN TOTAL'!AH420</f>
        <v>APAGADO</v>
      </c>
      <c r="AD417" s="24" t="str">
        <f>'RESUMEN TOTAL'!AI420</f>
        <v>APAGADO</v>
      </c>
      <c r="AE417" s="24" t="str">
        <f>'RESUMEN TOTAL'!AJ420</f>
        <v>APAGADO</v>
      </c>
      <c r="AF417" s="24" t="str">
        <f>'RESUMEN TOTAL'!AK420</f>
        <v>APAGADO</v>
      </c>
      <c r="AG417" s="24" t="str">
        <f>'RESUMEN TOTAL'!AL420</f>
        <v>APAGADO</v>
      </c>
      <c r="AH417" s="24" t="str">
        <f>'RESUMEN TOTAL'!AM420</f>
        <v>APAGADO</v>
      </c>
      <c r="AI417" s="24" t="str">
        <f>'RESUMEN TOTAL'!AN420</f>
        <v>APAGADO</v>
      </c>
    </row>
    <row r="418" spans="1:35" x14ac:dyDescent="0.25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25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25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25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39</v>
      </c>
      <c r="G1" s="20">
        <f t="shared" ref="G1:AG1" si="0">COUNTIF(G3:G400, "APAGADO")</f>
        <v>39</v>
      </c>
      <c r="H1" s="20">
        <f t="shared" si="0"/>
        <v>157</v>
      </c>
      <c r="I1" s="20">
        <f t="shared" si="0"/>
        <v>43</v>
      </c>
      <c r="J1" s="20">
        <f t="shared" si="0"/>
        <v>37</v>
      </c>
      <c r="K1" s="20">
        <f t="shared" si="0"/>
        <v>0</v>
      </c>
      <c r="L1" s="20">
        <f t="shared" si="0"/>
        <v>35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37</v>
      </c>
      <c r="R1" s="20">
        <f t="shared" si="0"/>
        <v>51</v>
      </c>
      <c r="S1" s="20">
        <f t="shared" si="0"/>
        <v>31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46</v>
      </c>
      <c r="X1" s="20">
        <f t="shared" si="0"/>
        <v>95</v>
      </c>
      <c r="Y1" s="20">
        <f t="shared" si="0"/>
        <v>49</v>
      </c>
      <c r="Z1" s="20">
        <f t="shared" si="0"/>
        <v>39</v>
      </c>
      <c r="AA1" s="20">
        <f t="shared" si="0"/>
        <v>42</v>
      </c>
      <c r="AB1" s="20">
        <f t="shared" si="0"/>
        <v>55</v>
      </c>
      <c r="AC1" s="20">
        <f t="shared" si="0"/>
        <v>38</v>
      </c>
      <c r="AD1" s="20">
        <f t="shared" si="0"/>
        <v>38</v>
      </c>
      <c r="AE1" s="20">
        <f t="shared" si="0"/>
        <v>38</v>
      </c>
      <c r="AF1" s="20">
        <f t="shared" si="0"/>
        <v>43</v>
      </c>
      <c r="AG1" s="20">
        <f t="shared" si="0"/>
        <v>44</v>
      </c>
      <c r="AH1" s="20">
        <f t="shared" ref="AH1:AI1" si="1">COUNTIF(AH3:AH400, "APAGADO")</f>
        <v>28</v>
      </c>
      <c r="AI1" s="20">
        <f t="shared" si="1"/>
        <v>32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4" t="str">
        <f>ESTADISTICA!AH13</f>
        <v>APAGADO</v>
      </c>
      <c r="AI14" s="44" t="str">
        <f>ESTADISTICA!AI13</f>
        <v>APAGADO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4" t="str">
        <f>ESTADISTICA!AH32</f>
        <v>APAGADO</v>
      </c>
      <c r="AI33" s="44" t="str">
        <f>ESTADISTICA!AI32</f>
        <v>APAGADO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 t="str">
        <f>ESTADISTICA!AF33</f>
        <v>APAGADO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 s="44" t="str">
        <f>ESTADISTICA!AH35</f>
        <v>APAGADO</v>
      </c>
      <c r="AI36" s="44" t="str">
        <f>ESTADISTICA!AI35</f>
        <v>APAGADO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4" t="str">
        <f>ESTADISTICA!AH38</f>
        <v>APAGADO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4" t="str">
        <f>ESTADISTICA!AH46</f>
        <v>APAGADO</v>
      </c>
      <c r="AI47" s="44" t="str">
        <f>ESTADISTICA!AI46</f>
        <v>APAGADO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4" t="str">
        <f>ESTADISTICA!AH47</f>
        <v>APAGADO</v>
      </c>
      <c r="AI48" s="44" t="str">
        <f>ESTADISTICA!AI47</f>
        <v>APAGADO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4" t="str">
        <f>ESTADISTICA!AH49</f>
        <v>APAGADO</v>
      </c>
      <c r="AI50" s="44" t="str">
        <f>ESTADISTICA!AI49</f>
        <v>APAGADO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4" t="str">
        <f>ESTADISTICA!AH52</f>
        <v>APAGADO</v>
      </c>
      <c r="AI53" s="44" t="str">
        <f>ESTADISTICA!AI52</f>
        <v>APAGADO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4" t="str">
        <f>ESTADISTICA!AH54</f>
        <v>APAGADO</v>
      </c>
      <c r="AI55" s="44" t="str">
        <f>ESTADISTICA!AI54</f>
        <v>APAGADO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 t="str">
        <f>ESTADISTICA!AG55</f>
        <v>APAGADO</v>
      </c>
      <c r="AH56" s="44" t="str">
        <f>ESTADISTICA!AH55</f>
        <v>APAGADO</v>
      </c>
      <c r="AI56" s="44" t="str">
        <f>ESTADISTICA!AI55</f>
        <v>APAGADO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s="44" t="str">
        <f>ESTADISTICA!AH67</f>
        <v>APAGADO</v>
      </c>
      <c r="AI68" s="44" t="str">
        <f>ESTADISTICA!AI67</f>
        <v>APAGADO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4">
        <f>ESTADISTICA!AH92</f>
        <v>0</v>
      </c>
      <c r="AI93" s="44" t="str">
        <f>ESTADISTICA!AI92</f>
        <v>APAGADO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4">
        <f>ESTADISTICA!AH96</f>
        <v>0</v>
      </c>
      <c r="AI97" s="44" t="str">
        <f>ESTADISTICA!AI96</f>
        <v>APAGADO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4">
        <f>ESTADISTICA!AH99</f>
        <v>0</v>
      </c>
      <c r="AI100" s="44" t="str">
        <f>ESTADISTICA!AI99</f>
        <v>APAGADO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4">
        <f>ESTADISTICA!AH100</f>
        <v>0</v>
      </c>
      <c r="AI101" s="44" t="str">
        <f>ESTADISTICA!AI100</f>
        <v>APAGADO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 t="str">
        <f>ESTADISTICA!AI121</f>
        <v>APAGADO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 s="44">
        <f>ESTADISTICA!AH124</f>
        <v>0</v>
      </c>
      <c r="AI125" s="44" t="str">
        <f>ESTADISTICA!AI124</f>
        <v>APAGADO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44">
        <f>ESTADISTICA!AH134</f>
        <v>0</v>
      </c>
      <c r="AI135" s="44" t="str">
        <f>ESTADISTICA!AI134</f>
        <v>APAGADO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 t="str">
        <f>ESTADISTICA!AF135</f>
        <v>APAGADO</v>
      </c>
      <c r="AG136" t="str">
        <f>ESTADISTICA!AG135</f>
        <v>APAGADO</v>
      </c>
      <c r="AH136" s="44">
        <f>ESTADISTICA!AH135</f>
        <v>0</v>
      </c>
      <c r="AI136" s="44" t="str">
        <f>ESTADISTICA!AI135</f>
        <v>APAGADO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 t="str">
        <f>ESTADISTICA!X144</f>
        <v>APAGADO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 t="str">
        <f>ESTADISTICA!U147</f>
        <v>APAGADO</v>
      </c>
      <c r="V148">
        <f>ESTADISTICA!V147</f>
        <v>0</v>
      </c>
      <c r="W148" t="str">
        <f>ESTADISTICA!W147</f>
        <v>APAGADO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 t="str">
        <f>ESTADISTICA!AD147</f>
        <v>APAGADO</v>
      </c>
      <c r="AE148" t="str">
        <f>ESTADISTICA!AE147</f>
        <v>APAGADO</v>
      </c>
      <c r="AF148" t="str">
        <f>ESTADISTICA!AF147</f>
        <v>APAGADO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 t="str">
        <f>ESTADISTICA!AB152</f>
        <v>APAGADO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44">
        <f>ESTADISTICA!AH163</f>
        <v>0</v>
      </c>
      <c r="AI164" s="44" t="str">
        <f>ESTADISTICA!AI163</f>
        <v>APAGADO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44">
        <f>ESTADISTICA!AH164</f>
        <v>0</v>
      </c>
      <c r="AI165" s="44" t="str">
        <f>ESTADISTICA!AI164</f>
        <v>APAGADO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 t="str">
        <f>ESTADISTICA!L173</f>
        <v>APAGADO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4" t="str">
        <f>ESTADISTICA!AH173</f>
        <v>APAGADO</v>
      </c>
      <c r="AI174" s="44" t="str">
        <f>ESTADISTICA!AI173</f>
        <v>APAGADO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>
        <f>ESTADISTICA!V175</f>
        <v>0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4" t="str">
        <f>ESTADISTICA!AH175</f>
        <v>APAGADO</v>
      </c>
      <c r="AI176" s="44" t="str">
        <f>ESTADISTICA!AI175</f>
        <v>APAGADO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 t="str">
        <f>ESTADISTICA!L180</f>
        <v>APAGADO</v>
      </c>
      <c r="M181">
        <f>ESTADISTICA!M180</f>
        <v>0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4" t="str">
        <f>ESTADISTICA!AH180</f>
        <v>APAGADO</v>
      </c>
      <c r="AI181" s="44" t="str">
        <f>ESTADISTICA!AI180</f>
        <v>APAGADO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 t="str">
        <f>ESTADISTICA!AI182</f>
        <v>APAGADO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 t="str">
        <f>ESTADISTICA!L183</f>
        <v>APAGADO</v>
      </c>
      <c r="M184">
        <f>ESTADISTICA!M183</f>
        <v>0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4" t="str">
        <f>ESTADISTICA!AH183</f>
        <v>APAGADO</v>
      </c>
      <c r="AI184" s="44" t="str">
        <f>ESTADISTICA!AI183</f>
        <v>APAGADO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 t="str">
        <f>ESTADISTICA!X184</f>
        <v>APAGADO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4" t="str">
        <f>ESTADISTICA!AH196</f>
        <v>APAGADO</v>
      </c>
      <c r="AI197" s="44" t="str">
        <f>ESTADISTICA!AI196</f>
        <v>APAGADO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 t="str">
        <f>ESTADISTICA!AG199</f>
        <v>APAGADO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 t="str">
        <f>ESTADISTICA!AG209</f>
        <v>APAGADO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4" t="str">
        <f>ESTADISTICA!AH227</f>
        <v>APAGADO</v>
      </c>
      <c r="AI228" s="44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 t="str">
        <f>ESTADISTICA!Y232</f>
        <v>APAGADO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4" t="str">
        <f>ESTADISTICA!AH234</f>
        <v>APAGADO</v>
      </c>
      <c r="AI235" s="44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 t="str">
        <f>ESTADISTICA!R237</f>
        <v>APAGADO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 t="str">
        <f>ESTADISTICA!AB237</f>
        <v>APAGADO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 t="str">
        <f>ESTADISTICA!H270</f>
        <v>APAGADO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 t="str">
        <f>ESTADISTICA!H271</f>
        <v>APAGADO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 t="str">
        <f>ESTADISTICA!H275</f>
        <v>APAGADO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 t="str">
        <f>ESTADISTICA!AH282</f>
        <v>APAGADO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 t="str">
        <f>ESTADISTICA!R291</f>
        <v>APAGADO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 t="str">
        <f>ESTADISTICA!N294</f>
        <v>APAGADO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 t="str">
        <f>ESTADISTICA!F298</f>
        <v>APAGADO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 t="str">
        <f>ESTADISTICA!AH299</f>
        <v>APAGADO</v>
      </c>
      <c r="AI300" s="44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 t="str">
        <f>ESTADISTICA!O315</f>
        <v>APAGADO</v>
      </c>
      <c r="P316" t="str">
        <f>ESTADISTICA!P315</f>
        <v>APAGADO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 t="str">
        <f>ESTADISTICA!I318</f>
        <v>APAGADO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 t="str">
        <f>ESTADISTICA!AI322</f>
        <v>APAGADO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4" t="str">
        <f>ESTADISTICA!AH342</f>
        <v>APAGADO</v>
      </c>
      <c r="AI343" s="44" t="str">
        <f>ESTADISTICA!AI342</f>
        <v>APAGADO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 t="str">
        <f>ESTADISTICA!W343</f>
        <v>APAGADO</v>
      </c>
      <c r="X344" t="str">
        <f>ESTADISTICA!X343</f>
        <v>APAGADO</v>
      </c>
      <c r="Y344" t="str">
        <f>ESTADISTICA!Y343</f>
        <v>APAGADO</v>
      </c>
      <c r="Z344" t="str">
        <f>ESTADISTICA!Z343</f>
        <v>APAGADO</v>
      </c>
      <c r="AA344" t="str">
        <f>ESTADISTICA!AA343</f>
        <v>APAGADO</v>
      </c>
      <c r="AB344" t="str">
        <f>ESTADISTICA!AB343</f>
        <v>APAGADO</v>
      </c>
      <c r="AC344" t="str">
        <f>ESTADISTICA!AC343</f>
        <v>APAGADO</v>
      </c>
      <c r="AD344" t="str">
        <f>ESTADISTICA!AD343</f>
        <v>APAGADO</v>
      </c>
      <c r="AE344" t="str">
        <f>ESTADISTICA!AE343</f>
        <v>APAGADO</v>
      </c>
      <c r="AF344" t="str">
        <f>ESTADISTICA!AF343</f>
        <v>APAGADO</v>
      </c>
      <c r="AG344" t="str">
        <f>ESTADISTICA!AG343</f>
        <v>APAGADO</v>
      </c>
      <c r="AH344" s="44" t="str">
        <f>ESTADISTICA!AH343</f>
        <v>APAGADO</v>
      </c>
      <c r="AI344" s="44" t="str">
        <f>ESTADISTICA!AI343</f>
        <v>APAGADO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 t="str">
        <f>ESTADISTICA!Y344</f>
        <v>APAGADO</v>
      </c>
      <c r="Z345" t="str">
        <f>ESTADISTICA!Z344</f>
        <v>APAGADO</v>
      </c>
      <c r="AA345" t="str">
        <f>ESTADISTICA!AA344</f>
        <v>APAGADO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 t="str">
        <f>ESTADISTICA!L345</f>
        <v>APAGADO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 t="str">
        <f>ESTADISTICA!T345</f>
        <v>APAGADO</v>
      </c>
      <c r="U346" t="str">
        <f>ESTADISTICA!U345</f>
        <v>APAGADO</v>
      </c>
      <c r="V346">
        <f>ESTADISTICA!V345</f>
        <v>0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 t="str">
        <f>ESTADISTICA!AA345</f>
        <v>APAGADO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 t="str">
        <f>ESTADISTICA!AA346</f>
        <v>APAGADO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>
        <f>ESTADISTICA!K347</f>
        <v>0</v>
      </c>
      <c r="L348" t="str">
        <f>ESTADISTICA!L347</f>
        <v>APAGADO</v>
      </c>
      <c r="M348">
        <f>ESTADISTICA!M347</f>
        <v>0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 t="str">
        <f>ESTADISTICA!T347</f>
        <v>APAGADO</v>
      </c>
      <c r="U348" t="str">
        <f>ESTADISTICA!U347</f>
        <v>APAGADO</v>
      </c>
      <c r="V348">
        <f>ESTADISTICA!V347</f>
        <v>0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4" t="str">
        <f>ESTADISTICA!AH347</f>
        <v>APAGADO</v>
      </c>
      <c r="AI348" s="44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 s="44">
        <f>ESTADISTICA!AH357</f>
        <v>0</v>
      </c>
      <c r="AI358" s="44" t="str">
        <f>ESTADISTICA!AI357</f>
        <v>APAGADO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 t="str">
        <f>ESTADISTICA!L366</f>
        <v>APAGADO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 t="str">
        <f>ESTADISTICA!AG371</f>
        <v>APAGADO</v>
      </c>
      <c r="AH372" s="44" t="str">
        <f>ESTADISTICA!AH371</f>
        <v>APAGADO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4">
        <f>ESTADISTICA!AH376</f>
        <v>0</v>
      </c>
      <c r="AI377" s="44" t="str">
        <f>ESTADISTICA!AI376</f>
        <v>APAGADO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 t="str">
        <f>ESTADISTICA!T377</f>
        <v>APAGADO</v>
      </c>
      <c r="U378" t="str">
        <f>ESTADISTICA!U377</f>
        <v>APAGADO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 t="str">
        <f>ESTADISTICA!AA377</f>
        <v>APAGADO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 t="str">
        <f>ESTADISTICA!AF377</f>
        <v>APAGADO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 t="str">
        <f>ESTADISTICA!AA384</f>
        <v>APAGADO</v>
      </c>
      <c r="AB385" s="44" t="str">
        <f>ESTADISTICA!AB384</f>
        <v>APAGADO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 t="str">
        <f>ESTADISTICA!AH385</f>
        <v>APAGADO</v>
      </c>
      <c r="AI386" s="44">
        <f>ESTADISTICA!AI385</f>
        <v>0</v>
      </c>
    </row>
    <row r="387" spans="1:35" x14ac:dyDescent="0.25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 t="str">
        <f>ESTADISTICA!H387</f>
        <v>APAGADO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 t="str">
        <f>ESTADISTICA!N387</f>
        <v>APAGADO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 t="str">
        <f>ESTADISTICA!U387</f>
        <v>APAGADO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 t="str">
        <f>ESTADISTICA!AA387</f>
        <v>APAGADO</v>
      </c>
      <c r="AB388" s="44" t="str">
        <f>ESTADISTICA!AB387</f>
        <v>APAGADO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 t="str">
        <f>ESTADISTICA!AG387</f>
        <v>APAGADO</v>
      </c>
      <c r="AH388" s="44" t="str">
        <f>ESTADISTICA!AH387</f>
        <v>APAGADO</v>
      </c>
      <c r="AI388" s="44">
        <f>ESTADISTICA!AI387</f>
        <v>0</v>
      </c>
    </row>
    <row r="389" spans="1:35" x14ac:dyDescent="0.25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 t="str">
        <f>ESTADISTICA!H388</f>
        <v>APAGADO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 t="str">
        <f>ESTADISTICA!N388</f>
        <v>APAGADO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 t="str">
        <f>ESTADISTICA!U388</f>
        <v>APAGADO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 t="str">
        <f>ESTADISTICA!AA388</f>
        <v>APAGADO</v>
      </c>
      <c r="AB389" s="44" t="str">
        <f>ESTADISTICA!AB388</f>
        <v>APAGADO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 t="str">
        <f>ESTADISTICA!AG388</f>
        <v>APAGADO</v>
      </c>
      <c r="AH389" s="44" t="str">
        <f>ESTADISTICA!AH388</f>
        <v>APAGADO</v>
      </c>
      <c r="AI389" s="44">
        <f>ESTADISTICA!AI388</f>
        <v>0</v>
      </c>
    </row>
    <row r="390" spans="1:35" x14ac:dyDescent="0.25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 t="str">
        <f>ESTADISTICA!H389</f>
        <v>APAGADO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 t="str">
        <f>ESTADISTICA!O389</f>
        <v>APAGADO</v>
      </c>
      <c r="P390" s="44" t="str">
        <f>ESTADISTICA!P389</f>
        <v>APAGADO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 t="str">
        <f>ESTADISTICA!H390</f>
        <v>APAGADO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 t="str">
        <f>ESTADISTICA!O390</f>
        <v>APAGADO</v>
      </c>
      <c r="P391" s="44" t="str">
        <f>ESTADISTICA!P390</f>
        <v>APAGADO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 t="str">
        <f>ESTADISTICA!H391</f>
        <v>APAGADO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 t="str">
        <f>ESTADISTICA!H392</f>
        <v>APAGADO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 t="str">
        <f>ESTADISTICA!R396</f>
        <v>APAGADO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 t="str">
        <f>ESTADISTICA!R397</f>
        <v>APAGADO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 t="str">
        <f>ESTADISTICA!F399</f>
        <v>APAGADO</v>
      </c>
      <c r="G400" s="44" t="str">
        <f>ESTADISTICA!G399</f>
        <v>APAGADO</v>
      </c>
      <c r="H400" s="44" t="str">
        <f>ESTADISTICA!H399</f>
        <v>APAGADO</v>
      </c>
      <c r="I400" s="44" t="str">
        <f>ESTADISTICA!I399</f>
        <v>APAGADO</v>
      </c>
      <c r="J400" s="44" t="str">
        <f>ESTADISTICA!J399</f>
        <v>APAGADO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 t="str">
        <f>ESTADISTICA!N399</f>
        <v>APAGADO</v>
      </c>
      <c r="O400" s="44" t="str">
        <f>ESTADISTICA!O399</f>
        <v>APAGADO</v>
      </c>
      <c r="P400" s="44" t="str">
        <f>ESTADISTICA!P399</f>
        <v>APAGADO</v>
      </c>
      <c r="Q400" s="44" t="str">
        <f>ESTADISTICA!Q399</f>
        <v>APAGADO</v>
      </c>
      <c r="R400" s="44" t="str">
        <f>ESTADISTICA!R399</f>
        <v>APAGADO</v>
      </c>
      <c r="S400" s="44" t="str">
        <f>ESTADISTICA!S399</f>
        <v>APAGADO</v>
      </c>
      <c r="T400" s="44" t="str">
        <f>ESTADISTICA!T399</f>
        <v>APAGADO</v>
      </c>
      <c r="U400" s="44" t="str">
        <f>ESTADISTICA!U399</f>
        <v>APAGADO</v>
      </c>
      <c r="V400" s="44">
        <f>ESTADISTICA!V399</f>
        <v>0</v>
      </c>
      <c r="W400" s="44" t="str">
        <f>ESTADISTICA!W399</f>
        <v>APAGADO</v>
      </c>
      <c r="X400" s="44" t="str">
        <f>ESTADISTICA!X399</f>
        <v>APAGADO</v>
      </c>
      <c r="Y400" s="44" t="str">
        <f>ESTADISTICA!Y399</f>
        <v>APAGADO</v>
      </c>
      <c r="Z400" s="44" t="str">
        <f>ESTADISTICA!Z399</f>
        <v>APAGADO</v>
      </c>
      <c r="AA400" s="44">
        <f>ESTADISTICA!AA399</f>
        <v>0</v>
      </c>
      <c r="AB400" s="44" t="str">
        <f>ESTADISTICA!AB399</f>
        <v>APAGADO</v>
      </c>
      <c r="AC400" s="44" t="str">
        <f>ESTADISTICA!AC399</f>
        <v>APAGADO</v>
      </c>
      <c r="AD400" s="44" t="str">
        <f>ESTADISTICA!AD399</f>
        <v>APAGADO</v>
      </c>
      <c r="AE400" s="44" t="str">
        <f>ESTADISTICA!AE399</f>
        <v>APAGADO</v>
      </c>
      <c r="AF400" s="44" t="str">
        <f>ESTADISTICA!AF399</f>
        <v>APAGADO</v>
      </c>
      <c r="AG400" s="44" t="str">
        <f>ESTADISTICA!AG399</f>
        <v>APAGADO</v>
      </c>
      <c r="AH400" s="44" t="str">
        <f>ESTADISTICA!AH399</f>
        <v>APAGADO</v>
      </c>
      <c r="AI400" s="44" t="str">
        <f>ESTADISTICA!AI399</f>
        <v>APAGADO</v>
      </c>
    </row>
    <row r="401" spans="1:35" x14ac:dyDescent="0.25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 t="str">
        <f>ESTADISTICA!R400</f>
        <v>APAGADO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F3" sqref="AF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268</v>
      </c>
    </row>
    <row r="2" spans="1:35" ht="21" x14ac:dyDescent="0.35">
      <c r="E2" s="20" t="s">
        <v>619</v>
      </c>
      <c r="F2" s="20">
        <f>COUNTIFS(F4:F400, "=APAGADO",E4:E400,"=Fibra Optica")</f>
        <v>32</v>
      </c>
      <c r="G2" s="20">
        <f>COUNTIFS(G4:G400, "=APAGADO",E4:E400,"=Fibra Optica")</f>
        <v>34</v>
      </c>
      <c r="H2" s="20">
        <f>COUNTIFS(H4:H400, "=APAGADO",E4:E400,"=Fibra Optica")</f>
        <v>99</v>
      </c>
      <c r="I2" s="20">
        <f>COUNTIFS(I4:I400, "=APAGADO",E4:E400,"=Fibra Optica")</f>
        <v>34</v>
      </c>
      <c r="J2" s="20">
        <f>COUNTIFS(J4:J400, "=APAGADO",E4:E400,"=Fibra Optica")</f>
        <v>31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30</v>
      </c>
      <c r="R2" s="20">
        <f>COUNTIFS(R4:R400, "=APAGADO",E4:E400,"=Fibra Optica")</f>
        <v>39</v>
      </c>
      <c r="S2" s="20">
        <f>COUNTIFS(S4:S400, "=APAGADO",E4:E400,"=Fibra Optica")</f>
        <v>26</v>
      </c>
      <c r="T2" s="20">
        <f>COUNTIFS(T4:T400, "=APAGADO",E4:E400,"=Fibra Optica")</f>
        <v>25</v>
      </c>
      <c r="U2" s="20">
        <f>COUNTIFS(U4:U400, "=APAGADO",E4:E400,"=Fibra Optica")</f>
        <v>47</v>
      </c>
      <c r="V2" s="20">
        <f>COUNTIFS(V4:V400, "=APAGADO",E4:E400,"=Fibra Optica")</f>
        <v>0</v>
      </c>
      <c r="W2" s="20">
        <f>COUNTIFS(W4:W400, "=APAGADO",E4:E400,"=Fibra Optica")</f>
        <v>40</v>
      </c>
      <c r="X2" s="20">
        <f>COUNTIFS(X4:X400, "=APAGADO",E4:E400,"=Fibra Optica")</f>
        <v>78</v>
      </c>
      <c r="Y2" s="20">
        <f>COUNTIFS(Y4:Y400, "=APAGADO",E4:E400,"=Fibra Optica")</f>
        <v>38</v>
      </c>
      <c r="Z2" s="20">
        <f>COUNTIFS(Z4:Z400, "=APAGADO",E4:E400,"=Fibra Optica")</f>
        <v>33</v>
      </c>
      <c r="AA2" s="20">
        <f>COUNTIFS(AA4:AA400, "=APAGADO",E4:E400,"=Fibra Optica")</f>
        <v>32</v>
      </c>
      <c r="AB2" s="20">
        <f>COUNTIFS(AB4:AB400, "=APAGADO",E4:E400,"=Fibra Optica")</f>
        <v>40</v>
      </c>
      <c r="AC2" s="20">
        <f>COUNTIFS(AC4:AC400, "=APAGADO",E4:E400,"=Fibra Optica")</f>
        <v>31</v>
      </c>
      <c r="AD2" s="20">
        <f>COUNTIFS(AD4:AD400, "=APAGADO",E4:E400,"=Fibra Optica")</f>
        <v>30</v>
      </c>
      <c r="AE2" s="20">
        <f>COUNTIFS(AE4:AE500, "=APAGADO",E4:E500,"=Fibra Optica")</f>
        <v>34</v>
      </c>
      <c r="AF2" s="20">
        <f>COUNTIFS(AF4:AF500, "=APAGADO",E4:E500,"=Fibra Optica")</f>
        <v>39</v>
      </c>
      <c r="AG2" s="20">
        <f>COUNTIFS(AG4:AG500, "=APAGADO",E4:E500,"=Fibra Optica")</f>
        <v>42</v>
      </c>
      <c r="AH2" s="20">
        <f>COUNTIFS(AH4:AH400, "=APAGADO",E4:E400,"=Fibra Optica")</f>
        <v>25</v>
      </c>
      <c r="AI2" s="20">
        <f>COUNTIFS(AI4:AI400, "=APAGADO",E4:E400,"=Fibra Optica")</f>
        <v>27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 t="str">
        <f>ESTADISTICA!H3</f>
        <v>APAGADO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 t="str">
        <f>ESTADISTICA!F5</f>
        <v>APAGADO</v>
      </c>
      <c r="G7" s="44" t="str">
        <f>ESTADISTICA!G5</f>
        <v>APAGADO</v>
      </c>
      <c r="H7" s="44" t="str">
        <f>ESTADISTICA!H5</f>
        <v>APAGADO</v>
      </c>
      <c r="I7" s="44" t="str">
        <f>ESTADISTICA!I5</f>
        <v>APAGADO</v>
      </c>
      <c r="J7" s="44" t="str">
        <f>ESTADISTICA!J5</f>
        <v>APAGADO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25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 t="str">
        <f>ESTADISTICA!F6</f>
        <v>APAGADO</v>
      </c>
      <c r="G8" s="44" t="str">
        <f>ESTADISTICA!G6</f>
        <v>APAGADO</v>
      </c>
      <c r="H8" s="44" t="str">
        <f>ESTADISTICA!H6</f>
        <v>APAGADO</v>
      </c>
      <c r="I8" s="44" t="str">
        <f>ESTADISTICA!I6</f>
        <v>APAGADO</v>
      </c>
      <c r="J8" s="44" t="str">
        <f>ESTADISTICA!J6</f>
        <v>APAGADO</v>
      </c>
      <c r="K8" s="44">
        <f>ESTADISTICA!K6</f>
        <v>0</v>
      </c>
      <c r="L8" s="44" t="str">
        <f>ESTADISTICA!L6</f>
        <v>APAGADO</v>
      </c>
      <c r="M8" s="44">
        <f>ESTADISTICA!M6</f>
        <v>0</v>
      </c>
      <c r="N8" s="44" t="str">
        <f>ESTADISTICA!N6</f>
        <v>APAGADO</v>
      </c>
      <c r="O8" s="44" t="str">
        <f>ESTADISTICA!O6</f>
        <v>APAGADO</v>
      </c>
      <c r="P8" s="44" t="str">
        <f>ESTADISTICA!P6</f>
        <v>APAGADO</v>
      </c>
      <c r="Q8" s="44" t="str">
        <f>ESTADISTICA!Q6</f>
        <v>APAGADO</v>
      </c>
      <c r="R8" s="44" t="str">
        <f>ESTADISTICA!R6</f>
        <v>APAGADO</v>
      </c>
      <c r="S8" s="44" t="str">
        <f>ESTADISTICA!S6</f>
        <v>APAGADO</v>
      </c>
      <c r="T8" s="44" t="str">
        <f>ESTADISTICA!T6</f>
        <v>APAGADO</v>
      </c>
      <c r="U8" s="44" t="str">
        <f>ESTADISTICA!U6</f>
        <v>APAGADO</v>
      </c>
      <c r="V8" s="44">
        <f>ESTADISTICA!V6</f>
        <v>0</v>
      </c>
      <c r="W8" s="44" t="str">
        <f>ESTADISTICA!W6</f>
        <v>APAGADO</v>
      </c>
      <c r="X8" s="44" t="str">
        <f>ESTADISTICA!X6</f>
        <v>APAGADO</v>
      </c>
      <c r="Y8" s="44" t="str">
        <f>ESTADISTICA!Y6</f>
        <v>APAGADO</v>
      </c>
      <c r="Z8" s="44" t="str">
        <f>ESTADISTICA!Z6</f>
        <v>APAGADO</v>
      </c>
      <c r="AA8" s="44" t="str">
        <f>ESTADISTICA!AA6</f>
        <v>APAGADO</v>
      </c>
      <c r="AB8" s="44" t="str">
        <f>ESTADISTICA!AB6</f>
        <v>APAGADO</v>
      </c>
      <c r="AC8" s="44" t="str">
        <f>ESTADISTICA!AC6</f>
        <v>APAGADO</v>
      </c>
      <c r="AD8" s="44" t="str">
        <f>ESTADISTICA!AD6</f>
        <v>APAGADO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25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 t="str">
        <f>ESTADISTICA!H7</f>
        <v>APAGADO</v>
      </c>
      <c r="I9" s="44" t="str">
        <f>ESTADISTICA!I7</f>
        <v>APAGADO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25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25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 t="str">
        <f>ESTADISTICA!F11</f>
        <v>APAGADO</v>
      </c>
      <c r="G13" s="44" t="str">
        <f>ESTADISTICA!G11</f>
        <v>APAGADO</v>
      </c>
      <c r="H13" s="44" t="str">
        <f>ESTADISTICA!H11</f>
        <v>APAGADO</v>
      </c>
      <c r="I13" s="44" t="str">
        <f>ESTADISTICA!I11</f>
        <v>APAGADO</v>
      </c>
      <c r="J13" s="44" t="str">
        <f>ESTADISTICA!J11</f>
        <v>APAGADO</v>
      </c>
      <c r="K13" s="44">
        <f>ESTADISTICA!K11</f>
        <v>0</v>
      </c>
      <c r="L13" s="44" t="str">
        <f>ESTADISTICA!L11</f>
        <v>APAGADO</v>
      </c>
      <c r="M13" s="44">
        <f>ESTADISTICA!M11</f>
        <v>0</v>
      </c>
      <c r="N13" s="44" t="str">
        <f>ESTADISTICA!N11</f>
        <v>APAGADO</v>
      </c>
      <c r="O13" s="44" t="str">
        <f>ESTADISTICA!O11</f>
        <v>APAGADO</v>
      </c>
      <c r="P13" s="44" t="str">
        <f>ESTADISTICA!P11</f>
        <v>APAGADO</v>
      </c>
      <c r="Q13" s="44" t="str">
        <f>ESTADISTICA!Q11</f>
        <v>APAGADO</v>
      </c>
      <c r="R13" s="44" t="str">
        <f>ESTADISTICA!R11</f>
        <v>APAGADO</v>
      </c>
      <c r="S13" s="44" t="str">
        <f>ESTADISTICA!S11</f>
        <v>APAGADO</v>
      </c>
      <c r="T13" s="44" t="str">
        <f>ESTADISTICA!T11</f>
        <v>APAGADO</v>
      </c>
      <c r="U13" s="44" t="str">
        <f>ESTADISTICA!U11</f>
        <v>APAGADO</v>
      </c>
      <c r="V13" s="44">
        <f>ESTADISTICA!V11</f>
        <v>0</v>
      </c>
      <c r="W13" s="44" t="str">
        <f>ESTADISTICA!W11</f>
        <v>APAGADO</v>
      </c>
      <c r="X13" s="44" t="str">
        <f>ESTADISTICA!X11</f>
        <v>APAGADO</v>
      </c>
      <c r="Y13" s="44" t="str">
        <f>ESTADISTICA!Y11</f>
        <v>APAGADO</v>
      </c>
      <c r="Z13" s="44" t="str">
        <f>ESTADISTICA!Z11</f>
        <v>APAGADO</v>
      </c>
      <c r="AA13" s="44" t="str">
        <f>ESTADISTICA!AA11</f>
        <v>APAGADO</v>
      </c>
      <c r="AB13" s="44" t="str">
        <f>ESTADISTICA!AB11</f>
        <v>APAGADO</v>
      </c>
      <c r="AC13" s="44" t="str">
        <f>ESTADISTICA!AC11</f>
        <v>APAGADO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 t="str">
        <f>ESTADISTICA!H12</f>
        <v>APAGADO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 t="str">
        <f>ESTADISTICA!X12</f>
        <v>APAGADO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 t="str">
        <f>ESTADISTICA!H13</f>
        <v>APAGADO</v>
      </c>
      <c r="I15" s="44" t="str">
        <f>ESTADISTICA!I13</f>
        <v>APAGADO</v>
      </c>
      <c r="J15" s="44" t="str">
        <f>ESTADISTICA!J13</f>
        <v>APAGADO</v>
      </c>
      <c r="K15" s="44">
        <f>ESTADISTICA!K13</f>
        <v>0</v>
      </c>
      <c r="L15" s="44" t="str">
        <f>ESTADISTICA!L13</f>
        <v>APAGADO</v>
      </c>
      <c r="M15" s="44">
        <f>ESTADISTICA!M13</f>
        <v>0</v>
      </c>
      <c r="N15" s="44">
        <f>ESTADISTICA!N13</f>
        <v>0</v>
      </c>
      <c r="O15" s="44" t="str">
        <f>ESTADISTICA!O13</f>
        <v>APAGADO</v>
      </c>
      <c r="P15" s="44" t="str">
        <f>ESTADISTICA!P13</f>
        <v>APAGADO</v>
      </c>
      <c r="Q15" s="44" t="str">
        <f>ESTADISTICA!Q13</f>
        <v>APAGADO</v>
      </c>
      <c r="R15" s="44" t="str">
        <f>ESTADISTICA!R13</f>
        <v>APAGADO</v>
      </c>
      <c r="S15" s="44" t="str">
        <f>ESTADISTICA!S13</f>
        <v>APAGADO</v>
      </c>
      <c r="T15" s="44" t="str">
        <f>ESTADISTICA!T13</f>
        <v>APAGADO</v>
      </c>
      <c r="U15" s="44" t="str">
        <f>ESTADISTICA!U13</f>
        <v>APAGADO</v>
      </c>
      <c r="V15" s="44">
        <f>ESTADISTICA!V13</f>
        <v>0</v>
      </c>
      <c r="W15" s="44" t="str">
        <f>ESTADISTICA!W13</f>
        <v>APAGADO</v>
      </c>
      <c r="X15" s="44" t="str">
        <f>ESTADISTICA!X13</f>
        <v>APAGADO</v>
      </c>
      <c r="Y15" s="44" t="str">
        <f>ESTADISTICA!Y13</f>
        <v>APAGADO</v>
      </c>
      <c r="Z15" s="44" t="str">
        <f>ESTADISTICA!Z13</f>
        <v>APAGADO</v>
      </c>
      <c r="AA15" s="44" t="str">
        <f>ESTADISTICA!AA13</f>
        <v>APAGADO</v>
      </c>
      <c r="AB15" s="44" t="str">
        <f>ESTADISTICA!AB13</f>
        <v>APAGADO</v>
      </c>
      <c r="AC15" s="44" t="str">
        <f>ESTADISTICA!AC13</f>
        <v>APAGADO</v>
      </c>
      <c r="AD15" s="44" t="str">
        <f>ESTADISTICA!AD13</f>
        <v>APAGADO</v>
      </c>
      <c r="AE15" s="44" t="str">
        <f>ESTADISTICA!AE13</f>
        <v>APAGADO</v>
      </c>
      <c r="AF15" s="44" t="str">
        <f>ESTADISTICA!AF13</f>
        <v>APAGADO</v>
      </c>
      <c r="AG15" s="44" t="str">
        <f>ESTADISTICA!AG13</f>
        <v>APAGADO</v>
      </c>
      <c r="AH15" s="44" t="str">
        <f>ESTADISTICA!AH13</f>
        <v>APAGADO</v>
      </c>
      <c r="AI15" s="44" t="str">
        <f>ESTADISTICA!AI13</f>
        <v>APAGADO</v>
      </c>
    </row>
    <row r="16" spans="1:35" hidden="1" x14ac:dyDescent="0.25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25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25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25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25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25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 t="str">
        <f>ESTADISTICA!H21</f>
        <v>APAGADO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 t="str">
        <f>ESTADISTICA!H22</f>
        <v>APAGADO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 t="str">
        <f>ESTADISTICA!H23</f>
        <v>APAGADO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 t="str">
        <f>ESTADISTICA!H25</f>
        <v>APAGADO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 t="str">
        <f>ESTADISTICA!H26</f>
        <v>APAGADO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 t="str">
        <f>ESTADISTICA!H27</f>
        <v>APAGADO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 t="str">
        <f>ESTADISTICA!H30</f>
        <v>APAGADO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 t="str">
        <f>ESTADISTICA!I32</f>
        <v>APAGADO</v>
      </c>
      <c r="J34" s="44" t="str">
        <f>ESTADISTICA!J32</f>
        <v>APAGADO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 t="str">
        <f>ESTADISTICA!R32</f>
        <v>APAGADO</v>
      </c>
      <c r="S34" s="44" t="str">
        <f>ESTADISTICA!S32</f>
        <v>APAGADO</v>
      </c>
      <c r="T34" s="44" t="str">
        <f>ESTADISTICA!T32</f>
        <v>APAGADO</v>
      </c>
      <c r="U34" s="44" t="str">
        <f>ESTADISTICA!U32</f>
        <v>APAGADO</v>
      </c>
      <c r="V34" s="44">
        <f>ESTADISTICA!V32</f>
        <v>0</v>
      </c>
      <c r="W34" s="44" t="str">
        <f>ESTADISTICA!W32</f>
        <v>APAGADO</v>
      </c>
      <c r="X34" s="44" t="str">
        <f>ESTADISTICA!X32</f>
        <v>APAGADO</v>
      </c>
      <c r="Y34" s="44" t="str">
        <f>ESTADISTICA!Y32</f>
        <v>APAGADO</v>
      </c>
      <c r="Z34" s="44" t="str">
        <f>ESTADISTICA!Z32</f>
        <v>APAGADO</v>
      </c>
      <c r="AA34" s="44" t="str">
        <f>ESTADISTICA!AA32</f>
        <v>APAGADO</v>
      </c>
      <c r="AB34" s="44" t="str">
        <f>ESTADISTICA!AB32</f>
        <v>APAGADO</v>
      </c>
      <c r="AC34" s="44" t="str">
        <f>ESTADISTICA!AC32</f>
        <v>APAGADO</v>
      </c>
      <c r="AD34" s="44" t="str">
        <f>ESTADISTICA!AD32</f>
        <v>APAGADO</v>
      </c>
      <c r="AE34" s="44" t="str">
        <f>ESTADISTICA!AE32</f>
        <v>APAGADO</v>
      </c>
      <c r="AF34" s="44" t="str">
        <f>ESTADISTICA!AF32</f>
        <v>APAGADO</v>
      </c>
      <c r="AG34" s="44" t="str">
        <f>ESTADISTICA!AG32</f>
        <v>APAGADO</v>
      </c>
      <c r="AH34" s="44" t="str">
        <f>ESTADISTICA!AH32</f>
        <v>APAGADO</v>
      </c>
      <c r="AI34" s="44" t="str">
        <f>ESTADISTICA!AI32</f>
        <v>APAGADO</v>
      </c>
    </row>
    <row r="35" spans="1:35" x14ac:dyDescent="0.25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 t="str">
        <f>ESTADISTICA!H33</f>
        <v>APAGADO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 t="str">
        <f>ESTADISTICA!L33</f>
        <v>APAGADO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 t="str">
        <f>ESTADISTICA!AF33</f>
        <v>APAGADO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 t="str">
        <f>ESTADISTICA!G35</f>
        <v>APAGADO</v>
      </c>
      <c r="H37" s="44" t="str">
        <f>ESTADISTICA!H35</f>
        <v>APAGADO</v>
      </c>
      <c r="I37" s="44" t="str">
        <f>ESTADISTICA!I35</f>
        <v>APAGADO</v>
      </c>
      <c r="J37" s="44" t="str">
        <f>ESTADISTICA!J35</f>
        <v>APAGADO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 t="str">
        <f>ESTADISTICA!N35</f>
        <v>APAGADO</v>
      </c>
      <c r="O37" s="44" t="str">
        <f>ESTADISTICA!O35</f>
        <v>APAGADO</v>
      </c>
      <c r="P37" s="44" t="str">
        <f>ESTADISTICA!P35</f>
        <v>APAGADO</v>
      </c>
      <c r="Q37" s="44" t="str">
        <f>ESTADISTICA!Q35</f>
        <v>APAGADO</v>
      </c>
      <c r="R37" s="44" t="str">
        <f>ESTADISTICA!R35</f>
        <v>APAGADO</v>
      </c>
      <c r="S37" s="44" t="str">
        <f>ESTADISTICA!S35</f>
        <v>APAGADO</v>
      </c>
      <c r="T37" s="44" t="str">
        <f>ESTADISTICA!T35</f>
        <v>APAGADO</v>
      </c>
      <c r="U37" s="44" t="str">
        <f>ESTADISTICA!U35</f>
        <v>APAGADO</v>
      </c>
      <c r="V37" s="44">
        <f>ESTADISTICA!V35</f>
        <v>0</v>
      </c>
      <c r="W37" s="44" t="str">
        <f>ESTADISTICA!W35</f>
        <v>APAGADO</v>
      </c>
      <c r="X37" s="44" t="str">
        <f>ESTADISTICA!X35</f>
        <v>APAGADO</v>
      </c>
      <c r="Y37" s="44" t="str">
        <f>ESTADISTICA!Y35</f>
        <v>APAGADO</v>
      </c>
      <c r="Z37" s="44" t="str">
        <f>ESTADISTICA!Z35</f>
        <v>APAGADO</v>
      </c>
      <c r="AA37" s="44" t="str">
        <f>ESTADISTICA!AA35</f>
        <v>APAGADO</v>
      </c>
      <c r="AB37" s="44" t="str">
        <f>ESTADISTICA!AB35</f>
        <v>APAGADO</v>
      </c>
      <c r="AC37" s="44" t="str">
        <f>ESTADISTICA!AC35</f>
        <v>APAGADO</v>
      </c>
      <c r="AD37" s="44" t="str">
        <f>ESTADISTICA!AD35</f>
        <v>APAGADO</v>
      </c>
      <c r="AE37" s="44" t="str">
        <f>ESTADISTICA!AE35</f>
        <v>APAGADO</v>
      </c>
      <c r="AF37" s="44" t="str">
        <f>ESTADISTICA!AF35</f>
        <v>APAGADO</v>
      </c>
      <c r="AG37" s="44" t="str">
        <f>ESTADISTICA!AG35</f>
        <v>APAGADO</v>
      </c>
      <c r="AH37" s="44" t="str">
        <f>ESTADISTICA!AH35</f>
        <v>APAGADO</v>
      </c>
      <c r="AI37" s="44" t="str">
        <f>ESTADISTICA!AI35</f>
        <v>APAGADO</v>
      </c>
    </row>
    <row r="38" spans="1:35" x14ac:dyDescent="0.25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 t="str">
        <f>ESTADISTICA!H36</f>
        <v>APAGADO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25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 t="str">
        <f>ESTADISTICA!H37</f>
        <v>APAGADO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 t="str">
        <f>ESTADISTICA!H38</f>
        <v>APAGADO</v>
      </c>
      <c r="I40" s="44" t="str">
        <f>ESTADISTICA!I38</f>
        <v>APAGADO</v>
      </c>
      <c r="J40" s="44" t="str">
        <f>ESTADISTICA!J38</f>
        <v>APAGADO</v>
      </c>
      <c r="K40" s="44">
        <f>ESTADISTICA!K38</f>
        <v>0</v>
      </c>
      <c r="L40" s="44" t="str">
        <f>ESTADISTICA!L38</f>
        <v>APAGADO</v>
      </c>
      <c r="M40" s="44">
        <f>ESTADISTICA!M38</f>
        <v>0</v>
      </c>
      <c r="N40" s="44" t="str">
        <f>ESTADISTICA!N38</f>
        <v>APAGADO</v>
      </c>
      <c r="O40" s="44" t="str">
        <f>ESTADISTICA!O38</f>
        <v>APAGADO</v>
      </c>
      <c r="P40" s="44" t="str">
        <f>ESTADISTICA!P38</f>
        <v>APAGADO</v>
      </c>
      <c r="Q40" s="44" t="str">
        <f>ESTADISTICA!Q38</f>
        <v>APAGADO</v>
      </c>
      <c r="R40" s="44" t="str">
        <f>ESTADISTICA!R38</f>
        <v>APAGADO</v>
      </c>
      <c r="S40" s="44" t="str">
        <f>ESTADISTICA!S38</f>
        <v>APAGADO</v>
      </c>
      <c r="T40" s="44" t="str">
        <f>ESTADISTICA!T38</f>
        <v>APAGADO</v>
      </c>
      <c r="U40" s="44" t="str">
        <f>ESTADISTICA!U38</f>
        <v>APAGADO</v>
      </c>
      <c r="V40" s="44">
        <f>ESTADISTICA!V38</f>
        <v>0</v>
      </c>
      <c r="W40" s="44" t="str">
        <f>ESTADISTICA!W38</f>
        <v>APAGADO</v>
      </c>
      <c r="X40" s="44" t="str">
        <f>ESTADISTICA!X38</f>
        <v>APAGADO</v>
      </c>
      <c r="Y40" s="44" t="str">
        <f>ESTADISTICA!Y38</f>
        <v>APAGADO</v>
      </c>
      <c r="Z40" s="44" t="str">
        <f>ESTADISTICA!Z38</f>
        <v>APAGADO</v>
      </c>
      <c r="AA40" s="44" t="str">
        <f>ESTADISTICA!AA38</f>
        <v>APAGADO</v>
      </c>
      <c r="AB40" s="44" t="str">
        <f>ESTADISTICA!AB38</f>
        <v>APAGADO</v>
      </c>
      <c r="AC40" s="44" t="str">
        <f>ESTADISTICA!AC38</f>
        <v>APAGADO</v>
      </c>
      <c r="AD40" s="44" t="str">
        <f>ESTADISTICA!AD38</f>
        <v>APAGADO</v>
      </c>
      <c r="AE40" s="44" t="str">
        <f>ESTADISTICA!AE38</f>
        <v>APAGADO</v>
      </c>
      <c r="AF40" s="44" t="str">
        <f>ESTADISTICA!AF38</f>
        <v>APAGADO</v>
      </c>
      <c r="AG40" s="44" t="str">
        <f>ESTADISTICA!AG38</f>
        <v>APAGADO</v>
      </c>
      <c r="AH40" s="44" t="str">
        <f>ESTADISTICA!AH38</f>
        <v>APAGADO</v>
      </c>
      <c r="AI40" s="44">
        <f>ESTADISTICA!AI38</f>
        <v>0</v>
      </c>
    </row>
    <row r="41" spans="1:35" x14ac:dyDescent="0.25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 t="str">
        <f>ESTADISTICA!F40</f>
        <v>APAGADO</v>
      </c>
      <c r="G42" s="44" t="str">
        <f>ESTADISTICA!G40</f>
        <v>APAGADO</v>
      </c>
      <c r="H42" s="44" t="str">
        <f>ESTADISTICA!H40</f>
        <v>APAGADO</v>
      </c>
      <c r="I42" s="44" t="str">
        <f>ESTADISTICA!I40</f>
        <v>APAGADO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25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 t="str">
        <f>ESTADISTICA!H41</f>
        <v>APAGADO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25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 t="str">
        <f>ESTADISTICA!H43</f>
        <v>APAGADO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 t="str">
        <f>ESTADISTICA!G44</f>
        <v>APAGADO</v>
      </c>
      <c r="H46" s="44">
        <f>ESTADISTICA!H44</f>
        <v>0</v>
      </c>
      <c r="I46" s="44" t="str">
        <f>ESTADISTICA!I44</f>
        <v>APAGADO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 t="str">
        <f>ESTADISTICA!H45</f>
        <v>APAGADO</v>
      </c>
      <c r="I47" s="44" t="str">
        <f>ESTADISTICA!I45</f>
        <v>APAGADO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 t="str">
        <f>ESTADISTICA!H46</f>
        <v>APAGADO</v>
      </c>
      <c r="I48" s="44" t="str">
        <f>ESTADISTICA!I46</f>
        <v>APAGADO</v>
      </c>
      <c r="J48" s="44" t="str">
        <f>ESTADISTICA!J46</f>
        <v>APAGADO</v>
      </c>
      <c r="K48" s="44">
        <f>ESTADISTICA!K46</f>
        <v>0</v>
      </c>
      <c r="L48" s="44" t="str">
        <f>ESTADISTICA!L46</f>
        <v>APAGADO</v>
      </c>
      <c r="M48" s="44">
        <f>ESTADISTICA!M46</f>
        <v>0</v>
      </c>
      <c r="N48" s="44" t="str">
        <f>ESTADISTICA!N46</f>
        <v>APAGADO</v>
      </c>
      <c r="O48" s="44" t="str">
        <f>ESTADISTICA!O46</f>
        <v>APAGADO</v>
      </c>
      <c r="P48" s="44" t="str">
        <f>ESTADISTICA!P46</f>
        <v>APAGADO</v>
      </c>
      <c r="Q48" s="44" t="str">
        <f>ESTADISTICA!Q46</f>
        <v>APAGADO</v>
      </c>
      <c r="R48" s="44" t="str">
        <f>ESTADISTICA!R46</f>
        <v>APAGADO</v>
      </c>
      <c r="S48" s="44" t="str">
        <f>ESTADISTICA!S46</f>
        <v>APAGADO</v>
      </c>
      <c r="T48" s="44" t="str">
        <f>ESTADISTICA!T46</f>
        <v>APAGADO</v>
      </c>
      <c r="U48" s="44" t="str">
        <f>ESTADISTICA!U46</f>
        <v>APAGADO</v>
      </c>
      <c r="V48" s="44">
        <f>ESTADISTICA!V46</f>
        <v>0</v>
      </c>
      <c r="W48" s="44" t="str">
        <f>ESTADISTICA!W46</f>
        <v>APAGADO</v>
      </c>
      <c r="X48" s="44" t="str">
        <f>ESTADISTICA!X46</f>
        <v>APAGADO</v>
      </c>
      <c r="Y48" s="44" t="str">
        <f>ESTADISTICA!Y46</f>
        <v>APAGADO</v>
      </c>
      <c r="Z48" s="44" t="str">
        <f>ESTADISTICA!Z46</f>
        <v>APAGADO</v>
      </c>
      <c r="AA48" s="44" t="str">
        <f>ESTADISTICA!AA46</f>
        <v>APAGADO</v>
      </c>
      <c r="AB48" s="44" t="str">
        <f>ESTADISTICA!AB46</f>
        <v>APAGADO</v>
      </c>
      <c r="AC48" s="44" t="str">
        <f>ESTADISTICA!AC46</f>
        <v>APAGADO</v>
      </c>
      <c r="AD48" s="44" t="str">
        <f>ESTADISTICA!AD46</f>
        <v>APAGADO</v>
      </c>
      <c r="AE48" s="44" t="str">
        <f>ESTADISTICA!AE46</f>
        <v>APAGADO</v>
      </c>
      <c r="AF48" s="44" t="str">
        <f>ESTADISTICA!AF46</f>
        <v>APAGADO</v>
      </c>
      <c r="AG48" s="44" t="str">
        <f>ESTADISTICA!AG46</f>
        <v>APAGADO</v>
      </c>
      <c r="AH48" s="44" t="str">
        <f>ESTADISTICA!AH46</f>
        <v>APAGADO</v>
      </c>
      <c r="AI48" s="44" t="str">
        <f>ESTADISTICA!AI46</f>
        <v>APAGADO</v>
      </c>
    </row>
    <row r="49" spans="1:35" x14ac:dyDescent="0.25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 t="str">
        <f>ESTADISTICA!W47</f>
        <v>APAGADO</v>
      </c>
      <c r="X49" s="44" t="str">
        <f>ESTADISTICA!X47</f>
        <v>APAGADO</v>
      </c>
      <c r="Y49" s="44" t="str">
        <f>ESTADISTICA!Y47</f>
        <v>APAGADO</v>
      </c>
      <c r="Z49" s="44" t="str">
        <f>ESTADISTICA!Z47</f>
        <v>APAGADO</v>
      </c>
      <c r="AA49" s="44" t="str">
        <f>ESTADISTICA!AA47</f>
        <v>APAGADO</v>
      </c>
      <c r="AB49" s="44" t="str">
        <f>ESTADISTICA!AB47</f>
        <v>APAGADO</v>
      </c>
      <c r="AC49" s="44" t="str">
        <f>ESTADISTICA!AC47</f>
        <v>APAGADO</v>
      </c>
      <c r="AD49" s="44" t="str">
        <f>ESTADISTICA!AD47</f>
        <v>APAGADO</v>
      </c>
      <c r="AE49" s="44" t="str">
        <f>ESTADISTICA!AE47</f>
        <v>APAGADO</v>
      </c>
      <c r="AF49" s="44" t="str">
        <f>ESTADISTICA!AF47</f>
        <v>APAGADO</v>
      </c>
      <c r="AG49" s="44" t="str">
        <f>ESTADISTICA!AG47</f>
        <v>APAGADO</v>
      </c>
      <c r="AH49" s="44" t="str">
        <f>ESTADISTICA!AH47</f>
        <v>APAGADO</v>
      </c>
      <c r="AI49" s="44" t="str">
        <f>ESTADISTICA!AI47</f>
        <v>APAGADO</v>
      </c>
    </row>
    <row r="50" spans="1:35" x14ac:dyDescent="0.25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 t="str">
        <f>ESTADISTICA!H48</f>
        <v>APAGADO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 t="str">
        <f>ESTADISTICA!H49</f>
        <v>APAGADO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 t="str">
        <f>ESTADISTICA!W49</f>
        <v>APAGADO</v>
      </c>
      <c r="X51" s="44" t="str">
        <f>ESTADISTICA!X49</f>
        <v>APAGADO</v>
      </c>
      <c r="Y51" s="44" t="str">
        <f>ESTADISTICA!Y49</f>
        <v>APAGADO</v>
      </c>
      <c r="Z51" s="44" t="str">
        <f>ESTADISTICA!Z49</f>
        <v>APAGADO</v>
      </c>
      <c r="AA51" s="44" t="str">
        <f>ESTADISTICA!AA49</f>
        <v>APAGADO</v>
      </c>
      <c r="AB51" s="44" t="str">
        <f>ESTADISTICA!AB49</f>
        <v>APAGADO</v>
      </c>
      <c r="AC51" s="44" t="str">
        <f>ESTADISTICA!AC49</f>
        <v>APAGADO</v>
      </c>
      <c r="AD51" s="44" t="str">
        <f>ESTADISTICA!AD49</f>
        <v>APAGADO</v>
      </c>
      <c r="AE51" s="44" t="str">
        <f>ESTADISTICA!AE49</f>
        <v>APAGADO</v>
      </c>
      <c r="AF51" s="44" t="str">
        <f>ESTADISTICA!AF49</f>
        <v>APAGADO</v>
      </c>
      <c r="AG51" s="44" t="str">
        <f>ESTADISTICA!AG49</f>
        <v>APAGADO</v>
      </c>
      <c r="AH51" s="44" t="str">
        <f>ESTADISTICA!AH49</f>
        <v>APAGADO</v>
      </c>
      <c r="AI51" s="44" t="str">
        <f>ESTADISTICA!AI49</f>
        <v>APAGADO</v>
      </c>
    </row>
    <row r="52" spans="1:35" x14ac:dyDescent="0.25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 t="str">
        <f>ESTADISTICA!H50</f>
        <v>APAGADO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 t="str">
        <f>ESTADISTICA!H51</f>
        <v>APAGADO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 t="str">
        <f>ESTADISTICA!H52</f>
        <v>APAGADO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 t="str">
        <f>ESTADISTICA!W52</f>
        <v>APAGADO</v>
      </c>
      <c r="X54" s="44" t="str">
        <f>ESTADISTICA!X52</f>
        <v>APAGADO</v>
      </c>
      <c r="Y54" s="44" t="str">
        <f>ESTADISTICA!Y52</f>
        <v>APAGADO</v>
      </c>
      <c r="Z54" s="44" t="str">
        <f>ESTADISTICA!Z52</f>
        <v>APAGADO</v>
      </c>
      <c r="AA54" s="44" t="str">
        <f>ESTADISTICA!AA52</f>
        <v>APAGADO</v>
      </c>
      <c r="AB54" s="44" t="str">
        <f>ESTADISTICA!AB52</f>
        <v>APAGADO</v>
      </c>
      <c r="AC54" s="44" t="str">
        <f>ESTADISTICA!AC52</f>
        <v>APAGADO</v>
      </c>
      <c r="AD54" s="44" t="str">
        <f>ESTADISTICA!AD52</f>
        <v>APAGADO</v>
      </c>
      <c r="AE54" s="44" t="str">
        <f>ESTADISTICA!AE52</f>
        <v>APAGADO</v>
      </c>
      <c r="AF54" s="44" t="str">
        <f>ESTADISTICA!AF52</f>
        <v>APAGADO</v>
      </c>
      <c r="AG54" s="44" t="str">
        <f>ESTADISTICA!AG52</f>
        <v>APAGADO</v>
      </c>
      <c r="AH54" s="44" t="str">
        <f>ESTADISTICA!AH52</f>
        <v>APAGADO</v>
      </c>
      <c r="AI54" s="44" t="str">
        <f>ESTADISTICA!AI52</f>
        <v>APAGADO</v>
      </c>
    </row>
    <row r="55" spans="1:35" x14ac:dyDescent="0.25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 t="str">
        <f>ESTADISTICA!H53</f>
        <v>APAGADO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 t="str">
        <f>ESTADISTICA!H54</f>
        <v>APAGADO</v>
      </c>
      <c r="I56" s="44" t="str">
        <f>ESTADISTICA!I54</f>
        <v>APAGADO</v>
      </c>
      <c r="J56" s="44" t="str">
        <f>ESTADISTICA!J54</f>
        <v>APAGADO</v>
      </c>
      <c r="K56" s="44">
        <f>ESTADISTICA!K54</f>
        <v>0</v>
      </c>
      <c r="L56" s="44" t="str">
        <f>ESTADISTICA!L54</f>
        <v>APAGADO</v>
      </c>
      <c r="M56" s="44">
        <f>ESTADISTICA!M54</f>
        <v>0</v>
      </c>
      <c r="N56" s="44" t="str">
        <f>ESTADISTICA!N54</f>
        <v>APAGADO</v>
      </c>
      <c r="O56" s="44" t="str">
        <f>ESTADISTICA!O54</f>
        <v>APAGADO</v>
      </c>
      <c r="P56" s="44" t="str">
        <f>ESTADISTICA!P54</f>
        <v>APAGADO</v>
      </c>
      <c r="Q56" s="44" t="str">
        <f>ESTADISTICA!Q54</f>
        <v>APAGADO</v>
      </c>
      <c r="R56" s="44" t="str">
        <f>ESTADISTICA!R54</f>
        <v>APAGADO</v>
      </c>
      <c r="S56" s="44" t="str">
        <f>ESTADISTICA!S54</f>
        <v>APAGADO</v>
      </c>
      <c r="T56" s="44" t="str">
        <f>ESTADISTICA!T54</f>
        <v>APAGADO</v>
      </c>
      <c r="U56" s="44" t="str">
        <f>ESTADISTICA!U54</f>
        <v>APAGADO</v>
      </c>
      <c r="V56" s="44">
        <f>ESTADISTICA!V54</f>
        <v>0</v>
      </c>
      <c r="W56" s="44" t="str">
        <f>ESTADISTICA!W54</f>
        <v>APAGADO</v>
      </c>
      <c r="X56" s="44" t="str">
        <f>ESTADISTICA!X54</f>
        <v>APAGADO</v>
      </c>
      <c r="Y56" s="44" t="str">
        <f>ESTADISTICA!Y54</f>
        <v>APAGADO</v>
      </c>
      <c r="Z56" s="44" t="str">
        <f>ESTADISTICA!Z54</f>
        <v>APAGADO</v>
      </c>
      <c r="AA56" s="44" t="str">
        <f>ESTADISTICA!AA54</f>
        <v>APAGADO</v>
      </c>
      <c r="AB56" s="44" t="str">
        <f>ESTADISTICA!AB54</f>
        <v>APAGADO</v>
      </c>
      <c r="AC56" s="44" t="str">
        <f>ESTADISTICA!AC54</f>
        <v>APAGADO</v>
      </c>
      <c r="AD56" s="44" t="str">
        <f>ESTADISTICA!AD54</f>
        <v>APAGADO</v>
      </c>
      <c r="AE56" s="44" t="str">
        <f>ESTADISTICA!AE54</f>
        <v>APAGADO</v>
      </c>
      <c r="AF56" s="44" t="str">
        <f>ESTADISTICA!AF54</f>
        <v>APAGADO</v>
      </c>
      <c r="AG56" s="44" t="str">
        <f>ESTADISTICA!AG54</f>
        <v>APAGADO</v>
      </c>
      <c r="AH56" s="44" t="str">
        <f>ESTADISTICA!AH54</f>
        <v>APAGADO</v>
      </c>
      <c r="AI56" s="44" t="str">
        <f>ESTADISTICA!AI54</f>
        <v>APAGADO</v>
      </c>
    </row>
    <row r="57" spans="1:35" x14ac:dyDescent="0.25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 t="str">
        <f>ESTADISTICA!H55</f>
        <v>APAGADO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 t="str">
        <f>ESTADISTICA!AF55</f>
        <v>APAGADO</v>
      </c>
      <c r="AG57" s="44" t="str">
        <f>ESTADISTICA!AG55</f>
        <v>APAGADO</v>
      </c>
      <c r="AH57" s="44" t="str">
        <f>ESTADISTICA!AH55</f>
        <v>APAGADO</v>
      </c>
      <c r="AI57" s="44" t="str">
        <f>ESTADISTICA!AI55</f>
        <v>APAGADO</v>
      </c>
    </row>
    <row r="58" spans="1:35" x14ac:dyDescent="0.25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 t="str">
        <f>ESTADISTICA!H57</f>
        <v>APAGADO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 t="str">
        <f>ESTADISTICA!H59</f>
        <v>APAGADO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 t="str">
        <f>ESTADISTICA!N64</f>
        <v>APAGADO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 t="str">
        <f>ESTADISTICA!U64</f>
        <v>APAGADO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 t="str">
        <f>ESTADISTICA!H67</f>
        <v>APAGADO</v>
      </c>
      <c r="I69" s="44" t="str">
        <f>ESTADISTICA!I67</f>
        <v>APAGADO</v>
      </c>
      <c r="J69" s="44" t="str">
        <f>ESTADISTICA!J67</f>
        <v>APAGADO</v>
      </c>
      <c r="K69" s="44">
        <f>ESTADISTICA!K67</f>
        <v>0</v>
      </c>
      <c r="L69" s="44" t="str">
        <f>ESTADISTICA!L67</f>
        <v>APAGADO</v>
      </c>
      <c r="M69" s="44">
        <f>ESTADISTICA!M67</f>
        <v>0</v>
      </c>
      <c r="N69" s="44" t="str">
        <f>ESTADISTICA!N67</f>
        <v>APAGADO</v>
      </c>
      <c r="O69" s="44" t="str">
        <f>ESTADISTICA!O67</f>
        <v>APAGADO</v>
      </c>
      <c r="P69" s="44" t="str">
        <f>ESTADISTICA!P67</f>
        <v>APAGADO</v>
      </c>
      <c r="Q69" s="44" t="str">
        <f>ESTADISTICA!Q67</f>
        <v>APAGADO</v>
      </c>
      <c r="R69" s="44" t="str">
        <f>ESTADISTICA!R67</f>
        <v>APAGADO</v>
      </c>
      <c r="S69" s="44" t="str">
        <f>ESTADISTICA!S67</f>
        <v>APAGADO</v>
      </c>
      <c r="T69" s="44" t="str">
        <f>ESTADISTICA!T67</f>
        <v>APAGADO</v>
      </c>
      <c r="U69" s="44" t="str">
        <f>ESTADISTICA!U67</f>
        <v>APAGADO</v>
      </c>
      <c r="V69" s="44">
        <f>ESTADISTICA!V67</f>
        <v>0</v>
      </c>
      <c r="W69" s="44" t="str">
        <f>ESTADISTICA!W67</f>
        <v>APAGADO</v>
      </c>
      <c r="X69" s="44" t="str">
        <f>ESTADISTICA!X67</f>
        <v>APAGADO</v>
      </c>
      <c r="Y69" s="44" t="str">
        <f>ESTADISTICA!Y67</f>
        <v>APAGADO</v>
      </c>
      <c r="Z69" s="44" t="str">
        <f>ESTADISTICA!Z67</f>
        <v>APAGADO</v>
      </c>
      <c r="AA69" s="44" t="str">
        <f>ESTADISTICA!AA67</f>
        <v>APAGADO</v>
      </c>
      <c r="AB69" s="44" t="str">
        <f>ESTADISTICA!AB67</f>
        <v>APAGADO</v>
      </c>
      <c r="AC69" s="44" t="str">
        <f>ESTADISTICA!AC67</f>
        <v>APAGADO</v>
      </c>
      <c r="AD69" s="44" t="str">
        <f>ESTADISTICA!AD67</f>
        <v>APAGADO</v>
      </c>
      <c r="AE69" s="44" t="str">
        <f>ESTADISTICA!AE67</f>
        <v>APAGADO</v>
      </c>
      <c r="AF69" s="44" t="str">
        <f>ESTADISTICA!AF67</f>
        <v>APAGADO</v>
      </c>
      <c r="AG69" s="44" t="str">
        <f>ESTADISTICA!AG67</f>
        <v>APAGADO</v>
      </c>
      <c r="AH69" s="44" t="str">
        <f>ESTADISTICA!AH67</f>
        <v>APAGADO</v>
      </c>
      <c r="AI69" s="44" t="str">
        <f>ESTADISTICA!AI67</f>
        <v>APAGADO</v>
      </c>
    </row>
    <row r="70" spans="1:35" hidden="1" x14ac:dyDescent="0.25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25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 t="str">
        <f>ESTADISTICA!H69</f>
        <v>APAGADO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25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 t="str">
        <f>ESTADISTICA!F70</f>
        <v>APAGADO</v>
      </c>
      <c r="G72" s="44">
        <f>ESTADISTICA!G70</f>
        <v>0</v>
      </c>
      <c r="H72" s="44" t="str">
        <f>ESTADISTICA!H70</f>
        <v>APAGADO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 t="str">
        <f>ESTADISTICA!AB70</f>
        <v>APAGADO</v>
      </c>
      <c r="AC72" s="44" t="str">
        <f>ESTADISTICA!AC70</f>
        <v>APAGADO</v>
      </c>
      <c r="AD72" s="44" t="str">
        <f>ESTADISTICA!AD70</f>
        <v>APAGADO</v>
      </c>
      <c r="AE72" s="44" t="str">
        <f>ESTADISTICA!AE70</f>
        <v>APAGADO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25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25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 t="str">
        <f>ESTADISTICA!I73</f>
        <v>APAGADO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 t="str">
        <f>ESTADISTICA!R73</f>
        <v>APAGADO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25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 t="str">
        <f>ESTADISTICA!R74</f>
        <v>APAGADO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25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 t="str">
        <f>ESTADISTICA!Q75</f>
        <v>APAGADO</v>
      </c>
      <c r="R77" s="44" t="str">
        <f>ESTADISTICA!R75</f>
        <v>APAGADO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 t="str">
        <f>ESTADISTICA!Y75</f>
        <v>APAGADO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25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25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25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25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 t="str">
        <f>ESTADISTICA!AF80</f>
        <v>APAGADO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25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 t="str">
        <f>ESTADISTICA!H81</f>
        <v>APAGADO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25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 t="str">
        <f>ESTADISTICA!H85</f>
        <v>APAGADO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 t="str">
        <f>ESTADISTICA!N85</f>
        <v>APAGADO</v>
      </c>
      <c r="O87" s="44" t="str">
        <f>ESTADISTICA!O85</f>
        <v>APAGADO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 t="str">
        <f>ESTADISTICA!AA85</f>
        <v>APAGADO</v>
      </c>
      <c r="AB87" s="44" t="str">
        <f>ESTADISTICA!AB85</f>
        <v>APAGADO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 t="str">
        <f>ESTADISTICA!AG85</f>
        <v>APAGADO</v>
      </c>
      <c r="AH87" s="44">
        <f>ESTADISTICA!AH85</f>
        <v>0</v>
      </c>
      <c r="AI87" s="44">
        <f>ESTADISTICA!AI85</f>
        <v>0</v>
      </c>
    </row>
    <row r="88" spans="1:35" x14ac:dyDescent="0.25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 t="str">
        <f>ESTADISTICA!H86</f>
        <v>APAGADO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 t="str">
        <f>ESTADISTICA!N86</f>
        <v>APAGADO</v>
      </c>
      <c r="O88" s="44" t="str">
        <f>ESTADISTICA!O86</f>
        <v>APAGADO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 t="str">
        <f>ESTADISTICA!AA86</f>
        <v>APAGADO</v>
      </c>
      <c r="AB88" s="44" t="str">
        <f>ESTADISTICA!AB86</f>
        <v>APAGADO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 t="str">
        <f>ESTADISTICA!AG86</f>
        <v>APAGADO</v>
      </c>
      <c r="AH88" s="44">
        <f>ESTADISTICA!AH86</f>
        <v>0</v>
      </c>
      <c r="AI88" s="44">
        <f>ESTADISTICA!AI86</f>
        <v>0</v>
      </c>
    </row>
    <row r="89" spans="1:35" x14ac:dyDescent="0.25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 t="str">
        <f>ESTADISTICA!H92</f>
        <v>APAGADO</v>
      </c>
      <c r="I94" s="44" t="str">
        <f>ESTADISTICA!I92</f>
        <v>APAGADO</v>
      </c>
      <c r="J94" s="44" t="str">
        <f>ESTADISTICA!J92</f>
        <v>APAGADO</v>
      </c>
      <c r="K94" s="44">
        <f>ESTADISTICA!K92</f>
        <v>0</v>
      </c>
      <c r="L94" s="44" t="str">
        <f>ESTADISTICA!L92</f>
        <v>APAGADO</v>
      </c>
      <c r="M94" s="44">
        <f>ESTADISTICA!M92</f>
        <v>0</v>
      </c>
      <c r="N94" s="44" t="str">
        <f>ESTADISTICA!N92</f>
        <v>APAGADO</v>
      </c>
      <c r="O94" s="44" t="str">
        <f>ESTADISTICA!O92</f>
        <v>APAGADO</v>
      </c>
      <c r="P94" s="44" t="str">
        <f>ESTADISTICA!P92</f>
        <v>APAGADO</v>
      </c>
      <c r="Q94" s="44" t="str">
        <f>ESTADISTICA!Q92</f>
        <v>APAGADO</v>
      </c>
      <c r="R94" s="44" t="str">
        <f>ESTADISTICA!R92</f>
        <v>APAGADO</v>
      </c>
      <c r="S94" s="44" t="str">
        <f>ESTADISTICA!S92</f>
        <v>APAGADO</v>
      </c>
      <c r="T94" s="44" t="str">
        <f>ESTADISTICA!T92</f>
        <v>APAGADO</v>
      </c>
      <c r="U94" s="44" t="str">
        <f>ESTADISTICA!U92</f>
        <v>APAGADO</v>
      </c>
      <c r="V94" s="44">
        <f>ESTADISTICA!V92</f>
        <v>0</v>
      </c>
      <c r="W94" s="44" t="str">
        <f>ESTADISTICA!W92</f>
        <v>APAGADO</v>
      </c>
      <c r="X94" s="44" t="str">
        <f>ESTADISTICA!X92</f>
        <v>APAGADO</v>
      </c>
      <c r="Y94" s="44" t="str">
        <f>ESTADISTICA!Y92</f>
        <v>APAGADO</v>
      </c>
      <c r="Z94" s="44" t="str">
        <f>ESTADISTICA!Z92</f>
        <v>APAGADO</v>
      </c>
      <c r="AA94" s="44" t="str">
        <f>ESTADISTICA!AA92</f>
        <v>APAGADO</v>
      </c>
      <c r="AB94" s="44" t="str">
        <f>ESTADISTICA!AB92</f>
        <v>APAGADO</v>
      </c>
      <c r="AC94" s="44" t="str">
        <f>ESTADISTICA!AC92</f>
        <v>APAGADO</v>
      </c>
      <c r="AD94" s="44" t="str">
        <f>ESTADISTICA!AD92</f>
        <v>APAGADO</v>
      </c>
      <c r="AE94" s="44" t="str">
        <f>ESTADISTICA!AE92</f>
        <v>APAGADO</v>
      </c>
      <c r="AF94" s="44" t="str">
        <f>ESTADISTICA!AF92</f>
        <v>APAGADO</v>
      </c>
      <c r="AG94" s="44" t="str">
        <f>ESTADISTICA!AG92</f>
        <v>APAGADO</v>
      </c>
      <c r="AH94" s="44">
        <f>ESTADISTICA!AH92</f>
        <v>0</v>
      </c>
      <c r="AI94" s="44" t="str">
        <f>ESTADISTICA!AI92</f>
        <v>APAGADO</v>
      </c>
    </row>
    <row r="95" spans="1:35" x14ac:dyDescent="0.25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 t="str">
        <f>ESTADISTICA!H93</f>
        <v>APAGADO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 t="str">
        <f>ESTADISTICA!H96</f>
        <v>APAGADO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 t="str">
        <f>ESTADISTICA!W96</f>
        <v>APAGADO</v>
      </c>
      <c r="X98" s="44" t="str">
        <f>ESTADISTICA!X96</f>
        <v>APAGADO</v>
      </c>
      <c r="Y98" s="44" t="str">
        <f>ESTADISTICA!Y96</f>
        <v>APAGADO</v>
      </c>
      <c r="Z98" s="44" t="str">
        <f>ESTADISTICA!Z96</f>
        <v>APAGADO</v>
      </c>
      <c r="AA98" s="44" t="str">
        <f>ESTADISTICA!AA96</f>
        <v>APAGADO</v>
      </c>
      <c r="AB98" s="44" t="str">
        <f>ESTADISTICA!AB96</f>
        <v>APAGADO</v>
      </c>
      <c r="AC98" s="44" t="str">
        <f>ESTADISTICA!AC96</f>
        <v>APAGADO</v>
      </c>
      <c r="AD98" s="44" t="str">
        <f>ESTADISTICA!AD96</f>
        <v>APAGADO</v>
      </c>
      <c r="AE98" s="44" t="str">
        <f>ESTADISTICA!AE96</f>
        <v>APAGADO</v>
      </c>
      <c r="AF98" s="44" t="str">
        <f>ESTADISTICA!AF96</f>
        <v>APAGADO</v>
      </c>
      <c r="AG98" s="44" t="str">
        <f>ESTADISTICA!AG96</f>
        <v>APAGADO</v>
      </c>
      <c r="AH98" s="44">
        <f>ESTADISTICA!AH96</f>
        <v>0</v>
      </c>
      <c r="AI98" s="44" t="str">
        <f>ESTADISTICA!AI96</f>
        <v>APAGADO</v>
      </c>
    </row>
    <row r="99" spans="1:35" x14ac:dyDescent="0.25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 t="str">
        <f>ESTADISTICA!H97</f>
        <v>APAGADO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 t="str">
        <f>ESTADISTICA!H99</f>
        <v>APAGADO</v>
      </c>
      <c r="I101" s="44" t="str">
        <f>ESTADISTICA!I99</f>
        <v>APAGADO</v>
      </c>
      <c r="J101" s="44" t="str">
        <f>ESTADISTICA!J99</f>
        <v>APAGADO</v>
      </c>
      <c r="K101" s="44">
        <f>ESTADISTICA!K99</f>
        <v>0</v>
      </c>
      <c r="L101" s="44" t="str">
        <f>ESTADISTICA!L99</f>
        <v>APAGADO</v>
      </c>
      <c r="M101" s="44">
        <f>ESTADISTICA!M99</f>
        <v>0</v>
      </c>
      <c r="N101" s="44" t="str">
        <f>ESTADISTICA!N99</f>
        <v>APAGADO</v>
      </c>
      <c r="O101" s="44" t="str">
        <f>ESTADISTICA!O99</f>
        <v>APAGADO</v>
      </c>
      <c r="P101" s="44" t="str">
        <f>ESTADISTICA!P99</f>
        <v>APAGADO</v>
      </c>
      <c r="Q101" s="44" t="str">
        <f>ESTADISTICA!Q99</f>
        <v>APAGADO</v>
      </c>
      <c r="R101" s="44" t="str">
        <f>ESTADISTICA!R99</f>
        <v>APAGADO</v>
      </c>
      <c r="S101" s="44" t="str">
        <f>ESTADISTICA!S99</f>
        <v>APAGADO</v>
      </c>
      <c r="T101" s="44" t="str">
        <f>ESTADISTICA!T99</f>
        <v>APAGADO</v>
      </c>
      <c r="U101" s="44" t="str">
        <f>ESTADISTICA!U99</f>
        <v>APAGADO</v>
      </c>
      <c r="V101" s="44">
        <f>ESTADISTICA!V99</f>
        <v>0</v>
      </c>
      <c r="W101" s="44" t="str">
        <f>ESTADISTICA!W99</f>
        <v>APAGADO</v>
      </c>
      <c r="X101" s="44" t="str">
        <f>ESTADISTICA!X99</f>
        <v>APAGADO</v>
      </c>
      <c r="Y101" s="44" t="str">
        <f>ESTADISTICA!Y99</f>
        <v>APAGADO</v>
      </c>
      <c r="Z101" s="44" t="str">
        <f>ESTADISTICA!Z99</f>
        <v>APAGADO</v>
      </c>
      <c r="AA101" s="44" t="str">
        <f>ESTADISTICA!AA99</f>
        <v>APAGADO</v>
      </c>
      <c r="AB101" s="44" t="str">
        <f>ESTADISTICA!AB99</f>
        <v>APAGADO</v>
      </c>
      <c r="AC101" s="44" t="str">
        <f>ESTADISTICA!AC99</f>
        <v>APAGADO</v>
      </c>
      <c r="AD101" s="44" t="str">
        <f>ESTADISTICA!AD99</f>
        <v>APAGADO</v>
      </c>
      <c r="AE101" s="44" t="str">
        <f>ESTADISTICA!AE99</f>
        <v>APAGADO</v>
      </c>
      <c r="AF101" s="44" t="str">
        <f>ESTADISTICA!AF99</f>
        <v>APAGADO</v>
      </c>
      <c r="AG101" s="44" t="str">
        <f>ESTADISTICA!AG99</f>
        <v>APAGADO</v>
      </c>
      <c r="AH101" s="44">
        <f>ESTADISTICA!AH99</f>
        <v>0</v>
      </c>
      <c r="AI101" s="44" t="str">
        <f>ESTADISTICA!AI99</f>
        <v>APAGADO</v>
      </c>
    </row>
    <row r="102" spans="1:35" x14ac:dyDescent="0.25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 t="str">
        <f>ESTADISTICA!H100</f>
        <v>APAGADO</v>
      </c>
      <c r="I102" s="44" t="str">
        <f>ESTADISTICA!I100</f>
        <v>APAGADO</v>
      </c>
      <c r="J102" s="44" t="str">
        <f>ESTADISTICA!J100</f>
        <v>APAGADO</v>
      </c>
      <c r="K102" s="44">
        <f>ESTADISTICA!K100</f>
        <v>0</v>
      </c>
      <c r="L102" s="44" t="str">
        <f>ESTADISTICA!L100</f>
        <v>APAGADO</v>
      </c>
      <c r="M102" s="44">
        <f>ESTADISTICA!M100</f>
        <v>0</v>
      </c>
      <c r="N102" s="44" t="str">
        <f>ESTADISTICA!N100</f>
        <v>APAGADO</v>
      </c>
      <c r="O102" s="44" t="str">
        <f>ESTADISTICA!O100</f>
        <v>APAGADO</v>
      </c>
      <c r="P102" s="44" t="str">
        <f>ESTADISTICA!P100</f>
        <v>APAGADO</v>
      </c>
      <c r="Q102" s="44" t="str">
        <f>ESTADISTICA!Q100</f>
        <v>APAGADO</v>
      </c>
      <c r="R102" s="44" t="str">
        <f>ESTADISTICA!R100</f>
        <v>APAGADO</v>
      </c>
      <c r="S102" s="44" t="str">
        <f>ESTADISTICA!S100</f>
        <v>APAGADO</v>
      </c>
      <c r="T102" s="44" t="str">
        <f>ESTADISTICA!T100</f>
        <v>APAGADO</v>
      </c>
      <c r="U102" s="44" t="str">
        <f>ESTADISTICA!U100</f>
        <v>APAGADO</v>
      </c>
      <c r="V102" s="44">
        <f>ESTADISTICA!V100</f>
        <v>0</v>
      </c>
      <c r="W102" s="44" t="str">
        <f>ESTADISTICA!W100</f>
        <v>APAGADO</v>
      </c>
      <c r="X102" s="44" t="str">
        <f>ESTADISTICA!X100</f>
        <v>APAGADO</v>
      </c>
      <c r="Y102" s="44" t="str">
        <f>ESTADISTICA!Y100</f>
        <v>APAGADO</v>
      </c>
      <c r="Z102" s="44" t="str">
        <f>ESTADISTICA!Z100</f>
        <v>APAGADO</v>
      </c>
      <c r="AA102" s="44" t="str">
        <f>ESTADISTICA!AA100</f>
        <v>APAGADO</v>
      </c>
      <c r="AB102" s="44" t="str">
        <f>ESTADISTICA!AB100</f>
        <v>APAGADO</v>
      </c>
      <c r="AC102" s="44" t="str">
        <f>ESTADISTICA!AC100</f>
        <v>APAGADO</v>
      </c>
      <c r="AD102" s="44" t="str">
        <f>ESTADISTICA!AD100</f>
        <v>APAGADO</v>
      </c>
      <c r="AE102" s="44" t="str">
        <f>ESTADISTICA!AE100</f>
        <v>APAGADO</v>
      </c>
      <c r="AF102" s="44" t="str">
        <f>ESTADISTICA!AF100</f>
        <v>APAGADO</v>
      </c>
      <c r="AG102" s="44" t="str">
        <f>ESTADISTICA!AG100</f>
        <v>APAGADO</v>
      </c>
      <c r="AH102" s="44">
        <f>ESTADISTICA!AH100</f>
        <v>0</v>
      </c>
      <c r="AI102" s="44" t="str">
        <f>ESTADISTICA!AI100</f>
        <v>APAGADO</v>
      </c>
    </row>
    <row r="103" spans="1:35" x14ac:dyDescent="0.25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 t="str">
        <f>ESTADISTICA!F101</f>
        <v>APAGADO</v>
      </c>
      <c r="G103" s="44" t="str">
        <f>ESTADISTICA!G101</f>
        <v>APAGADO</v>
      </c>
      <c r="H103" s="44" t="str">
        <f>ESTADISTICA!H101</f>
        <v>APAGADO</v>
      </c>
      <c r="I103" s="44" t="str">
        <f>ESTADISTICA!I101</f>
        <v>APAGADO</v>
      </c>
      <c r="J103" s="44" t="str">
        <f>ESTADISTICA!J101</f>
        <v>APAGADO</v>
      </c>
      <c r="K103" s="44">
        <f>ESTADISTICA!K101</f>
        <v>0</v>
      </c>
      <c r="L103" s="44" t="str">
        <f>ESTADISTICA!L101</f>
        <v>APAGADO</v>
      </c>
      <c r="M103" s="44">
        <f>ESTADISTICA!M101</f>
        <v>0</v>
      </c>
      <c r="N103" s="44" t="str">
        <f>ESTADISTICA!N101</f>
        <v>APAGADO</v>
      </c>
      <c r="O103" s="44" t="str">
        <f>ESTADISTICA!O101</f>
        <v>APAGADO</v>
      </c>
      <c r="P103" s="44" t="str">
        <f>ESTADISTICA!P101</f>
        <v>APAGADO</v>
      </c>
      <c r="Q103" s="44" t="str">
        <f>ESTADISTICA!Q101</f>
        <v>APAGADO</v>
      </c>
      <c r="R103" s="44" t="str">
        <f>ESTADISTICA!R101</f>
        <v>APAGADO</v>
      </c>
      <c r="S103" s="44" t="str">
        <f>ESTADISTICA!S101</f>
        <v>APAGADO</v>
      </c>
      <c r="T103" s="44" t="str">
        <f>ESTADISTICA!T101</f>
        <v>APAGADO</v>
      </c>
      <c r="U103" s="44" t="str">
        <f>ESTADISTICA!U101</f>
        <v>APAGADO</v>
      </c>
      <c r="V103" s="44">
        <f>ESTADISTICA!V101</f>
        <v>0</v>
      </c>
      <c r="W103" s="44" t="str">
        <f>ESTADISTICA!W101</f>
        <v>APAGADO</v>
      </c>
      <c r="X103" s="44" t="str">
        <f>ESTADISTICA!X101</f>
        <v>APAGADO</v>
      </c>
      <c r="Y103" s="44" t="str">
        <f>ESTADISTICA!Y101</f>
        <v>APAGADO</v>
      </c>
      <c r="Z103" s="44" t="str">
        <f>ESTADISTICA!Z101</f>
        <v>APAGADO</v>
      </c>
      <c r="AA103" s="44" t="str">
        <f>ESTADISTICA!AA101</f>
        <v>APAGADO</v>
      </c>
      <c r="AB103" s="44" t="str">
        <f>ESTADISTICA!AB101</f>
        <v>APAGADO</v>
      </c>
      <c r="AC103" s="44" t="str">
        <f>ESTADISTICA!AC101</f>
        <v>APAGADO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25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25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 t="str">
        <f>ESTADISTICA!H103</f>
        <v>APAGADO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 t="str">
        <f>ESTADISTICA!H104</f>
        <v>APAGADO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 t="str">
        <f>ESTADISTICA!F105</f>
        <v>APAGADO</v>
      </c>
      <c r="G107" s="44" t="str">
        <f>ESTADISTICA!G105</f>
        <v>APAGADO</v>
      </c>
      <c r="H107" s="44" t="str">
        <f>ESTADISTICA!H105</f>
        <v>APAGADO</v>
      </c>
      <c r="I107" s="44" t="str">
        <f>ESTADISTICA!I105</f>
        <v>APAGADO</v>
      </c>
      <c r="J107" s="44" t="str">
        <f>ESTADISTICA!J105</f>
        <v>APAGADO</v>
      </c>
      <c r="K107" s="44">
        <f>ESTADISTICA!K105</f>
        <v>0</v>
      </c>
      <c r="L107" s="44" t="str">
        <f>ESTADISTICA!L105</f>
        <v>APAGADO</v>
      </c>
      <c r="M107" s="44">
        <f>ESTADISTICA!M105</f>
        <v>0</v>
      </c>
      <c r="N107" s="44" t="str">
        <f>ESTADISTICA!N105</f>
        <v>APAGADO</v>
      </c>
      <c r="O107" s="44" t="str">
        <f>ESTADISTICA!O105</f>
        <v>APAGADO</v>
      </c>
      <c r="P107" s="44" t="str">
        <f>ESTADISTICA!P105</f>
        <v>APAGADO</v>
      </c>
      <c r="Q107" s="44" t="str">
        <f>ESTADISTICA!Q105</f>
        <v>APAGADO</v>
      </c>
      <c r="R107" s="44" t="str">
        <f>ESTADISTICA!R105</f>
        <v>APAGADO</v>
      </c>
      <c r="S107" s="44" t="str">
        <f>ESTADISTICA!S105</f>
        <v>APAGADO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25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25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25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 t="str">
        <f>ESTADISTICA!H108</f>
        <v>APAGADO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25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 t="str">
        <f>ESTADISTICA!X109</f>
        <v>APAGADO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25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25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25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 t="str">
        <f>ESTADISTICA!H112</f>
        <v>APAGADO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25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 t="str">
        <f>ESTADISTICA!H113</f>
        <v>APAGADO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25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25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25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 t="str">
        <f>ESTADISTICA!H120</f>
        <v>APAGADO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 t="str">
        <f>ESTADISTICA!X120</f>
        <v>APAGADO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25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 t="str">
        <f>ESTADISTICA!T121</f>
        <v>APAGADO</v>
      </c>
      <c r="U123" s="44" t="str">
        <f>ESTADISTICA!U121</f>
        <v>APAGADO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 t="str">
        <f>ESTADISTICA!Y121</f>
        <v>APAGADO</v>
      </c>
      <c r="Z123" s="44">
        <f>ESTADISTICA!Z121</f>
        <v>0</v>
      </c>
      <c r="AA123" s="44" t="str">
        <f>ESTADISTICA!AA121</f>
        <v>APAGADO</v>
      </c>
      <c r="AB123" s="44" t="str">
        <f>ESTADISTICA!AB121</f>
        <v>APAGADO</v>
      </c>
      <c r="AC123" s="44">
        <f>ESTADISTICA!AC121</f>
        <v>0</v>
      </c>
      <c r="AD123" s="44" t="str">
        <f>ESTADISTICA!AD121</f>
        <v>APAGADO</v>
      </c>
      <c r="AE123" s="44" t="str">
        <f>ESTADISTICA!AE121</f>
        <v>APAGADO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 t="str">
        <f>ESTADISTICA!AI121</f>
        <v>APAGADO</v>
      </c>
    </row>
    <row r="124" spans="1:35" hidden="1" x14ac:dyDescent="0.25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25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 t="str">
        <f>ESTADISTICA!H123</f>
        <v>APAGADO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 t="str">
        <f>ESTADISTICA!X124</f>
        <v>APAGADO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 t="str">
        <f>ESTADISTICA!AG124</f>
        <v>APAGADO</v>
      </c>
      <c r="AH126" s="44">
        <f>ESTADISTICA!AH124</f>
        <v>0</v>
      </c>
      <c r="AI126" s="44" t="str">
        <f>ESTADISTICA!AI124</f>
        <v>APAGADO</v>
      </c>
    </row>
    <row r="127" spans="1:35" x14ac:dyDescent="0.25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 t="str">
        <f>ESTADISTICA!H125</f>
        <v>APAGADO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 t="str">
        <f>ESTADISTICA!X125</f>
        <v>APAGADO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 t="str">
        <f>ESTADISTICA!AF125</f>
        <v>APAGADO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25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 t="str">
        <f>ESTADISTICA!H126</f>
        <v>APAGADO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 t="str">
        <f>ESTADISTICA!X126</f>
        <v>APAGADO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25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 t="str">
        <f>ESTADISTICA!H127</f>
        <v>APAGADO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 t="str">
        <f>ESTADISTICA!X128</f>
        <v>APAGADO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 t="str">
        <f>ESTADISTICA!X129</f>
        <v>APAGADO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 t="str">
        <f>ESTADISTICA!H132</f>
        <v>APAGADO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 t="str">
        <f>ESTADISTICA!H133</f>
        <v>APAGADO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 t="str">
        <f>ESTADISTICA!X134</f>
        <v>APAGADO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 t="str">
        <f>ESTADISTICA!AE134</f>
        <v>APAGADO</v>
      </c>
      <c r="AF136" s="44" t="str">
        <f>ESTADISTICA!AF134</f>
        <v>APAGADO</v>
      </c>
      <c r="AG136" s="44" t="str">
        <f>ESTADISTICA!AG134</f>
        <v>APAGADO</v>
      </c>
      <c r="AH136" s="44">
        <f>ESTADISTICA!AH134</f>
        <v>0</v>
      </c>
      <c r="AI136" s="44" t="str">
        <f>ESTADISTICA!AI134</f>
        <v>APAGADO</v>
      </c>
    </row>
    <row r="137" spans="1:35" x14ac:dyDescent="0.25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 t="str">
        <f>ESTADISTICA!X135</f>
        <v>APAGADO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 t="str">
        <f>ESTADISTICA!AE135</f>
        <v>APAGADO</v>
      </c>
      <c r="AF137" s="44" t="str">
        <f>ESTADISTICA!AF135</f>
        <v>APAGADO</v>
      </c>
      <c r="AG137" s="44" t="str">
        <f>ESTADISTICA!AG135</f>
        <v>APAGADO</v>
      </c>
      <c r="AH137" s="44">
        <f>ESTADISTICA!AH135</f>
        <v>0</v>
      </c>
      <c r="AI137" s="44" t="str">
        <f>ESTADISTICA!AI135</f>
        <v>APAGADO</v>
      </c>
    </row>
    <row r="138" spans="1:35" x14ac:dyDescent="0.25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 t="str">
        <f>ESTADISTICA!X136</f>
        <v>APAGADO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 t="str">
        <f>ESTADISTICA!X137</f>
        <v>APAGADO</v>
      </c>
      <c r="Y139" s="44">
        <f>ESTADISTICA!Y137</f>
        <v>0</v>
      </c>
      <c r="Z139" s="44">
        <f>ESTADISTICA!Z137</f>
        <v>0</v>
      </c>
      <c r="AA139" s="44" t="str">
        <f>ESTADISTICA!AA137</f>
        <v>APAGADO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 t="str">
        <f>ESTADISTICA!H138</f>
        <v>APAGADO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25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25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25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 t="str">
        <f>ESTADISTICA!X141</f>
        <v>APAGADO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25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 t="str">
        <f>ESTADISTICA!X142</f>
        <v>APAGADO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25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 t="str">
        <f>ESTADISTICA!X143</f>
        <v>APAGADO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25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 t="str">
        <f>ESTADISTICA!X144</f>
        <v>APAGADO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25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 t="str">
        <f>ESTADISTICA!X145</f>
        <v>APAGADO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25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 t="str">
        <f>ESTADISTICA!X146</f>
        <v>APAGADO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25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 t="str">
        <f>ESTADISTICA!H147</f>
        <v>APAGADO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 t="str">
        <f>ESTADISTICA!U147</f>
        <v>APAGADO</v>
      </c>
      <c r="V149" s="44">
        <f>ESTADISTICA!V147</f>
        <v>0</v>
      </c>
      <c r="W149" s="44" t="str">
        <f>ESTADISTICA!W147</f>
        <v>APAGADO</v>
      </c>
      <c r="X149" s="44" t="str">
        <f>ESTADISTICA!X147</f>
        <v>APAGADO</v>
      </c>
      <c r="Y149" s="44" t="str">
        <f>ESTADISTICA!Y147</f>
        <v>APAGADO</v>
      </c>
      <c r="Z149" s="44" t="str">
        <f>ESTADISTICA!Z147</f>
        <v>APAGADO</v>
      </c>
      <c r="AA149" s="44" t="str">
        <f>ESTADISTICA!AA147</f>
        <v>APAGADO</v>
      </c>
      <c r="AB149" s="44" t="str">
        <f>ESTADISTICA!AB147</f>
        <v>APAGADO</v>
      </c>
      <c r="AC149" s="44" t="str">
        <f>ESTADISTICA!AC147</f>
        <v>APAGADO</v>
      </c>
      <c r="AD149" s="44" t="str">
        <f>ESTADISTICA!AD147</f>
        <v>APAGADO</v>
      </c>
      <c r="AE149" s="44" t="str">
        <f>ESTADISTICA!AE147</f>
        <v>APAGADO</v>
      </c>
      <c r="AF149" s="44" t="str">
        <f>ESTADISTICA!AF147</f>
        <v>APAGADO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25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 t="str">
        <f>ESTADISTICA!H148</f>
        <v>APAGADO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 t="str">
        <f>ESTADISTICA!AF148</f>
        <v>APAGADO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25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25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 t="str">
        <f>ESTADISTICA!P150</f>
        <v>APAGADO</v>
      </c>
      <c r="Q152" s="44" t="str">
        <f>ESTADISTICA!Q150</f>
        <v>APAGADO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 t="str">
        <f>ESTADISTICA!W150</f>
        <v>APAGADO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 t="str">
        <f>ESTADISTICA!AB150</f>
        <v>APAGADO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25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 t="str">
        <f>ESTADISTICA!H151</f>
        <v>APAGADO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25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 t="str">
        <f>ESTADISTICA!N152</f>
        <v>APAGADO</v>
      </c>
      <c r="O154" s="44" t="str">
        <f>ESTADISTICA!O152</f>
        <v>APAGADO</v>
      </c>
      <c r="P154" s="44" t="str">
        <f>ESTADISTICA!P152</f>
        <v>APAGADO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 t="str">
        <f>ESTADISTICA!AB152</f>
        <v>APAGADO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25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25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25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 t="str">
        <f>ESTADISTICA!H156</f>
        <v>APAGADO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25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 t="str">
        <f>ESTADISTICA!H157</f>
        <v>APAGADO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 t="str">
        <f>ESTADISTICA!AB157</f>
        <v>APAGADO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25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 t="str">
        <f>ESTADISTICA!H158</f>
        <v>APAGADO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 t="str">
        <f>ESTADISTICA!U158</f>
        <v>APAGADO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25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25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25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 t="str">
        <f>ESTADISTICA!H161</f>
        <v>APAGADO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25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 t="str">
        <f>ESTADISTICA!N163</f>
        <v>APAGADO</v>
      </c>
      <c r="O165" s="44" t="str">
        <f>ESTADISTICA!O163</f>
        <v>APAGADO</v>
      </c>
      <c r="P165" s="44" t="str">
        <f>ESTADISTICA!P163</f>
        <v>APAGADO</v>
      </c>
      <c r="Q165" s="44" t="str">
        <f>ESTADISTICA!Q163</f>
        <v>APAGADO</v>
      </c>
      <c r="R165" s="44" t="str">
        <f>ESTADISTICA!R163</f>
        <v>APAGADO</v>
      </c>
      <c r="S165" s="44" t="str">
        <f>ESTADISTICA!S163</f>
        <v>APAGADO</v>
      </c>
      <c r="T165" s="44" t="str">
        <f>ESTADISTICA!T163</f>
        <v>APAGADO</v>
      </c>
      <c r="U165" s="44" t="str">
        <f>ESTADISTICA!U163</f>
        <v>APAGADO</v>
      </c>
      <c r="V165" s="44">
        <f>ESTADISTICA!V163</f>
        <v>0</v>
      </c>
      <c r="W165" s="44" t="str">
        <f>ESTADISTICA!W163</f>
        <v>APAGADO</v>
      </c>
      <c r="X165" s="44" t="str">
        <f>ESTADISTICA!X163</f>
        <v>APAGADO</v>
      </c>
      <c r="Y165" s="44" t="str">
        <f>ESTADISTICA!Y163</f>
        <v>APAGADO</v>
      </c>
      <c r="Z165" s="44" t="str">
        <f>ESTADISTICA!Z163</f>
        <v>APAGADO</v>
      </c>
      <c r="AA165" s="44" t="str">
        <f>ESTADISTICA!AA163</f>
        <v>APAGADO</v>
      </c>
      <c r="AB165" s="44" t="str">
        <f>ESTADISTICA!AB163</f>
        <v>APAGADO</v>
      </c>
      <c r="AC165" s="44" t="str">
        <f>ESTADISTICA!AC163</f>
        <v>APAGADO</v>
      </c>
      <c r="AD165" s="44" t="str">
        <f>ESTADISTICA!AD163</f>
        <v>APAGADO</v>
      </c>
      <c r="AE165" s="44" t="str">
        <f>ESTADISTICA!AE163</f>
        <v>APAGADO</v>
      </c>
      <c r="AF165" s="44" t="str">
        <f>ESTADISTICA!AF163</f>
        <v>APAGADO</v>
      </c>
      <c r="AG165" s="44" t="str">
        <f>ESTADISTICA!AG163</f>
        <v>APAGADO</v>
      </c>
      <c r="AH165" s="44">
        <f>ESTADISTICA!AH163</f>
        <v>0</v>
      </c>
      <c r="AI165" s="44" t="str">
        <f>ESTADISTICA!AI163</f>
        <v>APAGADO</v>
      </c>
    </row>
    <row r="166" spans="1:35" x14ac:dyDescent="0.25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 t="str">
        <f>ESTADISTICA!N164</f>
        <v>APAGADO</v>
      </c>
      <c r="O166" s="44" t="str">
        <f>ESTADISTICA!O164</f>
        <v>APAGADO</v>
      </c>
      <c r="P166" s="44" t="str">
        <f>ESTADISTICA!P164</f>
        <v>APAGADO</v>
      </c>
      <c r="Q166" s="44" t="str">
        <f>ESTADISTICA!Q164</f>
        <v>APAGADO</v>
      </c>
      <c r="R166" s="44" t="str">
        <f>ESTADISTICA!R164</f>
        <v>APAGADO</v>
      </c>
      <c r="S166" s="44" t="str">
        <f>ESTADISTICA!S164</f>
        <v>APAGADO</v>
      </c>
      <c r="T166" s="44" t="str">
        <f>ESTADISTICA!T164</f>
        <v>APAGADO</v>
      </c>
      <c r="U166" s="44" t="str">
        <f>ESTADISTICA!U164</f>
        <v>APAGADO</v>
      </c>
      <c r="V166" s="44">
        <f>ESTADISTICA!V164</f>
        <v>0</v>
      </c>
      <c r="W166" s="44" t="str">
        <f>ESTADISTICA!W164</f>
        <v>APAGADO</v>
      </c>
      <c r="X166" s="44" t="str">
        <f>ESTADISTICA!X164</f>
        <v>APAGADO</v>
      </c>
      <c r="Y166" s="44" t="str">
        <f>ESTADISTICA!Y164</f>
        <v>APAGADO</v>
      </c>
      <c r="Z166" s="44" t="str">
        <f>ESTADISTICA!Z164</f>
        <v>APAGADO</v>
      </c>
      <c r="AA166" s="44" t="str">
        <f>ESTADISTICA!AA164</f>
        <v>APAGADO</v>
      </c>
      <c r="AB166" s="44" t="str">
        <f>ESTADISTICA!AB164</f>
        <v>APAGADO</v>
      </c>
      <c r="AC166" s="44" t="str">
        <f>ESTADISTICA!AC164</f>
        <v>APAGADO</v>
      </c>
      <c r="AD166" s="44" t="str">
        <f>ESTADISTICA!AD164</f>
        <v>APAGADO</v>
      </c>
      <c r="AE166" s="44" t="str">
        <f>ESTADISTICA!AE164</f>
        <v>APAGADO</v>
      </c>
      <c r="AF166" s="44" t="str">
        <f>ESTADISTICA!AF164</f>
        <v>APAGADO</v>
      </c>
      <c r="AG166" s="44" t="str">
        <f>ESTADISTICA!AG164</f>
        <v>APAGADO</v>
      </c>
      <c r="AH166" s="44">
        <f>ESTADISTICA!AH164</f>
        <v>0</v>
      </c>
      <c r="AI166" s="44" t="str">
        <f>ESTADISTICA!AI164</f>
        <v>APAGADO</v>
      </c>
    </row>
    <row r="167" spans="1:35" x14ac:dyDescent="0.25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 t="str">
        <f>ESTADISTICA!F168</f>
        <v>APAGADO</v>
      </c>
      <c r="G170" s="44" t="str">
        <f>ESTADISTICA!G168</f>
        <v>APAGADO</v>
      </c>
      <c r="H170" s="44" t="str">
        <f>ESTADISTICA!H168</f>
        <v>APAGADO</v>
      </c>
      <c r="I170" s="44">
        <f>ESTADISTICA!I168</f>
        <v>0</v>
      </c>
      <c r="J170" s="44" t="str">
        <f>ESTADISTICA!J168</f>
        <v>APAGADO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 t="str">
        <f>ESTADISTICA!H173</f>
        <v>APAGADO</v>
      </c>
      <c r="I175" s="44" t="str">
        <f>ESTADISTICA!I173</f>
        <v>APAGADO</v>
      </c>
      <c r="J175" s="44" t="str">
        <f>ESTADISTICA!J173</f>
        <v>APAGADO</v>
      </c>
      <c r="K175" s="44">
        <f>ESTADISTICA!K173</f>
        <v>0</v>
      </c>
      <c r="L175" s="44" t="str">
        <f>ESTADISTICA!L173</f>
        <v>APAGADO</v>
      </c>
      <c r="M175" s="44">
        <f>ESTADISTICA!M173</f>
        <v>0</v>
      </c>
      <c r="N175" s="44" t="str">
        <f>ESTADISTICA!N173</f>
        <v>APAGADO</v>
      </c>
      <c r="O175" s="44" t="str">
        <f>ESTADISTICA!O173</f>
        <v>APAGADO</v>
      </c>
      <c r="P175" s="44" t="str">
        <f>ESTADISTICA!P173</f>
        <v>APAGADO</v>
      </c>
      <c r="Q175" s="44" t="str">
        <f>ESTADISTICA!Q173</f>
        <v>APAGADO</v>
      </c>
      <c r="R175" s="44" t="str">
        <f>ESTADISTICA!R173</f>
        <v>APAGADO</v>
      </c>
      <c r="S175" s="44" t="str">
        <f>ESTADISTICA!S173</f>
        <v>APAGADO</v>
      </c>
      <c r="T175" s="44" t="str">
        <f>ESTADISTICA!T173</f>
        <v>APAGADO</v>
      </c>
      <c r="U175" s="44" t="str">
        <f>ESTADISTICA!U173</f>
        <v>APAGADO</v>
      </c>
      <c r="V175" s="44">
        <f>ESTADISTICA!V173</f>
        <v>0</v>
      </c>
      <c r="W175" s="44" t="str">
        <f>ESTADISTICA!W173</f>
        <v>APAGADO</v>
      </c>
      <c r="X175" s="44" t="str">
        <f>ESTADISTICA!X173</f>
        <v>APAGADO</v>
      </c>
      <c r="Y175" s="44" t="str">
        <f>ESTADISTICA!Y173</f>
        <v>APAGADO</v>
      </c>
      <c r="Z175" s="44" t="str">
        <f>ESTADISTICA!Z173</f>
        <v>APAGADO</v>
      </c>
      <c r="AA175" s="44">
        <f>ESTADISTICA!AA173</f>
        <v>0</v>
      </c>
      <c r="AB175" s="44" t="str">
        <f>ESTADISTICA!AB173</f>
        <v>APAGADO</v>
      </c>
      <c r="AC175" s="44" t="str">
        <f>ESTADISTICA!AC173</f>
        <v>APAGADO</v>
      </c>
      <c r="AD175" s="44" t="str">
        <f>ESTADISTICA!AD173</f>
        <v>APAGADO</v>
      </c>
      <c r="AE175" s="44" t="str">
        <f>ESTADISTICA!AE173</f>
        <v>APAGADO</v>
      </c>
      <c r="AF175" s="44" t="str">
        <f>ESTADISTICA!AF173</f>
        <v>APAGADO</v>
      </c>
      <c r="AG175" s="44" t="str">
        <f>ESTADISTICA!AG173</f>
        <v>APAGADO</v>
      </c>
      <c r="AH175" s="44" t="str">
        <f>ESTADISTICA!AH173</f>
        <v>APAGADO</v>
      </c>
      <c r="AI175" s="44" t="str">
        <f>ESTADISTICA!AI173</f>
        <v>APAGADO</v>
      </c>
    </row>
    <row r="176" spans="1:35" x14ac:dyDescent="0.25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 t="str">
        <f>ESTADISTICA!H175</f>
        <v>APAGADO</v>
      </c>
      <c r="I177" s="44" t="str">
        <f>ESTADISTICA!I175</f>
        <v>APAGADO</v>
      </c>
      <c r="J177" s="44" t="str">
        <f>ESTADISTICA!J175</f>
        <v>APAGADO</v>
      </c>
      <c r="K177" s="44">
        <f>ESTADISTICA!K175</f>
        <v>0</v>
      </c>
      <c r="L177" s="44" t="str">
        <f>ESTADISTICA!L175</f>
        <v>APAGADO</v>
      </c>
      <c r="M177" s="44">
        <f>ESTADISTICA!M175</f>
        <v>0</v>
      </c>
      <c r="N177" s="44" t="str">
        <f>ESTADISTICA!N175</f>
        <v>APAGADO</v>
      </c>
      <c r="O177" s="44" t="str">
        <f>ESTADISTICA!O175</f>
        <v>APAGADO</v>
      </c>
      <c r="P177" s="44" t="str">
        <f>ESTADISTICA!P175</f>
        <v>APAGADO</v>
      </c>
      <c r="Q177" s="44" t="str">
        <f>ESTADISTICA!Q175</f>
        <v>APAGADO</v>
      </c>
      <c r="R177" s="44" t="str">
        <f>ESTADISTICA!R175</f>
        <v>APAGADO</v>
      </c>
      <c r="S177" s="44" t="str">
        <f>ESTADISTICA!S175</f>
        <v>APAGADO</v>
      </c>
      <c r="T177" s="44">
        <f>ESTADISTICA!T175</f>
        <v>0</v>
      </c>
      <c r="U177" s="44" t="str">
        <f>ESTADISTICA!U175</f>
        <v>APAGADO</v>
      </c>
      <c r="V177" s="44">
        <f>ESTADISTICA!V175</f>
        <v>0</v>
      </c>
      <c r="W177" s="44" t="str">
        <f>ESTADISTICA!W175</f>
        <v>APAGADO</v>
      </c>
      <c r="X177" s="44" t="str">
        <f>ESTADISTICA!X175</f>
        <v>APAGADO</v>
      </c>
      <c r="Y177" s="44" t="str">
        <f>ESTADISTICA!Y175</f>
        <v>APAGADO</v>
      </c>
      <c r="Z177" s="44" t="str">
        <f>ESTADISTICA!Z175</f>
        <v>APAGADO</v>
      </c>
      <c r="AA177" s="44">
        <f>ESTADISTICA!AA175</f>
        <v>0</v>
      </c>
      <c r="AB177" s="44" t="str">
        <f>ESTADISTICA!AB175</f>
        <v>APAGADO</v>
      </c>
      <c r="AC177" s="44" t="str">
        <f>ESTADISTICA!AC175</f>
        <v>APAGADO</v>
      </c>
      <c r="AD177" s="44" t="str">
        <f>ESTADISTICA!AD175</f>
        <v>APAGADO</v>
      </c>
      <c r="AE177" s="44" t="str">
        <f>ESTADISTICA!AE175</f>
        <v>APAGADO</v>
      </c>
      <c r="AF177" s="44" t="str">
        <f>ESTADISTICA!AF175</f>
        <v>APAGADO</v>
      </c>
      <c r="AG177" s="44" t="str">
        <f>ESTADISTICA!AG175</f>
        <v>APAGADO</v>
      </c>
      <c r="AH177" s="44" t="str">
        <f>ESTADISTICA!AH175</f>
        <v>APAGADO</v>
      </c>
      <c r="AI177" s="44" t="str">
        <f>ESTADISTICA!AI175</f>
        <v>APAGADO</v>
      </c>
    </row>
    <row r="178" spans="1:35" x14ac:dyDescent="0.25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 t="str">
        <f>ESTADISTICA!G177</f>
        <v>APAGADO</v>
      </c>
      <c r="H179" s="44" t="str">
        <f>ESTADISTICA!H177</f>
        <v>APAGADO</v>
      </c>
      <c r="I179" s="44" t="str">
        <f>ESTADISTICA!I177</f>
        <v>APAGADO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 t="str">
        <f>ESTADISTICA!L180</f>
        <v>APAGADO</v>
      </c>
      <c r="M182" s="44">
        <f>ESTADISTICA!M180</f>
        <v>0</v>
      </c>
      <c r="N182" s="44" t="str">
        <f>ESTADISTICA!N180</f>
        <v>APAGADO</v>
      </c>
      <c r="O182" s="44" t="str">
        <f>ESTADISTICA!O180</f>
        <v>APAGADO</v>
      </c>
      <c r="P182" s="44" t="str">
        <f>ESTADISTICA!P180</f>
        <v>APAGADO</v>
      </c>
      <c r="Q182" s="44" t="str">
        <f>ESTADISTICA!Q180</f>
        <v>APAGADO</v>
      </c>
      <c r="R182" s="44" t="str">
        <f>ESTADISTICA!R180</f>
        <v>APAGADO</v>
      </c>
      <c r="S182" s="44" t="str">
        <f>ESTADISTICA!S180</f>
        <v>APAGADO</v>
      </c>
      <c r="T182" s="44" t="str">
        <f>ESTADISTICA!T180</f>
        <v>APAGADO</v>
      </c>
      <c r="U182" s="44" t="str">
        <f>ESTADISTICA!U180</f>
        <v>APAGADO</v>
      </c>
      <c r="V182" s="44">
        <f>ESTADISTICA!V180</f>
        <v>0</v>
      </c>
      <c r="W182" s="44" t="str">
        <f>ESTADISTICA!W180</f>
        <v>APAGADO</v>
      </c>
      <c r="X182" s="44" t="str">
        <f>ESTADISTICA!X180</f>
        <v>APAGADO</v>
      </c>
      <c r="Y182" s="44" t="str">
        <f>ESTADISTICA!Y180</f>
        <v>APAGADO</v>
      </c>
      <c r="Z182" s="44" t="str">
        <f>ESTADISTICA!Z180</f>
        <v>APAGADO</v>
      </c>
      <c r="AA182" s="44">
        <f>ESTADISTICA!AA180</f>
        <v>0</v>
      </c>
      <c r="AB182" s="44" t="str">
        <f>ESTADISTICA!AB180</f>
        <v>APAGADO</v>
      </c>
      <c r="AC182" s="44" t="str">
        <f>ESTADISTICA!AC180</f>
        <v>APAGADO</v>
      </c>
      <c r="AD182" s="44" t="str">
        <f>ESTADISTICA!AD180</f>
        <v>APAGADO</v>
      </c>
      <c r="AE182" s="44" t="str">
        <f>ESTADISTICA!AE180</f>
        <v>APAGADO</v>
      </c>
      <c r="AF182" s="44" t="str">
        <f>ESTADISTICA!AF180</f>
        <v>APAGADO</v>
      </c>
      <c r="AG182" s="44" t="str">
        <f>ESTADISTICA!AG180</f>
        <v>APAGADO</v>
      </c>
      <c r="AH182" s="44" t="str">
        <f>ESTADISTICA!AH180</f>
        <v>APAGADO</v>
      </c>
      <c r="AI182" s="44" t="str">
        <f>ESTADISTICA!AI180</f>
        <v>APAGADO</v>
      </c>
    </row>
    <row r="183" spans="1:35" x14ac:dyDescent="0.25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25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 t="str">
        <f>ESTADISTICA!H182</f>
        <v>APAGADO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 t="str">
        <f>ESTADISTICA!Y182</f>
        <v>APAGADO</v>
      </c>
      <c r="Z184" s="44">
        <f>ESTADISTICA!Z182</f>
        <v>0</v>
      </c>
      <c r="AA184" s="44">
        <f>ESTADISTICA!AA182</f>
        <v>0</v>
      </c>
      <c r="AB184" s="44" t="str">
        <f>ESTADISTICA!AB182</f>
        <v>APAGADO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 t="str">
        <f>ESTADISTICA!AI182</f>
        <v>APAGADO</v>
      </c>
    </row>
    <row r="185" spans="1:35" x14ac:dyDescent="0.25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 t="str">
        <f>ESTADISTICA!H183</f>
        <v>APAGADO</v>
      </c>
      <c r="I185" s="44" t="str">
        <f>ESTADISTICA!I183</f>
        <v>APAGADO</v>
      </c>
      <c r="J185" s="44" t="str">
        <f>ESTADISTICA!J183</f>
        <v>APAGADO</v>
      </c>
      <c r="K185" s="44">
        <f>ESTADISTICA!K183</f>
        <v>0</v>
      </c>
      <c r="L185" s="44" t="str">
        <f>ESTADISTICA!L183</f>
        <v>APAGADO</v>
      </c>
      <c r="M185" s="44">
        <f>ESTADISTICA!M183</f>
        <v>0</v>
      </c>
      <c r="N185" s="44" t="str">
        <f>ESTADISTICA!N183</f>
        <v>APAGADO</v>
      </c>
      <c r="O185" s="44" t="str">
        <f>ESTADISTICA!O183</f>
        <v>APAGADO</v>
      </c>
      <c r="P185" s="44" t="str">
        <f>ESTADISTICA!P183</f>
        <v>APAGADO</v>
      </c>
      <c r="Q185" s="44" t="str">
        <f>ESTADISTICA!Q183</f>
        <v>APAGADO</v>
      </c>
      <c r="R185" s="44" t="str">
        <f>ESTADISTICA!R183</f>
        <v>APAGADO</v>
      </c>
      <c r="S185" s="44" t="str">
        <f>ESTADISTICA!S183</f>
        <v>APAGADO</v>
      </c>
      <c r="T185" s="44" t="str">
        <f>ESTADISTICA!T183</f>
        <v>APAGADO</v>
      </c>
      <c r="U185" s="44" t="str">
        <f>ESTADISTICA!U183</f>
        <v>APAGADO</v>
      </c>
      <c r="V185" s="44">
        <f>ESTADISTICA!V183</f>
        <v>0</v>
      </c>
      <c r="W185" s="44" t="str">
        <f>ESTADISTICA!W183</f>
        <v>APAGADO</v>
      </c>
      <c r="X185" s="44" t="str">
        <f>ESTADISTICA!X183</f>
        <v>APAGADO</v>
      </c>
      <c r="Y185" s="44" t="str">
        <f>ESTADISTICA!Y183</f>
        <v>APAGADO</v>
      </c>
      <c r="Z185" s="44" t="str">
        <f>ESTADISTICA!Z183</f>
        <v>APAGADO</v>
      </c>
      <c r="AA185" s="44">
        <f>ESTADISTICA!AA183</f>
        <v>0</v>
      </c>
      <c r="AB185" s="44" t="str">
        <f>ESTADISTICA!AB183</f>
        <v>APAGADO</v>
      </c>
      <c r="AC185" s="44" t="str">
        <f>ESTADISTICA!AC183</f>
        <v>APAGADO</v>
      </c>
      <c r="AD185" s="44" t="str">
        <f>ESTADISTICA!AD183</f>
        <v>APAGADO</v>
      </c>
      <c r="AE185" s="44" t="str">
        <f>ESTADISTICA!AE183</f>
        <v>APAGADO</v>
      </c>
      <c r="AF185" s="44" t="str">
        <f>ESTADISTICA!AF183</f>
        <v>APAGADO</v>
      </c>
      <c r="AG185" s="44" t="str">
        <f>ESTADISTICA!AG183</f>
        <v>APAGADO</v>
      </c>
      <c r="AH185" s="44" t="str">
        <f>ESTADISTICA!AH183</f>
        <v>APAGADO</v>
      </c>
      <c r="AI185" s="44" t="str">
        <f>ESTADISTICA!AI183</f>
        <v>APAGADO</v>
      </c>
    </row>
    <row r="186" spans="1:35" x14ac:dyDescent="0.25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 t="str">
        <f>ESTADISTICA!X184</f>
        <v>APAGADO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 t="str">
        <f>ESTADISTICA!AB184</f>
        <v>APAGADO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25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 t="str">
        <f>ESTADISTICA!AD188</f>
        <v>APAGADO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25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 t="str">
        <f>ESTADISTICA!H189</f>
        <v>APAGADO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25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25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 t="str">
        <f>ESTADISTICA!H191</f>
        <v>APAGADO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 t="str">
        <f>ESTADISTICA!H192</f>
        <v>APAGADO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 t="str">
        <f>ESTADISTICA!H195</f>
        <v>APAGADO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 t="str">
        <f>ESTADISTICA!G196</f>
        <v>APAGADO</v>
      </c>
      <c r="H198" s="44" t="str">
        <f>ESTADISTICA!H196</f>
        <v>APAGADO</v>
      </c>
      <c r="I198" s="44" t="str">
        <f>ESTADISTICA!I196</f>
        <v>APAGADO</v>
      </c>
      <c r="J198" s="44" t="str">
        <f>ESTADISTICA!J196</f>
        <v>APAGADO</v>
      </c>
      <c r="K198" s="44">
        <f>ESTADISTICA!K196</f>
        <v>0</v>
      </c>
      <c r="L198" s="44" t="str">
        <f>ESTADISTICA!L196</f>
        <v>APAGADO</v>
      </c>
      <c r="M198" s="44">
        <f>ESTADISTICA!M196</f>
        <v>0</v>
      </c>
      <c r="N198" s="44" t="str">
        <f>ESTADISTICA!N196</f>
        <v>APAGADO</v>
      </c>
      <c r="O198" s="44" t="str">
        <f>ESTADISTICA!O196</f>
        <v>APAGADO</v>
      </c>
      <c r="P198" s="44" t="str">
        <f>ESTADISTICA!P196</f>
        <v>APAGADO</v>
      </c>
      <c r="Q198" s="44" t="str">
        <f>ESTADISTICA!Q196</f>
        <v>APAGADO</v>
      </c>
      <c r="R198" s="44" t="str">
        <f>ESTADISTICA!R196</f>
        <v>APAGADO</v>
      </c>
      <c r="S198" s="44" t="str">
        <f>ESTADISTICA!S196</f>
        <v>APAGADO</v>
      </c>
      <c r="T198" s="44" t="str">
        <f>ESTADISTICA!T196</f>
        <v>APAGADO</v>
      </c>
      <c r="U198" s="44" t="str">
        <f>ESTADISTICA!U196</f>
        <v>APAGADO</v>
      </c>
      <c r="V198" s="44">
        <f>ESTADISTICA!V196</f>
        <v>0</v>
      </c>
      <c r="W198" s="44" t="str">
        <f>ESTADISTICA!W196</f>
        <v>APAGADO</v>
      </c>
      <c r="X198" s="44" t="str">
        <f>ESTADISTICA!X196</f>
        <v>APAGADO</v>
      </c>
      <c r="Y198" s="44" t="str">
        <f>ESTADISTICA!Y196</f>
        <v>APAGADO</v>
      </c>
      <c r="Z198" s="44" t="str">
        <f>ESTADISTICA!Z196</f>
        <v>APAGADO</v>
      </c>
      <c r="AA198" s="44" t="str">
        <f>ESTADISTICA!AA196</f>
        <v>APAGADO</v>
      </c>
      <c r="AB198" s="44" t="str">
        <f>ESTADISTICA!AB196</f>
        <v>APAGADO</v>
      </c>
      <c r="AC198" s="44" t="str">
        <f>ESTADISTICA!AC196</f>
        <v>APAGADO</v>
      </c>
      <c r="AD198" s="44" t="str">
        <f>ESTADISTICA!AD196</f>
        <v>APAGADO</v>
      </c>
      <c r="AE198" s="44" t="str">
        <f>ESTADISTICA!AE196</f>
        <v>APAGADO</v>
      </c>
      <c r="AF198" s="44" t="str">
        <f>ESTADISTICA!AF196</f>
        <v>APAGADO</v>
      </c>
      <c r="AG198" s="44" t="str">
        <f>ESTADISTICA!AG196</f>
        <v>APAGADO</v>
      </c>
      <c r="AH198" s="44" t="str">
        <f>ESTADISTICA!AH196</f>
        <v>APAGADO</v>
      </c>
      <c r="AI198" s="44" t="str">
        <f>ESTADISTICA!AI196</f>
        <v>APAGADO</v>
      </c>
    </row>
    <row r="199" spans="1:35" x14ac:dyDescent="0.25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 t="str">
        <f>ESTADISTICA!H197</f>
        <v>APAGADO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 t="str">
        <f>ESTADISTICA!H198</f>
        <v>APAGADO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25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 t="str">
        <f>ESTADISTICA!H199</f>
        <v>APAGADO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 t="str">
        <f>ESTADISTICA!AF199</f>
        <v>APAGADO</v>
      </c>
      <c r="AG201" s="44" t="str">
        <f>ESTADISTICA!AG199</f>
        <v>APAGADO</v>
      </c>
      <c r="AH201" s="44">
        <f>ESTADISTICA!AH199</f>
        <v>0</v>
      </c>
      <c r="AI201" s="44">
        <f>ESTADISTICA!AI199</f>
        <v>0</v>
      </c>
    </row>
    <row r="202" spans="1:35" hidden="1" x14ac:dyDescent="0.25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 t="str">
        <f>ESTADISTICA!H200</f>
        <v>APAGADO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25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 t="str">
        <f>ESTADISTICA!H201</f>
        <v>APAGADO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 t="str">
        <f>ESTADISTICA!H202</f>
        <v>APAGADO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25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 t="str">
        <f>ESTADISTICA!H203</f>
        <v>APAGADO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25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 t="str">
        <f>ESTADISTICA!H204</f>
        <v>APAGADO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25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 t="str">
        <f>ESTADISTICA!H205</f>
        <v>APAGADO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25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 t="str">
        <f>ESTADISTICA!H206</f>
        <v>APAGADO</v>
      </c>
      <c r="I208" s="44" t="str">
        <f>ESTADISTICA!I206</f>
        <v>APAGADO</v>
      </c>
      <c r="J208" s="44" t="str">
        <f>ESTADISTICA!J206</f>
        <v>APAGADO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 t="str">
        <f>ESTADISTICA!H207</f>
        <v>APAGADO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 t="str">
        <f>ESTADISTICA!N207</f>
        <v>APAGADO</v>
      </c>
      <c r="O209" s="44">
        <f>ESTADISTICA!O207</f>
        <v>0</v>
      </c>
      <c r="P209" s="44" t="str">
        <f>ESTADISTICA!P207</f>
        <v>APAGADO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 t="str">
        <f>ESTADISTICA!U207</f>
        <v>APAGADO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 t="str">
        <f>ESTADISTICA!AA207</f>
        <v>APAGADO</v>
      </c>
      <c r="AB209" s="44" t="str">
        <f>ESTADISTICA!AB207</f>
        <v>APAGADO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 t="str">
        <f>ESTADISTICA!H208</f>
        <v>APAGADO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25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 t="str">
        <f>ESTADISTICA!H209</f>
        <v>APAGADO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 t="str">
        <f>ESTADISTICA!R209</f>
        <v>APAGADO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 t="str">
        <f>ESTADISTICA!AG209</f>
        <v>APAGADO</v>
      </c>
      <c r="AH211" s="44">
        <f>ESTADISTICA!AH209</f>
        <v>0</v>
      </c>
      <c r="AI211" s="44">
        <f>ESTADISTICA!AI209</f>
        <v>0</v>
      </c>
    </row>
    <row r="212" spans="1:35" x14ac:dyDescent="0.25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 t="str">
        <f>ESTADISTICA!H211</f>
        <v>APAGADO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 t="str">
        <f>ESTADISTICA!U211</f>
        <v>APAGADO</v>
      </c>
      <c r="V213" s="44">
        <f>ESTADISTICA!V211</f>
        <v>0</v>
      </c>
      <c r="W213" s="44" t="str">
        <f>ESTADISTICA!W211</f>
        <v>APAGADO</v>
      </c>
      <c r="X213" s="44" t="str">
        <f>ESTADISTICA!X211</f>
        <v>APAGADO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 t="str">
        <f>ESTADISTICA!U212</f>
        <v>APAGADO</v>
      </c>
      <c r="V214" s="44">
        <f>ESTADISTICA!V212</f>
        <v>0</v>
      </c>
      <c r="W214" s="44" t="str">
        <f>ESTADISTICA!W212</f>
        <v>APAGADO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 t="str">
        <f>ESTADISTICA!U213</f>
        <v>APAGADO</v>
      </c>
      <c r="V215" s="44">
        <f>ESTADISTICA!V213</f>
        <v>0</v>
      </c>
      <c r="W215" s="44" t="str">
        <f>ESTADISTICA!W213</f>
        <v>APAGADO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 t="str">
        <f>ESTADISTICA!U214</f>
        <v>APAGADO</v>
      </c>
      <c r="V216" s="44">
        <f>ESTADISTICA!V214</f>
        <v>0</v>
      </c>
      <c r="W216" s="44" t="str">
        <f>ESTADISTICA!W214</f>
        <v>APAGADO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 t="str">
        <f>ESTADISTICA!U215</f>
        <v>APAGADO</v>
      </c>
      <c r="V217" s="44">
        <f>ESTADISTICA!V215</f>
        <v>0</v>
      </c>
      <c r="W217" s="44" t="str">
        <f>ESTADISTICA!W215</f>
        <v>APAGADO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 t="str">
        <f>ESTADISTICA!X216</f>
        <v>APAGADO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 t="str">
        <f>ESTADISTICA!H217</f>
        <v>APAGADO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 t="str">
        <f>ESTADISTICA!X217</f>
        <v>APAGADO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 t="str">
        <f>ESTADISTICA!X218</f>
        <v>APAGADO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 t="str">
        <f>ESTADISTICA!X219</f>
        <v>APAGADO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 t="str">
        <f>ESTADISTICA!X220</f>
        <v>APAGADO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 t="str">
        <f>ESTADISTICA!X221</f>
        <v>APAGADO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 t="str">
        <f>ESTADISTICA!X222</f>
        <v>APAGADO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 t="str">
        <f>ESTADISTICA!X223</f>
        <v>APAGADO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 t="str">
        <f>ESTADISTICA!X224</f>
        <v>APAGADO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 t="str">
        <f>ESTADISTICA!AB224</f>
        <v>APAGADO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 t="str">
        <f>ESTADISTICA!U225</f>
        <v>APAGADO</v>
      </c>
      <c r="V227" s="44">
        <f>ESTADISTICA!V225</f>
        <v>0</v>
      </c>
      <c r="W227" s="44">
        <f>ESTADISTICA!W225</f>
        <v>0</v>
      </c>
      <c r="X227" s="44" t="str">
        <f>ESTADISTICA!X225</f>
        <v>APAGADO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 t="str">
        <f>ESTADISTICA!U226</f>
        <v>APAGADO</v>
      </c>
      <c r="V228" s="44">
        <f>ESTADISTICA!V226</f>
        <v>0</v>
      </c>
      <c r="W228" s="44">
        <f>ESTADISTICA!W226</f>
        <v>0</v>
      </c>
      <c r="X228" s="44" t="str">
        <f>ESTADISTICA!X226</f>
        <v>APAGADO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 t="str">
        <f>ESTADISTICA!H227</f>
        <v>APAGADO</v>
      </c>
      <c r="I229" s="44" t="str">
        <f>ESTADISTICA!I227</f>
        <v>APAGADO</v>
      </c>
      <c r="J229" s="44" t="str">
        <f>ESTADISTICA!J227</f>
        <v>APAGADO</v>
      </c>
      <c r="K229" s="44">
        <f>ESTADISTICA!K227</f>
        <v>0</v>
      </c>
      <c r="L229" s="44" t="str">
        <f>ESTADISTICA!L227</f>
        <v>APAGADO</v>
      </c>
      <c r="M229" s="44">
        <f>ESTADISTICA!M227</f>
        <v>0</v>
      </c>
      <c r="N229" s="44" t="str">
        <f>ESTADISTICA!N227</f>
        <v>APAGADO</v>
      </c>
      <c r="O229" s="44" t="str">
        <f>ESTADISTICA!O227</f>
        <v>APAGADO</v>
      </c>
      <c r="P229" s="44" t="str">
        <f>ESTADISTICA!P227</f>
        <v>APAGADO</v>
      </c>
      <c r="Q229" s="44" t="str">
        <f>ESTADISTICA!Q227</f>
        <v>APAGADO</v>
      </c>
      <c r="R229" s="44" t="str">
        <f>ESTADISTICA!R227</f>
        <v>APAGADO</v>
      </c>
      <c r="S229" s="44" t="str">
        <f>ESTADISTICA!S227</f>
        <v>APAGADO</v>
      </c>
      <c r="T229" s="44" t="str">
        <f>ESTADISTICA!T227</f>
        <v>APAGADO</v>
      </c>
      <c r="U229" s="44" t="str">
        <f>ESTADISTICA!U227</f>
        <v>APAGADO</v>
      </c>
      <c r="V229" s="44">
        <f>ESTADISTICA!V227</f>
        <v>0</v>
      </c>
      <c r="W229" s="44" t="str">
        <f>ESTADISTICA!W227</f>
        <v>APAGADO</v>
      </c>
      <c r="X229" s="44" t="str">
        <f>ESTADISTICA!X227</f>
        <v>APAGADO</v>
      </c>
      <c r="Y229" s="44" t="str">
        <f>ESTADISTICA!Y227</f>
        <v>APAGADO</v>
      </c>
      <c r="Z229" s="44" t="str">
        <f>ESTADISTICA!Z227</f>
        <v>APAGADO</v>
      </c>
      <c r="AA229" s="44" t="str">
        <f>ESTADISTICA!AA227</f>
        <v>APAGADO</v>
      </c>
      <c r="AB229" s="44" t="str">
        <f>ESTADISTICA!AB227</f>
        <v>APAGADO</v>
      </c>
      <c r="AC229" s="44" t="str">
        <f>ESTADISTICA!AC227</f>
        <v>APAGADO</v>
      </c>
      <c r="AD229" s="44" t="str">
        <f>ESTADISTICA!AD227</f>
        <v>APAGADO</v>
      </c>
      <c r="AE229" s="44" t="str">
        <f>ESTADISTICA!AE227</f>
        <v>APAGADO</v>
      </c>
      <c r="AF229" s="44" t="str">
        <f>ESTADISTICA!AF227</f>
        <v>APAGADO</v>
      </c>
      <c r="AG229" s="44" t="str">
        <f>ESTADISTICA!AG227</f>
        <v>APAGADO</v>
      </c>
      <c r="AH229" s="44" t="str">
        <f>ESTADISTICA!AH227</f>
        <v>APAGADO</v>
      </c>
      <c r="AI229" s="44">
        <f>ESTADISTICA!AI227</f>
        <v>0</v>
      </c>
    </row>
    <row r="230" spans="1:35" hidden="1" x14ac:dyDescent="0.25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 t="str">
        <f>ESTADISTICA!X228</f>
        <v>APAGADO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25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 t="str">
        <f>ESTADISTICA!X229</f>
        <v>APAGADO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 t="str">
        <f>ESTADISTICA!H230</f>
        <v>APAGADO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 t="str">
        <f>ESTADISTICA!U230</f>
        <v>APAGADO</v>
      </c>
      <c r="V232" s="44">
        <f>ESTADISTICA!V230</f>
        <v>0</v>
      </c>
      <c r="W232" s="44" t="str">
        <f>ESTADISTICA!W230</f>
        <v>APAGADO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 t="str">
        <f>ESTADISTICA!G231</f>
        <v>APAGADO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 t="str">
        <f>ESTADISTICA!U231</f>
        <v>APAGADO</v>
      </c>
      <c r="V233" s="44">
        <f>ESTADISTICA!V231</f>
        <v>0</v>
      </c>
      <c r="W233" s="44" t="str">
        <f>ESTADISTICA!W231</f>
        <v>APAGADO</v>
      </c>
      <c r="X233" s="44" t="str">
        <f>ESTADISTICA!X231</f>
        <v>APAGADO</v>
      </c>
      <c r="Y233" s="44" t="str">
        <f>ESTADISTICA!Y231</f>
        <v>APAGADO</v>
      </c>
      <c r="Z233" s="44" t="str">
        <f>ESTADISTICA!Z231</f>
        <v>APAGADO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 t="str">
        <f>ESTADISTICA!U232</f>
        <v>APAGADO</v>
      </c>
      <c r="V234" s="44">
        <f>ESTADISTICA!V232</f>
        <v>0</v>
      </c>
      <c r="W234" s="44">
        <f>ESTADISTICA!W232</f>
        <v>0</v>
      </c>
      <c r="X234" s="44" t="str">
        <f>ESTADISTICA!X232</f>
        <v>APAGADO</v>
      </c>
      <c r="Y234" s="44" t="str">
        <f>ESTADISTICA!Y232</f>
        <v>APAGADO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 t="str">
        <f>ESTADISTICA!U233</f>
        <v>APAGADO</v>
      </c>
      <c r="V235" s="44">
        <f>ESTADISTICA!V233</f>
        <v>0</v>
      </c>
      <c r="W235" s="44">
        <f>ESTADISTICA!W233</f>
        <v>0</v>
      </c>
      <c r="X235" s="44" t="str">
        <f>ESTADISTICA!X233</f>
        <v>APAGADO</v>
      </c>
      <c r="Y235" s="44" t="str">
        <f>ESTADISTICA!Y233</f>
        <v>APAGADO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 t="str">
        <f>ESTADISTICA!H234</f>
        <v>APAGADO</v>
      </c>
      <c r="I236" s="44" t="str">
        <f>ESTADISTICA!I234</f>
        <v>APAGADO</v>
      </c>
      <c r="J236" s="44" t="str">
        <f>ESTADISTICA!J234</f>
        <v>APAGADO</v>
      </c>
      <c r="K236" s="44">
        <f>ESTADISTICA!K234</f>
        <v>0</v>
      </c>
      <c r="L236" s="44" t="str">
        <f>ESTADISTICA!L234</f>
        <v>APAGADO</v>
      </c>
      <c r="M236" s="44">
        <f>ESTADISTICA!M234</f>
        <v>0</v>
      </c>
      <c r="N236" s="44" t="str">
        <f>ESTADISTICA!N234</f>
        <v>APAGADO</v>
      </c>
      <c r="O236" s="44" t="str">
        <f>ESTADISTICA!O234</f>
        <v>APAGADO</v>
      </c>
      <c r="P236" s="44" t="str">
        <f>ESTADISTICA!P234</f>
        <v>APAGADO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 t="str">
        <f>ESTADISTICA!T234</f>
        <v>APAGADO</v>
      </c>
      <c r="U236" s="44" t="str">
        <f>ESTADISTICA!U234</f>
        <v>APAGADO</v>
      </c>
      <c r="V236" s="44">
        <f>ESTADISTICA!V234</f>
        <v>0</v>
      </c>
      <c r="W236" s="44" t="str">
        <f>ESTADISTICA!W234</f>
        <v>APAGADO</v>
      </c>
      <c r="X236" s="44" t="str">
        <f>ESTADISTICA!X234</f>
        <v>APAGADO</v>
      </c>
      <c r="Y236" s="44" t="str">
        <f>ESTADISTICA!Y234</f>
        <v>APAGADO</v>
      </c>
      <c r="Z236" s="44" t="str">
        <f>ESTADISTICA!Z234</f>
        <v>APAGADO</v>
      </c>
      <c r="AA236" s="44">
        <f>ESTADISTICA!AA234</f>
        <v>0</v>
      </c>
      <c r="AB236" s="44" t="str">
        <f>ESTADISTICA!AB234</f>
        <v>APAGADO</v>
      </c>
      <c r="AC236" s="44" t="str">
        <f>ESTADISTICA!AC234</f>
        <v>APAGADO</v>
      </c>
      <c r="AD236" s="44" t="str">
        <f>ESTADISTICA!AD234</f>
        <v>APAGADO</v>
      </c>
      <c r="AE236" s="44" t="str">
        <f>ESTADISTICA!AE234</f>
        <v>APAGADO</v>
      </c>
      <c r="AF236" s="44" t="str">
        <f>ESTADISTICA!AF234</f>
        <v>APAGADO</v>
      </c>
      <c r="AG236" s="44" t="str">
        <f>ESTADISTICA!AG234</f>
        <v>APAGADO</v>
      </c>
      <c r="AH236" s="44" t="str">
        <f>ESTADISTICA!AH234</f>
        <v>APAGADO</v>
      </c>
      <c r="AI236" s="44">
        <f>ESTADISTICA!AI234</f>
        <v>0</v>
      </c>
    </row>
    <row r="237" spans="1:35" x14ac:dyDescent="0.25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 t="str">
        <f>ESTADISTICA!X235</f>
        <v>APAGADO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 t="str">
        <f>ESTADISTICA!X236</f>
        <v>APAGADO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 t="str">
        <f>ESTADISTICA!R237</f>
        <v>APAGADO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 t="str">
        <f>ESTADISTICA!X237</f>
        <v>APAGADO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 t="str">
        <f>ESTADISTICA!AB237</f>
        <v>APAGADO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 t="str">
        <f>ESTADISTICA!X238</f>
        <v>APAGADO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 t="str">
        <f>ESTADISTICA!AB238</f>
        <v>APAGADO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 t="str">
        <f>ESTADISTICA!P239</f>
        <v>APAGADO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 t="str">
        <f>ESTADISTICA!U239</f>
        <v>APAGADO</v>
      </c>
      <c r="V241" s="44">
        <f>ESTADISTICA!V239</f>
        <v>0</v>
      </c>
      <c r="W241" s="44">
        <f>ESTADISTICA!W239</f>
        <v>0</v>
      </c>
      <c r="X241" s="44" t="str">
        <f>ESTADISTICA!X239</f>
        <v>APAGADO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 t="str">
        <f>ESTADISTICA!X240</f>
        <v>APAGADO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 t="str">
        <f>ESTADISTICA!U241</f>
        <v>APAGADO</v>
      </c>
      <c r="V243" s="44">
        <f>ESTADISTICA!V241</f>
        <v>0</v>
      </c>
      <c r="W243" s="44" t="str">
        <f>ESTADISTICA!W241</f>
        <v>APAGADO</v>
      </c>
      <c r="X243" s="44" t="str">
        <f>ESTADISTICA!X241</f>
        <v>APAGADO</v>
      </c>
      <c r="Y243" s="44" t="str">
        <f>ESTADISTICA!Y241</f>
        <v>APAGADO</v>
      </c>
      <c r="Z243" s="44" t="str">
        <f>ESTADISTICA!Z241</f>
        <v>APAGADO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 t="str">
        <f>ESTADISTICA!U242</f>
        <v>APAGADO</v>
      </c>
      <c r="V244" s="44">
        <f>ESTADISTICA!V242</f>
        <v>0</v>
      </c>
      <c r="W244" s="44">
        <f>ESTADISTICA!W242</f>
        <v>0</v>
      </c>
      <c r="X244" s="44" t="str">
        <f>ESTADISTICA!X242</f>
        <v>APAGADO</v>
      </c>
      <c r="Y244" s="44" t="str">
        <f>ESTADISTICA!Y242</f>
        <v>APAGADO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 t="str">
        <f>ESTADISTICA!X243</f>
        <v>APAGADO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 t="str">
        <f>ESTADISTICA!H249</f>
        <v>APAGADO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 t="str">
        <f>ESTADISTICA!H253</f>
        <v>APAGADO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 t="str">
        <f>ESTADISTICA!H265</f>
        <v>APAGADO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 t="str">
        <f>ESTADISTICA!H266</f>
        <v>APAGADO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 t="str">
        <f>ESTADISTICA!H267</f>
        <v>APAGADO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 t="str">
        <f>ESTADISTICA!H270</f>
        <v>APAGADO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 t="str">
        <f>ESTADISTICA!H271</f>
        <v>APAGADO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 t="str">
        <f>ESTADISTICA!H272</f>
        <v>APAGADO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25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 t="str">
        <f>ESTADISTICA!H275</f>
        <v>APAGADO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 t="str">
        <f>ESTADISTICA!F276</f>
        <v>APAGADO</v>
      </c>
      <c r="G278" s="44" t="str">
        <f>ESTADISTICA!G276</f>
        <v>APAGADO</v>
      </c>
      <c r="H278" s="44" t="str">
        <f>ESTADISTICA!H276</f>
        <v>APAGADO</v>
      </c>
      <c r="I278" s="44" t="str">
        <f>ESTADISTICA!I276</f>
        <v>APAGADO</v>
      </c>
      <c r="J278" s="44" t="str">
        <f>ESTADISTICA!J276</f>
        <v>APAGADO</v>
      </c>
      <c r="K278" s="44">
        <f>ESTADISTICA!K276</f>
        <v>0</v>
      </c>
      <c r="L278" s="44" t="str">
        <f>ESTADISTICA!L276</f>
        <v>APAGADO</v>
      </c>
      <c r="M278" s="44">
        <f>ESTADISTICA!M276</f>
        <v>0</v>
      </c>
      <c r="N278" s="44" t="str">
        <f>ESTADISTICA!N276</f>
        <v>APAGADO</v>
      </c>
      <c r="O278" s="44" t="str">
        <f>ESTADISTICA!O276</f>
        <v>APAGADO</v>
      </c>
      <c r="P278" s="44" t="str">
        <f>ESTADISTICA!P276</f>
        <v>APAGADO</v>
      </c>
      <c r="Q278" s="44" t="str">
        <f>ESTADISTICA!Q276</f>
        <v>APAGADO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 t="str">
        <f>ESTADISTICA!L277</f>
        <v>APAGADO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25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25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 t="str">
        <f>ESTADISTICA!H280</f>
        <v>APAGADO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25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 t="str">
        <f>ESTADISTICA!AH282</f>
        <v>APAGADO</v>
      </c>
      <c r="AI284" s="44">
        <f>ESTADISTICA!AI282</f>
        <v>0</v>
      </c>
    </row>
    <row r="285" spans="1:35" x14ac:dyDescent="0.25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 t="str">
        <f>ESTADISTICA!R285</f>
        <v>APAGADO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 t="str">
        <f>ESTADISTICA!R286</f>
        <v>APAGADO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 t="str">
        <f>ESTADISTICA!R291</f>
        <v>APAGADO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 t="str">
        <f>ESTADISTICA!H293</f>
        <v>APAGADO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 t="str">
        <f>ESTADISTICA!R293</f>
        <v>APAGADO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25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 t="str">
        <f>ESTADISTICA!H294</f>
        <v>APAGADO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 t="str">
        <f>ESTADISTICA!N294</f>
        <v>APAGADO</v>
      </c>
      <c r="O296" s="44" t="str">
        <f>ESTADISTICA!O294</f>
        <v>APAGADO</v>
      </c>
      <c r="P296" s="44" t="str">
        <f>ESTADISTICA!P294</f>
        <v>APAGADO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25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 t="str">
        <f>ESTADISTICA!H295</f>
        <v>APAGADO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25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 t="str">
        <f>ESTADISTICA!H296</f>
        <v>APAGADO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25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 t="str">
        <f>ESTADISTICA!H297</f>
        <v>APAGADO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25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 t="str">
        <f>ESTADISTICA!F298</f>
        <v>APAGADO</v>
      </c>
      <c r="G300" s="44">
        <f>ESTADISTICA!G298</f>
        <v>0</v>
      </c>
      <c r="H300" s="44" t="str">
        <f>ESTADISTICA!H298</f>
        <v>APAGADO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 t="str">
        <f>ESTADISTICA!N298</f>
        <v>APAGADO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25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 t="str">
        <f>ESTADISTICA!H299</f>
        <v>APAGADO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 t="str">
        <f>ESTADISTICA!Y299</f>
        <v>APAGADO</v>
      </c>
      <c r="Z301" s="44">
        <f>ESTADISTICA!Z299</f>
        <v>0</v>
      </c>
      <c r="AA301" s="44">
        <f>ESTADISTICA!AA299</f>
        <v>0</v>
      </c>
      <c r="AB301" s="44" t="str">
        <f>ESTADISTICA!AB299</f>
        <v>APAGADO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 t="str">
        <f>ESTADISTICA!AH299</f>
        <v>APAGADO</v>
      </c>
      <c r="AI301" s="44">
        <f>ESTADISTICA!AI299</f>
        <v>0</v>
      </c>
    </row>
    <row r="302" spans="1:35" x14ac:dyDescent="0.25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 t="str">
        <f>ESTADISTICA!X300</f>
        <v>APAGADO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 t="str">
        <f>ESTADISTICA!X301</f>
        <v>APAGADO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 t="str">
        <f>ESTADISTICA!X302</f>
        <v>APAGADO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 t="str">
        <f>ESTADISTICA!X303</f>
        <v>APAGADO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25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 t="str">
        <f>ESTADISTICA!H304</f>
        <v>APAGADO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 t="str">
        <f>ESTADISTICA!R304</f>
        <v>APAGADO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25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 t="str">
        <f>ESTADISTICA!H305</f>
        <v>APAGADO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 t="str">
        <f>ESTADISTICA!R305</f>
        <v>APAGADO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25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25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25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 t="str">
        <f>ESTADISTICA!H308</f>
        <v>APAGADO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 t="str">
        <f>ESTADISTICA!R308</f>
        <v>APAGADO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25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 t="str">
        <f>ESTADISTICA!H309</f>
        <v>APAGADO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 t="str">
        <f>ESTADISTICA!H310</f>
        <v>APAGADO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 t="str">
        <f>ESTADISTICA!H312</f>
        <v>APAGADO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 t="str">
        <f>ESTADISTICA!F314</f>
        <v>APAGADO</v>
      </c>
      <c r="G316" s="44" t="str">
        <f>ESTADISTICA!G314</f>
        <v>APAGADO</v>
      </c>
      <c r="H316" s="44" t="str">
        <f>ESTADISTICA!H314</f>
        <v>APAGADO</v>
      </c>
      <c r="I316" s="44" t="str">
        <f>ESTADISTICA!I314</f>
        <v>APAGADO</v>
      </c>
      <c r="J316" s="44" t="str">
        <f>ESTADISTICA!J314</f>
        <v>APAGADO</v>
      </c>
      <c r="K316" s="44">
        <f>ESTADISTICA!K314</f>
        <v>0</v>
      </c>
      <c r="L316" s="44" t="str">
        <f>ESTADISTICA!L314</f>
        <v>APAGADO</v>
      </c>
      <c r="M316" s="44">
        <f>ESTADISTICA!M314</f>
        <v>0</v>
      </c>
      <c r="N316" s="44" t="str">
        <f>ESTADISTICA!N314</f>
        <v>APAGADO</v>
      </c>
      <c r="O316" s="44" t="str">
        <f>ESTADISTICA!O314</f>
        <v>APAGADO</v>
      </c>
      <c r="P316" s="44" t="str">
        <f>ESTADISTICA!P314</f>
        <v>APAGADO</v>
      </c>
      <c r="Q316" s="44" t="str">
        <f>ESTADISTICA!Q314</f>
        <v>APAGADO</v>
      </c>
      <c r="R316" s="44" t="str">
        <f>ESTADISTICA!R314</f>
        <v>APAGADO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 t="str">
        <f>ESTADISTICA!F315</f>
        <v>APAGADO</v>
      </c>
      <c r="G317" s="44" t="str">
        <f>ESTADISTICA!G315</f>
        <v>APAGADO</v>
      </c>
      <c r="H317" s="44" t="str">
        <f>ESTADISTICA!H315</f>
        <v>APAGADO</v>
      </c>
      <c r="I317" s="44" t="str">
        <f>ESTADISTICA!I315</f>
        <v>APAGADO</v>
      </c>
      <c r="J317" s="44" t="str">
        <f>ESTADISTICA!J315</f>
        <v>APAGADO</v>
      </c>
      <c r="K317" s="44">
        <f>ESTADISTICA!K315</f>
        <v>0</v>
      </c>
      <c r="L317" s="44" t="str">
        <f>ESTADISTICA!L315</f>
        <v>APAGADO</v>
      </c>
      <c r="M317" s="44">
        <f>ESTADISTICA!M315</f>
        <v>0</v>
      </c>
      <c r="N317" s="44" t="str">
        <f>ESTADISTICA!N315</f>
        <v>APAGADO</v>
      </c>
      <c r="O317" s="44" t="str">
        <f>ESTADISTICA!O315</f>
        <v>APAGADO</v>
      </c>
      <c r="P317" s="44" t="str">
        <f>ESTADISTICA!P315</f>
        <v>APAGADO</v>
      </c>
      <c r="Q317" s="44" t="str">
        <f>ESTADISTICA!Q315</f>
        <v>APAGADO</v>
      </c>
      <c r="R317" s="44" t="str">
        <f>ESTADISTICA!R315</f>
        <v>APAGADO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 t="str">
        <f>ESTADISTICA!F316</f>
        <v>APAGADO</v>
      </c>
      <c r="G318" s="44" t="str">
        <f>ESTADISTICA!G316</f>
        <v>APAGADO</v>
      </c>
      <c r="H318" s="44" t="str">
        <f>ESTADISTICA!H316</f>
        <v>APAGADO</v>
      </c>
      <c r="I318" s="44" t="str">
        <f>ESTADISTICA!I316</f>
        <v>APAGADO</v>
      </c>
      <c r="J318" s="44" t="str">
        <f>ESTADISTICA!J316</f>
        <v>APAGADO</v>
      </c>
      <c r="K318" s="44">
        <f>ESTADISTICA!K316</f>
        <v>0</v>
      </c>
      <c r="L318" s="44" t="str">
        <f>ESTADISTICA!L316</f>
        <v>APAGADO</v>
      </c>
      <c r="M318" s="44">
        <f>ESTADISTICA!M316</f>
        <v>0</v>
      </c>
      <c r="N318" s="44" t="str">
        <f>ESTADISTICA!N316</f>
        <v>APAGADO</v>
      </c>
      <c r="O318" s="44" t="str">
        <f>ESTADISTICA!O316</f>
        <v>APAGADO</v>
      </c>
      <c r="P318" s="44" t="str">
        <f>ESTADISTICA!P316</f>
        <v>APAGADO</v>
      </c>
      <c r="Q318" s="44" t="str">
        <f>ESTADISTICA!Q316</f>
        <v>APAGADO</v>
      </c>
      <c r="R318" s="44" t="str">
        <f>ESTADISTICA!R316</f>
        <v>APAGADO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 t="str">
        <f>ESTADISTICA!F317</f>
        <v>APAGADO</v>
      </c>
      <c r="G319" s="44" t="str">
        <f>ESTADISTICA!G317</f>
        <v>APAGADO</v>
      </c>
      <c r="H319" s="44" t="str">
        <f>ESTADISTICA!H317</f>
        <v>APAGADO</v>
      </c>
      <c r="I319" s="44" t="str">
        <f>ESTADISTICA!I317</f>
        <v>APAGADO</v>
      </c>
      <c r="J319" s="44" t="str">
        <f>ESTADISTICA!J317</f>
        <v>APAGADO</v>
      </c>
      <c r="K319" s="44">
        <f>ESTADISTICA!K317</f>
        <v>0</v>
      </c>
      <c r="L319" s="44" t="str">
        <f>ESTADISTICA!L317</f>
        <v>APAGADO</v>
      </c>
      <c r="M319" s="44">
        <f>ESTADISTICA!M317</f>
        <v>0</v>
      </c>
      <c r="N319" s="44" t="str">
        <f>ESTADISTICA!N317</f>
        <v>APAGADO</v>
      </c>
      <c r="O319" s="44" t="str">
        <f>ESTADISTICA!O317</f>
        <v>APAGADO</v>
      </c>
      <c r="P319" s="44" t="str">
        <f>ESTADISTICA!P317</f>
        <v>APAGADO</v>
      </c>
      <c r="Q319" s="44" t="str">
        <f>ESTADISTICA!Q317</f>
        <v>APAGADO</v>
      </c>
      <c r="R319" s="44" t="str">
        <f>ESTADISTICA!R317</f>
        <v>APAGADO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25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 t="str">
        <f>ESTADISTICA!I318</f>
        <v>APAGADO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 t="str">
        <f>ESTADISTICA!H319</f>
        <v>APAGADO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25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25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25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 t="str">
        <f>ESTADISTICA!AA322</f>
        <v>APAGADO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 t="str">
        <f>ESTADISTICA!AI322</f>
        <v>APAGADO</v>
      </c>
    </row>
    <row r="325" spans="1:35" x14ac:dyDescent="0.25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 t="str">
        <f>ESTADISTICA!U323</f>
        <v>APAGADO</v>
      </c>
      <c r="V325" s="44">
        <f>ESTADISTICA!V323</f>
        <v>0</v>
      </c>
      <c r="W325" s="44">
        <f>ESTADISTICA!W323</f>
        <v>0</v>
      </c>
      <c r="X325" s="44" t="str">
        <f>ESTADISTICA!X323</f>
        <v>APAGADO</v>
      </c>
      <c r="Y325" s="44" t="str">
        <f>ESTADISTICA!Y323</f>
        <v>APAGADO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 t="str">
        <f>ESTADISTICA!U324</f>
        <v>APAGADO</v>
      </c>
      <c r="V326" s="44">
        <f>ESTADISTICA!V324</f>
        <v>0</v>
      </c>
      <c r="W326" s="44">
        <f>ESTADISTICA!W324</f>
        <v>0</v>
      </c>
      <c r="X326" s="44" t="str">
        <f>ESTADISTICA!X324</f>
        <v>APAGADO</v>
      </c>
      <c r="Y326" s="44" t="str">
        <f>ESTADISTICA!Y324</f>
        <v>APAGADO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25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 t="str">
        <f>ESTADISTICA!H325</f>
        <v>APAGADO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25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25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25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 t="str">
        <f>ESTADISTICA!H328</f>
        <v>APAGADO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 t="str">
        <f>ESTADISTICA!H329</f>
        <v>APAGADO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25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 t="str">
        <f>ESTADISTICA!H331</f>
        <v>APAGADO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25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25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 t="str">
        <f>ESTADISTICA!Y333</f>
        <v>APAGADO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 t="str">
        <f>ESTADISTICA!H339</f>
        <v>APAGADO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25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25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 t="str">
        <f>ESTADISTICA!L341</f>
        <v>APAGADO</v>
      </c>
      <c r="M343" s="44">
        <f>ESTADISTICA!M341</f>
        <v>0</v>
      </c>
      <c r="N343" s="44">
        <f>ESTADISTICA!N341</f>
        <v>0</v>
      </c>
      <c r="O343" s="44" t="str">
        <f>ESTADISTICA!O341</f>
        <v>APAGADO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 t="str">
        <f>ESTADISTICA!F342</f>
        <v>APAGADO</v>
      </c>
      <c r="G344" s="44" t="str">
        <f>ESTADISTICA!G342</f>
        <v>APAGADO</v>
      </c>
      <c r="H344" s="44" t="str">
        <f>ESTADISTICA!H342</f>
        <v>APAGADO</v>
      </c>
      <c r="I344" s="44" t="str">
        <f>ESTADISTICA!I342</f>
        <v>APAGADO</v>
      </c>
      <c r="J344" s="44" t="str">
        <f>ESTADISTICA!J342</f>
        <v>APAGADO</v>
      </c>
      <c r="K344" s="44">
        <f>ESTADISTICA!K342</f>
        <v>0</v>
      </c>
      <c r="L344" s="44" t="str">
        <f>ESTADISTICA!L342</f>
        <v>APAGADO</v>
      </c>
      <c r="M344" s="44">
        <f>ESTADISTICA!M342</f>
        <v>0</v>
      </c>
      <c r="N344" s="44" t="str">
        <f>ESTADISTICA!N342</f>
        <v>APAGADO</v>
      </c>
      <c r="O344" s="44" t="str">
        <f>ESTADISTICA!O342</f>
        <v>APAGADO</v>
      </c>
      <c r="P344" s="44" t="str">
        <f>ESTADISTICA!P342</f>
        <v>APAGADO</v>
      </c>
      <c r="Q344" s="44" t="str">
        <f>ESTADISTICA!Q342</f>
        <v>APAGADO</v>
      </c>
      <c r="R344" s="44" t="str">
        <f>ESTADISTICA!R342</f>
        <v>APAGADO</v>
      </c>
      <c r="S344" s="44" t="str">
        <f>ESTADISTICA!S342</f>
        <v>APAGADO</v>
      </c>
      <c r="T344" s="44" t="str">
        <f>ESTADISTICA!T342</f>
        <v>APAGADO</v>
      </c>
      <c r="U344" s="44" t="str">
        <f>ESTADISTICA!U342</f>
        <v>APAGADO</v>
      </c>
      <c r="V344" s="44">
        <f>ESTADISTICA!V342</f>
        <v>0</v>
      </c>
      <c r="W344" s="44" t="str">
        <f>ESTADISTICA!W342</f>
        <v>APAGADO</v>
      </c>
      <c r="X344" s="44" t="str">
        <f>ESTADISTICA!X342</f>
        <v>APAGADO</v>
      </c>
      <c r="Y344" s="44" t="str">
        <f>ESTADISTICA!Y342</f>
        <v>APAGADO</v>
      </c>
      <c r="Z344" s="44" t="str">
        <f>ESTADISTICA!Z342</f>
        <v>APAGADO</v>
      </c>
      <c r="AA344" s="44" t="str">
        <f>ESTADISTICA!AA342</f>
        <v>APAGADO</v>
      </c>
      <c r="AB344" s="44" t="str">
        <f>ESTADISTICA!AB342</f>
        <v>APAGADO</v>
      </c>
      <c r="AC344" s="44" t="str">
        <f>ESTADISTICA!AC342</f>
        <v>APAGADO</v>
      </c>
      <c r="AD344" s="44" t="str">
        <f>ESTADISTICA!AD342</f>
        <v>APAGADO</v>
      </c>
      <c r="AE344" s="44" t="str">
        <f>ESTADISTICA!AE342</f>
        <v>APAGADO</v>
      </c>
      <c r="AF344" s="44" t="str">
        <f>ESTADISTICA!AF342</f>
        <v>APAGADO</v>
      </c>
      <c r="AG344" s="44" t="str">
        <f>ESTADISTICA!AG342</f>
        <v>APAGADO</v>
      </c>
      <c r="AH344" s="44" t="str">
        <f>ESTADISTICA!AH342</f>
        <v>APAGADO</v>
      </c>
      <c r="AI344" s="44" t="str">
        <f>ESTADISTICA!AI342</f>
        <v>APAGADO</v>
      </c>
    </row>
    <row r="345" spans="1:35" x14ac:dyDescent="0.25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 t="str">
        <f>ESTADISTICA!F343</f>
        <v>APAGADO</v>
      </c>
      <c r="G345" s="44" t="str">
        <f>ESTADISTICA!G343</f>
        <v>APAGADO</v>
      </c>
      <c r="H345" s="44" t="str">
        <f>ESTADISTICA!H343</f>
        <v>APAGADO</v>
      </c>
      <c r="I345" s="44" t="str">
        <f>ESTADISTICA!I343</f>
        <v>APAGADO</v>
      </c>
      <c r="J345" s="44" t="str">
        <f>ESTADISTICA!J343</f>
        <v>APAGADO</v>
      </c>
      <c r="K345" s="44">
        <f>ESTADISTICA!K343</f>
        <v>0</v>
      </c>
      <c r="L345" s="44" t="str">
        <f>ESTADISTICA!L343</f>
        <v>APAGADO</v>
      </c>
      <c r="M345" s="44">
        <f>ESTADISTICA!M343</f>
        <v>0</v>
      </c>
      <c r="N345" s="44" t="str">
        <f>ESTADISTICA!N343</f>
        <v>APAGADO</v>
      </c>
      <c r="O345" s="44" t="str">
        <f>ESTADISTICA!O343</f>
        <v>APAGADO</v>
      </c>
      <c r="P345" s="44" t="str">
        <f>ESTADISTICA!P343</f>
        <v>APAGADO</v>
      </c>
      <c r="Q345" s="44" t="str">
        <f>ESTADISTICA!Q343</f>
        <v>APAGADO</v>
      </c>
      <c r="R345" s="44" t="str">
        <f>ESTADISTICA!R343</f>
        <v>APAGADO</v>
      </c>
      <c r="S345" s="44" t="str">
        <f>ESTADISTICA!S343</f>
        <v>APAGADO</v>
      </c>
      <c r="T345" s="44" t="str">
        <f>ESTADISTICA!T343</f>
        <v>APAGADO</v>
      </c>
      <c r="U345" s="44" t="str">
        <f>ESTADISTICA!U343</f>
        <v>APAGADO</v>
      </c>
      <c r="V345" s="44">
        <f>ESTADISTICA!V343</f>
        <v>0</v>
      </c>
      <c r="W345" s="44" t="str">
        <f>ESTADISTICA!W343</f>
        <v>APAGADO</v>
      </c>
      <c r="X345" s="44" t="str">
        <f>ESTADISTICA!X343</f>
        <v>APAGADO</v>
      </c>
      <c r="Y345" s="44" t="str">
        <f>ESTADISTICA!Y343</f>
        <v>APAGADO</v>
      </c>
      <c r="Z345" s="44" t="str">
        <f>ESTADISTICA!Z343</f>
        <v>APAGADO</v>
      </c>
      <c r="AA345" s="44" t="str">
        <f>ESTADISTICA!AA343</f>
        <v>APAGADO</v>
      </c>
      <c r="AB345" s="44" t="str">
        <f>ESTADISTICA!AB343</f>
        <v>APAGADO</v>
      </c>
      <c r="AC345" s="44" t="str">
        <f>ESTADISTICA!AC343</f>
        <v>APAGADO</v>
      </c>
      <c r="AD345" s="44" t="str">
        <f>ESTADISTICA!AD343</f>
        <v>APAGADO</v>
      </c>
      <c r="AE345" s="44" t="str">
        <f>ESTADISTICA!AE343</f>
        <v>APAGADO</v>
      </c>
      <c r="AF345" s="44" t="str">
        <f>ESTADISTICA!AF343</f>
        <v>APAGADO</v>
      </c>
      <c r="AG345" s="44" t="str">
        <f>ESTADISTICA!AG343</f>
        <v>APAGADO</v>
      </c>
      <c r="AH345" s="44" t="str">
        <f>ESTADISTICA!AH343</f>
        <v>APAGADO</v>
      </c>
      <c r="AI345" s="44" t="str">
        <f>ESTADISTICA!AI343</f>
        <v>APAGADO</v>
      </c>
    </row>
    <row r="346" spans="1:35" x14ac:dyDescent="0.25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 t="str">
        <f>ESTADISTICA!F344</f>
        <v>APAGADO</v>
      </c>
      <c r="G346" s="44" t="str">
        <f>ESTADISTICA!G344</f>
        <v>APAGADO</v>
      </c>
      <c r="H346" s="44" t="str">
        <f>ESTADISTICA!H344</f>
        <v>APAGADO</v>
      </c>
      <c r="I346" s="44" t="str">
        <f>ESTADISTICA!I344</f>
        <v>APAGADO</v>
      </c>
      <c r="J346" s="44" t="str">
        <f>ESTADISTICA!J344</f>
        <v>APAGADO</v>
      </c>
      <c r="K346" s="44">
        <f>ESTADISTICA!K344</f>
        <v>0</v>
      </c>
      <c r="L346" s="44" t="str">
        <f>ESTADISTICA!L344</f>
        <v>APAGADO</v>
      </c>
      <c r="M346" s="44">
        <f>ESTADISTICA!M344</f>
        <v>0</v>
      </c>
      <c r="N346" s="44" t="str">
        <f>ESTADISTICA!N344</f>
        <v>APAGADO</v>
      </c>
      <c r="O346" s="44" t="str">
        <f>ESTADISTICA!O344</f>
        <v>APAGADO</v>
      </c>
      <c r="P346" s="44" t="str">
        <f>ESTADISTICA!P344</f>
        <v>APAGADO</v>
      </c>
      <c r="Q346" s="44" t="str">
        <f>ESTADISTICA!Q344</f>
        <v>APAGADO</v>
      </c>
      <c r="R346" s="44" t="str">
        <f>ESTADISTICA!R344</f>
        <v>APAGADO</v>
      </c>
      <c r="S346" s="44" t="str">
        <f>ESTADISTICA!S344</f>
        <v>APAGADO</v>
      </c>
      <c r="T346" s="44" t="str">
        <f>ESTADISTICA!T344</f>
        <v>APAGADO</v>
      </c>
      <c r="U346" s="44" t="str">
        <f>ESTADISTICA!U344</f>
        <v>APAGADO</v>
      </c>
      <c r="V346" s="44">
        <f>ESTADISTICA!V344</f>
        <v>0</v>
      </c>
      <c r="W346" s="44" t="str">
        <f>ESTADISTICA!W344</f>
        <v>APAGADO</v>
      </c>
      <c r="X346" s="44" t="str">
        <f>ESTADISTICA!X344</f>
        <v>APAGADO</v>
      </c>
      <c r="Y346" s="44" t="str">
        <f>ESTADISTICA!Y344</f>
        <v>APAGADO</v>
      </c>
      <c r="Z346" s="44" t="str">
        <f>ESTADISTICA!Z344</f>
        <v>APAGADO</v>
      </c>
      <c r="AA346" s="44" t="str">
        <f>ESTADISTICA!AA344</f>
        <v>APAGADO</v>
      </c>
      <c r="AB346" s="44" t="str">
        <f>ESTADISTICA!AB344</f>
        <v>APAGADO</v>
      </c>
      <c r="AC346" s="44" t="str">
        <f>ESTADISTICA!AC344</f>
        <v>APAGADO</v>
      </c>
      <c r="AD346" s="44" t="str">
        <f>ESTADISTICA!AD344</f>
        <v>APAGADO</v>
      </c>
      <c r="AE346" s="44" t="str">
        <f>ESTADISTICA!AE344</f>
        <v>APAGADO</v>
      </c>
      <c r="AF346" s="44" t="str">
        <f>ESTADISTICA!AF344</f>
        <v>APAGADO</v>
      </c>
      <c r="AG346" s="44" t="str">
        <f>ESTADISTICA!AG344</f>
        <v>APAGADO</v>
      </c>
      <c r="AH346" s="44">
        <f>ESTADISTICA!AH344</f>
        <v>0</v>
      </c>
      <c r="AI346" s="44">
        <f>ESTADISTICA!AI344</f>
        <v>0</v>
      </c>
    </row>
    <row r="347" spans="1:35" x14ac:dyDescent="0.25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 t="str">
        <f>ESTADISTICA!F345</f>
        <v>APAGADO</v>
      </c>
      <c r="G347" s="44" t="str">
        <f>ESTADISTICA!G345</f>
        <v>APAGADO</v>
      </c>
      <c r="H347" s="44" t="str">
        <f>ESTADISTICA!H345</f>
        <v>APAGADO</v>
      </c>
      <c r="I347" s="44" t="str">
        <f>ESTADISTICA!I345</f>
        <v>APAGADO</v>
      </c>
      <c r="J347" s="44" t="str">
        <f>ESTADISTICA!J345</f>
        <v>APAGADO</v>
      </c>
      <c r="K347" s="44">
        <f>ESTADISTICA!K345</f>
        <v>0</v>
      </c>
      <c r="L347" s="44" t="str">
        <f>ESTADISTICA!L345</f>
        <v>APAGADO</v>
      </c>
      <c r="M347" s="44">
        <f>ESTADISTICA!M345</f>
        <v>0</v>
      </c>
      <c r="N347" s="44" t="str">
        <f>ESTADISTICA!N345</f>
        <v>APAGADO</v>
      </c>
      <c r="O347" s="44" t="str">
        <f>ESTADISTICA!O345</f>
        <v>APAGADO</v>
      </c>
      <c r="P347" s="44" t="str">
        <f>ESTADISTICA!P345</f>
        <v>APAGADO</v>
      </c>
      <c r="Q347" s="44" t="str">
        <f>ESTADISTICA!Q345</f>
        <v>APAGADO</v>
      </c>
      <c r="R347" s="44" t="str">
        <f>ESTADISTICA!R345</f>
        <v>APAGADO</v>
      </c>
      <c r="S347" s="44" t="str">
        <f>ESTADISTICA!S345</f>
        <v>APAGADO</v>
      </c>
      <c r="T347" s="44" t="str">
        <f>ESTADISTICA!T345</f>
        <v>APAGADO</v>
      </c>
      <c r="U347" s="44" t="str">
        <f>ESTADISTICA!U345</f>
        <v>APAGADO</v>
      </c>
      <c r="V347" s="44">
        <f>ESTADISTICA!V345</f>
        <v>0</v>
      </c>
      <c r="W347" s="44" t="str">
        <f>ESTADISTICA!W345</f>
        <v>APAGADO</v>
      </c>
      <c r="X347" s="44" t="str">
        <f>ESTADISTICA!X345</f>
        <v>APAGADO</v>
      </c>
      <c r="Y347" s="44" t="str">
        <f>ESTADISTICA!Y345</f>
        <v>APAGADO</v>
      </c>
      <c r="Z347" s="44" t="str">
        <f>ESTADISTICA!Z345</f>
        <v>APAGADO</v>
      </c>
      <c r="AA347" s="44" t="str">
        <f>ESTADISTICA!AA345</f>
        <v>APAGADO</v>
      </c>
      <c r="AB347" s="44" t="str">
        <f>ESTADISTICA!AB345</f>
        <v>APAGADO</v>
      </c>
      <c r="AC347" s="44" t="str">
        <f>ESTADISTICA!AC345</f>
        <v>APAGADO</v>
      </c>
      <c r="AD347" s="44" t="str">
        <f>ESTADISTICA!AD345</f>
        <v>APAGADO</v>
      </c>
      <c r="AE347" s="44" t="str">
        <f>ESTADISTICA!AE345</f>
        <v>APAGADO</v>
      </c>
      <c r="AF347" s="44" t="str">
        <f>ESTADISTICA!AF345</f>
        <v>APAGADO</v>
      </c>
      <c r="AG347" s="44" t="str">
        <f>ESTADISTICA!AG345</f>
        <v>APAGADO</v>
      </c>
      <c r="AH347" s="44">
        <f>ESTADISTICA!AH345</f>
        <v>0</v>
      </c>
      <c r="AI347" s="44">
        <f>ESTADISTICA!AI345</f>
        <v>0</v>
      </c>
    </row>
    <row r="348" spans="1:35" x14ac:dyDescent="0.25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 t="str">
        <f>ESTADISTICA!F346</f>
        <v>APAGADO</v>
      </c>
      <c r="G348" s="44" t="str">
        <f>ESTADISTICA!G346</f>
        <v>APAGADO</v>
      </c>
      <c r="H348" s="44" t="str">
        <f>ESTADISTICA!H346</f>
        <v>APAGADO</v>
      </c>
      <c r="I348" s="44" t="str">
        <f>ESTADISTICA!I346</f>
        <v>APAGADO</v>
      </c>
      <c r="J348" s="44" t="str">
        <f>ESTADISTICA!J346</f>
        <v>APAGADO</v>
      </c>
      <c r="K348" s="44">
        <f>ESTADISTICA!K346</f>
        <v>0</v>
      </c>
      <c r="L348" s="44" t="str">
        <f>ESTADISTICA!L346</f>
        <v>APAGADO</v>
      </c>
      <c r="M348" s="44">
        <f>ESTADISTICA!M346</f>
        <v>0</v>
      </c>
      <c r="N348" s="44" t="str">
        <f>ESTADISTICA!N346</f>
        <v>APAGADO</v>
      </c>
      <c r="O348" s="44" t="str">
        <f>ESTADISTICA!O346</f>
        <v>APAGADO</v>
      </c>
      <c r="P348" s="44" t="str">
        <f>ESTADISTICA!P346</f>
        <v>APAGADO</v>
      </c>
      <c r="Q348" s="44" t="str">
        <f>ESTADISTICA!Q346</f>
        <v>APAGADO</v>
      </c>
      <c r="R348" s="44" t="str">
        <f>ESTADISTICA!R346</f>
        <v>APAGADO</v>
      </c>
      <c r="S348" s="44" t="str">
        <f>ESTADISTICA!S346</f>
        <v>APAGADO</v>
      </c>
      <c r="T348" s="44" t="str">
        <f>ESTADISTICA!T346</f>
        <v>APAGADO</v>
      </c>
      <c r="U348" s="44" t="str">
        <f>ESTADISTICA!U346</f>
        <v>APAGADO</v>
      </c>
      <c r="V348" s="44">
        <f>ESTADISTICA!V346</f>
        <v>0</v>
      </c>
      <c r="W348" s="44" t="str">
        <f>ESTADISTICA!W346</f>
        <v>APAGADO</v>
      </c>
      <c r="X348" s="44" t="str">
        <f>ESTADISTICA!X346</f>
        <v>APAGADO</v>
      </c>
      <c r="Y348" s="44" t="str">
        <f>ESTADISTICA!Y346</f>
        <v>APAGADO</v>
      </c>
      <c r="Z348" s="44" t="str">
        <f>ESTADISTICA!Z346</f>
        <v>APAGADO</v>
      </c>
      <c r="AA348" s="44" t="str">
        <f>ESTADISTICA!AA346</f>
        <v>APAGADO</v>
      </c>
      <c r="AB348" s="44" t="str">
        <f>ESTADISTICA!AB346</f>
        <v>APAGADO</v>
      </c>
      <c r="AC348" s="44" t="str">
        <f>ESTADISTICA!AC346</f>
        <v>APAGADO</v>
      </c>
      <c r="AD348" s="44" t="str">
        <f>ESTADISTICA!AD346</f>
        <v>APAGADO</v>
      </c>
      <c r="AE348" s="44" t="str">
        <f>ESTADISTICA!AE346</f>
        <v>APAGADO</v>
      </c>
      <c r="AF348" s="44" t="str">
        <f>ESTADISTICA!AF346</f>
        <v>APAGADO</v>
      </c>
      <c r="AG348" s="44" t="str">
        <f>ESTADISTICA!AG346</f>
        <v>APAGADO</v>
      </c>
      <c r="AH348" s="44">
        <f>ESTADISTICA!AH346</f>
        <v>0</v>
      </c>
      <c r="AI348" s="44">
        <f>ESTADISTICA!AI346</f>
        <v>0</v>
      </c>
    </row>
    <row r="349" spans="1:35" x14ac:dyDescent="0.25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 t="str">
        <f>ESTADISTICA!F347</f>
        <v>APAGADO</v>
      </c>
      <c r="G349" s="44" t="str">
        <f>ESTADISTICA!G347</f>
        <v>APAGADO</v>
      </c>
      <c r="H349" s="44" t="str">
        <f>ESTADISTICA!H347</f>
        <v>APAGADO</v>
      </c>
      <c r="I349" s="44" t="str">
        <f>ESTADISTICA!I347</f>
        <v>APAGADO</v>
      </c>
      <c r="J349" s="44" t="str">
        <f>ESTADISTICA!J347</f>
        <v>APAGADO</v>
      </c>
      <c r="K349" s="44">
        <f>ESTADISTICA!K347</f>
        <v>0</v>
      </c>
      <c r="L349" s="44" t="str">
        <f>ESTADISTICA!L347</f>
        <v>APAGADO</v>
      </c>
      <c r="M349" s="44">
        <f>ESTADISTICA!M347</f>
        <v>0</v>
      </c>
      <c r="N349" s="44" t="str">
        <f>ESTADISTICA!N347</f>
        <v>APAGADO</v>
      </c>
      <c r="O349" s="44" t="str">
        <f>ESTADISTICA!O347</f>
        <v>APAGADO</v>
      </c>
      <c r="P349" s="44" t="str">
        <f>ESTADISTICA!P347</f>
        <v>APAGADO</v>
      </c>
      <c r="Q349" s="44" t="str">
        <f>ESTADISTICA!Q347</f>
        <v>APAGADO</v>
      </c>
      <c r="R349" s="44" t="str">
        <f>ESTADISTICA!R347</f>
        <v>APAGADO</v>
      </c>
      <c r="S349" s="44" t="str">
        <f>ESTADISTICA!S347</f>
        <v>APAGADO</v>
      </c>
      <c r="T349" s="44" t="str">
        <f>ESTADISTICA!T347</f>
        <v>APAGADO</v>
      </c>
      <c r="U349" s="44" t="str">
        <f>ESTADISTICA!U347</f>
        <v>APAGADO</v>
      </c>
      <c r="V349" s="44">
        <f>ESTADISTICA!V347</f>
        <v>0</v>
      </c>
      <c r="W349" s="44" t="str">
        <f>ESTADISTICA!W347</f>
        <v>APAGADO</v>
      </c>
      <c r="X349" s="44" t="str">
        <f>ESTADISTICA!X347</f>
        <v>APAGADO</v>
      </c>
      <c r="Y349" s="44" t="str">
        <f>ESTADISTICA!Y347</f>
        <v>APAGADO</v>
      </c>
      <c r="Z349" s="44" t="str">
        <f>ESTADISTICA!Z347</f>
        <v>APAGADO</v>
      </c>
      <c r="AA349" s="44" t="str">
        <f>ESTADISTICA!AA347</f>
        <v>APAGADO</v>
      </c>
      <c r="AB349" s="44" t="str">
        <f>ESTADISTICA!AB347</f>
        <v>APAGADO</v>
      </c>
      <c r="AC349" s="44" t="str">
        <f>ESTADISTICA!AC347</f>
        <v>APAGADO</v>
      </c>
      <c r="AD349" s="44" t="str">
        <f>ESTADISTICA!AD347</f>
        <v>APAGADO</v>
      </c>
      <c r="AE349" s="44" t="str">
        <f>ESTADISTICA!AE347</f>
        <v>APAGADO</v>
      </c>
      <c r="AF349" s="44" t="str">
        <f>ESTADISTICA!AF347</f>
        <v>APAGADO</v>
      </c>
      <c r="AG349" s="44" t="str">
        <f>ESTADISTICA!AG347</f>
        <v>APAGADO</v>
      </c>
      <c r="AH349" s="44" t="str">
        <f>ESTADISTICA!AH347</f>
        <v>APAGADO</v>
      </c>
      <c r="AI349" s="44">
        <f>ESTADISTICA!AI347</f>
        <v>0</v>
      </c>
    </row>
    <row r="350" spans="1:35" hidden="1" x14ac:dyDescent="0.25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 t="str">
        <f>ESTADISTICA!F348</f>
        <v>APAGADO</v>
      </c>
      <c r="G350" s="44" t="str">
        <f>ESTADISTICA!G348</f>
        <v>APAGADO</v>
      </c>
      <c r="H350" s="44" t="str">
        <f>ESTADISTICA!H348</f>
        <v>APAGADO</v>
      </c>
      <c r="I350" s="44" t="str">
        <f>ESTADISTICA!I348</f>
        <v>APAGADO</v>
      </c>
      <c r="J350" s="44" t="str">
        <f>ESTADISTICA!J348</f>
        <v>APAGADO</v>
      </c>
      <c r="K350" s="44">
        <f>ESTADISTICA!K348</f>
        <v>0</v>
      </c>
      <c r="L350" s="44" t="str">
        <f>ESTADISTICA!L348</f>
        <v>APAGADO</v>
      </c>
      <c r="M350" s="44">
        <f>ESTADISTICA!M348</f>
        <v>0</v>
      </c>
      <c r="N350" s="44" t="str">
        <f>ESTADISTICA!N348</f>
        <v>APAGADO</v>
      </c>
      <c r="O350" s="44" t="str">
        <f>ESTADISTICA!O348</f>
        <v>APAGADO</v>
      </c>
      <c r="P350" s="44" t="str">
        <f>ESTADISTICA!P348</f>
        <v>APAGADO</v>
      </c>
      <c r="Q350" s="44" t="str">
        <f>ESTADISTICA!Q348</f>
        <v>APAGADO</v>
      </c>
      <c r="R350" s="44" t="str">
        <f>ESTADISTICA!R348</f>
        <v>APAGADO</v>
      </c>
      <c r="S350" s="44" t="str">
        <f>ESTADISTICA!S348</f>
        <v>APAGADO</v>
      </c>
      <c r="T350" s="44" t="str">
        <f>ESTADISTICA!T348</f>
        <v>APAGADO</v>
      </c>
      <c r="U350" s="44" t="str">
        <f>ESTADISTICA!U348</f>
        <v>APAGADO</v>
      </c>
      <c r="V350" s="44">
        <f>ESTADISTICA!V348</f>
        <v>0</v>
      </c>
      <c r="W350" s="44" t="str">
        <f>ESTADISTICA!W348</f>
        <v>APAGADO</v>
      </c>
      <c r="X350" s="44" t="str">
        <f>ESTADISTICA!X348</f>
        <v>APAGADO</v>
      </c>
      <c r="Y350" s="44" t="str">
        <f>ESTADISTICA!Y348</f>
        <v>APAGADO</v>
      </c>
      <c r="Z350" s="44" t="str">
        <f>ESTADISTICA!Z348</f>
        <v>APAGADO</v>
      </c>
      <c r="AA350" s="44" t="str">
        <f>ESTADISTICA!AA348</f>
        <v>APAGADO</v>
      </c>
      <c r="AB350" s="44" t="str">
        <f>ESTADISTICA!AB348</f>
        <v>APAGADO</v>
      </c>
      <c r="AC350" s="44" t="str">
        <f>ESTADISTICA!AC348</f>
        <v>APAGADO</v>
      </c>
      <c r="AD350" s="44" t="str">
        <f>ESTADISTICA!AD348</f>
        <v>APAGADO</v>
      </c>
      <c r="AE350" s="44" t="str">
        <f>ESTADISTICA!AE348</f>
        <v>APAGADO</v>
      </c>
      <c r="AF350" s="44" t="str">
        <f>ESTADISTICA!AF348</f>
        <v>APAGADO</v>
      </c>
      <c r="AG350" s="44" t="str">
        <f>ESTADISTICA!AG348</f>
        <v>APAGADO</v>
      </c>
      <c r="AH350" s="44">
        <f>ESTADISTICA!AH348</f>
        <v>0</v>
      </c>
      <c r="AI350" s="44">
        <f>ESTADISTICA!AI348</f>
        <v>0</v>
      </c>
    </row>
    <row r="351" spans="1:35" x14ac:dyDescent="0.25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25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 t="str">
        <f>ESTADISTICA!H351</f>
        <v>APAGADO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25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 t="str">
        <f>ESTADISTICA!H352</f>
        <v>APAGADO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25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25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25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25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 t="str">
        <f>ESTADISTICA!U357</f>
        <v>APAGADO</v>
      </c>
      <c r="V359" s="44">
        <f>ESTADISTICA!V357</f>
        <v>0</v>
      </c>
      <c r="W359" s="44" t="str">
        <f>ESTADISTICA!W357</f>
        <v>APAGADO</v>
      </c>
      <c r="X359" s="44" t="str">
        <f>ESTADISTICA!X357</f>
        <v>APAGADO</v>
      </c>
      <c r="Y359" s="44" t="str">
        <f>ESTADISTICA!Y357</f>
        <v>APAGADO</v>
      </c>
      <c r="Z359" s="44" t="str">
        <f>ESTADISTICA!Z357</f>
        <v>APAGADO</v>
      </c>
      <c r="AA359" s="44" t="str">
        <f>ESTADISTICA!AA357</f>
        <v>APAGADO</v>
      </c>
      <c r="AB359" s="44" t="str">
        <f>ESTADISTICA!AB357</f>
        <v>APAGADO</v>
      </c>
      <c r="AC359" s="44" t="str">
        <f>ESTADISTICA!AC357</f>
        <v>APAGADO</v>
      </c>
      <c r="AD359" s="44" t="str">
        <f>ESTADISTICA!AD357</f>
        <v>APAGADO</v>
      </c>
      <c r="AE359" s="44" t="str">
        <f>ESTADISTICA!AE357</f>
        <v>APAGADO</v>
      </c>
      <c r="AF359" s="44" t="str">
        <f>ESTADISTICA!AF357</f>
        <v>APAGADO</v>
      </c>
      <c r="AG359" s="44" t="str">
        <f>ESTADISTICA!AG357</f>
        <v>APAGADO</v>
      </c>
      <c r="AH359" s="44">
        <f>ESTADISTICA!AH357</f>
        <v>0</v>
      </c>
      <c r="AI359" s="44" t="str">
        <f>ESTADISTICA!AI357</f>
        <v>APAGADO</v>
      </c>
    </row>
    <row r="360" spans="1:35" x14ac:dyDescent="0.25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 t="str">
        <f>ESTADISTICA!X358</f>
        <v>APAGADO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 t="str">
        <f>ESTADISTICA!X359</f>
        <v>APAGADO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 t="str">
        <f>ESTADISTICA!X360</f>
        <v>APAGADO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 t="str">
        <f>ESTADISTICA!X361</f>
        <v>APAGADO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 t="str">
        <f>ESTADISTICA!W362</f>
        <v>APAGADO</v>
      </c>
      <c r="X364" s="44" t="str">
        <f>ESTADISTICA!X362</f>
        <v>APAGADO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 t="str">
        <f>ESTADISTICA!X363</f>
        <v>APAGADO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 t="str">
        <f>ESTADISTICA!X364</f>
        <v>APAGADO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 t="str">
        <f>ESTADISTICA!H366</f>
        <v>APAGADO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 t="str">
        <f>ESTADISTICA!L366</f>
        <v>APAGADO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F3" sqref="A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2</v>
      </c>
      <c r="G2" s="20">
        <f>COUNTIFS(G4:G400, "=APAGADO",E4:E400,"=PTO A FO")</f>
        <v>3</v>
      </c>
      <c r="H2" s="20">
        <f>COUNTIFS(H4:H400, "=APAGADO",E4:E400,"=PTO A FO")</f>
        <v>16</v>
      </c>
      <c r="I2" s="20">
        <f>COUNTIFS(I4:I400, "=APAGADO",E4:E400,"=PTO A FO")</f>
        <v>4</v>
      </c>
      <c r="J2" s="20">
        <f>COUNTIFS(J4:J400, "=APAGADO",E4:E400,"=PTO A FO")</f>
        <v>3</v>
      </c>
      <c r="K2" s="20">
        <f>COUNTIFS(K4:K400, "=APAGADO",E4:E400,"=PTO A FO")</f>
        <v>0</v>
      </c>
      <c r="L2" s="20">
        <f>COUNTIFS(L4:L400, "=APAGADO",E4:E400,"=PTO A FO")</f>
        <v>3</v>
      </c>
      <c r="M2" s="20">
        <f>COUNTIFS(M4:M400, "=APAGADO",E4:E400,"=PTO A FO")</f>
        <v>0</v>
      </c>
      <c r="N2" s="20">
        <f>COUNTIFS(N4:N400, "=APAGADO",E4:E400,"=PTO A FO")</f>
        <v>4</v>
      </c>
      <c r="O2" s="20">
        <f>COUNTIFS(O4:O500, "=APAGADO",E4:E500,"=PTO A FO")</f>
        <v>5</v>
      </c>
      <c r="P2" s="20">
        <f>COUNTIFS(P4:P400, "=APAGADO",E4:E400,"=PTO A FO")</f>
        <v>3</v>
      </c>
      <c r="Q2" s="20">
        <f>COUNTIFS(Q4:Q400, "=APAGADO",E4:E400,"=PTO A FO")</f>
        <v>3</v>
      </c>
      <c r="R2" s="20">
        <f>COUNTIFS(R4:R400, "=APAGADO",E4:E400,"=PTO A FO")</f>
        <v>3</v>
      </c>
      <c r="S2" s="20">
        <f>COUNTIFS(S4:S400, "=APAGADO",E4:E400,"=PTO A FO")</f>
        <v>3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2</v>
      </c>
      <c r="X2" s="20">
        <f>COUNTIFS(X4:X400, "=APAGADO",E4:E400,"=PTO A FO")</f>
        <v>11</v>
      </c>
      <c r="Y2" s="20">
        <f>COUNTIFS(Y4:Y400, "=APAGADO",E4:E400,"=PTO A FO")</f>
        <v>3</v>
      </c>
      <c r="Z2" s="20">
        <f>COUNTIFS(Z4:Z400, "=APAGADO",E4:E400,"=PTO A FO")</f>
        <v>3</v>
      </c>
      <c r="AA2" s="20">
        <f>COUNTIFS(AA4:AA400, "=APAGADO",E4:E400,"=PTO A FO")</f>
        <v>5</v>
      </c>
      <c r="AB2" s="20">
        <f>COUNTIFS(AB4:AB400, "=APAGADO",E4:E400,"=PTO A FO")</f>
        <v>5</v>
      </c>
      <c r="AC2" s="20">
        <f>COUNTIFS(AC4:AC400, "=APAGADO",E4:E400,"=PTO A FO")</f>
        <v>3</v>
      </c>
      <c r="AD2" s="20">
        <f>COUNTIFS(AD4:AD400, "=APAGADO",E4:E400,"=PTO A FO")</f>
        <v>3</v>
      </c>
      <c r="AE2" s="20">
        <f>COUNTIFS(AE4:AE500, "=APAGADO",E4:E500,"=PTO A FO")</f>
        <v>3</v>
      </c>
      <c r="AF2" s="20">
        <f>COUNTIFS(AF4:AF500, "=APAGADO",E4:E500,"=PTO A FO")</f>
        <v>5</v>
      </c>
      <c r="AG2" s="20">
        <f>COUNTIFS(AG4:AG500, "=APAGADO",E4:E500,"=PTO A FO")</f>
        <v>4</v>
      </c>
      <c r="AH2" s="20">
        <f>COUNTIFS(AH4:AH400, "=APAGADO",E4:E400,"=PTO A FO")</f>
        <v>1</v>
      </c>
      <c r="AI2" s="20">
        <f>COUNTIFS(AI4:AI400, "=APAGADO",E4:E400,"=PTO A FO")</f>
        <v>1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 t="str">
        <f>ESTADISTICA!AI67</f>
        <v>APAGADO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 t="str">
        <f>ESTADISTICA!AI121</f>
        <v>APAGADO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 t="str">
        <f>ESTADISTICA!AI124</f>
        <v>APAGADO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 t="str">
        <f>ESTADISTICA!AI134</f>
        <v>APAGADO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 t="str">
        <f>ESTADISTICA!AI135</f>
        <v>APAGADO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 t="str">
        <f>ESTADISTICA!AI163</f>
        <v>APAGADO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 t="str">
        <f>ESTADISTICA!AI164</f>
        <v>APAGADO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 t="str">
        <f>ESTADISTICA!AI322</f>
        <v>APAGADO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 t="str">
        <f>ESTADISTICA!AI343</f>
        <v>APAGADO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 t="str">
        <f>ESTADISTICA!AI357</f>
        <v>APAGADO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93</v>
      </c>
    </row>
    <row r="2" spans="1:35" ht="21" x14ac:dyDescent="0.35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45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5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COUNTIFS(AE4:AE500, "=APAGADO",E4:E500,"=radio")</f>
        <v>3</v>
      </c>
      <c r="AF2" s="20">
        <f>COUNTIFS(AF4:AF500, "=APAGADO",E4:E500,"=radio")</f>
        <v>3</v>
      </c>
      <c r="AG2" s="20">
        <f>COUNTIFS(AG4:AG500, "=APAGADO",E4:E500,"=radio")</f>
        <v>2</v>
      </c>
      <c r="AH2" s="20">
        <f>COUNTIFS(AH4:AH400, "=APAGADO",E4:E400,"=radio")</f>
        <v>1</v>
      </c>
      <c r="AI2" s="20">
        <f>COUNTIFS(AI4:AI500, "=APAGADO",E4:E500,"=radio")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 t="str">
        <f>ESTADISTICA!AF33</f>
        <v>APAGADO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 t="str">
        <f>ESTADISTICA!AF35</f>
        <v>APAGADO</v>
      </c>
      <c r="AG37" t="str">
        <f>ESTADISTICA!AG35</f>
        <v>APAGADO</v>
      </c>
      <c r="AH37" t="str">
        <f>ESTADISTICA!AH35</f>
        <v>APAGADO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 t="str">
        <f>ESTADISTICA!AF55</f>
        <v>APAGADO</v>
      </c>
      <c r="AG57" t="str">
        <f>ESTADISTICA!AG55</f>
        <v>APAGADO</v>
      </c>
      <c r="AH57" t="str">
        <f>ESTADISTICA!AH55</f>
        <v>APAGADO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 t="str">
        <f>ESTADISTICA!AH67</f>
        <v>APAGADO</v>
      </c>
      <c r="AI69" t="str">
        <f>ESTADISTICA!AI67</f>
        <v>APAGADO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 t="str">
        <f>ESTADISTICA!AI121</f>
        <v>APAGADO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 t="str">
        <f>ESTADISTICA!AI124</f>
        <v>APAGADO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 t="str">
        <f>ESTADISTICA!H127</f>
        <v>APAGADO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 t="str">
        <f>ESTADISTICA!AI134</f>
        <v>APAGADO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 t="str">
        <f>ESTADISTICA!AE135</f>
        <v>APAGADO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 t="str">
        <f>ESTADISTICA!AI135</f>
        <v>APAGADO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 t="str">
        <f>ESTADISTICA!X143</f>
        <v>APAGADO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>
        <f>ESTADISTICA!V147</f>
        <v>0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 t="str">
        <f>ESTADISTICA!H148</f>
        <v>APAGADO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 t="str">
        <f>ESTADISTICA!AI163</f>
        <v>APAGADO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 t="str">
        <f>ESTADISTICA!AI164</f>
        <v>APAGADO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 t="str">
        <f>ESTADISTICA!L173</f>
        <v>APAGADO</v>
      </c>
      <c r="M175">
        <f>ESTADISTICA!M173</f>
        <v>0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 t="str">
        <f>ESTADISTICA!U175</f>
        <v>APAGADO</v>
      </c>
      <c r="V177">
        <f>ESTADISTICA!V175</f>
        <v>0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 t="str">
        <f>ESTADISTICA!L180</f>
        <v>APAGADO</v>
      </c>
      <c r="M182">
        <f>ESTADISTICA!M180</f>
        <v>0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 t="str">
        <f>ESTADISTICA!L183</f>
        <v>APAGADO</v>
      </c>
      <c r="M185">
        <f>ESTADISTICA!M183</f>
        <v>0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 t="str">
        <f>ESTADISTICA!X184</f>
        <v>APAGADO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 t="str">
        <f>ESTADISTICA!U214</f>
        <v>APAGADO</v>
      </c>
      <c r="V216">
        <f>ESTADISTICA!V214</f>
        <v>0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 t="str">
        <f>ESTADISTICA!U215</f>
        <v>APAGADO</v>
      </c>
      <c r="V217">
        <f>ESTADISTICA!V215</f>
        <v>0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 t="str">
        <f>ESTADISTICA!Y232</f>
        <v>APAGADO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 t="str">
        <f>ESTADISTICA!X236</f>
        <v>APAGADO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 t="str">
        <f>ESTADISTICA!R237</f>
        <v>APAGADO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 t="str">
        <f>ESTADISTICA!AB237</f>
        <v>APAGADO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 t="str">
        <f>ESTADISTICA!X238</f>
        <v>APAGADO</v>
      </c>
      <c r="Y240">
        <f>ESTADISTICA!Y238</f>
        <v>0</v>
      </c>
      <c r="Z240">
        <f>ESTADISTICA!Z238</f>
        <v>0</v>
      </c>
      <c r="AA240">
        <f>ESTADISTICA!AA238</f>
        <v>0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 t="str">
        <f>ESTADISTICA!X240</f>
        <v>APAGADO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 t="str">
        <f>ESTADISTICA!U241</f>
        <v>APAGADO</v>
      </c>
      <c r="V243">
        <f>ESTADISTICA!V241</f>
        <v>0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 t="str">
        <f>ESTADISTICA!X242</f>
        <v>APAGADO</v>
      </c>
      <c r="Y244" t="str">
        <f>ESTADISTICA!Y242</f>
        <v>APAGADO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 t="str">
        <f>ESTADISTICA!H270</f>
        <v>APAGADO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 t="str">
        <f>ESTADISTICA!H271</f>
        <v>APAGADO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 t="str">
        <f>ESTADISTICA!H275</f>
        <v>APAGADO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 t="str">
        <f>ESTADISTICA!J276</f>
        <v>APAGADO</v>
      </c>
      <c r="K278">
        <f>ESTADISTICA!K276</f>
        <v>0</v>
      </c>
      <c r="L278" t="str">
        <f>ESTADISTICA!L276</f>
        <v>APAGADO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str">
        <f>ESTADISTICA!AH282</f>
        <v>APAGADO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 t="str">
        <f>ESTADISTICA!R291</f>
        <v>APAGADO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 t="str">
        <f>ESTADISTICA!N294</f>
        <v>APAGADO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 t="str">
        <f>ESTADISTICA!H295</f>
        <v>APAGADO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 t="str">
        <f>ESTADISTICA!F298</f>
        <v>APAGADO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 t="str">
        <f>ESTADISTICA!Y299</f>
        <v>APAGADO</v>
      </c>
      <c r="Z301">
        <f>ESTADISTICA!Z299</f>
        <v>0</v>
      </c>
      <c r="AA301">
        <f>ESTADISTICA!AA299</f>
        <v>0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str">
        <f>ESTADISTICA!AH299</f>
        <v>APAGADO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 t="str">
        <f>ESTADISTICA!F314</f>
        <v>APAGADO</v>
      </c>
      <c r="G316" t="str">
        <f>ESTADISTICA!G314</f>
        <v>APAGADO</v>
      </c>
      <c r="H316" t="str">
        <f>ESTADISTICA!H314</f>
        <v>APAGADO</v>
      </c>
      <c r="I316" t="str">
        <f>ESTADISTICA!I314</f>
        <v>APAGADO</v>
      </c>
      <c r="J316" t="str">
        <f>ESTADISTICA!J314</f>
        <v>APAGADO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 t="str">
        <f>ESTADISTICA!N314</f>
        <v>APAGADO</v>
      </c>
      <c r="O316" t="str">
        <f>ESTADISTICA!O314</f>
        <v>APAGADO</v>
      </c>
      <c r="P316" t="str">
        <f>ESTADISTICA!P314</f>
        <v>APAGADO</v>
      </c>
      <c r="Q316" t="str">
        <f>ESTADISTICA!Q314</f>
        <v>APAGADO</v>
      </c>
      <c r="R316" t="str">
        <f>ESTADISTICA!R314</f>
        <v>APAGADO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 t="str">
        <f>ESTADISTICA!L315</f>
        <v>APAGADO</v>
      </c>
      <c r="M317">
        <f>ESTADISTICA!M315</f>
        <v>0</v>
      </c>
      <c r="N317" t="str">
        <f>ESTADISTICA!N315</f>
        <v>APAGADO</v>
      </c>
      <c r="O317" t="str">
        <f>ESTADISTICA!O315</f>
        <v>APAGADO</v>
      </c>
      <c r="P317" t="str">
        <f>ESTADISTICA!P315</f>
        <v>APAGADO</v>
      </c>
      <c r="Q317" t="str">
        <f>ESTADISTICA!Q315</f>
        <v>APAGADO</v>
      </c>
      <c r="R317" t="str">
        <f>ESTADISTICA!R315</f>
        <v>APAGADO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 t="str">
        <f>ESTADISTICA!L316</f>
        <v>APAGADO</v>
      </c>
      <c r="M318">
        <f>ESTADISTICA!M316</f>
        <v>0</v>
      </c>
      <c r="N318" t="str">
        <f>ESTADISTICA!N316</f>
        <v>APAGADO</v>
      </c>
      <c r="O318" t="str">
        <f>ESTADISTICA!O316</f>
        <v>APAGADO</v>
      </c>
      <c r="P318" t="str">
        <f>ESTADISTICA!P316</f>
        <v>APAGADO</v>
      </c>
      <c r="Q318" t="str">
        <f>ESTADISTICA!Q316</f>
        <v>APAGADO</v>
      </c>
      <c r="R318" t="str">
        <f>ESTADISTICA!R316</f>
        <v>APAGADO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>
        <f>ESTADISTICA!K317</f>
        <v>0</v>
      </c>
      <c r="L319" t="str">
        <f>ESTADISTICA!L317</f>
        <v>APAGADO</v>
      </c>
      <c r="M319">
        <f>ESTADISTICA!M317</f>
        <v>0</v>
      </c>
      <c r="N319" t="str">
        <f>ESTADISTICA!N317</f>
        <v>APAGADO</v>
      </c>
      <c r="O319" t="str">
        <f>ESTADISTICA!O317</f>
        <v>APAGADO</v>
      </c>
      <c r="P319" t="str">
        <f>ESTADISTICA!P317</f>
        <v>APAGADO</v>
      </c>
      <c r="Q319" t="str">
        <f>ESTADISTICA!Q317</f>
        <v>APAGADO</v>
      </c>
      <c r="R319" t="str">
        <f>ESTADISTICA!R317</f>
        <v>APAGADO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 t="str">
        <f>ESTADISTICA!I318</f>
        <v>APAGADO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 t="str">
        <f>ESTADISTICA!AI322</f>
        <v>APAGADO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 t="str">
        <f>ESTADISTICA!U323</f>
        <v>APAGADO</v>
      </c>
      <c r="V325">
        <f>ESTADISTICA!V323</f>
        <v>0</v>
      </c>
      <c r="W325">
        <f>ESTADISTICA!W323</f>
        <v>0</v>
      </c>
      <c r="X325" t="str">
        <f>ESTADISTICA!X323</f>
        <v>APAGADO</v>
      </c>
      <c r="Y325" t="str">
        <f>ESTADISTICA!Y323</f>
        <v>APAGADO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>
        <f>ESTADISTICA!N341</f>
        <v>0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>
        <f>ESTADISTICA!K343</f>
        <v>0</v>
      </c>
      <c r="L345" t="str">
        <f>ESTADISTICA!L343</f>
        <v>APAGADO</v>
      </c>
      <c r="M345">
        <f>ESTADISTICA!M343</f>
        <v>0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 t="str">
        <f>ESTADISTICA!Q343</f>
        <v>APAGADO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 t="str">
        <f>ESTADISTICA!W343</f>
        <v>APAGADO</v>
      </c>
      <c r="X345" t="str">
        <f>ESTADISTICA!X343</f>
        <v>APAGADO</v>
      </c>
      <c r="Y345" t="str">
        <f>ESTADISTICA!Y343</f>
        <v>APAGADO</v>
      </c>
      <c r="Z345" t="str">
        <f>ESTADISTICA!Z343</f>
        <v>APAGADO</v>
      </c>
      <c r="AA345" t="str">
        <f>ESTADISTICA!AA343</f>
        <v>APAGADO</v>
      </c>
      <c r="AB345" t="str">
        <f>ESTADISTICA!AB343</f>
        <v>APAGADO</v>
      </c>
      <c r="AC345" t="str">
        <f>ESTADISTICA!AC343</f>
        <v>APAGADO</v>
      </c>
      <c r="AD345" t="str">
        <f>ESTADISTICA!AD343</f>
        <v>APAGADO</v>
      </c>
      <c r="AE345" t="str">
        <f>ESTADISTICA!AE343</f>
        <v>APAGADO</v>
      </c>
      <c r="AF345" t="str">
        <f>ESTADISTICA!AF343</f>
        <v>APAGADO</v>
      </c>
      <c r="AG345" t="str">
        <f>ESTADISTICA!AG343</f>
        <v>APAGADO</v>
      </c>
      <c r="AH345" t="str">
        <f>ESTADISTICA!AH343</f>
        <v>APAGADO</v>
      </c>
      <c r="AI345" t="str">
        <f>ESTADISTICA!AI343</f>
        <v>APAGADO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 t="str">
        <f>ESTADISTICA!L344</f>
        <v>APAGADO</v>
      </c>
      <c r="M346">
        <f>ESTADISTICA!M344</f>
        <v>0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 t="str">
        <f>ESTADISTICA!Y344</f>
        <v>APAGADO</v>
      </c>
      <c r="Z346" t="str">
        <f>ESTADISTICA!Z344</f>
        <v>APAGADO</v>
      </c>
      <c r="AA346" t="str">
        <f>ESTADISTICA!AA344</f>
        <v>APAGADO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 t="str">
        <f>ESTADISTICA!L345</f>
        <v>APAGADO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 t="str">
        <f>ESTADISTICA!T345</f>
        <v>APAGADO</v>
      </c>
      <c r="U347" t="str">
        <f>ESTADISTICA!U345</f>
        <v>APAGADO</v>
      </c>
      <c r="V347">
        <f>ESTADISTICA!V345</f>
        <v>0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 t="str">
        <f>ESTADISTICA!AA345</f>
        <v>APAGADO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 t="str">
        <f>ESTADISTICA!L346</f>
        <v>APAGADO</v>
      </c>
      <c r="M348">
        <f>ESTADISTICA!M346</f>
        <v>0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>
        <f>ESTADISTICA!V346</f>
        <v>0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 t="str">
        <f>ESTADISTICA!AA346</f>
        <v>APAGADO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>
        <f>ESTADISTICA!K347</f>
        <v>0</v>
      </c>
      <c r="L349" t="str">
        <f>ESTADISTICA!L347</f>
        <v>APAGADO</v>
      </c>
      <c r="M349">
        <f>ESTADISTICA!M347</f>
        <v>0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 t="str">
        <f>ESTADISTICA!T347</f>
        <v>APAGADO</v>
      </c>
      <c r="U349" t="str">
        <f>ESTADISTICA!U347</f>
        <v>APAGADO</v>
      </c>
      <c r="V349">
        <f>ESTADISTICA!V347</f>
        <v>0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 t="str">
        <f>ESTADISTICA!T348</f>
        <v>APAGADO</v>
      </c>
      <c r="U350" t="str">
        <f>ESTADISTICA!U348</f>
        <v>APAGADO</v>
      </c>
      <c r="V350">
        <f>ESTADISTICA!V348</f>
        <v>0</v>
      </c>
      <c r="W350" t="str">
        <f>ESTADISTICA!W348</f>
        <v>APAGADO</v>
      </c>
      <c r="X350" t="str">
        <f>ESTADISTICA!X348</f>
        <v>APAGADO</v>
      </c>
      <c r="Y350" t="str">
        <f>ESTADISTICA!Y348</f>
        <v>APAGADO</v>
      </c>
      <c r="Z350" t="str">
        <f>ESTADISTICA!Z348</f>
        <v>APAGADO</v>
      </c>
      <c r="AA350" t="str">
        <f>ESTADISTICA!AA348</f>
        <v>APAGADO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 t="str">
        <f>ESTADISTICA!AI357</f>
        <v>APAGADO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 t="str">
        <f>ESTADISTICA!X361</f>
        <v>APAGADO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 t="str">
        <f>ESTADISTICA!W362</f>
        <v>APAGADO</v>
      </c>
      <c r="X364" t="str">
        <f>ESTADISTICA!X362</f>
        <v>APAGADO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 t="str">
        <f>ESTADISTICA!X364</f>
        <v>APAGADO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 t="str">
        <f>ESTADISTICA!L366</f>
        <v>APAGADO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 t="str">
        <f>ESTADISTICA!H368</f>
        <v>APAGADO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 t="str">
        <f>ESTADISTICA!H370</f>
        <v>APAGADO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 t="str">
        <f>ESTADISTICA!N371</f>
        <v>APAGADO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 t="str">
        <f>ESTADISTICA!U371</f>
        <v>APAGADO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 t="str">
        <f>ESTADISTICA!AA371</f>
        <v>APAGADO</v>
      </c>
      <c r="AB373" s="44" t="str">
        <f>ESTADISTICA!AB371</f>
        <v>APAGADO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 t="str">
        <f>ESTADISTICA!AG371</f>
        <v>APAGADO</v>
      </c>
      <c r="AH373" s="44" t="str">
        <f>ESTADISTICA!AH371</f>
        <v>APAGADO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 t="str">
        <f>ESTADISTICA!H375</f>
        <v>APAGADO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 t="str">
        <f>ESTADISTICA!N375</f>
        <v>APAGADO</v>
      </c>
      <c r="O377" s="44" t="str">
        <f>ESTADISTICA!O375</f>
        <v>APAGADO</v>
      </c>
      <c r="P377" s="44" t="str">
        <f>ESTADISTICA!P375</f>
        <v>APAGADO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 t="str">
        <f>ESTADISTICA!G376</f>
        <v>APAGADO</v>
      </c>
      <c r="H378" s="44" t="str">
        <f>ESTADISTICA!H376</f>
        <v>APAGADO</v>
      </c>
      <c r="I378" s="44" t="str">
        <f>ESTADISTICA!I376</f>
        <v>APAGADO</v>
      </c>
      <c r="J378" s="44" t="str">
        <f>ESTADISTICA!J376</f>
        <v>APAGADO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 t="str">
        <f>ESTADISTICA!N376</f>
        <v>APAGADO</v>
      </c>
      <c r="O378" s="44" t="str">
        <f>ESTADISTICA!O376</f>
        <v>APAGADO</v>
      </c>
      <c r="P378" s="44" t="str">
        <f>ESTADISTICA!P376</f>
        <v>APAGADO</v>
      </c>
      <c r="Q378" s="44" t="str">
        <f>ESTADISTICA!Q376</f>
        <v>APAGADO</v>
      </c>
      <c r="R378" s="44" t="str">
        <f>ESTADISTICA!R376</f>
        <v>APAGADO</v>
      </c>
      <c r="S378" s="44" t="str">
        <f>ESTADISTICA!S376</f>
        <v>APAGADO</v>
      </c>
      <c r="T378" s="44" t="str">
        <f>ESTADISTICA!T376</f>
        <v>APAGADO</v>
      </c>
      <c r="U378" s="44" t="str">
        <f>ESTADISTICA!U376</f>
        <v>APAGADO</v>
      </c>
      <c r="V378" s="44">
        <f>ESTADISTICA!V376</f>
        <v>0</v>
      </c>
      <c r="W378" s="44">
        <f>ESTADISTICA!W376</f>
        <v>0</v>
      </c>
      <c r="X378" s="44" t="str">
        <f>ESTADISTICA!X376</f>
        <v>APAGADO</v>
      </c>
      <c r="Y378" s="44" t="str">
        <f>ESTADISTICA!Y376</f>
        <v>APAGADO</v>
      </c>
      <c r="Z378" s="44" t="str">
        <f>ESTADISTICA!Z376</f>
        <v>APAGADO</v>
      </c>
      <c r="AA378" s="44" t="str">
        <f>ESTADISTICA!AA376</f>
        <v>APAGADO</v>
      </c>
      <c r="AB378" s="44" t="str">
        <f>ESTADISTICA!AB376</f>
        <v>APAGADO</v>
      </c>
      <c r="AC378" s="44" t="str">
        <f>ESTADISTICA!AC376</f>
        <v>APAGADO</v>
      </c>
      <c r="AD378" s="44" t="str">
        <f>ESTADISTICA!AD376</f>
        <v>APAGADO</v>
      </c>
      <c r="AE378" s="44" t="str">
        <f>ESTADISTICA!AE376</f>
        <v>APAGADO</v>
      </c>
      <c r="AF378" s="44" t="str">
        <f>ESTADISTICA!AF376</f>
        <v>APAGADO</v>
      </c>
      <c r="AG378" s="44" t="str">
        <f>ESTADISTICA!AG376</f>
        <v>APAGADO</v>
      </c>
      <c r="AH378" s="44">
        <f>ESTADISTICA!AH376</f>
        <v>0</v>
      </c>
      <c r="AI378" s="44" t="str">
        <f>ESTADISTICA!AI376</f>
        <v>APAGADO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 t="str">
        <f>ESTADISTICA!T377</f>
        <v>APAGADO</v>
      </c>
      <c r="U379" s="44" t="str">
        <f>ESTADISTICA!U377</f>
        <v>APAGADO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 t="str">
        <f>ESTADISTICA!AA377</f>
        <v>APAGADO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 t="str">
        <f>ESTADISTICA!AF377</f>
        <v>APAGADO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 t="str">
        <f>ESTADISTICA!N378</f>
        <v>APAGADO</v>
      </c>
      <c r="O380" s="44" t="str">
        <f>ESTADISTICA!O378</f>
        <v>APAGADO</v>
      </c>
      <c r="P380" s="44" t="str">
        <f>ESTADISTICA!P378</f>
        <v>APAGADO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 t="str">
        <f>ESTADISTICA!AA384</f>
        <v>APAGADO</v>
      </c>
      <c r="AB386" s="44" t="str">
        <f>ESTADISTICA!AB384</f>
        <v>APAGADO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 t="str">
        <f>ESTADISTICA!AH385</f>
        <v>APAGADO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 t="str">
        <f>ESTADISTICA!H387</f>
        <v>APAGADO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 t="str">
        <f>ESTADISTICA!N387</f>
        <v>APAGADO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 t="str">
        <f>ESTADISTICA!U387</f>
        <v>APAGADO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 t="str">
        <f>ESTADISTICA!AA387</f>
        <v>APAGADO</v>
      </c>
      <c r="AB389" s="44" t="str">
        <f>ESTADISTICA!AB387</f>
        <v>APAGADO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 t="str">
        <f>ESTADISTICA!AG387</f>
        <v>APAGADO</v>
      </c>
      <c r="AH389" s="44" t="str">
        <f>ESTADISTICA!AH387</f>
        <v>APAGADO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 t="str">
        <f>ESTADISTICA!H388</f>
        <v>APAGADO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 t="str">
        <f>ESTADISTICA!N388</f>
        <v>APAGADO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 t="str">
        <f>ESTADISTICA!U388</f>
        <v>APAGADO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 t="str">
        <f>ESTADISTICA!AA388</f>
        <v>APAGADO</v>
      </c>
      <c r="AB390" s="44" t="str">
        <f>ESTADISTICA!AB388</f>
        <v>APAGADO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 t="str">
        <f>ESTADISTICA!AG388</f>
        <v>APAGADO</v>
      </c>
      <c r="AH390" s="44" t="str">
        <f>ESTADISTICA!AH388</f>
        <v>APAGADO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 t="str">
        <f>ESTADISTICA!H389</f>
        <v>APAGADO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 t="str">
        <f>ESTADISTICA!O389</f>
        <v>APAGADO</v>
      </c>
      <c r="P391" s="44" t="str">
        <f>ESTADISTICA!P389</f>
        <v>APAGADO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 t="str">
        <f>ESTADISTICA!H390</f>
        <v>APAGADO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 t="str">
        <f>ESTADISTICA!O390</f>
        <v>APAGADO</v>
      </c>
      <c r="P392" s="44" t="str">
        <f>ESTADISTICA!P390</f>
        <v>APAGADO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 t="str">
        <f>ESTADISTICA!H391</f>
        <v>APAGADO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 t="str">
        <f>ESTADISTICA!H392</f>
        <v>APAGADO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 t="str">
        <f>ESTADISTICA!R396</f>
        <v>APAGADO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 t="str">
        <f>ESTADISTICA!R397</f>
        <v>APAGADO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 t="str">
        <f>ESTADISTICA!F399</f>
        <v>APAGADO</v>
      </c>
      <c r="G401" s="44" t="str">
        <f>ESTADISTICA!G399</f>
        <v>APAGADO</v>
      </c>
      <c r="H401" s="44" t="str">
        <f>ESTADISTICA!H399</f>
        <v>APAGADO</v>
      </c>
      <c r="I401" s="44" t="str">
        <f>ESTADISTICA!I399</f>
        <v>APAGADO</v>
      </c>
      <c r="J401" s="44" t="str">
        <f>ESTADISTICA!J399</f>
        <v>APAGADO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 t="str">
        <f>ESTADISTICA!N399</f>
        <v>APAGADO</v>
      </c>
      <c r="O401" s="44" t="str">
        <f>ESTADISTICA!O399</f>
        <v>APAGADO</v>
      </c>
      <c r="P401" s="44" t="str">
        <f>ESTADISTICA!P399</f>
        <v>APAGADO</v>
      </c>
      <c r="Q401" s="44" t="str">
        <f>ESTADISTICA!Q399</f>
        <v>APAGADO</v>
      </c>
      <c r="R401" s="44" t="str">
        <f>ESTADISTICA!R399</f>
        <v>APAGADO</v>
      </c>
      <c r="S401" s="44" t="str">
        <f>ESTADISTICA!S399</f>
        <v>APAGADO</v>
      </c>
      <c r="T401" s="44" t="str">
        <f>ESTADISTICA!T399</f>
        <v>APAGADO</v>
      </c>
      <c r="U401" s="44" t="str">
        <f>ESTADISTICA!U399</f>
        <v>APAGADO</v>
      </c>
      <c r="V401" s="44">
        <f>ESTADISTICA!V399</f>
        <v>0</v>
      </c>
      <c r="W401" s="44" t="str">
        <f>ESTADISTICA!W399</f>
        <v>APAGADO</v>
      </c>
      <c r="X401" s="44" t="str">
        <f>ESTADISTICA!X399</f>
        <v>APAGADO</v>
      </c>
      <c r="Y401" s="44" t="str">
        <f>ESTADISTICA!Y399</f>
        <v>APAGADO</v>
      </c>
      <c r="Z401" s="44" t="str">
        <f>ESTADISTICA!Z399</f>
        <v>APAGADO</v>
      </c>
      <c r="AA401" s="44">
        <f>ESTADISTICA!AA399</f>
        <v>0</v>
      </c>
      <c r="AB401" s="44" t="str">
        <f>ESTADISTICA!AB399</f>
        <v>APAGADO</v>
      </c>
      <c r="AC401" s="44" t="str">
        <f>ESTADISTICA!AC399</f>
        <v>APAGADO</v>
      </c>
      <c r="AD401" s="44" t="str">
        <f>ESTADISTICA!AD399</f>
        <v>APAGADO</v>
      </c>
      <c r="AE401" s="44" t="str">
        <f>ESTADISTICA!AE399</f>
        <v>APAGADO</v>
      </c>
      <c r="AF401" s="44" t="str">
        <f>ESTADISTICA!AF399</f>
        <v>APAGADO</v>
      </c>
      <c r="AG401" s="44" t="str">
        <f>ESTADISTICA!AG399</f>
        <v>APAGADO</v>
      </c>
      <c r="AH401" s="44" t="str">
        <f>ESTADISTICA!AH399</f>
        <v>APAGADO</v>
      </c>
      <c r="AI401" s="44" t="str">
        <f>ESTADISTICA!AI399</f>
        <v>APAGADO</v>
      </c>
    </row>
    <row r="402" spans="1:35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 t="str">
        <f>ESTADISTICA!R400</f>
        <v>APAGADO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 t="str">
        <f>ESTADISTICA!R401</f>
        <v>APAGADO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 t="str">
        <f>ESTADISTICA!F402</f>
        <v>APAGADO</v>
      </c>
      <c r="G404" s="44" t="str">
        <f>ESTADISTICA!G402</f>
        <v>APAGADO</v>
      </c>
      <c r="H404" s="44" t="str">
        <f>ESTADISTICA!H402</f>
        <v>APAGADO</v>
      </c>
      <c r="I404" s="44" t="str">
        <f>ESTADISTICA!I402</f>
        <v>APAGADO</v>
      </c>
      <c r="J404" s="44" t="str">
        <f>ESTADISTICA!J402</f>
        <v>APAGADO</v>
      </c>
      <c r="K404" s="44">
        <f>ESTADISTICA!K402</f>
        <v>0</v>
      </c>
      <c r="L404" s="44" t="str">
        <f>ESTADISTICA!L402</f>
        <v>APAGADO</v>
      </c>
      <c r="M404" s="44">
        <f>ESTADISTICA!M402</f>
        <v>0</v>
      </c>
      <c r="N404" s="44" t="str">
        <f>ESTADISTICA!N402</f>
        <v>APAGADO</v>
      </c>
      <c r="O404" s="44" t="str">
        <f>ESTADISTICA!O402</f>
        <v>APAGADO</v>
      </c>
      <c r="P404" s="44" t="str">
        <f>ESTADISTICA!P402</f>
        <v>APAGADO</v>
      </c>
      <c r="Q404" s="44" t="str">
        <f>ESTADISTICA!Q402</f>
        <v>APAGADO</v>
      </c>
      <c r="R404" s="44" t="str">
        <f>ESTADISTICA!R402</f>
        <v>APAGADO</v>
      </c>
      <c r="S404" s="44" t="str">
        <f>ESTADISTICA!S402</f>
        <v>APAGADO</v>
      </c>
      <c r="T404" s="44" t="str">
        <f>ESTADISTICA!T402</f>
        <v>APAGADO</v>
      </c>
      <c r="U404" s="44" t="str">
        <f>ESTADISTICA!U402</f>
        <v>APAGADO</v>
      </c>
      <c r="V404" s="44">
        <f>ESTADISTICA!V402</f>
        <v>0</v>
      </c>
      <c r="W404" s="44" t="str">
        <f>ESTADISTICA!W402</f>
        <v>APAGADO</v>
      </c>
      <c r="X404" s="44" t="str">
        <f>ESTADISTICA!X402</f>
        <v>APAGADO</v>
      </c>
      <c r="Y404" s="44" t="str">
        <f>ESTADISTICA!Y402</f>
        <v>APAGADO</v>
      </c>
      <c r="Z404" s="44" t="str">
        <f>ESTADISTICA!Z402</f>
        <v>APAGADO</v>
      </c>
      <c r="AA404" s="44" t="str">
        <f>ESTADISTICA!AA402</f>
        <v>APAGADO</v>
      </c>
      <c r="AB404" s="44" t="str">
        <f>ESTADISTICA!AB402</f>
        <v>APAGADO</v>
      </c>
      <c r="AC404" s="44" t="str">
        <f>ESTADISTICA!AC402</f>
        <v>APAGADO</v>
      </c>
      <c r="AD404" s="44" t="str">
        <f>ESTADISTICA!AD402</f>
        <v>APAGADO</v>
      </c>
      <c r="AE404" s="44" t="str">
        <f>ESTADISTICA!AE402</f>
        <v>APAGADO</v>
      </c>
      <c r="AF404" s="44" t="str">
        <f>ESTADISTICA!AF402</f>
        <v>APAGADO</v>
      </c>
      <c r="AG404" s="44" t="str">
        <f>ESTADISTICA!AG402</f>
        <v>APAGADO</v>
      </c>
      <c r="AH404" s="44" t="str">
        <f>ESTADISTICA!AH402</f>
        <v>APAGADO</v>
      </c>
      <c r="AI404" s="44">
        <f>ESTADISTICA!AI402</f>
        <v>0</v>
      </c>
    </row>
    <row r="405" spans="1:35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 t="str">
        <f>ESTADISTICA!R403</f>
        <v>APAGADO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 t="str">
        <f>ESTADISTICA!Y404</f>
        <v>APAGADO</v>
      </c>
      <c r="Z406" s="44" t="str">
        <f>ESTADISTICA!Z404</f>
        <v>APAGADO</v>
      </c>
      <c r="AA406" s="44">
        <f>ESTADISTICA!AA404</f>
        <v>0</v>
      </c>
      <c r="AB406" s="44">
        <f>ESTADISTICA!AB404</f>
        <v>0</v>
      </c>
      <c r="AC406" s="44" t="str">
        <f>ESTADISTICA!AC404</f>
        <v>APAGADO</v>
      </c>
      <c r="AD406" s="44" t="str">
        <f>ESTADISTICA!AD404</f>
        <v>APAGADO</v>
      </c>
      <c r="AE406" s="44">
        <f>ESTADISTICA!AE404</f>
        <v>0</v>
      </c>
      <c r="AF406" s="44" t="str">
        <f>ESTADISTICA!AF404</f>
        <v>APAGADO</v>
      </c>
      <c r="AG406" s="44" t="str">
        <f>ESTADISTICA!AG404</f>
        <v>APAGADO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 t="str">
        <f>ESTADISTICA!Y405</f>
        <v>APAGADO</v>
      </c>
      <c r="Z407" s="44" t="str">
        <f>ESTADISTICA!Z405</f>
        <v>APAGADO</v>
      </c>
      <c r="AA407" s="44">
        <f>ESTADISTICA!AA405</f>
        <v>0</v>
      </c>
      <c r="AB407" s="44">
        <f>ESTADISTICA!AB405</f>
        <v>0</v>
      </c>
      <c r="AC407" s="44" t="str">
        <f>ESTADISTICA!AC405</f>
        <v>APAGADO</v>
      </c>
      <c r="AD407" s="44" t="str">
        <f>ESTADISTICA!AD405</f>
        <v>APAGADO</v>
      </c>
      <c r="AE407" s="44">
        <f>ESTADISTICA!AE405</f>
        <v>0</v>
      </c>
      <c r="AF407" s="44" t="str">
        <f>ESTADISTICA!AF405</f>
        <v>APAGADO</v>
      </c>
      <c r="AG407" s="44" t="str">
        <f>ESTADISTICA!AG405</f>
        <v>APAGADO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 t="str">
        <f>ESTADISTICA!R406</f>
        <v>APAGADO</v>
      </c>
      <c r="S408" s="44" t="str">
        <f>ESTADISTICA!S406</f>
        <v>APAGADO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 t="str">
        <f>ESTADISTICA!AA406</f>
        <v>APAGADO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 t="str">
        <f>ESTADISTICA!AH406</f>
        <v>APAGADO</v>
      </c>
      <c r="AI408" s="44" t="str">
        <f>ESTADISTICA!AI406</f>
        <v>APAGADO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 t="str">
        <f>ESTADISTICA!R407</f>
        <v>APAGADO</v>
      </c>
      <c r="S409" s="44" t="str">
        <f>ESTADISTICA!S407</f>
        <v>APAGADO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 t="str">
        <f>ESTADISTICA!AA407</f>
        <v>APAGADO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 t="str">
        <f>ESTADISTICA!AH407</f>
        <v>APAGADO</v>
      </c>
      <c r="AI409" s="44" t="str">
        <f>ESTADISTICA!AI407</f>
        <v>APAGADO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 t="str">
        <f>ESTADISTICA!Y417</f>
        <v>APAGADO</v>
      </c>
      <c r="Z419" s="44" t="str">
        <f>ESTADISTICA!Z417</f>
        <v>APAGADO</v>
      </c>
      <c r="AA419" s="44" t="str">
        <f>ESTADISTICA!AA417</f>
        <v>APAGADO</v>
      </c>
      <c r="AB419" s="44" t="str">
        <f>ESTADISTICA!AB417</f>
        <v>APAGADO</v>
      </c>
      <c r="AC419" s="44" t="str">
        <f>ESTADISTICA!AC417</f>
        <v>APAGADO</v>
      </c>
      <c r="AD419" s="44" t="str">
        <f>ESTADISTICA!AD417</f>
        <v>APAGADO</v>
      </c>
      <c r="AE419" s="44" t="str">
        <f>ESTADISTICA!AE417</f>
        <v>APAGADO</v>
      </c>
      <c r="AF419" s="44" t="str">
        <f>ESTADISTICA!AF417</f>
        <v>APAGADO</v>
      </c>
      <c r="AG419" s="44" t="str">
        <f>ESTADISTICA!AG417</f>
        <v>APAGADO</v>
      </c>
      <c r="AH419" s="44" t="str">
        <f>ESTADISTICA!AH417</f>
        <v>APAGADO</v>
      </c>
      <c r="AI419" s="44" t="str">
        <f>ESTADISTICA!AI417</f>
        <v>APAGADO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1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2"/>
      <c r="G3" s="87"/>
      <c r="H3" s="88"/>
      <c r="I3" s="88"/>
      <c r="J3" s="88"/>
      <c r="K3" s="89"/>
      <c r="L3" s="90"/>
      <c r="M3" s="136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2"/>
      <c r="G4" s="91"/>
      <c r="H4" s="92"/>
      <c r="I4" s="92"/>
      <c r="J4" s="92"/>
      <c r="K4" s="93"/>
      <c r="L4" s="94"/>
      <c r="M4" s="137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2"/>
      <c r="G5" s="91"/>
      <c r="H5" s="92"/>
      <c r="I5" s="92"/>
      <c r="J5" s="92"/>
      <c r="K5" s="93"/>
      <c r="L5" s="94"/>
      <c r="M5" s="137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3"/>
      <c r="G6" s="91"/>
      <c r="H6" s="92"/>
      <c r="I6" s="92"/>
      <c r="J6" s="92"/>
      <c r="K6" s="93"/>
      <c r="L6" s="94"/>
      <c r="M6" s="137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1">
        <v>44859</v>
      </c>
      <c r="G7" s="91"/>
      <c r="H7" s="92"/>
      <c r="I7" s="92"/>
      <c r="J7" s="92"/>
      <c r="K7" s="93"/>
      <c r="L7" s="94"/>
      <c r="M7" s="137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2"/>
      <c r="G8" s="99"/>
      <c r="H8" s="100"/>
      <c r="I8" s="100"/>
      <c r="J8" s="100"/>
      <c r="K8" s="101"/>
      <c r="L8" s="102"/>
      <c r="M8" s="139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2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2"/>
      <c r="G10" s="107"/>
      <c r="H10" s="108"/>
      <c r="I10" s="108"/>
      <c r="J10" s="108"/>
      <c r="K10" s="109"/>
      <c r="L10" s="110"/>
      <c r="M10" s="136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3"/>
      <c r="G11" s="111"/>
      <c r="H11" s="104"/>
      <c r="I11" s="104"/>
      <c r="J11" s="104"/>
      <c r="K11" s="105"/>
      <c r="L11" s="112"/>
      <c r="M11" s="137"/>
    </row>
    <row r="12" spans="1:13" ht="15.75" thickTop="1" x14ac:dyDescent="0.25">
      <c r="A12" s="79" t="s">
        <v>999</v>
      </c>
      <c r="B12" s="80">
        <v>430</v>
      </c>
      <c r="C12" s="81"/>
      <c r="D12" s="82"/>
      <c r="E12" s="131">
        <v>44860</v>
      </c>
      <c r="G12" s="111"/>
      <c r="H12" s="104"/>
      <c r="I12" s="104"/>
      <c r="J12" s="104"/>
      <c r="K12" s="105"/>
      <c r="L12" s="112"/>
      <c r="M12" s="137"/>
    </row>
    <row r="13" spans="1:13" x14ac:dyDescent="0.25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2"/>
      <c r="G13" s="111"/>
      <c r="H13" s="104"/>
      <c r="I13" s="104"/>
      <c r="J13" s="104"/>
      <c r="K13" s="105"/>
      <c r="L13" s="112"/>
      <c r="M13" s="137"/>
    </row>
    <row r="14" spans="1:13" x14ac:dyDescent="0.25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2"/>
      <c r="G14" s="111"/>
      <c r="H14" s="104"/>
      <c r="I14" s="104"/>
      <c r="J14" s="104"/>
      <c r="K14" s="105"/>
      <c r="L14" s="112"/>
      <c r="M14" s="137"/>
    </row>
    <row r="15" spans="1:13" ht="15" customHeight="1" thickBot="1" x14ac:dyDescent="0.3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2"/>
      <c r="G15" s="113"/>
      <c r="H15" s="114"/>
      <c r="I15" s="114"/>
      <c r="J15" s="114"/>
      <c r="K15" s="114"/>
      <c r="L15" s="115"/>
      <c r="M15" s="138"/>
    </row>
    <row r="16" spans="1:13" ht="16.5" thickTop="1" thickBot="1" x14ac:dyDescent="0.3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3"/>
      <c r="G16" s="116"/>
      <c r="H16" s="117"/>
      <c r="I16" s="117"/>
      <c r="J16" s="117"/>
      <c r="K16" s="118"/>
      <c r="L16" s="119"/>
      <c r="M16" s="136"/>
    </row>
    <row r="17" spans="1:14" ht="15.75" thickTop="1" x14ac:dyDescent="0.25">
      <c r="A17" s="79" t="s">
        <v>999</v>
      </c>
      <c r="B17" s="80">
        <v>430</v>
      </c>
      <c r="C17" s="81"/>
      <c r="D17" s="82"/>
      <c r="E17" s="131">
        <v>44862</v>
      </c>
      <c r="G17" s="120"/>
      <c r="H17" s="104"/>
      <c r="I17" s="104"/>
      <c r="J17" s="104"/>
      <c r="K17" s="105"/>
      <c r="L17" s="121"/>
      <c r="M17" s="137"/>
    </row>
    <row r="18" spans="1:14" x14ac:dyDescent="0.25">
      <c r="A18" s="83" t="s">
        <v>6</v>
      </c>
      <c r="B18" s="84">
        <v>48</v>
      </c>
      <c r="C18" s="85">
        <v>48</v>
      </c>
      <c r="D18" s="86">
        <f>C18/B17</f>
        <v>0.11162790697674418</v>
      </c>
      <c r="E18" s="132"/>
      <c r="G18" s="120"/>
      <c r="H18" s="104"/>
      <c r="I18" s="104"/>
      <c r="J18" s="104"/>
      <c r="K18" s="105"/>
      <c r="L18" s="121"/>
      <c r="M18" s="137"/>
    </row>
    <row r="19" spans="1:14" x14ac:dyDescent="0.25">
      <c r="A19" s="83" t="s">
        <v>1001</v>
      </c>
      <c r="B19" s="84">
        <v>2</v>
      </c>
      <c r="C19" s="85">
        <f>C18-B19</f>
        <v>46</v>
      </c>
      <c r="D19" s="86">
        <f>C19/B17</f>
        <v>0.10697674418604651</v>
      </c>
      <c r="E19" s="132"/>
      <c r="G19" s="120"/>
      <c r="H19" s="104"/>
      <c r="I19" s="104"/>
      <c r="J19" s="104"/>
      <c r="K19" s="105"/>
      <c r="L19" s="121"/>
      <c r="M19" s="137"/>
    </row>
    <row r="20" spans="1:14" x14ac:dyDescent="0.25">
      <c r="A20" s="83" t="s">
        <v>1000</v>
      </c>
      <c r="B20" s="84">
        <v>1</v>
      </c>
      <c r="C20" s="85">
        <f>C19-B20</f>
        <v>45</v>
      </c>
      <c r="D20" s="86">
        <f>C20/B17</f>
        <v>0.10465116279069768</v>
      </c>
      <c r="E20" s="132"/>
      <c r="G20" s="120"/>
      <c r="H20" s="104"/>
      <c r="I20" s="104"/>
      <c r="J20" s="104"/>
      <c r="K20" s="105"/>
      <c r="L20" s="121"/>
      <c r="M20" s="137"/>
    </row>
    <row r="21" spans="1:14" ht="15.75" thickBot="1" x14ac:dyDescent="0.3">
      <c r="A21" s="95" t="s">
        <v>16</v>
      </c>
      <c r="B21" s="96">
        <v>2</v>
      </c>
      <c r="C21" s="97">
        <f>C20-B21</f>
        <v>43</v>
      </c>
      <c r="D21" s="86">
        <f>C21/B17</f>
        <v>0.1</v>
      </c>
      <c r="E21" s="133"/>
      <c r="G21" s="113"/>
      <c r="H21" s="114"/>
      <c r="I21" s="114"/>
      <c r="J21" s="114"/>
      <c r="K21" s="114"/>
      <c r="L21" s="115"/>
      <c r="M21" s="138"/>
    </row>
    <row r="22" spans="1:14" ht="15.75" thickTop="1" x14ac:dyDescent="0.25">
      <c r="A22" s="79" t="s">
        <v>999</v>
      </c>
      <c r="B22" s="80"/>
      <c r="C22" s="81"/>
      <c r="D22" s="82"/>
      <c r="E22" s="131"/>
    </row>
    <row r="23" spans="1:14" ht="15.75" thickBot="1" x14ac:dyDescent="0.3">
      <c r="A23" s="83" t="s">
        <v>6</v>
      </c>
      <c r="B23" s="84"/>
      <c r="C23" s="85"/>
      <c r="D23" s="86"/>
      <c r="E23" s="132"/>
    </row>
    <row r="24" spans="1:14" ht="15.75" thickTop="1" x14ac:dyDescent="0.25">
      <c r="A24" s="83" t="s">
        <v>1001</v>
      </c>
      <c r="B24" s="84"/>
      <c r="C24" s="85"/>
      <c r="D24" s="86"/>
      <c r="E24" s="132"/>
      <c r="G24" s="107"/>
      <c r="H24" s="108"/>
      <c r="I24" s="108"/>
      <c r="J24" s="108"/>
      <c r="K24" s="109"/>
      <c r="L24" s="110"/>
      <c r="M24" s="136"/>
    </row>
    <row r="25" spans="1:14" x14ac:dyDescent="0.25">
      <c r="A25" s="83" t="s">
        <v>1000</v>
      </c>
      <c r="B25" s="84"/>
      <c r="C25" s="85"/>
      <c r="D25" s="86"/>
      <c r="E25" s="132"/>
      <c r="G25" s="111"/>
      <c r="H25" s="104"/>
      <c r="I25" s="104"/>
      <c r="J25" s="104"/>
      <c r="K25" s="105"/>
      <c r="L25" s="112"/>
      <c r="M25" s="137"/>
    </row>
    <row r="26" spans="1:14" ht="15.75" thickBot="1" x14ac:dyDescent="0.3">
      <c r="A26" s="95" t="s">
        <v>16</v>
      </c>
      <c r="B26" s="96"/>
      <c r="C26" s="97"/>
      <c r="D26" s="98"/>
      <c r="E26" s="133"/>
      <c r="G26" s="111"/>
      <c r="H26" s="104"/>
      <c r="I26" s="104"/>
      <c r="J26" s="104"/>
      <c r="K26" s="105"/>
      <c r="L26" s="112"/>
      <c r="M26" s="137"/>
    </row>
    <row r="27" spans="1:14" ht="15.75" thickTop="1" x14ac:dyDescent="0.25">
      <c r="A27" s="79" t="s">
        <v>999</v>
      </c>
      <c r="B27" s="80"/>
      <c r="C27" s="81"/>
      <c r="D27" s="82"/>
      <c r="E27" s="131"/>
      <c r="G27" s="111"/>
      <c r="H27" s="104"/>
      <c r="I27" s="104"/>
      <c r="J27" s="104"/>
      <c r="K27" s="105"/>
      <c r="L27" s="112"/>
      <c r="M27" s="137"/>
    </row>
    <row r="28" spans="1:14" x14ac:dyDescent="0.25">
      <c r="A28" s="83" t="s">
        <v>6</v>
      </c>
      <c r="B28" s="84"/>
      <c r="C28" s="85"/>
      <c r="D28" s="86"/>
      <c r="E28" s="132"/>
      <c r="G28" s="111"/>
      <c r="H28" s="104"/>
      <c r="I28" s="104"/>
      <c r="J28" s="104"/>
      <c r="K28" s="105"/>
      <c r="L28" s="112"/>
      <c r="M28" s="137"/>
    </row>
    <row r="29" spans="1:14" ht="15.75" thickBot="1" x14ac:dyDescent="0.3">
      <c r="A29" s="83" t="s">
        <v>1001</v>
      </c>
      <c r="B29" s="84"/>
      <c r="C29" s="85"/>
      <c r="D29" s="86"/>
      <c r="E29" s="132"/>
      <c r="G29" s="113"/>
      <c r="H29" s="114"/>
      <c r="I29" s="114"/>
      <c r="J29" s="114"/>
      <c r="K29" s="114"/>
      <c r="L29" s="115"/>
      <c r="M29" s="138"/>
    </row>
    <row r="30" spans="1:14" ht="16.5" thickTop="1" thickBot="1" x14ac:dyDescent="0.3">
      <c r="A30" s="83" t="s">
        <v>1000</v>
      </c>
      <c r="B30" s="84"/>
      <c r="C30" s="85"/>
      <c r="D30" s="86"/>
      <c r="E30" s="132"/>
    </row>
    <row r="31" spans="1:14" ht="16.5" thickTop="1" thickBot="1" x14ac:dyDescent="0.3">
      <c r="A31" s="95" t="s">
        <v>16</v>
      </c>
      <c r="B31" s="96"/>
      <c r="C31" s="97"/>
      <c r="D31" s="98"/>
      <c r="E31" s="133"/>
      <c r="G31" s="116"/>
      <c r="H31" s="122"/>
      <c r="I31" s="117"/>
      <c r="J31" s="117"/>
      <c r="K31" s="117"/>
      <c r="L31" s="118"/>
      <c r="M31" s="119"/>
      <c r="N31" s="134"/>
    </row>
    <row r="32" spans="1:14" ht="15.75" thickTop="1" x14ac:dyDescent="0.25">
      <c r="A32" s="79" t="s">
        <v>999</v>
      </c>
      <c r="B32" s="80"/>
      <c r="C32" s="81"/>
      <c r="D32" s="82"/>
      <c r="E32" s="131"/>
      <c r="G32" s="120"/>
      <c r="H32" s="103"/>
      <c r="I32" s="104"/>
      <c r="J32" s="104"/>
      <c r="K32" s="104"/>
      <c r="L32" s="105"/>
      <c r="M32" s="121"/>
      <c r="N32" s="135"/>
    </row>
    <row r="33" spans="1:14" ht="15.75" thickBot="1" x14ac:dyDescent="0.3">
      <c r="A33" s="83" t="s">
        <v>6</v>
      </c>
      <c r="B33" s="84"/>
      <c r="C33" s="85"/>
      <c r="D33" s="86"/>
      <c r="E33" s="132"/>
      <c r="G33" s="123"/>
      <c r="H33" s="124"/>
      <c r="I33" s="114"/>
      <c r="J33" s="114"/>
      <c r="K33" s="114"/>
      <c r="L33" s="125"/>
      <c r="M33" s="115"/>
      <c r="N33" s="135"/>
    </row>
    <row r="34" spans="1:14" ht="15.75" thickTop="1" x14ac:dyDescent="0.25">
      <c r="A34" s="83" t="s">
        <v>1001</v>
      </c>
      <c r="B34" s="84"/>
      <c r="C34" s="85"/>
      <c r="D34" s="86"/>
      <c r="E34" s="132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2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3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1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2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2"/>
    </row>
    <row r="40" spans="1:14" ht="15.75" thickTop="1" x14ac:dyDescent="0.25">
      <c r="A40" s="83" t="s">
        <v>1000</v>
      </c>
      <c r="B40" s="84"/>
      <c r="C40" s="85"/>
      <c r="D40" s="86"/>
      <c r="E40" s="132"/>
      <c r="G40" s="107"/>
      <c r="H40" s="108"/>
      <c r="I40" s="108"/>
      <c r="J40" s="108"/>
      <c r="K40" s="109"/>
      <c r="L40" s="110"/>
      <c r="M40" s="136"/>
    </row>
    <row r="41" spans="1:14" ht="15.75" thickBot="1" x14ac:dyDescent="0.3">
      <c r="A41" s="95" t="s">
        <v>16</v>
      </c>
      <c r="B41" s="96"/>
      <c r="C41" s="97"/>
      <c r="D41" s="98"/>
      <c r="E41" s="133"/>
      <c r="G41" s="111"/>
      <c r="H41" s="104"/>
      <c r="I41" s="104"/>
      <c r="J41" s="104"/>
      <c r="K41" s="105"/>
      <c r="L41" s="112"/>
      <c r="M41" s="137"/>
    </row>
    <row r="42" spans="1:14" ht="15" customHeight="1" thickTop="1" x14ac:dyDescent="0.25">
      <c r="A42" s="79" t="s">
        <v>999</v>
      </c>
      <c r="B42" s="80"/>
      <c r="C42" s="81"/>
      <c r="D42" s="82"/>
      <c r="E42" s="131"/>
      <c r="G42" s="111"/>
      <c r="H42" s="104"/>
      <c r="I42" s="104"/>
      <c r="J42" s="104"/>
      <c r="K42" s="105"/>
      <c r="L42" s="112"/>
      <c r="M42" s="137"/>
    </row>
    <row r="43" spans="1:14" x14ac:dyDescent="0.25">
      <c r="A43" s="83" t="s">
        <v>6</v>
      </c>
      <c r="B43" s="84"/>
      <c r="C43" s="85"/>
      <c r="D43" s="86"/>
      <c r="E43" s="132"/>
      <c r="G43" s="111"/>
      <c r="H43" s="104"/>
      <c r="I43" s="104"/>
      <c r="J43" s="104"/>
      <c r="K43" s="105"/>
      <c r="L43" s="112"/>
      <c r="M43" s="137"/>
    </row>
    <row r="44" spans="1:14" x14ac:dyDescent="0.25">
      <c r="A44" s="83" t="s">
        <v>1001</v>
      </c>
      <c r="B44" s="84"/>
      <c r="C44" s="85"/>
      <c r="D44" s="86"/>
      <c r="E44" s="132"/>
      <c r="G44" s="111"/>
      <c r="H44" s="104"/>
      <c r="I44" s="104"/>
      <c r="J44" s="104"/>
      <c r="K44" s="105"/>
      <c r="L44" s="112"/>
      <c r="M44" s="137"/>
    </row>
    <row r="45" spans="1:14" ht="15.75" thickBot="1" x14ac:dyDescent="0.3">
      <c r="A45" s="83" t="s">
        <v>1000</v>
      </c>
      <c r="B45" s="84"/>
      <c r="C45" s="85"/>
      <c r="D45" s="86"/>
      <c r="E45" s="132"/>
      <c r="G45" s="113"/>
      <c r="H45" s="114"/>
      <c r="I45" s="114"/>
      <c r="J45" s="114"/>
      <c r="K45" s="114"/>
      <c r="L45" s="115"/>
      <c r="M45" s="138"/>
    </row>
    <row r="46" spans="1:14" ht="16.5" thickTop="1" thickBot="1" x14ac:dyDescent="0.3">
      <c r="A46" s="95" t="s">
        <v>16</v>
      </c>
      <c r="B46" s="96"/>
      <c r="C46" s="97"/>
      <c r="D46" s="98"/>
      <c r="E46" s="133"/>
    </row>
    <row r="47" spans="1:14" ht="15.75" thickTop="1" x14ac:dyDescent="0.25">
      <c r="A47" s="79" t="s">
        <v>999</v>
      </c>
      <c r="B47" s="80"/>
      <c r="C47" s="81"/>
      <c r="D47" s="82"/>
      <c r="E47" s="131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2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2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2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3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1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2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2"/>
    </row>
    <row r="55" spans="1:11" x14ac:dyDescent="0.25">
      <c r="A55" s="83" t="s">
        <v>1000</v>
      </c>
      <c r="B55" s="84"/>
      <c r="C55" s="85"/>
      <c r="D55" s="86"/>
      <c r="E55" s="132"/>
    </row>
    <row r="56" spans="1:11" ht="15.75" thickBot="1" x14ac:dyDescent="0.3">
      <c r="A56" s="95" t="s">
        <v>16</v>
      </c>
      <c r="B56" s="96"/>
      <c r="C56" s="97"/>
      <c r="D56" s="98"/>
      <c r="E56" s="133"/>
    </row>
    <row r="57" spans="1:11" ht="15.75" thickTop="1" x14ac:dyDescent="0.25">
      <c r="A57" s="79" t="s">
        <v>999</v>
      </c>
      <c r="B57" s="80"/>
      <c r="C57" s="81"/>
      <c r="D57" s="82"/>
      <c r="E57" s="131"/>
    </row>
    <row r="58" spans="1:11" x14ac:dyDescent="0.25">
      <c r="A58" s="83" t="s">
        <v>6</v>
      </c>
      <c r="B58" s="84"/>
      <c r="C58" s="85"/>
      <c r="D58" s="86"/>
      <c r="E58" s="132"/>
    </row>
    <row r="59" spans="1:11" x14ac:dyDescent="0.25">
      <c r="A59" s="83" t="s">
        <v>1001</v>
      </c>
      <c r="B59" s="84"/>
      <c r="C59" s="85"/>
      <c r="D59" s="86"/>
      <c r="E59" s="132"/>
    </row>
    <row r="60" spans="1:11" x14ac:dyDescent="0.25">
      <c r="A60" s="83" t="s">
        <v>1000</v>
      </c>
      <c r="B60" s="84"/>
      <c r="C60" s="85"/>
      <c r="D60" s="86"/>
      <c r="E60" s="132"/>
    </row>
    <row r="61" spans="1:11" ht="15.75" thickBot="1" x14ac:dyDescent="0.3">
      <c r="A61" s="95" t="s">
        <v>16</v>
      </c>
      <c r="B61" s="96"/>
      <c r="C61" s="97"/>
      <c r="D61" s="98"/>
      <c r="E61" s="133"/>
    </row>
    <row r="62" spans="1:11" ht="15.75" thickTop="1" x14ac:dyDescent="0.25">
      <c r="A62" s="79" t="s">
        <v>999</v>
      </c>
      <c r="B62" s="80"/>
      <c r="C62" s="81"/>
      <c r="D62" s="82"/>
      <c r="E62" s="131"/>
    </row>
    <row r="63" spans="1:11" x14ac:dyDescent="0.25">
      <c r="A63" s="83" t="s">
        <v>6</v>
      </c>
      <c r="B63" s="84"/>
      <c r="C63" s="85"/>
      <c r="D63" s="86"/>
      <c r="E63" s="132"/>
    </row>
    <row r="64" spans="1:11" x14ac:dyDescent="0.25">
      <c r="A64" s="83" t="s">
        <v>1001</v>
      </c>
      <c r="B64" s="84"/>
      <c r="C64" s="85"/>
      <c r="D64" s="86"/>
      <c r="E64" s="132"/>
    </row>
    <row r="65" spans="1:5" x14ac:dyDescent="0.25">
      <c r="A65" s="83" t="s">
        <v>1000</v>
      </c>
      <c r="B65" s="84"/>
      <c r="C65" s="85"/>
      <c r="D65" s="86"/>
      <c r="E65" s="132"/>
    </row>
    <row r="66" spans="1:5" ht="15.75" thickBot="1" x14ac:dyDescent="0.3">
      <c r="A66" s="95" t="s">
        <v>16</v>
      </c>
      <c r="B66" s="96"/>
      <c r="C66" s="97"/>
      <c r="D66" s="98"/>
      <c r="E66" s="133"/>
    </row>
    <row r="67" spans="1:5" ht="15.75" thickTop="1" x14ac:dyDescent="0.25">
      <c r="A67" s="79" t="s">
        <v>999</v>
      </c>
      <c r="B67" s="80"/>
      <c r="C67" s="81"/>
      <c r="D67" s="82"/>
      <c r="E67" s="131"/>
    </row>
    <row r="68" spans="1:5" x14ac:dyDescent="0.25">
      <c r="A68" s="83" t="s">
        <v>6</v>
      </c>
      <c r="B68" s="84"/>
      <c r="C68" s="85"/>
      <c r="D68" s="86"/>
      <c r="E68" s="132"/>
    </row>
    <row r="69" spans="1:5" x14ac:dyDescent="0.25">
      <c r="A69" s="83" t="s">
        <v>1001</v>
      </c>
      <c r="B69" s="84"/>
      <c r="C69" s="85"/>
      <c r="D69" s="86"/>
      <c r="E69" s="132"/>
    </row>
    <row r="70" spans="1:5" x14ac:dyDescent="0.25">
      <c r="A70" s="83" t="s">
        <v>1000</v>
      </c>
      <c r="B70" s="84"/>
      <c r="C70" s="85"/>
      <c r="D70" s="86"/>
      <c r="E70" s="132"/>
    </row>
    <row r="71" spans="1:5" ht="15.75" thickBot="1" x14ac:dyDescent="0.3">
      <c r="A71" s="95" t="s">
        <v>16</v>
      </c>
      <c r="B71" s="96"/>
      <c r="C71" s="97"/>
      <c r="D71" s="98"/>
      <c r="E71" s="133"/>
    </row>
    <row r="72" spans="1:5" ht="15.75" thickTop="1" x14ac:dyDescent="0.25">
      <c r="A72" s="79" t="s">
        <v>999</v>
      </c>
      <c r="B72" s="80"/>
      <c r="C72" s="81"/>
      <c r="D72" s="82"/>
      <c r="E72" s="131"/>
    </row>
    <row r="73" spans="1:5" x14ac:dyDescent="0.25">
      <c r="A73" s="83" t="s">
        <v>6</v>
      </c>
      <c r="B73" s="84"/>
      <c r="C73" s="85"/>
      <c r="D73" s="86"/>
      <c r="E73" s="132"/>
    </row>
    <row r="74" spans="1:5" x14ac:dyDescent="0.25">
      <c r="A74" s="83" t="s">
        <v>1001</v>
      </c>
      <c r="B74" s="84"/>
      <c r="C74" s="85"/>
      <c r="D74" s="86"/>
      <c r="E74" s="132"/>
    </row>
    <row r="75" spans="1:5" x14ac:dyDescent="0.25">
      <c r="A75" s="83" t="s">
        <v>1000</v>
      </c>
      <c r="B75" s="84"/>
      <c r="C75" s="85"/>
      <c r="D75" s="86"/>
      <c r="E75" s="132"/>
    </row>
    <row r="76" spans="1:5" ht="15.75" thickBot="1" x14ac:dyDescent="0.3">
      <c r="A76" s="95" t="s">
        <v>16</v>
      </c>
      <c r="B76" s="96"/>
      <c r="C76" s="97"/>
      <c r="D76" s="98"/>
      <c r="E76" s="133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E31" sqref="E31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44835</v>
      </c>
      <c r="B2">
        <f>'APAGADOS RADIO'!F2+D2</f>
        <v>6</v>
      </c>
      <c r="C2">
        <f>'APAGADOS FIBRA'!F2</f>
        <v>32</v>
      </c>
      <c r="D2">
        <f>'APAGADOS ANTENA'!F2</f>
        <v>2</v>
      </c>
      <c r="E2">
        <f t="shared" ref="E2" si="0">B2+C2</f>
        <v>38</v>
      </c>
      <c r="F2">
        <f>'RESUMEN TOTAL'!B1</f>
        <v>430</v>
      </c>
      <c r="G2" s="48">
        <f t="shared" ref="G2" si="1">E2/F2</f>
        <v>8.8372093023255813E-2</v>
      </c>
    </row>
    <row r="3" spans="1:7" x14ac:dyDescent="0.25">
      <c r="A3" s="19">
        <f>'APAGADOS RADIO'!G3</f>
        <v>44836</v>
      </c>
      <c r="B3" s="44">
        <f>'APAGADOS RADIO'!G2+D3</f>
        <v>4</v>
      </c>
      <c r="C3" s="44">
        <f>'APAGADOS FIBRA'!G2</f>
        <v>34</v>
      </c>
      <c r="D3" s="44">
        <f>'APAGADOS ANTENA'!G2</f>
        <v>3</v>
      </c>
      <c r="E3" s="44">
        <f t="shared" ref="E3:E6" si="2">B3+C3</f>
        <v>38</v>
      </c>
      <c r="F3" s="44">
        <f>'RESUMEN TOTAL'!B1</f>
        <v>430</v>
      </c>
      <c r="G3" s="48">
        <f t="shared" ref="G3:G6" si="3">E3/F3</f>
        <v>8.8372093023255813E-2</v>
      </c>
    </row>
    <row r="4" spans="1:7" x14ac:dyDescent="0.25">
      <c r="A4" s="19">
        <f>'APAGADOS RADIO'!H3</f>
        <v>44837</v>
      </c>
      <c r="B4" s="44">
        <f>'APAGADOS RADIO'!H2+D4</f>
        <v>61</v>
      </c>
      <c r="C4" s="44">
        <f>'APAGADOS FIBRA'!H2</f>
        <v>99</v>
      </c>
      <c r="D4" s="44">
        <f>'APAGADOS ANTENA'!H2</f>
        <v>16</v>
      </c>
      <c r="E4" s="44">
        <f t="shared" si="2"/>
        <v>160</v>
      </c>
      <c r="F4" s="44">
        <f>'RESUMEN TOTAL'!B1</f>
        <v>430</v>
      </c>
      <c r="G4" s="48">
        <f t="shared" si="3"/>
        <v>0.37209302325581395</v>
      </c>
    </row>
    <row r="5" spans="1:7" x14ac:dyDescent="0.25">
      <c r="A5" s="19">
        <f>'APAGADOS RADIO'!I3</f>
        <v>44838</v>
      </c>
      <c r="B5" s="44">
        <f>'APAGADOS RADIO'!I2+D5</f>
        <v>8</v>
      </c>
      <c r="C5" s="44">
        <f>'APAGADOS FIBRA'!I2</f>
        <v>34</v>
      </c>
      <c r="D5" s="44">
        <f>'APAGADOS ANTENA'!I2</f>
        <v>4</v>
      </c>
      <c r="E5" s="44">
        <f t="shared" si="2"/>
        <v>42</v>
      </c>
      <c r="F5" s="44">
        <f>'RESUMEN TOTAL'!B1</f>
        <v>430</v>
      </c>
      <c r="G5" s="48">
        <f t="shared" si="3"/>
        <v>9.7674418604651161E-2</v>
      </c>
    </row>
    <row r="6" spans="1:7" x14ac:dyDescent="0.25">
      <c r="A6" s="19">
        <f>'APAGADOS RADIO'!J3</f>
        <v>44839</v>
      </c>
      <c r="B6" s="44">
        <f>'APAGADOS RADIO'!J2+D6</f>
        <v>5</v>
      </c>
      <c r="C6" s="44">
        <f>'APAGADOS FIBRA'!J2</f>
        <v>31</v>
      </c>
      <c r="D6" s="44">
        <f>'APAGADOS ANTENA'!J2</f>
        <v>3</v>
      </c>
      <c r="E6" s="44">
        <f t="shared" si="2"/>
        <v>36</v>
      </c>
      <c r="F6" s="44">
        <f>'RESUMEN TOTAL'!B1</f>
        <v>430</v>
      </c>
      <c r="G6" s="48">
        <f t="shared" si="3"/>
        <v>8.3720930232558138E-2</v>
      </c>
    </row>
    <row r="7" spans="1:7" x14ac:dyDescent="0.25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44841</v>
      </c>
      <c r="B8" s="44">
        <f>'APAGADOS RADIO'!L2+D8</f>
        <v>4</v>
      </c>
      <c r="C8" s="44">
        <f>'APAGADOS FIBRA'!L2</f>
        <v>31</v>
      </c>
      <c r="D8" s="44">
        <f>'APAGADOS ANTENA'!L2</f>
        <v>3</v>
      </c>
      <c r="E8" s="44">
        <f t="shared" ref="E8" si="4">B8+C8</f>
        <v>35</v>
      </c>
      <c r="F8" s="44">
        <f>'RESUMEN TOTAL'!B1</f>
        <v>430</v>
      </c>
      <c r="G8" s="48">
        <f t="shared" ref="G8" si="5">E8/F8</f>
        <v>8.1395348837209308E-2</v>
      </c>
    </row>
    <row r="9" spans="1:7" x14ac:dyDescent="0.25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44843</v>
      </c>
      <c r="B10" s="44">
        <f>'APAGADOS RADIO'!N2+D10</f>
        <v>8</v>
      </c>
      <c r="C10" s="44">
        <f>'APAGADOS FIBRA'!N2</f>
        <v>38</v>
      </c>
      <c r="D10" s="44">
        <f>'APAGADOS ANTENA'!N2</f>
        <v>4</v>
      </c>
      <c r="E10" s="44">
        <f t="shared" ref="E10" si="6">B10+C10</f>
        <v>46</v>
      </c>
      <c r="F10" s="44">
        <f>'RESUMEN TOTAL'!B1</f>
        <v>430</v>
      </c>
      <c r="G10" s="48">
        <f t="shared" ref="G10" si="7">E10/F10</f>
        <v>0.10697674418604651</v>
      </c>
    </row>
    <row r="11" spans="1:7" x14ac:dyDescent="0.25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25">
      <c r="A12" s="19">
        <f>'APAGADOS RADIO'!P3</f>
        <v>44845</v>
      </c>
      <c r="B12" s="44">
        <f>'APAGADOS RADIO'!P2+D12</f>
        <v>7</v>
      </c>
      <c r="C12" s="44">
        <f>'APAGADOS FIBRA'!P2</f>
        <v>37</v>
      </c>
      <c r="D12" s="44">
        <f>'APAGADOS ANTENA'!P2</f>
        <v>3</v>
      </c>
      <c r="E12" s="44">
        <f t="shared" ref="E12" si="10">B12+C12</f>
        <v>44</v>
      </c>
      <c r="F12" s="44">
        <f>'RESUMEN TOTAL'!B1</f>
        <v>430</v>
      </c>
      <c r="G12" s="48">
        <f t="shared" ref="G12" si="11">E12/F12</f>
        <v>0.10232558139534884</v>
      </c>
    </row>
    <row r="13" spans="1:7" x14ac:dyDescent="0.25">
      <c r="A13" s="19">
        <f>'APAGADOS RADIO'!Q3</f>
        <v>44846</v>
      </c>
      <c r="B13" s="44">
        <f>'APAGADOS RADIO'!Q2+D13</f>
        <v>6</v>
      </c>
      <c r="C13" s="44">
        <f>'APAGADOS FIBRA'!Q2</f>
        <v>30</v>
      </c>
      <c r="D13" s="44">
        <f>'APAGADOS ANTENA'!Q2</f>
        <v>3</v>
      </c>
      <c r="E13" s="44">
        <f t="shared" ref="E13:E15" si="12">B13+C13</f>
        <v>36</v>
      </c>
      <c r="F13" s="44">
        <f>'RESUMEN TOTAL'!B1</f>
        <v>430</v>
      </c>
      <c r="G13" s="48">
        <f t="shared" ref="G13:G15" si="13">E13/F13</f>
        <v>8.3720930232558138E-2</v>
      </c>
    </row>
    <row r="14" spans="1:7" x14ac:dyDescent="0.25">
      <c r="A14" s="19">
        <f>'APAGADOS RADIO'!R3</f>
        <v>44847</v>
      </c>
      <c r="B14" s="44">
        <f>'APAGADOS RADIO'!R2+D14</f>
        <v>11</v>
      </c>
      <c r="C14" s="44">
        <f>'APAGADOS FIBRA'!R2</f>
        <v>39</v>
      </c>
      <c r="D14" s="44">
        <f>'APAGADOS ANTENA'!R2</f>
        <v>3</v>
      </c>
      <c r="E14" s="44">
        <f t="shared" si="12"/>
        <v>50</v>
      </c>
      <c r="F14" s="44">
        <f>'RESUMEN TOTAL'!B1</f>
        <v>430</v>
      </c>
      <c r="G14" s="48">
        <f t="shared" si="13"/>
        <v>0.11627906976744186</v>
      </c>
    </row>
    <row r="15" spans="1:7" x14ac:dyDescent="0.25">
      <c r="A15" s="19">
        <f>'APAGADOS RADIO'!S3</f>
        <v>44848</v>
      </c>
      <c r="B15" s="44">
        <f>'APAGADOS RADIO'!S2+D15</f>
        <v>4</v>
      </c>
      <c r="C15" s="44">
        <f>'APAGADOS FIBRA'!S2</f>
        <v>26</v>
      </c>
      <c r="D15" s="44">
        <f>'APAGADOS ANTENA'!S2</f>
        <v>3</v>
      </c>
      <c r="E15" s="44">
        <f t="shared" si="12"/>
        <v>30</v>
      </c>
      <c r="F15" s="44">
        <f>'RESUMEN TOTAL'!B1</f>
        <v>430</v>
      </c>
      <c r="G15" s="48">
        <f t="shared" si="13"/>
        <v>6.9767441860465115E-2</v>
      </c>
    </row>
    <row r="16" spans="1:7" x14ac:dyDescent="0.25">
      <c r="A16" s="19">
        <f>'APAGADOS RADIO'!T3</f>
        <v>44849</v>
      </c>
      <c r="B16" s="44">
        <f>'APAGADOS RADIO'!T2+D16</f>
        <v>6</v>
      </c>
      <c r="C16" s="44">
        <f>'APAGADOS FIBRA'!T2</f>
        <v>25</v>
      </c>
      <c r="D16" s="44">
        <f>'APAGADOS ANTENA'!T2</f>
        <v>4</v>
      </c>
      <c r="E16" s="44">
        <f t="shared" ref="E16:E21" si="14">B16+C16</f>
        <v>31</v>
      </c>
      <c r="F16" s="44">
        <f>'RESUMEN TOTAL'!B1</f>
        <v>430</v>
      </c>
      <c r="G16" s="48">
        <f t="shared" ref="G16:G21" si="15">E16/F16</f>
        <v>7.2093023255813959E-2</v>
      </c>
    </row>
    <row r="17" spans="1:7" x14ac:dyDescent="0.25">
      <c r="A17" s="19">
        <f>'APAGADOS RADIO'!U3</f>
        <v>44850</v>
      </c>
      <c r="B17" s="44">
        <f>'APAGADOS RADIO'!U2+D17</f>
        <v>9</v>
      </c>
      <c r="C17" s="44">
        <f>'APAGADOS FIBRA'!U2</f>
        <v>47</v>
      </c>
      <c r="D17" s="44">
        <f>'APAGADOS ANTENA'!U2</f>
        <v>6</v>
      </c>
      <c r="E17" s="44">
        <f t="shared" si="14"/>
        <v>56</v>
      </c>
      <c r="F17" s="44">
        <f>'RESUMEN TOTAL'!B1</f>
        <v>430</v>
      </c>
      <c r="G17" s="48">
        <f t="shared" si="15"/>
        <v>0.13023255813953488</v>
      </c>
    </row>
    <row r="18" spans="1:7" x14ac:dyDescent="0.25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44852</v>
      </c>
      <c r="B19" s="44">
        <f>'APAGADOS RADIO'!W2+D19</f>
        <v>5</v>
      </c>
      <c r="C19" s="44">
        <f>'APAGADOS FIBRA'!W2</f>
        <v>40</v>
      </c>
      <c r="D19" s="44">
        <f>'APAGADOS ANTENA'!W2</f>
        <v>2</v>
      </c>
      <c r="E19" s="44">
        <f t="shared" si="14"/>
        <v>45</v>
      </c>
      <c r="F19" s="44">
        <f>'RESUMEN TOTAL'!B1</f>
        <v>430</v>
      </c>
      <c r="G19" s="48">
        <f t="shared" si="15"/>
        <v>0.10465116279069768</v>
      </c>
    </row>
    <row r="20" spans="1:7" x14ac:dyDescent="0.25">
      <c r="A20" s="19">
        <f>'APAGADOS RADIO'!X3</f>
        <v>44853</v>
      </c>
      <c r="B20" s="44">
        <f>'APAGADOS RADIO'!X2+D20</f>
        <v>16</v>
      </c>
      <c r="C20" s="44">
        <f>'APAGADOS FIBRA'!X2</f>
        <v>78</v>
      </c>
      <c r="D20" s="44">
        <f>'APAGADOS ANTENA'!X2</f>
        <v>11</v>
      </c>
      <c r="E20" s="44">
        <f t="shared" si="14"/>
        <v>94</v>
      </c>
      <c r="F20" s="44">
        <f>'RESUMEN TOTAL'!B1</f>
        <v>430</v>
      </c>
      <c r="G20" s="48">
        <f t="shared" si="15"/>
        <v>0.21860465116279071</v>
      </c>
    </row>
    <row r="21" spans="1:7" x14ac:dyDescent="0.25">
      <c r="A21" s="19">
        <f>'APAGADOS RADIO'!Y3</f>
        <v>44854</v>
      </c>
      <c r="B21" s="44">
        <f>'APAGADOS RADIO'!Y2+D21</f>
        <v>10</v>
      </c>
      <c r="C21" s="44">
        <f>'APAGADOS FIBRA'!Y2</f>
        <v>38</v>
      </c>
      <c r="D21" s="44">
        <f>'APAGADOS ANTENA'!Y2</f>
        <v>3</v>
      </c>
      <c r="E21" s="44">
        <f t="shared" si="14"/>
        <v>48</v>
      </c>
      <c r="F21" s="44">
        <f>'RESUMEN TOTAL'!B1</f>
        <v>430</v>
      </c>
      <c r="G21" s="48">
        <f t="shared" si="15"/>
        <v>0.11162790697674418</v>
      </c>
    </row>
    <row r="22" spans="1:7" x14ac:dyDescent="0.25">
      <c r="A22" s="19">
        <f>'APAGADOS RADIO'!Z3</f>
        <v>44855</v>
      </c>
      <c r="B22" s="44">
        <f>'APAGADOS RADIO'!Z2+D22</f>
        <v>5</v>
      </c>
      <c r="C22" s="44">
        <f>'APAGADOS FIBRA'!Z2</f>
        <v>33</v>
      </c>
      <c r="D22" s="44">
        <f>'APAGADOS ANTENA'!Z2</f>
        <v>3</v>
      </c>
      <c r="E22" s="44">
        <f t="shared" ref="E22" si="16">B22+C22</f>
        <v>38</v>
      </c>
      <c r="F22" s="44">
        <f>'RESUMEN TOTAL'!B1</f>
        <v>430</v>
      </c>
      <c r="G22" s="48">
        <f t="shared" ref="G22" si="17">E22/F22</f>
        <v>8.8372093023255813E-2</v>
      </c>
    </row>
    <row r="23" spans="1:7" x14ac:dyDescent="0.25">
      <c r="A23" s="19">
        <f>'APAGADOS RADIO'!AA3</f>
        <v>44856</v>
      </c>
      <c r="B23" s="44">
        <f>'APAGADOS RADIO'!AA2+D23</f>
        <v>9</v>
      </c>
      <c r="C23" s="44">
        <f>'APAGADOS FIBRA'!AA2</f>
        <v>32</v>
      </c>
      <c r="D23" s="44">
        <f>'APAGADOS ANTENA'!AA2</f>
        <v>5</v>
      </c>
      <c r="E23" s="44">
        <f t="shared" ref="E23:E25" si="18">B23+C23</f>
        <v>41</v>
      </c>
      <c r="F23" s="44">
        <f>'RESUMEN TOTAL'!B1</f>
        <v>430</v>
      </c>
      <c r="G23" s="48">
        <f t="shared" ref="G23:G25" si="19">E23/F23</f>
        <v>9.5348837209302331E-2</v>
      </c>
    </row>
    <row r="24" spans="1:7" x14ac:dyDescent="0.25">
      <c r="A24" s="19">
        <f>'APAGADOS RADIO'!AB3</f>
        <v>44857</v>
      </c>
      <c r="B24" s="44">
        <f>'APAGADOS RADIO'!AB2+D24</f>
        <v>13</v>
      </c>
      <c r="C24" s="44">
        <f>'APAGADOS FIBRA'!AB2</f>
        <v>40</v>
      </c>
      <c r="D24" s="44">
        <f>'APAGADOS ANTENA'!AB2</f>
        <v>5</v>
      </c>
      <c r="E24" s="44">
        <f t="shared" si="18"/>
        <v>53</v>
      </c>
      <c r="F24" s="44">
        <f>'RESUMEN TOTAL'!B1</f>
        <v>430</v>
      </c>
      <c r="G24" s="48">
        <f t="shared" si="19"/>
        <v>0.12325581395348838</v>
      </c>
    </row>
    <row r="25" spans="1:7" x14ac:dyDescent="0.25">
      <c r="A25" s="19">
        <f>'APAGADOS RADIO'!AC3</f>
        <v>44858</v>
      </c>
      <c r="B25" s="44">
        <f>'APAGADOS RADIO'!AC2+D25</f>
        <v>6</v>
      </c>
      <c r="C25" s="44">
        <f>'APAGADOS FIBRA'!AC2</f>
        <v>31</v>
      </c>
      <c r="D25" s="44">
        <f>'APAGADOS ANTENA'!AC2</f>
        <v>3</v>
      </c>
      <c r="E25" s="44">
        <f t="shared" si="18"/>
        <v>37</v>
      </c>
      <c r="F25" s="44">
        <f>'RESUMEN TOTAL'!B1</f>
        <v>430</v>
      </c>
      <c r="G25" s="48">
        <f t="shared" si="19"/>
        <v>8.6046511627906982E-2</v>
      </c>
    </row>
    <row r="26" spans="1:7" x14ac:dyDescent="0.25">
      <c r="A26" s="19">
        <f>'APAGADOS RADIO'!AD3</f>
        <v>44859</v>
      </c>
      <c r="B26" s="44">
        <f>'APAGADOS RADIO'!AD2+D26</f>
        <v>7</v>
      </c>
      <c r="C26" s="44">
        <f>'APAGADOS FIBRA'!AD2</f>
        <v>30</v>
      </c>
      <c r="D26" s="44">
        <f>'APAGADOS ANTENA'!AD2</f>
        <v>3</v>
      </c>
      <c r="E26" s="44">
        <f t="shared" ref="E26" si="20">B26+C26</f>
        <v>37</v>
      </c>
      <c r="F26" s="44">
        <f>'RESUMEN TOTAL'!B1</f>
        <v>430</v>
      </c>
      <c r="G26" s="48">
        <f t="shared" ref="G26" si="21">E26/F26</f>
        <v>8.6046511627906982E-2</v>
      </c>
    </row>
    <row r="27" spans="1:7" x14ac:dyDescent="0.25">
      <c r="A27" s="19">
        <f>'APAGADOS RADIO'!AE3</f>
        <v>44860</v>
      </c>
      <c r="B27" s="44">
        <f>'APAGADOS RADIO'!AE2+D27</f>
        <v>6</v>
      </c>
      <c r="C27" s="44">
        <f>'APAGADOS FIBRA'!AE2</f>
        <v>34</v>
      </c>
      <c r="D27" s="44">
        <f>'APAGADOS ANTENA'!AE2</f>
        <v>3</v>
      </c>
      <c r="E27" s="44">
        <f t="shared" ref="E27" si="22">B27+C27</f>
        <v>40</v>
      </c>
      <c r="F27" s="44">
        <f>'RESUMEN TOTAL'!B1</f>
        <v>430</v>
      </c>
      <c r="G27" s="48">
        <f t="shared" ref="G27" si="23">E27/F27</f>
        <v>9.3023255813953487E-2</v>
      </c>
    </row>
    <row r="28" spans="1:7" x14ac:dyDescent="0.25">
      <c r="A28" s="19">
        <f>'APAGADOS RADIO'!AF3</f>
        <v>44861</v>
      </c>
      <c r="B28" s="44">
        <f>'APAGADOS RADIO'!AF2+D28</f>
        <v>8</v>
      </c>
      <c r="C28" s="44">
        <f>'APAGADOS FIBRA'!AF2</f>
        <v>39</v>
      </c>
      <c r="D28" s="44">
        <f>'APAGADOS ANTENA'!AF2</f>
        <v>5</v>
      </c>
      <c r="E28" s="44">
        <f t="shared" ref="E28:E29" si="24">B28+C28</f>
        <v>47</v>
      </c>
      <c r="F28" s="44">
        <f>'RESUMEN TOTAL'!B1</f>
        <v>430</v>
      </c>
      <c r="G28" s="48">
        <f t="shared" ref="G28:G29" si="25">E28/F28</f>
        <v>0.10930232558139535</v>
      </c>
    </row>
    <row r="29" spans="1:7" x14ac:dyDescent="0.25">
      <c r="A29" s="19">
        <f>'APAGADOS RADIO'!AG3</f>
        <v>44862</v>
      </c>
      <c r="B29" s="44">
        <f>'APAGADOS RADIO'!AG2+D29</f>
        <v>6</v>
      </c>
      <c r="C29" s="44">
        <f>'APAGADOS FIBRA'!AG2</f>
        <v>42</v>
      </c>
      <c r="D29" s="44">
        <f>'APAGADOS ANTENA'!AG2</f>
        <v>4</v>
      </c>
      <c r="E29" s="44">
        <f t="shared" si="24"/>
        <v>48</v>
      </c>
      <c r="F29" s="44">
        <f>'RESUMEN TOTAL'!B1</f>
        <v>430</v>
      </c>
      <c r="G29" s="48">
        <f t="shared" si="25"/>
        <v>0.11162790697674418</v>
      </c>
    </row>
    <row r="30" spans="1:7" x14ac:dyDescent="0.25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H16" sqref="H16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44862</v>
      </c>
    </row>
    <row r="4" spans="2:4" ht="15.75" thickTop="1" x14ac:dyDescent="0.25">
      <c r="B4" s="72" t="s">
        <v>1159</v>
      </c>
      <c r="C4" s="61">
        <f>COUNTIFS('RESUMEN TOTAL'!C5:C501,"=BONOMO")</f>
        <v>225</v>
      </c>
      <c r="D4" s="68">
        <v>38</v>
      </c>
    </row>
    <row r="5" spans="2:4" ht="15.75" thickBot="1" x14ac:dyDescent="0.3">
      <c r="B5" s="62"/>
      <c r="C5" s="63"/>
      <c r="D5" s="75">
        <v>0.16888888888888889</v>
      </c>
    </row>
    <row r="6" spans="2:4" ht="15.75" thickTop="1" x14ac:dyDescent="0.25">
      <c r="B6" s="71" t="s">
        <v>1160</v>
      </c>
      <c r="C6" s="61">
        <f>COUNTIFS('RESUMEN TOTAL'!C5:C501,"=COSEIDI")</f>
        <v>205</v>
      </c>
      <c r="D6" s="70">
        <v>10</v>
      </c>
    </row>
    <row r="7" spans="2:4" ht="15.75" thickBot="1" x14ac:dyDescent="0.3">
      <c r="B7" s="62"/>
      <c r="C7" s="63"/>
      <c r="D7" s="56">
        <v>4.878048780487805E-2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workbookViewId="0">
      <selection activeCell="AG2" sqref="AG2:AG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v>35</v>
      </c>
      <c r="L3" s="67">
        <f>COUNTIFS('RESUMEN TOTAL'!C7:C501, "=BONOMO",'RESUMEN TOTAL'!Q7:Q501,"=APAGADO")</f>
        <v>33</v>
      </c>
      <c r="M3" s="67">
        <v>33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v>36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36</v>
      </c>
      <c r="AG3" s="68">
        <f>COUNTIFS('RESUMEN TOTAL'!C7:C501, "=BONOMO",'RESUMEN TOTAL'!AL7:AL501,"=APAGADO")</f>
        <v>38</v>
      </c>
      <c r="AH3" s="68">
        <f>COUNTIFS('RESUMEN TOTAL'!C7:C501, "=BONOMO",'RESUMEN TOTAL'!AM7:AM501,"=APAGADO")</f>
        <v>25</v>
      </c>
      <c r="AI3" s="68">
        <f>COUNTIFS('RESUMEN TOTAL'!C7:C501, "=BONOMO",'RESUMEN TOTAL'!AN7:AN501,"=APAGADO")</f>
        <v>24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v>0.15555555555555556</v>
      </c>
      <c r="L4" s="74">
        <f t="shared" si="0"/>
        <v>0.14666666666666667</v>
      </c>
      <c r="M4" s="74">
        <v>0.14666666666666667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v>0.16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0.16</v>
      </c>
      <c r="AG4" s="75">
        <f t="shared" si="0"/>
        <v>0.16888888888888889</v>
      </c>
      <c r="AH4" s="75">
        <f t="shared" si="0"/>
        <v>0.1111111111111111</v>
      </c>
      <c r="AI4" s="75">
        <f t="shared" si="0"/>
        <v>0.10666666666666667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v>3</v>
      </c>
      <c r="L5" s="70">
        <f>COUNTIFS('RESUMEN TOTAL'!C10:C421, "=COSEIDI",'RESUMEN TOTAL'!Q10:Q421,"=APAGADO")</f>
        <v>3</v>
      </c>
      <c r="M5" s="70">
        <v>3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v>22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11</v>
      </c>
      <c r="AG5" s="70">
        <f>COUNTIFS('RESUMEN TOTAL'!C10:C421, "=COSEIDI",'RESUMEN TOTAL'!AL10:AL421,"=APAGADO")</f>
        <v>10</v>
      </c>
      <c r="AH5" s="70">
        <f>COUNTIFS('RESUMEN TOTAL'!C10:C421, "=COSEIDI",'RESUMEN TOTAL'!AM10:AM421,"=APAGADO")</f>
        <v>7</v>
      </c>
      <c r="AI5" s="70">
        <f>COUNTIFS('RESUMEN TOTAL'!C10:C421, "=COSEIDI",'RESUMEN TOTAL'!AN10:AN421,"=APAGADO")</f>
        <v>11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v>1.4634146341463415E-2</v>
      </c>
      <c r="L6" s="74">
        <f t="shared" si="2"/>
        <v>1.4634146341463415E-2</v>
      </c>
      <c r="M6" s="74">
        <v>1.4634146341463415E-2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v>0.10731707317073171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5.3658536585365853E-2</v>
      </c>
      <c r="AG6" s="56">
        <f t="shared" si="2"/>
        <v>4.878048780487805E-2</v>
      </c>
      <c r="AH6" s="56">
        <f t="shared" si="2"/>
        <v>3.4146341463414637E-2</v>
      </c>
      <c r="AI6" s="56">
        <f t="shared" si="2"/>
        <v>5.3658536585365853E-2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2022-10-31T10:36:13Z</dcterms:modified>
</cp:coreProperties>
</file>