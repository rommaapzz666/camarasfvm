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C3FCA55A-7A0E-4478-9E1E-03202DA136F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2" l="1"/>
  <c r="AM2" i="2"/>
  <c r="AL2" i="2"/>
  <c r="AK2" i="2"/>
  <c r="AJ2" i="2"/>
  <c r="AI2" i="2"/>
  <c r="AH2" i="2"/>
  <c r="I375" i="2"/>
  <c r="H375" i="2"/>
  <c r="I374" i="2"/>
  <c r="H374" i="2"/>
  <c r="H376" i="2"/>
  <c r="I376" i="2"/>
  <c r="J376" i="2" s="1"/>
  <c r="H377" i="2"/>
  <c r="J377" i="2" s="1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375" i="2" l="1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F23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1" i="14" l="1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B23" i="14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3" i="14" l="1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<sst xmlns="http://schemas.openxmlformats.org/spreadsheetml/2006/main" count="4002" uniqueCount="1249">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</sst>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0.16818181818181818</c:v>
                      </c:pt>
                      <c:pt idx="24">
                        <c:v>0.17272727272727273</c:v>
                      </c:pt>
                      <c:pt idx="25">
                        <c:v>0.17272727272727273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3.1746031746031744E-2</c:v>
                      </c:pt>
                      <c:pt idx="24">
                        <c:v>1.5873015873015872E-2</c:v>
                      </c:pt>
                      <c:pt idx="25">
                        <c:v>3.7037037037037035E-2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0.16818181818181818</c:v>
                </c:pt>
                <c:pt idx="24">
                  <c:v>0.17272727272727273</c:v>
                </c:pt>
                <c:pt idx="25">
                  <c:v>0.17272727272727273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3.1746031746031744E-2</c:v>
                </c:pt>
                <c:pt idx="24">
                  <c:v>1.5873015873015872E-2</c:v>
                </c:pt>
                <c:pt idx="25">
                  <c:v>3.7037037037037035E-2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38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7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7"/>
  <sheetViews>
    <sheetView tabSelected="1" zoomScale="80" zoomScaleNormal="80" workbookViewId="0">
      <pane xSplit="10" ySplit="4" topLeftCell="AJ217" activePane="bottomRight" state="frozen"/>
      <selection pane="topRight" activeCell="M1" sqref="M1"/>
      <selection pane="bottomLeft" activeCell="A5" sqref="A5"/>
      <selection pane="bottomRight" activeCell="AJ228" sqref="AJ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9.9514563106796114E-2</v>
      </c>
      <c r="AJ1" s="4">
        <f t="shared" si="0"/>
        <v>0.10922330097087378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371</v>
      </c>
      <c r="AJ2" s="10">
        <f t="shared" si="3"/>
        <v>367</v>
      </c>
      <c r="AK2" s="10">
        <f t="shared" si="3"/>
        <v>412</v>
      </c>
      <c r="AL2" s="10">
        <f t="shared" si="3"/>
        <v>412</v>
      </c>
      <c r="AM2" s="10">
        <f t="shared" si="3"/>
        <v>412</v>
      </c>
      <c r="AN2" s="10">
        <f t="shared" si="3"/>
        <v>412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41</v>
      </c>
      <c r="AJ3" s="14">
        <f t="shared" si="4"/>
        <v>45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26</v>
      </c>
      <c r="I7" s="16">
        <f t="shared" ref="I7:I51" si="5">COUNTIF(K7:AL7,"APAGADO")</f>
        <v>4</v>
      </c>
      <c r="J7" s="17">
        <f t="shared" ref="J7:J51" si="6">(H7)/(I7+H7)</f>
        <v>0.8666666666666667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 t="s">
        <v>1199</v>
      </c>
      <c r="AK7" s="18"/>
      <c r="AL7" s="18"/>
      <c r="AM7" s="28"/>
      <c r="AN7" s="28"/>
    </row>
    <row r="8" spans="1:40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11</v>
      </c>
      <c r="I8" s="16">
        <f t="shared" si="5"/>
        <v>19</v>
      </c>
      <c r="J8" s="17">
        <f t="shared" si="6"/>
        <v>0.36666666666666664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 t="s">
        <v>1199</v>
      </c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4</v>
      </c>
      <c r="I9" s="16">
        <f>COUNTIF(K9:AL9,"APAGADO")</f>
        <v>26</v>
      </c>
      <c r="J9" s="17">
        <f>(H9)/(I9+H9)</f>
        <v>0.13333333333333333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 t="s">
        <v>1199</v>
      </c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26</v>
      </c>
      <c r="I10" s="16">
        <f t="shared" si="5"/>
        <v>4</v>
      </c>
      <c r="J10" s="17">
        <f t="shared" si="6"/>
        <v>0.8666666666666667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 t="s">
        <v>1199</v>
      </c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26</v>
      </c>
      <c r="I12" s="16">
        <f t="shared" si="5"/>
        <v>4</v>
      </c>
      <c r="J12" s="17">
        <f t="shared" si="6"/>
        <v>0.8666666666666667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 t="s">
        <v>1199</v>
      </c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26</v>
      </c>
      <c r="I13" s="16">
        <f t="shared" si="5"/>
        <v>4</v>
      </c>
      <c r="J13" s="17">
        <f t="shared" si="6"/>
        <v>0.8666666666666667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 t="s">
        <v>1199</v>
      </c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4</v>
      </c>
      <c r="I14" s="16">
        <f t="shared" si="5"/>
        <v>26</v>
      </c>
      <c r="J14" s="17">
        <f t="shared" si="6"/>
        <v>0.13333333333333333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 t="s">
        <v>1199</v>
      </c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30</v>
      </c>
      <c r="I15" s="16">
        <f t="shared" si="5"/>
        <v>0</v>
      </c>
      <c r="J15" s="17">
        <f t="shared" si="6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11</v>
      </c>
      <c r="I16" s="16">
        <f t="shared" si="5"/>
        <v>19</v>
      </c>
      <c r="J16" s="17">
        <f t="shared" si="6"/>
        <v>0.36666666666666664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29</v>
      </c>
      <c r="I31" s="16">
        <f t="shared" si="5"/>
        <v>1</v>
      </c>
      <c r="J31" s="17">
        <f t="shared" si="6"/>
        <v>0.96666666666666667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 t="s">
        <v>1199</v>
      </c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30</v>
      </c>
      <c r="I34" s="16">
        <f t="shared" si="5"/>
        <v>0</v>
      </c>
      <c r="J34" s="17">
        <f t="shared" si="6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23</v>
      </c>
      <c r="I40" s="16">
        <f t="shared" si="5"/>
        <v>7</v>
      </c>
      <c r="J40" s="17">
        <f t="shared" si="6"/>
        <v>0.76666666666666672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 t="s">
        <v>1199</v>
      </c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7</v>
      </c>
      <c r="I42" s="16">
        <f t="shared" si="5"/>
        <v>23</v>
      </c>
      <c r="J42" s="17">
        <f t="shared" si="6"/>
        <v>0.23333333333333334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 t="s">
        <v>1199</v>
      </c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20</v>
      </c>
      <c r="I50" s="16">
        <f t="shared" si="5"/>
        <v>10</v>
      </c>
      <c r="J50" s="17">
        <f t="shared" si="6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4</v>
      </c>
      <c r="I63" s="16">
        <f t="shared" si="8"/>
        <v>26</v>
      </c>
      <c r="J63" s="17">
        <f t="shared" si="9"/>
        <v>0.13333333333333333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 t="s">
        <v>1199</v>
      </c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27</v>
      </c>
      <c r="I71" s="16">
        <f t="shared" si="12"/>
        <v>3</v>
      </c>
      <c r="J71" s="17">
        <f t="shared" si="13"/>
        <v>0.9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20</v>
      </c>
      <c r="I81" s="16">
        <f>COUNTIF(K81:AL81,"APAGADO")</f>
        <v>10</v>
      </c>
      <c r="J81" s="17">
        <f>(H81)/(I81+H81)</f>
        <v>0.66666666666666663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20</v>
      </c>
      <c r="I82" s="16">
        <f t="shared" si="8"/>
        <v>10</v>
      </c>
      <c r="J82" s="17">
        <f t="shared" si="9"/>
        <v>0.66666666666666663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4</v>
      </c>
      <c r="I88" s="16">
        <f>COUNTIF(K88:AL88,"APAGADO")</f>
        <v>26</v>
      </c>
      <c r="J88" s="17">
        <f>(H88)/(I88+H88)</f>
        <v>0.13333333333333333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 t="s">
        <v>1199</v>
      </c>
      <c r="AK88" s="8"/>
      <c r="AL88" s="8"/>
      <c r="AM88" s="26"/>
      <c r="AN88" s="26"/>
    </row>
    <row r="89" spans="1:40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.75" thickBot="1" x14ac:dyDescent="0.3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thickBot="1" x14ac:dyDescent="0.3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.75" thickBot="1" x14ac:dyDescent="0.3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24</v>
      </c>
      <c r="I95" s="52">
        <f t="shared" si="15"/>
        <v>6</v>
      </c>
      <c r="J95" s="53">
        <f t="shared" si="16"/>
        <v>0.8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 t="s">
        <v>1199</v>
      </c>
      <c r="AK95" s="26"/>
      <c r="AL95" s="26"/>
      <c r="AM95" s="26"/>
      <c r="AN95" s="26"/>
    </row>
    <row r="96" spans="1:40" ht="15.75" thickBot="1" x14ac:dyDescent="0.3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24</v>
      </c>
      <c r="I96" s="52">
        <f t="shared" si="15"/>
        <v>6</v>
      </c>
      <c r="J96" s="53">
        <f t="shared" si="16"/>
        <v>0.8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 t="s">
        <v>1199</v>
      </c>
      <c r="AK96" s="26"/>
      <c r="AL96" s="26"/>
      <c r="AM96" s="26"/>
      <c r="AN96" s="26"/>
    </row>
    <row r="97" spans="1:40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24</v>
      </c>
      <c r="I100" s="16">
        <f t="shared" si="8"/>
        <v>6</v>
      </c>
      <c r="J100" s="17">
        <f t="shared" si="9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.75" thickBot="1" x14ac:dyDescent="0.3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.75" thickBot="1" x14ac:dyDescent="0.3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30</v>
      </c>
      <c r="I117" s="16">
        <f t="shared" si="8"/>
        <v>0</v>
      </c>
      <c r="J117" s="17">
        <f t="shared" si="9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28</v>
      </c>
      <c r="I118" s="16">
        <f t="shared" si="8"/>
        <v>2</v>
      </c>
      <c r="J118" s="17">
        <f t="shared" si="9"/>
        <v>0.93333333333333335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21</v>
      </c>
      <c r="I122" s="16">
        <f t="shared" si="8"/>
        <v>9</v>
      </c>
      <c r="J122" s="17">
        <f t="shared" si="9"/>
        <v>0.7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30</v>
      </c>
      <c r="I125" s="16">
        <f t="shared" si="8"/>
        <v>0</v>
      </c>
      <c r="J125" s="17">
        <f t="shared" si="9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30</v>
      </c>
      <c r="I126" s="16">
        <f t="shared" si="8"/>
        <v>0</v>
      </c>
      <c r="J126" s="17">
        <f t="shared" si="9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7</v>
      </c>
      <c r="I140" s="16">
        <f t="shared" si="20"/>
        <v>23</v>
      </c>
      <c r="J140" s="17">
        <f t="shared" si="21"/>
        <v>0.23333333333333334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 t="s">
        <v>1199</v>
      </c>
      <c r="AJ140" s="26" t="s">
        <v>1199</v>
      </c>
      <c r="AK140" s="8"/>
      <c r="AL140" s="8"/>
      <c r="AM140" s="26"/>
      <c r="AN140" s="26"/>
    </row>
    <row r="141" spans="1:40" ht="15.75" thickBot="1" x14ac:dyDescent="0.3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30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28</v>
      </c>
      <c r="I149" s="16">
        <f t="shared" si="20"/>
        <v>2</v>
      </c>
      <c r="J149" s="17">
        <f t="shared" si="21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26</v>
      </c>
      <c r="I157" s="16">
        <f t="shared" si="20"/>
        <v>4</v>
      </c>
      <c r="J157" s="17">
        <f t="shared" si="21"/>
        <v>0.8666666666666667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 t="s">
        <v>1199</v>
      </c>
      <c r="AJ157" s="26" t="s">
        <v>1199</v>
      </c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15</v>
      </c>
      <c r="I158" s="16">
        <f t="shared" si="20"/>
        <v>15</v>
      </c>
      <c r="J158" s="17">
        <f t="shared" si="21"/>
        <v>0.5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 t="s">
        <v>1199</v>
      </c>
      <c r="AJ158" s="26" t="s">
        <v>1199</v>
      </c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13</v>
      </c>
      <c r="I160" s="16">
        <f t="shared" si="20"/>
        <v>17</v>
      </c>
      <c r="J160" s="17">
        <f t="shared" si="21"/>
        <v>0.43333333333333335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 t="s">
        <v>1199</v>
      </c>
      <c r="AJ160" s="26" t="s">
        <v>1199</v>
      </c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13</v>
      </c>
      <c r="I161" s="16">
        <f t="shared" si="20"/>
        <v>17</v>
      </c>
      <c r="J161" s="17">
        <f t="shared" si="21"/>
        <v>0.43333333333333335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 t="s">
        <v>1199</v>
      </c>
      <c r="AJ161" s="26" t="s">
        <v>1199</v>
      </c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5</v>
      </c>
      <c r="I162" s="16">
        <f t="shared" si="20"/>
        <v>25</v>
      </c>
      <c r="J162" s="17">
        <f t="shared" si="21"/>
        <v>0.16666666666666666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 t="s">
        <v>1199</v>
      </c>
      <c r="AK162" s="8"/>
      <c r="AL162" s="8"/>
      <c r="AM162" s="26"/>
      <c r="AN162" s="26"/>
    </row>
    <row r="163" spans="1:40" ht="15.75" thickBot="1" x14ac:dyDescent="0.3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5</v>
      </c>
      <c r="I164" s="16">
        <f t="shared" si="20"/>
        <v>25</v>
      </c>
      <c r="J164" s="17">
        <f t="shared" si="21"/>
        <v>0.16666666666666666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 t="s">
        <v>1199</v>
      </c>
      <c r="AK164" s="8"/>
      <c r="AL164" s="8"/>
      <c r="AM164" s="26"/>
      <c r="AN164" s="26"/>
    </row>
    <row r="165" spans="1:40" ht="15.75" thickBot="1" x14ac:dyDescent="0.3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15</v>
      </c>
      <c r="I167" s="16">
        <f t="shared" si="20"/>
        <v>15</v>
      </c>
      <c r="J167" s="17">
        <f t="shared" si="21"/>
        <v>0.5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 t="s">
        <v>1199</v>
      </c>
      <c r="AJ167" s="26" t="s">
        <v>1199</v>
      </c>
      <c r="AK167" s="8"/>
      <c r="AL167" s="8"/>
      <c r="AM167" s="26"/>
      <c r="AN167" s="26"/>
    </row>
    <row r="168" spans="1:40" ht="15.75" thickBot="1" x14ac:dyDescent="0.3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10</v>
      </c>
      <c r="I168" s="16">
        <f t="shared" si="20"/>
        <v>20</v>
      </c>
      <c r="J168" s="17">
        <f t="shared" si="21"/>
        <v>0.33333333333333331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 t="s">
        <v>1199</v>
      </c>
      <c r="AK168" s="8"/>
      <c r="AL168" s="8"/>
      <c r="AM168" s="26"/>
      <c r="AN168" s="26"/>
    </row>
    <row r="169" spans="1:40" ht="15.75" thickBot="1" x14ac:dyDescent="0.3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4</v>
      </c>
      <c r="I169" s="16">
        <f t="shared" si="20"/>
        <v>26</v>
      </c>
      <c r="J169" s="17">
        <f t="shared" si="21"/>
        <v>0.13333333333333333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 t="s">
        <v>1199</v>
      </c>
      <c r="AJ169" s="26" t="s">
        <v>1199</v>
      </c>
      <c r="AK169" s="8"/>
      <c r="AL169" s="8"/>
      <c r="AM169" s="26"/>
      <c r="AN169" s="26"/>
    </row>
    <row r="170" spans="1:40" ht="15.75" thickBot="1" x14ac:dyDescent="0.3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4</v>
      </c>
      <c r="I172" s="16">
        <f t="shared" si="20"/>
        <v>26</v>
      </c>
      <c r="J172" s="17">
        <f t="shared" si="21"/>
        <v>0.13333333333333333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 t="s">
        <v>1199</v>
      </c>
      <c r="AK172" s="8"/>
      <c r="AL172" s="8"/>
      <c r="AM172" s="26"/>
      <c r="AN172" s="26"/>
    </row>
    <row r="173" spans="1:40" ht="15.75" thickBot="1" x14ac:dyDescent="0.3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26</v>
      </c>
      <c r="I183" s="16">
        <f>COUNTIF(K183:AL183,"APAGADO")</f>
        <v>4</v>
      </c>
      <c r="J183" s="17">
        <f>(H183)/(I183+H183)</f>
        <v>0.8666666666666667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 t="s">
        <v>1199</v>
      </c>
      <c r="AJ183" s="26" t="s">
        <v>1199</v>
      </c>
      <c r="AK183" s="8"/>
      <c r="AL183" s="8"/>
      <c r="AM183" s="26"/>
      <c r="AN183" s="26"/>
    </row>
    <row r="184" spans="1:40" ht="15.75" thickBot="1" x14ac:dyDescent="0.3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25</v>
      </c>
      <c r="I185" s="16">
        <f>COUNTIF(K185:AL185,"APAGADO")</f>
        <v>5</v>
      </c>
      <c r="J185" s="17">
        <f>(H185)/(I185+H185)</f>
        <v>0.83333333333333337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 t="s">
        <v>1199</v>
      </c>
      <c r="AJ185" s="26" t="s">
        <v>1199</v>
      </c>
      <c r="AK185" s="8"/>
      <c r="AL185" s="8"/>
      <c r="AM185" s="26"/>
      <c r="AN185" s="26"/>
    </row>
    <row r="186" spans="1:40" ht="15.75" thickBot="1" x14ac:dyDescent="0.3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26</v>
      </c>
      <c r="I186" s="16">
        <f t="shared" si="20"/>
        <v>4</v>
      </c>
      <c r="J186" s="17">
        <f t="shared" si="21"/>
        <v>0.8666666666666667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 t="s">
        <v>1199</v>
      </c>
      <c r="AJ186" s="26" t="s">
        <v>1199</v>
      </c>
      <c r="AK186" s="8"/>
      <c r="AL186" s="8"/>
      <c r="AM186" s="26"/>
      <c r="AN186" s="26"/>
    </row>
    <row r="187" spans="1:40" ht="15.75" thickBot="1" x14ac:dyDescent="0.3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29</v>
      </c>
      <c r="I208" s="16">
        <f t="shared" si="23"/>
        <v>1</v>
      </c>
      <c r="J208" s="17">
        <f t="shared" si="24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 t="s">
        <v>1199</v>
      </c>
      <c r="AJ208" s="26"/>
      <c r="AK208" s="8"/>
      <c r="AL208" s="8"/>
      <c r="AM208" s="26"/>
      <c r="AN208" s="26"/>
    </row>
    <row r="209" spans="1:40" ht="15.75" thickBot="1" x14ac:dyDescent="0.3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23</v>
      </c>
      <c r="I214" s="16">
        <f t="shared" si="23"/>
        <v>7</v>
      </c>
      <c r="J214" s="17">
        <f t="shared" si="24"/>
        <v>0.76666666666666672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 t="s">
        <v>1199</v>
      </c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24</v>
      </c>
      <c r="I215" s="16">
        <f t="shared" si="23"/>
        <v>6</v>
      </c>
      <c r="J215" s="17">
        <f t="shared" si="24"/>
        <v>0.8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 t="s">
        <v>1199</v>
      </c>
      <c r="AK215" s="8"/>
      <c r="AL215" s="8"/>
      <c r="AM215" s="26"/>
      <c r="AN215" s="26"/>
    </row>
    <row r="216" spans="1:40" ht="15.75" thickBot="1" x14ac:dyDescent="0.3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4</v>
      </c>
      <c r="I216" s="16">
        <f t="shared" si="23"/>
        <v>26</v>
      </c>
      <c r="J216" s="17">
        <f t="shared" si="24"/>
        <v>0.13333333333333333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 t="s">
        <v>1199</v>
      </c>
      <c r="AJ216" s="26" t="s">
        <v>1199</v>
      </c>
      <c r="AK216" s="8"/>
      <c r="AL216" s="8"/>
      <c r="AM216" s="26"/>
      <c r="AN216" s="26"/>
    </row>
    <row r="217" spans="1:40" ht="15.75" thickBot="1" x14ac:dyDescent="0.3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29</v>
      </c>
      <c r="I220" s="16">
        <f t="shared" si="23"/>
        <v>1</v>
      </c>
      <c r="J220" s="17">
        <f t="shared" si="24"/>
        <v>0.96666666666666667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 t="s">
        <v>1199</v>
      </c>
      <c r="AK220" s="8"/>
      <c r="AL220" s="8"/>
      <c r="AM220" s="26"/>
      <c r="AN220" s="26"/>
    </row>
    <row r="221" spans="1:40" ht="15.75" thickBot="1" x14ac:dyDescent="0.3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6</v>
      </c>
      <c r="I223" s="16">
        <f t="shared" si="23"/>
        <v>24</v>
      </c>
      <c r="J223" s="17">
        <f t="shared" si="24"/>
        <v>0.2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 t="s">
        <v>1199</v>
      </c>
      <c r="AJ223" s="26" t="s">
        <v>1199</v>
      </c>
      <c r="AK223" s="8"/>
      <c r="AL223" s="8"/>
      <c r="AM223" s="26"/>
      <c r="AN223" s="26"/>
    </row>
    <row r="224" spans="1:40" ht="15.75" thickBot="1" x14ac:dyDescent="0.3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30</v>
      </c>
      <c r="I224" s="16">
        <f t="shared" si="23"/>
        <v>0</v>
      </c>
      <c r="J224" s="17">
        <f t="shared" si="2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19</v>
      </c>
      <c r="I228" s="16">
        <f t="shared" si="23"/>
        <v>11</v>
      </c>
      <c r="J228" s="17">
        <f t="shared" si="24"/>
        <v>0.6333333333333333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 t="s">
        <v>1199</v>
      </c>
      <c r="AK228" s="8"/>
      <c r="AL228" s="8"/>
      <c r="AM228" s="26"/>
      <c r="AN228" s="26"/>
    </row>
    <row r="229" spans="1:40" ht="15.75" thickBot="1" x14ac:dyDescent="0.3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.75" thickBot="1" x14ac:dyDescent="0.3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.75" thickBot="1" x14ac:dyDescent="0.3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.75" thickBot="1" x14ac:dyDescent="0.3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.75" thickBot="1" x14ac:dyDescent="0.3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.75" thickBot="1" x14ac:dyDescent="0.3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.75" thickBot="1" x14ac:dyDescent="0.3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.75" thickBot="1" x14ac:dyDescent="0.3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.75" thickBot="1" x14ac:dyDescent="0.3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.75" thickBot="1" x14ac:dyDescent="0.3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11</v>
      </c>
      <c r="I263" s="16">
        <f>COUNTIF(K263:AL263,"APAGADO")</f>
        <v>19</v>
      </c>
      <c r="J263" s="17">
        <f>(H263)/(I263+H263)</f>
        <v>0.36666666666666664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 t="s">
        <v>1199</v>
      </c>
      <c r="AJ263" s="26" t="s">
        <v>1199</v>
      </c>
      <c r="AK263" s="8"/>
      <c r="AL263" s="8"/>
      <c r="AM263" s="26"/>
      <c r="AN263" s="26"/>
    </row>
    <row r="264" spans="1:40" ht="15.75" thickBot="1" x14ac:dyDescent="0.3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.75" thickBot="1" x14ac:dyDescent="0.3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.75" thickBot="1" x14ac:dyDescent="0.3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.75" thickBot="1" x14ac:dyDescent="0.3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.75" thickBot="1" x14ac:dyDescent="0.3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24</v>
      </c>
      <c r="I301" s="16">
        <f t="shared" si="27"/>
        <v>6</v>
      </c>
      <c r="J301" s="17">
        <f t="shared" si="28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24</v>
      </c>
      <c r="I302" s="16">
        <f t="shared" si="27"/>
        <v>6</v>
      </c>
      <c r="J302" s="17">
        <f t="shared" si="28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899999999999999" customHeight="1" thickBot="1" x14ac:dyDescent="0.3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30</v>
      </c>
      <c r="I305" s="16">
        <f t="shared" si="27"/>
        <v>0</v>
      </c>
      <c r="J305" s="17">
        <f t="shared" si="28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28</v>
      </c>
      <c r="I306" s="16">
        <f t="shared" si="27"/>
        <v>2</v>
      </c>
      <c r="J306" s="17">
        <f t="shared" si="28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30</v>
      </c>
      <c r="I309" s="16">
        <f t="shared" si="27"/>
        <v>0</v>
      </c>
      <c r="J309" s="17">
        <f t="shared" si="2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28</v>
      </c>
      <c r="I316" s="16">
        <f t="shared" si="27"/>
        <v>2</v>
      </c>
      <c r="J316" s="17">
        <f t="shared" si="28"/>
        <v>0.93333333333333335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28</v>
      </c>
      <c r="I317" s="16">
        <f t="shared" si="27"/>
        <v>2</v>
      </c>
      <c r="J317" s="17">
        <f t="shared" si="28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30</v>
      </c>
      <c r="I322" s="16">
        <f t="shared" si="27"/>
        <v>0</v>
      </c>
      <c r="J322" s="17">
        <f t="shared" si="2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30</v>
      </c>
      <c r="I323" s="16">
        <f t="shared" si="27"/>
        <v>0</v>
      </c>
      <c r="J323" s="17">
        <f t="shared" si="2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.75" thickBot="1" x14ac:dyDescent="0.3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16</v>
      </c>
      <c r="I329" s="16">
        <f t="shared" si="27"/>
        <v>14</v>
      </c>
      <c r="J329" s="17">
        <f t="shared" si="28"/>
        <v>0.53333333333333333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 t="s">
        <v>1199</v>
      </c>
      <c r="AJ329" s="26" t="s">
        <v>1199</v>
      </c>
      <c r="AK329" s="8"/>
      <c r="AL329" s="8"/>
      <c r="AM329" s="26"/>
      <c r="AN329" s="26"/>
    </row>
    <row r="330" spans="1:40" ht="15.75" thickBot="1" x14ac:dyDescent="0.3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18</v>
      </c>
      <c r="I330" s="16">
        <f t="shared" si="27"/>
        <v>12</v>
      </c>
      <c r="J330" s="17">
        <f t="shared" si="28"/>
        <v>0.6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 t="s">
        <v>1199</v>
      </c>
      <c r="AJ330" s="26" t="s">
        <v>1199</v>
      </c>
      <c r="AK330" s="8"/>
      <c r="AL330" s="8"/>
      <c r="AM330" s="26"/>
      <c r="AN330" s="26"/>
    </row>
    <row r="331" spans="1:40" ht="15.75" thickBot="1" x14ac:dyDescent="0.3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18</v>
      </c>
      <c r="I331" s="16">
        <f t="shared" si="27"/>
        <v>12</v>
      </c>
      <c r="J331" s="17">
        <f t="shared" si="28"/>
        <v>0.6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 t="s">
        <v>1199</v>
      </c>
      <c r="AJ331" s="26" t="s">
        <v>1199</v>
      </c>
      <c r="AK331" s="8"/>
      <c r="AL331" s="8"/>
      <c r="AM331" s="26"/>
      <c r="AN331" s="26"/>
    </row>
    <row r="332" spans="1:40" ht="15.75" thickBot="1" x14ac:dyDescent="0.3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18</v>
      </c>
      <c r="I332" s="16">
        <f t="shared" si="27"/>
        <v>12</v>
      </c>
      <c r="J332" s="17">
        <f t="shared" si="28"/>
        <v>0.6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 t="s">
        <v>1199</v>
      </c>
      <c r="AJ332" s="26" t="s">
        <v>1199</v>
      </c>
      <c r="AK332" s="8"/>
      <c r="AL332" s="8"/>
      <c r="AM332" s="26"/>
      <c r="AN332" s="26"/>
    </row>
    <row r="333" spans="1:40" ht="15.75" thickBot="1" x14ac:dyDescent="0.3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18</v>
      </c>
      <c r="I333" s="16">
        <f t="shared" si="27"/>
        <v>12</v>
      </c>
      <c r="J333" s="17">
        <f t="shared" si="28"/>
        <v>0.6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 t="s">
        <v>1199</v>
      </c>
      <c r="AJ333" s="26" t="s">
        <v>1199</v>
      </c>
      <c r="AK333" s="8"/>
      <c r="AL333" s="8"/>
      <c r="AM333" s="26"/>
      <c r="AN333" s="26"/>
    </row>
    <row r="334" spans="1:40" ht="15.75" thickBot="1" x14ac:dyDescent="0.3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18</v>
      </c>
      <c r="I334" s="16">
        <f t="shared" si="27"/>
        <v>12</v>
      </c>
      <c r="J334" s="17">
        <f t="shared" si="28"/>
        <v>0.6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 t="s">
        <v>1199</v>
      </c>
      <c r="AJ334" s="26" t="s">
        <v>1199</v>
      </c>
      <c r="AK334" s="8"/>
      <c r="AL334" s="8"/>
      <c r="AM334" s="26"/>
      <c r="AN334" s="26"/>
    </row>
    <row r="335" spans="1:40" ht="15.75" thickBot="1" x14ac:dyDescent="0.3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18</v>
      </c>
      <c r="I335" s="16">
        <f t="shared" si="27"/>
        <v>12</v>
      </c>
      <c r="J335" s="17">
        <f t="shared" si="28"/>
        <v>0.6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 t="s">
        <v>1199</v>
      </c>
      <c r="AK335" s="8"/>
      <c r="AL335" s="8"/>
      <c r="AM335" s="26"/>
      <c r="AN335" s="26"/>
    </row>
    <row r="336" spans="1:40" ht="15.75" thickBot="1" x14ac:dyDescent="0.3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.75" thickBot="1" x14ac:dyDescent="0.3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27</v>
      </c>
      <c r="I339" s="16">
        <f t="shared" si="36"/>
        <v>3</v>
      </c>
      <c r="J339" s="17">
        <f t="shared" si="37"/>
        <v>0.9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.75" thickBot="1" x14ac:dyDescent="0.3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.75" thickBot="1" x14ac:dyDescent="0.3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.75" thickBot="1" x14ac:dyDescent="0.3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27</v>
      </c>
      <c r="I355" s="16">
        <f t="shared" si="36"/>
        <v>3</v>
      </c>
      <c r="J355" s="17">
        <f t="shared" si="37"/>
        <v>0.9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 t="s">
        <v>1199</v>
      </c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19</v>
      </c>
      <c r="I356" s="16">
        <f t="shared" si="36"/>
        <v>11</v>
      </c>
      <c r="J356" s="17">
        <f t="shared" si="37"/>
        <v>0.6333333333333333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30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20</v>
      </c>
      <c r="I372" s="16">
        <f t="shared" si="36"/>
        <v>10</v>
      </c>
      <c r="J372" s="17">
        <f t="shared" si="37"/>
        <v>0.66666666666666663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20</v>
      </c>
      <c r="I373" s="16">
        <f t="shared" si="36"/>
        <v>10</v>
      </c>
      <c r="J373" s="17">
        <f t="shared" si="37"/>
        <v>0.66666666666666663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/>
      <c r="AM373" s="26"/>
      <c r="AN373" s="26"/>
    </row>
    <row r="374" spans="1:40" s="50" customFormat="1" ht="15.75" thickBot="1" x14ac:dyDescent="0.3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.75" thickBot="1" x14ac:dyDescent="0.3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.75" thickBot="1" x14ac:dyDescent="0.3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.75" thickBot="1" x14ac:dyDescent="0.3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.75" thickBot="1" x14ac:dyDescent="0.3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.75" thickBot="1" x14ac:dyDescent="0.3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.75" thickBot="1" x14ac:dyDescent="0.3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.75" thickBot="1" x14ac:dyDescent="0.3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.75" thickBot="1" x14ac:dyDescent="0.3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.75" thickBot="1" x14ac:dyDescent="0.3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18</v>
      </c>
      <c r="I384" s="16">
        <f t="shared" si="36"/>
        <v>12</v>
      </c>
      <c r="J384" s="17">
        <f t="shared" si="37"/>
        <v>0.6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 t="s">
        <v>1199</v>
      </c>
      <c r="AJ384" s="26" t="s">
        <v>1199</v>
      </c>
      <c r="AK384" s="8"/>
      <c r="AL384" s="8"/>
      <c r="AM384" s="26"/>
      <c r="AN384" s="26"/>
    </row>
    <row r="385" spans="1:40" ht="15.75" thickBot="1" x14ac:dyDescent="0.3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.75" thickBot="1" x14ac:dyDescent="0.3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.75" thickBot="1" x14ac:dyDescent="0.3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19</v>
      </c>
      <c r="I387" s="16">
        <f t="shared" si="36"/>
        <v>11</v>
      </c>
      <c r="J387" s="17">
        <f t="shared" si="37"/>
        <v>0.6333333333333333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 t="s">
        <v>1199</v>
      </c>
      <c r="AJ387" s="26" t="s">
        <v>1199</v>
      </c>
      <c r="AK387" s="8"/>
      <c r="AL387" s="8"/>
      <c r="AM387" s="26"/>
      <c r="AN387" s="26"/>
    </row>
    <row r="388" spans="1:40" ht="15.75" thickBot="1" x14ac:dyDescent="0.3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.75" thickBot="1" x14ac:dyDescent="0.3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.75" thickBot="1" x14ac:dyDescent="0.3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.75" thickBot="1" x14ac:dyDescent="0.3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.75" thickBot="1" x14ac:dyDescent="0.3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29</v>
      </c>
      <c r="I394" s="52">
        <f t="shared" si="41"/>
        <v>1</v>
      </c>
      <c r="J394" s="53">
        <f t="shared" si="42"/>
        <v>0.96666666666666667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s="50" customFormat="1" ht="15.75" thickBot="1" x14ac:dyDescent="0.3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.75" thickBot="1" x14ac:dyDescent="0.3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.75" thickBot="1" x14ac:dyDescent="0.3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.75" thickBot="1" x14ac:dyDescent="0.3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.75" thickBot="1" x14ac:dyDescent="0.3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.75" thickBot="1" x14ac:dyDescent="0.3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.75" thickBot="1" x14ac:dyDescent="0.3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.75" thickBot="1" x14ac:dyDescent="0.3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.75" thickBot="1" x14ac:dyDescent="0.3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.75" thickBot="1" x14ac:dyDescent="0.3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.75" thickBot="1" x14ac:dyDescent="0.3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.75" thickBot="1" x14ac:dyDescent="0.3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.75" thickBot="1" x14ac:dyDescent="0.3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.75" thickBot="1" x14ac:dyDescent="0.3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.75" thickBot="1" x14ac:dyDescent="0.3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.75" thickBot="1" x14ac:dyDescent="0.3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.75" thickBot="1" x14ac:dyDescent="0.3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.75" thickBot="1" x14ac:dyDescent="0.3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.75" thickBot="1" x14ac:dyDescent="0.3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16" xr:uid="{32AE3966-3F3A-4A38-B5F8-35AF221F7220}"/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 t="str">
        <f>'RESUMEN TOTAL'!AJ7</f>
        <v>APAGADO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 t="str">
        <f>'RESUMEN TOTAL'!AJ8</f>
        <v>APAGADO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 t="str">
        <f>'RESUMEN TOTAL'!AJ9</f>
        <v>APAGADO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 t="str">
        <f>'RESUMEN TOTAL'!AJ10</f>
        <v>APAGADO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 t="str">
        <f>'RESUMEN TOTAL'!AJ12</f>
        <v>APAGADO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 t="str">
        <f>'RESUMEN TOTAL'!AJ13</f>
        <v>APAGADO</v>
      </c>
      <c r="AF10" s="29">
        <f>'RESUMEN TOTAL'!AK13</f>
        <v>0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 t="str">
        <f>'RESUMEN TOTAL'!AJ14</f>
        <v>APAGADO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 t="str">
        <f>'RESUMEN TOTAL'!AJ31</f>
        <v>APAGADO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 t="str">
        <f>'RESUMEN TOTAL'!AJ40</f>
        <v>APAGADO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 t="str">
        <f>'RESUMEN TOTAL'!AJ42</f>
        <v>APAGADO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 t="str">
        <f>'RESUMEN TOTAL'!AJ63</f>
        <v>APAGADO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 t="str">
        <f>'RESUMEN TOTAL'!AJ88</f>
        <v>APAGADO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 t="str">
        <f>'RESUMEN TOTAL'!AJ95</f>
        <v>APAGADO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 t="str">
        <f>'RESUMEN TOTAL'!AJ96</f>
        <v>APAGADO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25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25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25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25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25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25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 t="str">
        <f>'RESUMEN TOTAL'!AI140</f>
        <v>APAGADO</v>
      </c>
      <c r="AE137" s="29" t="str">
        <f>'RESUMEN TOTAL'!AJ140</f>
        <v>APAGADO</v>
      </c>
      <c r="AF137" s="29">
        <f>'RESUMEN TOTAL'!AK140</f>
        <v>0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25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25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25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25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25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25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25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25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25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25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25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25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25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25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25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25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25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 t="str">
        <f>'RESUMEN TOTAL'!AI157</f>
        <v>APAGADO</v>
      </c>
      <c r="AE154" s="29" t="str">
        <f>'RESUMEN TOTAL'!AJ157</f>
        <v>APAGADO</v>
      </c>
      <c r="AF154" s="29">
        <f>'RESUMEN TOTAL'!AK157</f>
        <v>0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 t="str">
        <f>'RESUMEN TOTAL'!AI158</f>
        <v>APAGADO</v>
      </c>
      <c r="AE155" s="29" t="str">
        <f>'RESUMEN TOTAL'!AJ158</f>
        <v>APAGADO</v>
      </c>
      <c r="AF155" s="29">
        <f>'RESUMEN TOTAL'!AK158</f>
        <v>0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25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 t="str">
        <f>'RESUMEN TOTAL'!AI160</f>
        <v>APAGADO</v>
      </c>
      <c r="AE157" s="29" t="str">
        <f>'RESUMEN TOTAL'!AJ160</f>
        <v>APAGADO</v>
      </c>
      <c r="AF157" s="29">
        <f>'RESUMEN TOTAL'!AK160</f>
        <v>0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 t="str">
        <f>'RESUMEN TOTAL'!AI161</f>
        <v>APAGADO</v>
      </c>
      <c r="AE158" s="29" t="str">
        <f>'RESUMEN TOTAL'!AJ161</f>
        <v>APAGADO</v>
      </c>
      <c r="AF158" s="29">
        <f>'RESUMEN TOTAL'!AK161</f>
        <v>0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 t="str">
        <f>'RESUMEN TOTAL'!AI162</f>
        <v>APAGADO</v>
      </c>
      <c r="AE159" s="29" t="str">
        <f>'RESUMEN TOTAL'!AJ162</f>
        <v>APAGADO</v>
      </c>
      <c r="AF159" s="29">
        <f>'RESUMEN TOTAL'!AK162</f>
        <v>0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25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 t="str">
        <f>'RESUMEN TOTAL'!AI164</f>
        <v>APAGADO</v>
      </c>
      <c r="AE161" s="29" t="str">
        <f>'RESUMEN TOTAL'!AJ164</f>
        <v>APAGADO</v>
      </c>
      <c r="AF161" s="29">
        <f>'RESUMEN TOTAL'!AK164</f>
        <v>0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25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25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25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 t="str">
        <f>'RESUMEN TOTAL'!AI167</f>
        <v>APAGADO</v>
      </c>
      <c r="AE164" s="29" t="str">
        <f>'RESUMEN TOTAL'!AJ167</f>
        <v>APAGADO</v>
      </c>
      <c r="AF164" s="29">
        <f>'RESUMEN TOTAL'!AK167</f>
        <v>0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25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 t="str">
        <f>'RESUMEN TOTAL'!AI168</f>
        <v>APAGADO</v>
      </c>
      <c r="AE165" s="29" t="str">
        <f>'RESUMEN TOTAL'!AJ168</f>
        <v>APAGADO</v>
      </c>
      <c r="AF165" s="29">
        <f>'RESUMEN TOTAL'!AK168</f>
        <v>0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25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 t="str">
        <f>'RESUMEN TOTAL'!AI169</f>
        <v>APAGADO</v>
      </c>
      <c r="AE166" s="29" t="str">
        <f>'RESUMEN TOTAL'!AJ169</f>
        <v>APAGADO</v>
      </c>
      <c r="AF166" s="29">
        <f>'RESUMEN TOTAL'!AK169</f>
        <v>0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25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25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25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 t="str">
        <f>'RESUMEN TOTAL'!AI172</f>
        <v>APAGADO</v>
      </c>
      <c r="AE169" s="29" t="str">
        <f>'RESUMEN TOTAL'!AJ172</f>
        <v>APAGADO</v>
      </c>
      <c r="AF169" s="29">
        <f>'RESUMEN TOTAL'!AK172</f>
        <v>0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25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25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25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25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25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25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25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25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25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25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25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 t="str">
        <f>'RESUMEN TOTAL'!AI183</f>
        <v>APAGADO</v>
      </c>
      <c r="AE180" s="29" t="str">
        <f>'RESUMEN TOTAL'!AJ183</f>
        <v>APAGADO</v>
      </c>
      <c r="AF180" s="29">
        <f>'RESUMEN TOTAL'!AK183</f>
        <v>0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25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25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 t="str">
        <f>'RESUMEN TOTAL'!AI185</f>
        <v>APAGADO</v>
      </c>
      <c r="AE182" s="29" t="str">
        <f>'RESUMEN TOTAL'!AJ185</f>
        <v>APAGADO</v>
      </c>
      <c r="AF182" s="29">
        <f>'RESUMEN TOTAL'!AK185</f>
        <v>0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25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 t="str">
        <f>'RESUMEN TOTAL'!AI186</f>
        <v>APAGADO</v>
      </c>
      <c r="AE183" s="29" t="str">
        <f>'RESUMEN TOTAL'!AJ186</f>
        <v>APAGADO</v>
      </c>
      <c r="AF183" s="29">
        <f>'RESUMEN TOTAL'!AK186</f>
        <v>0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25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25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25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25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25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25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25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25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25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25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25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25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25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25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25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25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25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25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25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25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 t="str">
        <f>'RESUMEN TOTAL'!AI208</f>
        <v>APAGADO</v>
      </c>
      <c r="AE205" s="29">
        <f>'RESUMEN TOTAL'!AJ208</f>
        <v>0</v>
      </c>
      <c r="AF205" s="29">
        <f>'RESUMEN TOTAL'!AK208</f>
        <v>0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25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25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25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25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25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25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 t="str">
        <f>'RESUMEN TOTAL'!AJ214</f>
        <v>APAGADO</v>
      </c>
      <c r="AF211" s="29">
        <f>'RESUMEN TOTAL'!AK214</f>
        <v>0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 t="str">
        <f>'RESUMEN TOTAL'!AJ215</f>
        <v>APAGADO</v>
      </c>
      <c r="AF212" s="29">
        <f>'RESUMEN TOTAL'!AK215</f>
        <v>0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25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 t="str">
        <f>'RESUMEN TOTAL'!AI216</f>
        <v>APAGADO</v>
      </c>
      <c r="AE213" s="29" t="str">
        <f>'RESUMEN TOTAL'!AJ216</f>
        <v>APAGADO</v>
      </c>
      <c r="AF213" s="29">
        <f>'RESUMEN TOTAL'!AK216</f>
        <v>0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25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25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25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25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 t="str">
        <f>'RESUMEN TOTAL'!AJ220</f>
        <v>APAGADO</v>
      </c>
      <c r="AF217" s="29">
        <f>'RESUMEN TOTAL'!AK220</f>
        <v>0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25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25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 t="str">
        <f>'RESUMEN TOTAL'!AI223</f>
        <v>APAGADO</v>
      </c>
      <c r="AE220" s="29" t="str">
        <f>'RESUMEN TOTAL'!AJ223</f>
        <v>APAGADO</v>
      </c>
      <c r="AF220" s="29">
        <f>'RESUMEN TOTAL'!AK223</f>
        <v>0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25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25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25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25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25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 t="str">
        <f>'RESUMEN TOTAL'!AJ228</f>
        <v>APAGADO</v>
      </c>
      <c r="AF225" s="29">
        <f>'RESUMEN TOTAL'!AK228</f>
        <v>0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25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25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25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25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25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25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25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25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25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25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25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25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25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25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25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25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25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25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25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25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25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25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25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25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25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25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25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25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25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25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25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25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 t="str">
        <f>'RESUMEN TOTAL'!AI263</f>
        <v>APAGADO</v>
      </c>
      <c r="AE260" s="29" t="str">
        <f>'RESUMEN TOTAL'!AJ263</f>
        <v>APAGADO</v>
      </c>
      <c r="AF260" s="29">
        <f>'RESUMEN TOTAL'!AK263</f>
        <v>0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25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25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25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25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25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25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25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25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25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25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25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25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25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25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25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25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25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25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25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25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25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25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25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25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25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25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25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25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25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25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25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25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25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25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25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25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25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25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25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>
        <f>'RESUMEN TOTAL'!AK306</f>
        <v>0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25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25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>
        <f>'RESUMEN TOTAL'!AK309</f>
        <v>0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25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25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25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25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25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>
        <f>'RESUMEN TOTAL'!AK316</f>
        <v>0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25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>
        <f>'RESUMEN TOTAL'!AK317</f>
        <v>0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25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25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25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25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25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>
        <f>'RESUMEN TOTAL'!AK322</f>
        <v>0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25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>
        <f>'RESUMEN TOTAL'!AK323</f>
        <v>0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25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25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25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25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25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25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 t="str">
        <f>'RESUMEN TOTAL'!AI329</f>
        <v>APAGADO</v>
      </c>
      <c r="AE326" s="29" t="str">
        <f>'RESUMEN TOTAL'!AJ329</f>
        <v>APAGADO</v>
      </c>
      <c r="AF326" s="29">
        <f>'RESUMEN TOTAL'!AK329</f>
        <v>0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25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 t="str">
        <f>'RESUMEN TOTAL'!AI330</f>
        <v>APAGADO</v>
      </c>
      <c r="AE327" s="29" t="str">
        <f>'RESUMEN TOTAL'!AJ330</f>
        <v>APAGADO</v>
      </c>
      <c r="AF327" s="29">
        <f>'RESUMEN TOTAL'!AK330</f>
        <v>0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25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 t="str">
        <f>'RESUMEN TOTAL'!AI331</f>
        <v>APAGADO</v>
      </c>
      <c r="AE328" s="29" t="str">
        <f>'RESUMEN TOTAL'!AJ331</f>
        <v>APAGADO</v>
      </c>
      <c r="AF328" s="29">
        <f>'RESUMEN TOTAL'!AK331</f>
        <v>0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25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 t="str">
        <f>'RESUMEN TOTAL'!AI332</f>
        <v>APAGADO</v>
      </c>
      <c r="AE329" s="29" t="str">
        <f>'RESUMEN TOTAL'!AJ332</f>
        <v>APAGADO</v>
      </c>
      <c r="AF329" s="29">
        <f>'RESUMEN TOTAL'!AK332</f>
        <v>0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25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 t="str">
        <f>'RESUMEN TOTAL'!AI333</f>
        <v>APAGADO</v>
      </c>
      <c r="AE330" s="29" t="str">
        <f>'RESUMEN TOTAL'!AJ333</f>
        <v>APAGADO</v>
      </c>
      <c r="AF330" s="29">
        <f>'RESUMEN TOTAL'!AK333</f>
        <v>0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25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 t="str">
        <f>'RESUMEN TOTAL'!AI334</f>
        <v>APAGADO</v>
      </c>
      <c r="AE331" s="29" t="str">
        <f>'RESUMEN TOTAL'!AJ334</f>
        <v>APAGADO</v>
      </c>
      <c r="AF331" s="29">
        <f>'RESUMEN TOTAL'!AK334</f>
        <v>0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25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 t="str">
        <f>'RESUMEN TOTAL'!AI335</f>
        <v>APAGADO</v>
      </c>
      <c r="AE332" s="29" t="str">
        <f>'RESUMEN TOTAL'!AJ335</f>
        <v>APAGADO</v>
      </c>
      <c r="AF332" s="29">
        <f>'RESUMEN TOTAL'!AK335</f>
        <v>0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25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25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25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25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>
        <f>'RESUMEN TOTAL'!AK339</f>
        <v>0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25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25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25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25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25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25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25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25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25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25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25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25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 t="str">
        <f>'RESUMEN TOTAL'!AJ355</f>
        <v>APAGADO</v>
      </c>
      <c r="AF352" s="29">
        <f>'RESUMEN TOTAL'!AK355</f>
        <v>0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25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25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25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25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25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25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25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25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25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25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25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25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25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25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25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25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25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25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25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25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25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25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25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25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25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25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 t="str">
        <f>'RESUMEN TOTAL'!AI384</f>
        <v>APAGADO</v>
      </c>
      <c r="AE379" s="29" t="str">
        <f>'RESUMEN TOTAL'!AJ384</f>
        <v>APAGADO</v>
      </c>
      <c r="AF379" s="29">
        <f>'RESUMEN TOTAL'!AK384</f>
        <v>0</v>
      </c>
      <c r="AG379" s="29">
        <f>'RESUMEN TOTAL'!AL384</f>
        <v>0</v>
      </c>
      <c r="AH379" s="29">
        <f>'RESUMEN TOTAL'!AM384</f>
        <v>0</v>
      </c>
      <c r="AI379" s="29">
        <f>'RESUMEN TOTAL'!AN384</f>
        <v>0</v>
      </c>
    </row>
    <row r="380" spans="1:35" x14ac:dyDescent="0.25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25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25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 t="str">
        <f>'RESUMEN TOTAL'!AI387</f>
        <v>APAGADO</v>
      </c>
      <c r="AE382" s="29" t="str">
        <f>'RESUMEN TOTAL'!AJ387</f>
        <v>APAGADO</v>
      </c>
      <c r="AF382" s="29">
        <f>'RESUMEN TOTAL'!AK387</f>
        <v>0</v>
      </c>
      <c r="AG382" s="29">
        <f>'RESUMEN TOTAL'!AL387</f>
        <v>0</v>
      </c>
      <c r="AH382" s="29">
        <f>'RESUMEN TOTAL'!AM387</f>
        <v>0</v>
      </c>
      <c r="AI382" s="29">
        <f>'RESUMEN TOTAL'!AN387</f>
        <v>0</v>
      </c>
    </row>
    <row r="383" spans="1:35" x14ac:dyDescent="0.25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25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25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25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25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25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25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>
        <f>'RESUMEN TOTAL'!AK394</f>
        <v>0</v>
      </c>
      <c r="AG389" s="29">
        <f>'RESUMEN TOTAL'!AL394</f>
        <v>0</v>
      </c>
      <c r="AH389" s="29">
        <f>'RESUMEN TOTAL'!AM394</f>
        <v>0</v>
      </c>
      <c r="AI389" s="29">
        <f>'RESUMEN TOTAL'!AN394</f>
        <v>0</v>
      </c>
    </row>
    <row r="390" spans="1:35" x14ac:dyDescent="0.25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25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25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25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25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25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25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25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25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25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25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25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25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25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25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25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25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25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25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25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25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25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25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25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25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25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25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25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25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45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 t="str">
        <f>ESTADISTICA!AE37</f>
        <v>APAGADO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 t="str">
        <f>ESTADISTICA!AE157</f>
        <v>APAGADO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 t="str">
        <f>ESTADISTICA!AE158</f>
        <v>APAGADO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 t="str">
        <f>ESTADISTICA!AE211</f>
        <v>APAGADO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 t="str">
        <f>ESTADISTICA!AE212</f>
        <v>APAGADO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 t="str">
        <f>ESTADISTICA!AE225</f>
        <v>APAGADO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 t="str">
        <f>ESTADISTICA!AE331</f>
        <v>APAGADO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 t="str">
        <f>ESTADISTICA!AE352</f>
        <v>APAGADO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 t="str">
        <f>ESTADISTICA!AE379</f>
        <v>APAGADO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 t="str">
        <f>ESTADISTICA!AE382</f>
        <v>APAGADO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39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4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2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B58" sqref="B58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38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.75" thickTop="1" x14ac:dyDescent="0.25">
      <c r="A57" s="86"/>
      <c r="B57" s="87"/>
      <c r="C57" s="88"/>
      <c r="D57" s="89"/>
      <c r="E57" s="138"/>
    </row>
    <row r="58" spans="1:11" x14ac:dyDescent="0.25">
      <c r="A58" s="90"/>
      <c r="B58" s="91"/>
      <c r="C58" s="92"/>
      <c r="D58" s="93"/>
      <c r="E58" s="139"/>
    </row>
    <row r="59" spans="1:11" x14ac:dyDescent="0.25">
      <c r="A59" s="90"/>
      <c r="B59" s="91"/>
      <c r="C59" s="92"/>
      <c r="D59" s="93"/>
      <c r="E59" s="139"/>
    </row>
    <row r="60" spans="1:11" x14ac:dyDescent="0.25">
      <c r="A60" s="90"/>
      <c r="B60" s="91"/>
      <c r="C60" s="92"/>
      <c r="D60" s="93"/>
      <c r="E60" s="139"/>
    </row>
    <row r="61" spans="1:11" ht="15.75" thickBot="1" x14ac:dyDescent="0.3">
      <c r="A61" s="102"/>
      <c r="B61" s="103"/>
      <c r="C61" s="92"/>
      <c r="D61" s="105"/>
      <c r="E61" s="140"/>
    </row>
    <row r="62" spans="1:11" ht="15.75" thickTop="1" x14ac:dyDescent="0.25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3" sqref="B23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25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25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25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25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25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25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25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25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25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25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25">
      <c r="A31" s="24">
        <v>44803</v>
      </c>
      <c r="B31" s="50"/>
      <c r="C31" s="50"/>
      <c r="D31" s="50"/>
      <c r="E31" s="50"/>
      <c r="F31" s="50"/>
    </row>
    <row r="32" spans="1:7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38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  <c r="AJ3" s="75" t="e">
        <f>COUNTIFS('RESUMEN TOTAL'!C7:C501, "=BONOMO",'RESUMEN TOTAL'!#REF!,"=APAGADO")</f>
        <v>#REF!</v>
      </c>
    </row>
    <row r="4" spans="1:36" s="50" customFormat="1" ht="16.5" thickTop="1" thickBot="1" x14ac:dyDescent="0.3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J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0.16818181818181818</v>
      </c>
      <c r="AD4" s="82">
        <f t="shared" si="0"/>
        <v>0.17272727272727273</v>
      </c>
      <c r="AE4" s="82">
        <f t="shared" si="0"/>
        <v>0.17272727272727273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3</v>
      </c>
      <c r="AE5" s="77">
        <f>COUNTIFS('RESUMEN TOTAL'!C10:C415, "=COSEIDI",'RESUMEN TOTAL'!AJ10:AJ415,"=APAGADO")</f>
        <v>7</v>
      </c>
      <c r="AF5" s="77">
        <f>COUNTIFS('RESUMEN TOTAL'!C10:C415, "=COSEIDI",'RESUMEN TOTAL'!AK10:AK415,"=APAGADO")</f>
        <v>0</v>
      </c>
      <c r="AG5" s="77">
        <f>COUNTIFS('RESUMEN TOTAL'!C10:C415, "=COSEIDI",'RESUMEN TOTAL'!AL10:AL415,"=APAGADO")</f>
        <v>0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  <c r="AJ5" s="77" t="e">
        <f>COUNTIFS('RESUMEN TOTAL'!C10:C415, "=COSEIDI",'RESUMEN TOTAL'!#REF!,"=APAGADO")</f>
        <v>#REF!</v>
      </c>
    </row>
    <row r="6" spans="1:36" ht="16.5" thickTop="1" thickBot="1" x14ac:dyDescent="0.3">
      <c r="D6" s="66"/>
      <c r="E6" s="64" t="s">
        <v>1172</v>
      </c>
      <c r="F6" s="81">
        <f t="shared" ref="F6:AJ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3.1746031746031744E-2</v>
      </c>
      <c r="AD6" s="81">
        <f t="shared" si="2"/>
        <v>1.5873015873015872E-2</v>
      </c>
      <c r="AE6" s="81">
        <f t="shared" si="2"/>
        <v>3.7037037037037035E-2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2022-09-26T10:48:32Z</dcterms:modified>
</cp:coreProperties>
</file>