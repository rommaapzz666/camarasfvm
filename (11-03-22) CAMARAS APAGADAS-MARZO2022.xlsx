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D3578F70-02C5-4703-AEE2-F41CD9B0A09C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TOTAL'!$A$4:$D$347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8" i="11" l="1"/>
  <c r="P368" i="11"/>
  <c r="T368" i="11"/>
  <c r="W368" i="11"/>
  <c r="X368" i="11"/>
  <c r="AB368" i="11"/>
  <c r="AE368" i="11"/>
  <c r="C369" i="11"/>
  <c r="G369" i="11"/>
  <c r="K369" i="11"/>
  <c r="O369" i="11"/>
  <c r="S369" i="11"/>
  <c r="W369" i="11"/>
  <c r="AA369" i="11"/>
  <c r="AD369" i="11"/>
  <c r="AE369" i="11"/>
  <c r="B368" i="21"/>
  <c r="E368" i="21"/>
  <c r="F368" i="21"/>
  <c r="J368" i="21"/>
  <c r="M368" i="21"/>
  <c r="N368" i="21"/>
  <c r="R368" i="21"/>
  <c r="U368" i="21"/>
  <c r="Z368" i="21"/>
  <c r="AC368" i="21"/>
  <c r="AD368" i="21"/>
  <c r="A369" i="21"/>
  <c r="I369" i="21"/>
  <c r="L369" i="21"/>
  <c r="Q369" i="21"/>
  <c r="T369" i="21"/>
  <c r="Y369" i="21"/>
  <c r="H368" i="10"/>
  <c r="I368" i="10"/>
  <c r="M368" i="10"/>
  <c r="P368" i="10"/>
  <c r="U368" i="10"/>
  <c r="X368" i="10"/>
  <c r="AC368" i="10"/>
  <c r="AG368" i="10"/>
  <c r="I369" i="10"/>
  <c r="L369" i="10"/>
  <c r="Q369" i="10"/>
  <c r="T369" i="10"/>
  <c r="Y369" i="10"/>
  <c r="C368" i="10"/>
  <c r="C369" i="10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I3" i="21"/>
  <c r="AH2" i="10"/>
  <c r="AI2" i="10"/>
  <c r="AJ2" i="10"/>
  <c r="AH2" i="11"/>
  <c r="AI2" i="11"/>
  <c r="AJ2" i="11"/>
  <c r="AJ3" i="11"/>
  <c r="A32" i="14" s="1"/>
  <c r="AJ1" i="8"/>
  <c r="AJ3" i="21" s="1"/>
  <c r="AH1" i="8"/>
  <c r="AH3" i="11" s="1"/>
  <c r="A30" i="14" s="1"/>
  <c r="AI1" i="8"/>
  <c r="AI3" i="11" s="1"/>
  <c r="A31" i="14" s="1"/>
  <c r="AQ2" i="2"/>
  <c r="AR2" i="2"/>
  <c r="AS2" i="2"/>
  <c r="AQ3" i="2"/>
  <c r="AQ1" i="2" s="1"/>
  <c r="AR3" i="2"/>
  <c r="AR1" i="2" s="1"/>
  <c r="AS3" i="2"/>
  <c r="AS1" i="2" s="1"/>
  <c r="AJ3" i="10" l="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0" i="2"/>
  <c r="L370" i="2"/>
  <c r="M369" i="2"/>
  <c r="L369" i="2"/>
  <c r="N370" i="2" l="1"/>
  <c r="N369" i="2"/>
  <c r="AB3" i="2"/>
  <c r="O2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P2" i="2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2" i="21" s="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59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6" i="2"/>
  <c r="N358" i="2"/>
  <c r="N350" i="2"/>
  <c r="N342" i="2"/>
  <c r="N334" i="2"/>
  <c r="N326" i="2"/>
  <c r="N318" i="2"/>
  <c r="N310" i="2"/>
  <c r="N262" i="2"/>
  <c r="N254" i="2"/>
  <c r="N246" i="2"/>
  <c r="N222" i="2"/>
  <c r="N214" i="2"/>
  <c r="N190" i="2"/>
  <c r="N182" i="2"/>
  <c r="N325" i="2"/>
  <c r="N317" i="2"/>
  <c r="N309" i="2"/>
  <c r="N285" i="2"/>
  <c r="N269" i="2"/>
  <c r="N261" i="2"/>
  <c r="N253" i="2"/>
  <c r="N245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1" i="2"/>
  <c r="N189" i="2"/>
  <c r="N47" i="2"/>
  <c r="N361" i="2"/>
  <c r="N337" i="2"/>
  <c r="N329" i="2"/>
  <c r="N321" i="2"/>
  <c r="N313" i="2"/>
  <c r="N297" i="2"/>
  <c r="N281" i="2"/>
  <c r="N273" i="2"/>
  <c r="N265" i="2"/>
  <c r="N25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68" i="2"/>
  <c r="N344" i="2"/>
  <c r="N328" i="2"/>
  <c r="N312" i="2"/>
  <c r="N296" i="2"/>
  <c r="N264" i="2"/>
  <c r="N256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2" i="2"/>
  <c r="N324" i="2"/>
  <c r="N308" i="2"/>
  <c r="N300" i="2"/>
  <c r="N268" i="2"/>
  <c r="N260" i="2"/>
  <c r="N156" i="2"/>
  <c r="N132" i="2"/>
  <c r="N124" i="2"/>
  <c r="N52" i="2"/>
  <c r="N20" i="2"/>
  <c r="N42" i="2"/>
  <c r="N363" i="2"/>
  <c r="N355" i="2"/>
  <c r="N339" i="2"/>
  <c r="N331" i="2"/>
  <c r="N323" i="2"/>
  <c r="N315" i="2"/>
  <c r="N307" i="2"/>
  <c r="N299" i="2"/>
  <c r="N283" i="2"/>
  <c r="N275" i="2"/>
  <c r="N267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3" i="2"/>
  <c r="N291" i="2"/>
  <c r="N289" i="2"/>
  <c r="N288" i="2"/>
  <c r="N109" i="2"/>
  <c r="N203" i="2"/>
  <c r="N187" i="2"/>
  <c r="N112" i="2"/>
  <c r="N248" i="2"/>
  <c r="N64" i="2"/>
  <c r="N58" i="2"/>
  <c r="N12" i="2"/>
  <c r="N41" i="2"/>
  <c r="N351" i="2"/>
  <c r="N343" i="2"/>
  <c r="N327" i="2"/>
  <c r="N311" i="2"/>
  <c r="N287" i="2"/>
  <c r="N263" i="2"/>
  <c r="N255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5" i="2"/>
  <c r="N35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2" i="2"/>
  <c r="N354" i="2"/>
  <c r="N338" i="2"/>
  <c r="N330" i="2"/>
  <c r="N322" i="2"/>
  <c r="N314" i="2"/>
  <c r="N298" i="2"/>
  <c r="N290" i="2"/>
  <c r="N282" i="2"/>
  <c r="N274" i="2"/>
  <c r="N266" i="2"/>
  <c r="N258" i="2"/>
  <c r="N242" i="2"/>
  <c r="N234" i="2"/>
  <c r="N226" i="2"/>
  <c r="N218" i="2"/>
  <c r="N210" i="2"/>
  <c r="N186" i="2"/>
  <c r="N178" i="2"/>
  <c r="N170" i="2"/>
  <c r="N276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6" i="2"/>
  <c r="AF305" i="11"/>
  <c r="N294" i="2"/>
  <c r="AF292" i="9"/>
  <c r="AF293" i="10"/>
  <c r="N286" i="2"/>
  <c r="AF284" i="9"/>
  <c r="AF285" i="10"/>
  <c r="AF131" i="9"/>
  <c r="AF132" i="11"/>
  <c r="N133" i="2"/>
  <c r="N70" i="2"/>
  <c r="AF68" i="9"/>
  <c r="AF69" i="10"/>
  <c r="N352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49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3" i="2"/>
  <c r="AF332" i="11"/>
  <c r="AF332" i="10"/>
  <c r="AF319" i="10"/>
  <c r="AF317" i="9"/>
  <c r="AF318" i="10"/>
  <c r="AF304" i="11"/>
  <c r="AF303" i="9"/>
  <c r="AF303" i="11"/>
  <c r="AF302" i="9"/>
  <c r="N303" i="2"/>
  <c r="AF302" i="10"/>
  <c r="AF300" i="9"/>
  <c r="AF301" i="10"/>
  <c r="AF271" i="11"/>
  <c r="AF271" i="10"/>
  <c r="AF269" i="9"/>
  <c r="AF270" i="11"/>
  <c r="AF279" i="10"/>
  <c r="AF278" i="10"/>
  <c r="AF277" i="9"/>
  <c r="N279" i="2"/>
  <c r="AF276" i="11"/>
  <c r="AF275" i="9"/>
  <c r="AF269" i="10"/>
  <c r="AF268" i="9"/>
  <c r="AF258" i="10"/>
  <c r="AF258" i="11"/>
  <c r="AF250" i="9"/>
  <c r="AF251" i="10"/>
  <c r="N251" i="2"/>
  <c r="AF250" i="10"/>
  <c r="AF249" i="9"/>
  <c r="AF249" i="10"/>
  <c r="AF248" i="9"/>
  <c r="N250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4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4" i="2"/>
  <c r="N356" i="2"/>
  <c r="N340" i="2"/>
  <c r="N316" i="2"/>
  <c r="N292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48" i="2"/>
  <c r="N278" i="2"/>
  <c r="N135" i="2"/>
  <c r="N131" i="2"/>
  <c r="N295" i="2"/>
  <c r="N247" i="2"/>
  <c r="N228" i="2"/>
  <c r="N183" i="2"/>
  <c r="N167" i="2"/>
  <c r="N353" i="2"/>
  <c r="N204" i="2"/>
  <c r="N367" i="2"/>
  <c r="N360" i="2"/>
  <c r="N359" i="2"/>
  <c r="N347" i="2"/>
  <c r="N346" i="2"/>
  <c r="N345" i="2"/>
  <c r="N341" i="2"/>
  <c r="N336" i="2"/>
  <c r="N335" i="2"/>
  <c r="N320" i="2"/>
  <c r="N319" i="2"/>
  <c r="N305" i="2"/>
  <c r="N304" i="2"/>
  <c r="N302" i="2"/>
  <c r="N272" i="2"/>
  <c r="N280" i="2"/>
  <c r="N277" i="2"/>
  <c r="N270" i="2"/>
  <c r="N252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1" i="2"/>
  <c r="N8" i="2"/>
  <c r="N7" i="2"/>
  <c r="N5" i="2"/>
  <c r="N31" i="2"/>
  <c r="N17" i="2"/>
  <c r="N249" i="2"/>
  <c r="AI1" i="2"/>
  <c r="N9" i="2"/>
  <c r="O1" i="2"/>
  <c r="W1" i="2"/>
  <c r="AE1" i="2"/>
  <c r="AM1" i="2"/>
  <c r="D1" i="11" l="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B3" i="14" s="1"/>
  <c r="Q2" i="1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<sst xmlns="http://schemas.openxmlformats.org/spreadsheetml/2006/main" count="3359" uniqueCount="1329">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</sst>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4"/>
  <sheetViews>
    <sheetView tabSelected="1" workbookViewId="0">
      <pane xSplit="14" ySplit="4" topLeftCell="Y197" activePane="bottomRight" state="frozen"/>
      <selection pane="topRight" activeCell="M1" sqref="M1"/>
      <selection pane="bottomLeft" activeCell="A5" sqref="A5"/>
      <selection pane="bottomRight" activeCell="C199" sqref="C199"/>
    </sheetView>
  </sheetViews>
  <sheetFormatPr baseColWidth="10" defaultRowHeight="15" x14ac:dyDescent="0.25"/>
  <cols>
    <col min="1" max="1" width="16.7109375" hidden="1" customWidth="1"/>
    <col min="2" max="2" width="8.140625" bestFit="1" customWidth="1"/>
    <col min="3" max="3" width="38.140625" style="46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7"/>
      <c r="C1" s="43">
        <f>COUNTA(C5:C525)</f>
        <v>366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0.17032967032967034</v>
      </c>
      <c r="P1" s="4">
        <f t="shared" si="0"/>
        <v>0.21978021978021978</v>
      </c>
      <c r="Q1" s="4">
        <f t="shared" si="0"/>
        <v>0.21153846153846154</v>
      </c>
      <c r="R1" s="4">
        <f t="shared" si="0"/>
        <v>0.19230769230769232</v>
      </c>
      <c r="S1" s="4">
        <f t="shared" si="0"/>
        <v>0.19230769230769232</v>
      </c>
      <c r="T1" s="4">
        <f t="shared" si="0"/>
        <v>0.18956043956043955</v>
      </c>
      <c r="U1" s="4">
        <f t="shared" si="0"/>
        <v>0.19559228650137742</v>
      </c>
      <c r="V1" s="4">
        <f t="shared" si="0"/>
        <v>0.18406593406593408</v>
      </c>
      <c r="W1" s="4">
        <f t="shared" si="0"/>
        <v>0.21703296703296704</v>
      </c>
      <c r="X1" s="4">
        <f t="shared" si="0"/>
        <v>0.18956043956043955</v>
      </c>
      <c r="Y1" s="4">
        <f t="shared" si="0"/>
        <v>0.16208791208791209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COUNTIF(O5:O368, "")</f>
        <v>302</v>
      </c>
      <c r="P2" s="10">
        <f>COUNTIF(P5:P368, "")</f>
        <v>284</v>
      </c>
      <c r="Q2" s="10">
        <f t="shared" ref="Q2:AP2" si="2">COUNTIF(Q5:Q368, "")</f>
        <v>287</v>
      </c>
      <c r="R2" s="10">
        <f t="shared" si="2"/>
        <v>294</v>
      </c>
      <c r="S2" s="10">
        <f t="shared" si="2"/>
        <v>294</v>
      </c>
      <c r="T2" s="10">
        <f t="shared" si="2"/>
        <v>295</v>
      </c>
      <c r="U2" s="10">
        <f t="shared" si="2"/>
        <v>292</v>
      </c>
      <c r="V2" s="10">
        <f t="shared" si="2"/>
        <v>297</v>
      </c>
      <c r="W2" s="10">
        <f t="shared" si="2"/>
        <v>285</v>
      </c>
      <c r="X2" s="10">
        <f t="shared" si="2"/>
        <v>295</v>
      </c>
      <c r="Y2" s="10">
        <f t="shared" si="2"/>
        <v>305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si="2"/>
        <v>364</v>
      </c>
      <c r="AQ2" s="10">
        <f t="shared" ref="AQ2:AS2" si="3">COUNTIF(AQ5:AQ368, "")</f>
        <v>364</v>
      </c>
      <c r="AR2" s="10">
        <f t="shared" si="3"/>
        <v>364</v>
      </c>
      <c r="AS2" s="10">
        <f t="shared" si="3"/>
        <v>364</v>
      </c>
    </row>
    <row r="3" spans="1:45" s="11" customFormat="1" ht="15.75" thickBot="1" x14ac:dyDescent="0.3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COUNTIF(O4:O445, "apagado")</f>
        <v>62</v>
      </c>
      <c r="P3" s="14">
        <f t="shared" ref="P3:AP3" si="4">COUNTIF(P4:P445, "apagado")</f>
        <v>80</v>
      </c>
      <c r="Q3" s="14">
        <f t="shared" si="4"/>
        <v>77</v>
      </c>
      <c r="R3" s="14">
        <f t="shared" si="4"/>
        <v>70</v>
      </c>
      <c r="S3" s="14">
        <f t="shared" si="4"/>
        <v>70</v>
      </c>
      <c r="T3" s="14">
        <f t="shared" si="4"/>
        <v>69</v>
      </c>
      <c r="U3" s="14">
        <f t="shared" si="4"/>
        <v>71</v>
      </c>
      <c r="V3" s="14">
        <f t="shared" si="4"/>
        <v>67</v>
      </c>
      <c r="W3" s="14">
        <f t="shared" si="4"/>
        <v>79</v>
      </c>
      <c r="X3" s="14">
        <f t="shared" si="4"/>
        <v>69</v>
      </c>
      <c r="Y3" s="14">
        <f t="shared" si="4"/>
        <v>59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S3" si="5">COUNTIF(AQ4:AQ445, "apagado")</f>
        <v>0</v>
      </c>
      <c r="AR3" s="14">
        <f t="shared" si="5"/>
        <v>0</v>
      </c>
      <c r="AS3" s="14">
        <f t="shared" si="5"/>
        <v>0</v>
      </c>
    </row>
    <row r="4" spans="1:45" s="11" customFormat="1" ht="31.5" thickTop="1" thickBot="1" x14ac:dyDescent="0.35">
      <c r="A4" t="s">
        <v>7</v>
      </c>
      <c r="B4" t="s">
        <v>1328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1111</v>
      </c>
      <c r="L5" s="17">
        <f t="shared" ref="L5:L68" si="6">COUNTIF(O5:AP5,"")</f>
        <v>17</v>
      </c>
      <c r="M5" s="17">
        <f t="shared" ref="M5:M68" si="7">COUNTIF(O5:AP5,"APAGADO")</f>
        <v>11</v>
      </c>
      <c r="N5" s="18">
        <f t="shared" ref="N5:N68" si="8">(L5)/(M5+L5)</f>
        <v>0.6071428571428571</v>
      </c>
      <c r="O5" s="30" t="s">
        <v>941</v>
      </c>
      <c r="P5" s="19" t="s">
        <v>941</v>
      </c>
      <c r="Q5" s="19" t="s">
        <v>941</v>
      </c>
      <c r="R5" s="19" t="s">
        <v>941</v>
      </c>
      <c r="S5" s="30" t="s">
        <v>941</v>
      </c>
      <c r="T5" s="30" t="s">
        <v>941</v>
      </c>
      <c r="U5" s="19" t="s">
        <v>941</v>
      </c>
      <c r="V5" s="19" t="s">
        <v>941</v>
      </c>
      <c r="W5" s="19" t="s">
        <v>941</v>
      </c>
      <c r="X5" s="30" t="s">
        <v>941</v>
      </c>
      <c r="Y5" s="30" t="s">
        <v>941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.75" thickBot="1" x14ac:dyDescent="0.3">
      <c r="A6" t="s">
        <v>22</v>
      </c>
      <c r="C6" s="47" t="s">
        <v>23</v>
      </c>
      <c r="D6" t="s">
        <v>924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1112</v>
      </c>
      <c r="L6" s="17">
        <f t="shared" si="6"/>
        <v>28</v>
      </c>
      <c r="M6" s="17">
        <f t="shared" si="7"/>
        <v>0</v>
      </c>
      <c r="N6" s="18">
        <f t="shared" si="8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.75" thickBot="1" x14ac:dyDescent="0.3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1059</v>
      </c>
      <c r="L7" s="17">
        <f t="shared" si="6"/>
        <v>28</v>
      </c>
      <c r="M7" s="17">
        <f t="shared" si="7"/>
        <v>0</v>
      </c>
      <c r="N7" s="18">
        <f t="shared" si="8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.75" thickBot="1" x14ac:dyDescent="0.3">
      <c r="A8" t="s">
        <v>22</v>
      </c>
      <c r="C8" s="47" t="s">
        <v>29</v>
      </c>
      <c r="D8" t="s">
        <v>915</v>
      </c>
      <c r="E8" t="s">
        <v>19</v>
      </c>
      <c r="F8" t="s">
        <v>947</v>
      </c>
      <c r="G8"/>
      <c r="H8" t="s">
        <v>30</v>
      </c>
      <c r="I8" s="16">
        <v>-348230700000</v>
      </c>
      <c r="J8" s="16">
        <v>-582702540000</v>
      </c>
      <c r="K8" s="16" t="s">
        <v>1113</v>
      </c>
      <c r="L8" s="17">
        <f t="shared" si="6"/>
        <v>28</v>
      </c>
      <c r="M8" s="17">
        <f t="shared" si="7"/>
        <v>0</v>
      </c>
      <c r="N8" s="18">
        <f t="shared" si="8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.75" thickBot="1" x14ac:dyDescent="0.3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1114</v>
      </c>
      <c r="L9" s="17">
        <f t="shared" si="6"/>
        <v>28</v>
      </c>
      <c r="M9" s="17">
        <f t="shared" si="7"/>
        <v>0</v>
      </c>
      <c r="N9" s="18">
        <f t="shared" si="8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.75" thickBot="1" x14ac:dyDescent="0.3">
      <c r="A10" t="s">
        <v>34</v>
      </c>
      <c r="C10" s="46" t="s">
        <v>952</v>
      </c>
      <c r="D10" t="s">
        <v>35</v>
      </c>
      <c r="E10" t="s">
        <v>24</v>
      </c>
      <c r="F10" t="s">
        <v>947</v>
      </c>
      <c r="G10"/>
      <c r="H10" t="s">
        <v>37</v>
      </c>
      <c r="I10" s="16">
        <v>-347738090000</v>
      </c>
      <c r="J10" s="16">
        <v>-582721410000</v>
      </c>
      <c r="K10" s="16" t="s">
        <v>953</v>
      </c>
      <c r="L10" s="17">
        <f t="shared" si="6"/>
        <v>28</v>
      </c>
      <c r="M10" s="17">
        <f t="shared" si="7"/>
        <v>0</v>
      </c>
      <c r="N10" s="18">
        <f t="shared" si="8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.75" thickBot="1" x14ac:dyDescent="0.3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946</v>
      </c>
      <c r="L11" s="17">
        <f t="shared" si="6"/>
        <v>28</v>
      </c>
      <c r="M11" s="17">
        <f t="shared" si="7"/>
        <v>0</v>
      </c>
      <c r="N11" s="18">
        <f t="shared" si="8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.75" thickBot="1" x14ac:dyDescent="0.3">
      <c r="A12" t="s">
        <v>34</v>
      </c>
      <c r="C12" s="46" t="s">
        <v>41</v>
      </c>
      <c r="D12" t="s">
        <v>42</v>
      </c>
      <c r="E12" t="s">
        <v>24</v>
      </c>
      <c r="F12" t="s">
        <v>947</v>
      </c>
      <c r="G12" t="s">
        <v>43</v>
      </c>
      <c r="H12"/>
      <c r="I12" s="16">
        <v>-347718470000</v>
      </c>
      <c r="J12" s="16">
        <v>-582688560000</v>
      </c>
      <c r="K12" s="16" t="s">
        <v>948</v>
      </c>
      <c r="L12" s="17">
        <f t="shared" si="6"/>
        <v>28</v>
      </c>
      <c r="M12" s="17">
        <f t="shared" si="7"/>
        <v>0</v>
      </c>
      <c r="N12" s="18">
        <f t="shared" si="8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.75" thickBot="1" x14ac:dyDescent="0.3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949</v>
      </c>
      <c r="L13" s="17">
        <f t="shared" si="6"/>
        <v>28</v>
      </c>
      <c r="M13" s="17">
        <f t="shared" si="7"/>
        <v>0</v>
      </c>
      <c r="N13" s="18">
        <f t="shared" si="8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.75" thickBot="1" x14ac:dyDescent="0.3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950</v>
      </c>
      <c r="L14" s="17">
        <f t="shared" si="6"/>
        <v>27</v>
      </c>
      <c r="M14" s="17">
        <f t="shared" si="7"/>
        <v>1</v>
      </c>
      <c r="N14" s="18">
        <f t="shared" si="8"/>
        <v>0.9642857142857143</v>
      </c>
      <c r="O14" s="28" t="s">
        <v>941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.75" thickBot="1" x14ac:dyDescent="0.3">
      <c r="A15" t="s">
        <v>34</v>
      </c>
      <c r="C15" s="46" t="s">
        <v>50</v>
      </c>
      <c r="D15" t="s">
        <v>51</v>
      </c>
      <c r="E15" t="s">
        <v>24</v>
      </c>
      <c r="F15" t="s">
        <v>947</v>
      </c>
      <c r="G15" t="s">
        <v>52</v>
      </c>
      <c r="H15"/>
      <c r="I15" s="16">
        <v>-347708370000</v>
      </c>
      <c r="J15" s="16">
        <v>-582698000000</v>
      </c>
      <c r="K15" s="16" t="s">
        <v>951</v>
      </c>
      <c r="L15" s="17">
        <f t="shared" si="6"/>
        <v>28</v>
      </c>
      <c r="M15" s="17">
        <f t="shared" si="7"/>
        <v>0</v>
      </c>
      <c r="N15" s="18">
        <f t="shared" si="8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.75" thickBot="1" x14ac:dyDescent="0.3">
      <c r="A16" t="s">
        <v>34</v>
      </c>
      <c r="C16" s="46" t="s">
        <v>53</v>
      </c>
      <c r="D16" t="s">
        <v>54</v>
      </c>
      <c r="E16" t="s">
        <v>19</v>
      </c>
      <c r="F16" t="s">
        <v>947</v>
      </c>
      <c r="G16"/>
      <c r="H16" t="s">
        <v>55</v>
      </c>
      <c r="I16" s="16">
        <v>-347737570000</v>
      </c>
      <c r="J16" s="16">
        <v>-582676650000</v>
      </c>
      <c r="K16" s="16" t="s">
        <v>955</v>
      </c>
      <c r="L16" s="17">
        <f t="shared" si="6"/>
        <v>28</v>
      </c>
      <c r="M16" s="17">
        <f t="shared" si="7"/>
        <v>0</v>
      </c>
      <c r="N16" s="18">
        <f t="shared" si="8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.75" thickBot="1" x14ac:dyDescent="0.3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956</v>
      </c>
      <c r="L17" s="17">
        <f t="shared" si="6"/>
        <v>28</v>
      </c>
      <c r="M17" s="17">
        <f t="shared" si="7"/>
        <v>0</v>
      </c>
      <c r="N17" s="18">
        <f t="shared" si="8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.75" thickBot="1" x14ac:dyDescent="0.3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957</v>
      </c>
      <c r="L18" s="17">
        <f t="shared" si="6"/>
        <v>28</v>
      </c>
      <c r="M18" s="17">
        <f t="shared" si="7"/>
        <v>0</v>
      </c>
      <c r="N18" s="18">
        <f t="shared" si="8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.75" thickBot="1" x14ac:dyDescent="0.3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960</v>
      </c>
      <c r="L19" s="17">
        <f t="shared" si="6"/>
        <v>19</v>
      </c>
      <c r="M19" s="17">
        <f t="shared" si="7"/>
        <v>9</v>
      </c>
      <c r="N19" s="18">
        <f t="shared" si="8"/>
        <v>0.6785714285714286</v>
      </c>
      <c r="O19" s="28"/>
      <c r="P19" s="8" t="s">
        <v>941</v>
      </c>
      <c r="Q19" s="8" t="s">
        <v>941</v>
      </c>
      <c r="R19" s="8" t="s">
        <v>941</v>
      </c>
      <c r="S19" s="28" t="s">
        <v>941</v>
      </c>
      <c r="T19" s="28" t="s">
        <v>941</v>
      </c>
      <c r="U19" s="8" t="s">
        <v>941</v>
      </c>
      <c r="V19" s="8" t="s">
        <v>941</v>
      </c>
      <c r="W19" s="8" t="s">
        <v>941</v>
      </c>
      <c r="X19" s="28" t="s">
        <v>941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.75" thickBot="1" x14ac:dyDescent="0.3">
      <c r="A20" t="s">
        <v>34</v>
      </c>
      <c r="C20" s="46" t="s">
        <v>958</v>
      </c>
      <c r="D20" t="s">
        <v>66</v>
      </c>
      <c r="E20" t="s">
        <v>19</v>
      </c>
      <c r="F20" t="s">
        <v>947</v>
      </c>
      <c r="G20"/>
      <c r="H20" t="s">
        <v>67</v>
      </c>
      <c r="I20" s="16">
        <v>-347689160000</v>
      </c>
      <c r="J20" s="16">
        <v>-582717100000</v>
      </c>
      <c r="K20" s="16" t="s">
        <v>959</v>
      </c>
      <c r="L20" s="17">
        <f t="shared" si="6"/>
        <v>28</v>
      </c>
      <c r="M20" s="17">
        <f t="shared" si="7"/>
        <v>0</v>
      </c>
      <c r="N20" s="18">
        <f t="shared" si="8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.75" thickBot="1" x14ac:dyDescent="0.3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961</v>
      </c>
      <c r="L21" s="17">
        <f t="shared" si="6"/>
        <v>28</v>
      </c>
      <c r="M21" s="17">
        <f t="shared" si="7"/>
        <v>0</v>
      </c>
      <c r="N21" s="18">
        <f t="shared" si="8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.75" thickBot="1" x14ac:dyDescent="0.3">
      <c r="C22" s="46" t="s">
        <v>1011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1012</v>
      </c>
      <c r="L22" s="17">
        <f t="shared" si="6"/>
        <v>27</v>
      </c>
      <c r="M22" s="17">
        <f t="shared" si="7"/>
        <v>1</v>
      </c>
      <c r="N22" s="18">
        <f t="shared" si="8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941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.75" thickBot="1" x14ac:dyDescent="0.3">
      <c r="C23" s="46" t="s">
        <v>1014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1015</v>
      </c>
      <c r="L23" s="17">
        <f t="shared" si="6"/>
        <v>28</v>
      </c>
      <c r="M23" s="17">
        <f t="shared" si="7"/>
        <v>0</v>
      </c>
      <c r="N23" s="18">
        <f t="shared" si="8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.75" thickBot="1" x14ac:dyDescent="0.3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1016</v>
      </c>
      <c r="L24" s="17">
        <f t="shared" si="6"/>
        <v>23</v>
      </c>
      <c r="M24" s="17">
        <f t="shared" si="7"/>
        <v>5</v>
      </c>
      <c r="N24" s="18">
        <f t="shared" si="8"/>
        <v>0.8214285714285714</v>
      </c>
      <c r="O24" s="28"/>
      <c r="P24" s="8"/>
      <c r="Q24" s="8"/>
      <c r="R24" s="8" t="s">
        <v>941</v>
      </c>
      <c r="S24" s="28" t="s">
        <v>941</v>
      </c>
      <c r="T24" s="28" t="s">
        <v>941</v>
      </c>
      <c r="U24" s="8" t="s">
        <v>941</v>
      </c>
      <c r="V24" s="8"/>
      <c r="W24" s="8" t="s">
        <v>941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.75" thickBot="1" x14ac:dyDescent="0.3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1017</v>
      </c>
      <c r="L25" s="17">
        <f t="shared" si="6"/>
        <v>28</v>
      </c>
      <c r="M25" s="17">
        <f t="shared" si="7"/>
        <v>0</v>
      </c>
      <c r="N25" s="18">
        <f t="shared" si="8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.75" thickBot="1" x14ac:dyDescent="0.3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1018</v>
      </c>
      <c r="L26" s="17">
        <f t="shared" si="6"/>
        <v>28</v>
      </c>
      <c r="M26" s="17">
        <f t="shared" si="7"/>
        <v>0</v>
      </c>
      <c r="N26" s="18">
        <f t="shared" si="8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.75" thickBot="1" x14ac:dyDescent="0.3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1019</v>
      </c>
      <c r="L27" s="17">
        <f t="shared" si="6"/>
        <v>28</v>
      </c>
      <c r="M27" s="17">
        <f t="shared" si="7"/>
        <v>0</v>
      </c>
      <c r="N27" s="18">
        <f t="shared" si="8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.75" thickBot="1" x14ac:dyDescent="0.3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1020</v>
      </c>
      <c r="L28" s="17">
        <f t="shared" si="6"/>
        <v>28</v>
      </c>
      <c r="M28" s="17">
        <f t="shared" si="7"/>
        <v>0</v>
      </c>
      <c r="N28" s="18">
        <f t="shared" si="8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.75" thickBot="1" x14ac:dyDescent="0.3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1021</v>
      </c>
      <c r="L29" s="17">
        <f t="shared" si="6"/>
        <v>28</v>
      </c>
      <c r="M29" s="17">
        <f t="shared" si="7"/>
        <v>0</v>
      </c>
      <c r="N29" s="18">
        <f t="shared" si="8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.75" thickBot="1" x14ac:dyDescent="0.3">
      <c r="A30" t="s">
        <v>80</v>
      </c>
      <c r="C30" s="46" t="s">
        <v>92</v>
      </c>
      <c r="D30" t="s">
        <v>93</v>
      </c>
      <c r="E30" t="s">
        <v>19</v>
      </c>
      <c r="F30" t="s">
        <v>947</v>
      </c>
      <c r="G30"/>
      <c r="H30" t="s">
        <v>94</v>
      </c>
      <c r="I30" s="16">
        <v>-347999170000</v>
      </c>
      <c r="J30" s="16">
        <v>-582863530000</v>
      </c>
      <c r="K30" s="16" t="s">
        <v>1022</v>
      </c>
      <c r="L30" s="17">
        <f t="shared" si="6"/>
        <v>27</v>
      </c>
      <c r="M30" s="17">
        <f t="shared" si="7"/>
        <v>1</v>
      </c>
      <c r="N30" s="18">
        <f t="shared" si="8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941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.75" thickBot="1" x14ac:dyDescent="0.3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1023</v>
      </c>
      <c r="L31" s="17">
        <f t="shared" si="6"/>
        <v>28</v>
      </c>
      <c r="M31" s="17">
        <f t="shared" si="7"/>
        <v>0</v>
      </c>
      <c r="N31" s="18">
        <f t="shared" si="8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.75" thickBot="1" x14ac:dyDescent="0.3">
      <c r="A32" t="s">
        <v>80</v>
      </c>
      <c r="C32" s="46" t="s">
        <v>98</v>
      </c>
      <c r="D32" t="s">
        <v>923</v>
      </c>
      <c r="E32" t="s">
        <v>19</v>
      </c>
      <c r="F32" t="s">
        <v>947</v>
      </c>
      <c r="G32"/>
      <c r="H32" t="s">
        <v>99</v>
      </c>
      <c r="I32" s="16">
        <v>-348038200000</v>
      </c>
      <c r="J32" s="16">
        <v>-582766160000</v>
      </c>
      <c r="K32" s="16" t="s">
        <v>1024</v>
      </c>
      <c r="L32" s="17">
        <f t="shared" si="6"/>
        <v>28</v>
      </c>
      <c r="M32" s="17">
        <f t="shared" si="7"/>
        <v>0</v>
      </c>
      <c r="N32" s="18">
        <f t="shared" si="8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.75" thickBot="1" x14ac:dyDescent="0.3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1025</v>
      </c>
      <c r="L33" s="17">
        <f t="shared" si="6"/>
        <v>28</v>
      </c>
      <c r="M33" s="17">
        <f t="shared" si="7"/>
        <v>0</v>
      </c>
      <c r="N33" s="18">
        <f t="shared" si="8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.75" thickBot="1" x14ac:dyDescent="0.3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1035</v>
      </c>
      <c r="L34" s="17">
        <f t="shared" si="6"/>
        <v>28</v>
      </c>
      <c r="M34" s="17">
        <f t="shared" si="7"/>
        <v>0</v>
      </c>
      <c r="N34" s="18">
        <f t="shared" si="8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.75" thickBot="1" x14ac:dyDescent="0.3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1036</v>
      </c>
      <c r="L35" s="17">
        <f t="shared" si="6"/>
        <v>28</v>
      </c>
      <c r="M35" s="17">
        <f t="shared" si="7"/>
        <v>0</v>
      </c>
      <c r="N35" s="18">
        <f t="shared" si="8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.75" thickBot="1" x14ac:dyDescent="0.3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1037</v>
      </c>
      <c r="L36" s="17">
        <f t="shared" si="6"/>
        <v>28</v>
      </c>
      <c r="M36" s="17">
        <f t="shared" si="7"/>
        <v>0</v>
      </c>
      <c r="N36" s="18">
        <f t="shared" si="8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.75" thickBot="1" x14ac:dyDescent="0.3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962</v>
      </c>
      <c r="L37" s="17">
        <f t="shared" si="6"/>
        <v>21</v>
      </c>
      <c r="M37" s="17">
        <f t="shared" si="7"/>
        <v>7</v>
      </c>
      <c r="N37" s="18">
        <f t="shared" si="8"/>
        <v>0.75</v>
      </c>
      <c r="O37" s="28" t="s">
        <v>941</v>
      </c>
      <c r="P37" s="8" t="s">
        <v>941</v>
      </c>
      <c r="Q37" s="8" t="s">
        <v>941</v>
      </c>
      <c r="R37" s="8" t="s">
        <v>941</v>
      </c>
      <c r="S37" s="28" t="s">
        <v>941</v>
      </c>
      <c r="T37" s="28" t="s">
        <v>941</v>
      </c>
      <c r="U37" s="8" t="s">
        <v>941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.75" thickBot="1" x14ac:dyDescent="0.3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954</v>
      </c>
      <c r="L38" s="17">
        <f t="shared" si="6"/>
        <v>27</v>
      </c>
      <c r="M38" s="17">
        <f t="shared" si="7"/>
        <v>0</v>
      </c>
      <c r="N38" s="18">
        <f t="shared" si="8"/>
        <v>1</v>
      </c>
      <c r="O38" s="28"/>
      <c r="P38" s="8"/>
      <c r="Q38" s="8"/>
      <c r="R38" s="8"/>
      <c r="S38" s="28"/>
      <c r="T38" s="28"/>
      <c r="U38" s="8" t="s">
        <v>942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.75" thickBot="1" x14ac:dyDescent="0.3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963</v>
      </c>
      <c r="L39" s="17">
        <f t="shared" si="6"/>
        <v>28</v>
      </c>
      <c r="M39" s="17">
        <f t="shared" si="7"/>
        <v>0</v>
      </c>
      <c r="N39" s="18">
        <f t="shared" si="8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.75" thickBot="1" x14ac:dyDescent="0.3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964</v>
      </c>
      <c r="L40" s="17">
        <f t="shared" si="6"/>
        <v>28</v>
      </c>
      <c r="M40" s="17">
        <f t="shared" si="7"/>
        <v>0</v>
      </c>
      <c r="N40" s="18">
        <f t="shared" si="8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.75" thickBot="1" x14ac:dyDescent="0.3">
      <c r="A41" t="s">
        <v>80</v>
      </c>
      <c r="C41" s="46" t="s">
        <v>124</v>
      </c>
      <c r="D41" t="s">
        <v>945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965</v>
      </c>
      <c r="L41" s="17">
        <f t="shared" si="6"/>
        <v>20</v>
      </c>
      <c r="M41" s="17">
        <f t="shared" si="7"/>
        <v>8</v>
      </c>
      <c r="N41" s="18">
        <f t="shared" si="8"/>
        <v>0.7142857142857143</v>
      </c>
      <c r="O41" s="28"/>
      <c r="P41" s="8" t="s">
        <v>941</v>
      </c>
      <c r="Q41" s="8" t="s">
        <v>941</v>
      </c>
      <c r="R41" s="8" t="s">
        <v>941</v>
      </c>
      <c r="S41" s="28" t="s">
        <v>941</v>
      </c>
      <c r="T41" s="28" t="s">
        <v>941</v>
      </c>
      <c r="U41" s="8" t="s">
        <v>941</v>
      </c>
      <c r="V41" s="8"/>
      <c r="W41" s="8" t="s">
        <v>941</v>
      </c>
      <c r="X41" s="28" t="s">
        <v>941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.75" thickBot="1" x14ac:dyDescent="0.3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966</v>
      </c>
      <c r="L42" s="17">
        <f t="shared" si="6"/>
        <v>28</v>
      </c>
      <c r="M42" s="17">
        <f t="shared" si="7"/>
        <v>0</v>
      </c>
      <c r="N42" s="18">
        <f t="shared" si="8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.75" thickBot="1" x14ac:dyDescent="0.3">
      <c r="A43" t="s">
        <v>80</v>
      </c>
      <c r="C43" s="46" t="s">
        <v>130</v>
      </c>
      <c r="D43" t="s">
        <v>944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967</v>
      </c>
      <c r="L43" s="17">
        <f t="shared" si="6"/>
        <v>25</v>
      </c>
      <c r="M43" s="17">
        <f t="shared" si="7"/>
        <v>3</v>
      </c>
      <c r="N43" s="18">
        <f t="shared" si="8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941</v>
      </c>
      <c r="X43" s="28" t="s">
        <v>941</v>
      </c>
      <c r="Y43" s="28" t="s">
        <v>941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.75" thickBot="1" x14ac:dyDescent="0.3">
      <c r="A44" t="s">
        <v>80</v>
      </c>
      <c r="C44" s="46" t="s">
        <v>133</v>
      </c>
      <c r="D44" t="s">
        <v>943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968</v>
      </c>
      <c r="L44" s="17">
        <f t="shared" si="6"/>
        <v>17</v>
      </c>
      <c r="M44" s="17">
        <f t="shared" si="7"/>
        <v>11</v>
      </c>
      <c r="N44" s="18">
        <f t="shared" si="8"/>
        <v>0.6071428571428571</v>
      </c>
      <c r="O44" s="28" t="s">
        <v>941</v>
      </c>
      <c r="P44" s="8" t="s">
        <v>941</v>
      </c>
      <c r="Q44" s="8" t="s">
        <v>941</v>
      </c>
      <c r="R44" s="8" t="s">
        <v>941</v>
      </c>
      <c r="S44" s="28" t="s">
        <v>941</v>
      </c>
      <c r="T44" s="28" t="s">
        <v>941</v>
      </c>
      <c r="U44" s="8" t="s">
        <v>941</v>
      </c>
      <c r="V44" s="8" t="s">
        <v>941</v>
      </c>
      <c r="W44" s="8" t="s">
        <v>941</v>
      </c>
      <c r="X44" s="28" t="s">
        <v>941</v>
      </c>
      <c r="Y44" s="28" t="s">
        <v>941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.75" thickBot="1" x14ac:dyDescent="0.3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969</v>
      </c>
      <c r="L45" s="17">
        <f t="shared" si="6"/>
        <v>28</v>
      </c>
      <c r="M45" s="17">
        <f t="shared" si="7"/>
        <v>0</v>
      </c>
      <c r="N45" s="18">
        <f t="shared" si="8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.75" thickBot="1" x14ac:dyDescent="0.3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970</v>
      </c>
      <c r="L46" s="17">
        <f t="shared" si="6"/>
        <v>28</v>
      </c>
      <c r="M46" s="17">
        <f t="shared" si="7"/>
        <v>0</v>
      </c>
      <c r="N46" s="18">
        <f t="shared" si="8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.75" thickBot="1" x14ac:dyDescent="0.3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971</v>
      </c>
      <c r="L47" s="17">
        <f t="shared" si="6"/>
        <v>28</v>
      </c>
      <c r="M47" s="17">
        <f t="shared" si="7"/>
        <v>0</v>
      </c>
      <c r="N47" s="18">
        <f t="shared" si="8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.75" thickBot="1" x14ac:dyDescent="0.3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972</v>
      </c>
      <c r="L48" s="17">
        <f t="shared" si="6"/>
        <v>25</v>
      </c>
      <c r="M48" s="17">
        <f t="shared" si="7"/>
        <v>3</v>
      </c>
      <c r="N48" s="18">
        <f t="shared" si="8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941</v>
      </c>
      <c r="X48" s="28" t="s">
        <v>941</v>
      </c>
      <c r="Y48" s="28" t="s">
        <v>941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.75" thickBot="1" x14ac:dyDescent="0.3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973</v>
      </c>
      <c r="L49" s="17">
        <f t="shared" si="6"/>
        <v>28</v>
      </c>
      <c r="M49" s="17">
        <f t="shared" si="7"/>
        <v>0</v>
      </c>
      <c r="N49" s="18">
        <f t="shared" si="8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.75" thickBot="1" x14ac:dyDescent="0.3">
      <c r="A50" t="s">
        <v>80</v>
      </c>
      <c r="C50" s="46" t="s">
        <v>150</v>
      </c>
      <c r="D50" t="s">
        <v>151</v>
      </c>
      <c r="E50" t="s">
        <v>24</v>
      </c>
      <c r="F50" t="s">
        <v>36</v>
      </c>
      <c r="G50" t="s">
        <v>152</v>
      </c>
      <c r="H50"/>
      <c r="I50" s="16">
        <v>-348105840000</v>
      </c>
      <c r="J50" s="16">
        <v>-582705460000</v>
      </c>
      <c r="K50" s="16" t="s">
        <v>974</v>
      </c>
      <c r="L50" s="17">
        <f t="shared" si="6"/>
        <v>28</v>
      </c>
      <c r="M50" s="17">
        <f t="shared" si="7"/>
        <v>0</v>
      </c>
      <c r="N50" s="18">
        <f t="shared" si="8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.75" thickBot="1" x14ac:dyDescent="0.3">
      <c r="A51" t="s">
        <v>80</v>
      </c>
      <c r="C51" s="46" t="s">
        <v>153</v>
      </c>
      <c r="D51" t="s">
        <v>154</v>
      </c>
      <c r="E51" t="s">
        <v>24</v>
      </c>
      <c r="F51" t="s">
        <v>36</v>
      </c>
      <c r="G51" t="s">
        <v>155</v>
      </c>
      <c r="H51"/>
      <c r="I51" s="16">
        <v>-348056730000</v>
      </c>
      <c r="J51" s="16">
        <v>-582731900000</v>
      </c>
      <c r="K51" s="16" t="s">
        <v>975</v>
      </c>
      <c r="L51" s="17">
        <f t="shared" si="6"/>
        <v>28</v>
      </c>
      <c r="M51" s="17">
        <f t="shared" si="7"/>
        <v>0</v>
      </c>
      <c r="N51" s="18">
        <f t="shared" si="8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.75" thickBot="1" x14ac:dyDescent="0.3">
      <c r="A52" t="s">
        <v>80</v>
      </c>
      <c r="C52" s="46" t="s">
        <v>156</v>
      </c>
      <c r="D52" t="s">
        <v>157</v>
      </c>
      <c r="E52" t="s">
        <v>113</v>
      </c>
      <c r="F52" t="s">
        <v>36</v>
      </c>
      <c r="G52" t="s">
        <v>158</v>
      </c>
      <c r="H52" t="s">
        <v>159</v>
      </c>
      <c r="I52" s="16">
        <v>-348100860000</v>
      </c>
      <c r="J52" s="16">
        <v>-582782440000</v>
      </c>
      <c r="K52" s="16" t="s">
        <v>976</v>
      </c>
      <c r="L52" s="17">
        <f t="shared" si="6"/>
        <v>17</v>
      </c>
      <c r="M52" s="17">
        <f t="shared" si="7"/>
        <v>11</v>
      </c>
      <c r="N52" s="18">
        <f t="shared" si="8"/>
        <v>0.6071428571428571</v>
      </c>
      <c r="O52" s="28" t="s">
        <v>941</v>
      </c>
      <c r="P52" s="8" t="s">
        <v>941</v>
      </c>
      <c r="Q52" s="8" t="s">
        <v>941</v>
      </c>
      <c r="R52" s="8" t="s">
        <v>941</v>
      </c>
      <c r="S52" s="28" t="s">
        <v>941</v>
      </c>
      <c r="T52" s="28" t="s">
        <v>941</v>
      </c>
      <c r="U52" s="8" t="s">
        <v>941</v>
      </c>
      <c r="V52" s="8" t="s">
        <v>941</v>
      </c>
      <c r="W52" s="8" t="s">
        <v>941</v>
      </c>
      <c r="X52" s="28" t="s">
        <v>941</v>
      </c>
      <c r="Y52" s="28" t="s">
        <v>941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.75" thickBot="1" x14ac:dyDescent="0.3">
      <c r="C53" s="46" t="s">
        <v>160</v>
      </c>
      <c r="D53" t="s">
        <v>161</v>
      </c>
      <c r="E53" t="s">
        <v>24</v>
      </c>
      <c r="F53" t="s">
        <v>947</v>
      </c>
      <c r="G53" t="s">
        <v>162</v>
      </c>
      <c r="H53" t="s">
        <v>163</v>
      </c>
      <c r="I53" s="16">
        <v>-348090820000</v>
      </c>
      <c r="J53" s="16">
        <v>-582779860000</v>
      </c>
      <c r="K53" s="16" t="s">
        <v>977</v>
      </c>
      <c r="L53" s="17">
        <f t="shared" si="6"/>
        <v>28</v>
      </c>
      <c r="M53" s="17">
        <f t="shared" si="7"/>
        <v>0</v>
      </c>
      <c r="N53" s="18">
        <f t="shared" si="8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.75" thickBot="1" x14ac:dyDescent="0.3">
      <c r="A54" t="s">
        <v>80</v>
      </c>
      <c r="C54" s="46" t="s">
        <v>164</v>
      </c>
      <c r="D54" t="s">
        <v>165</v>
      </c>
      <c r="E54" t="s">
        <v>113</v>
      </c>
      <c r="F54" t="s">
        <v>36</v>
      </c>
      <c r="G54" t="s">
        <v>166</v>
      </c>
      <c r="H54" t="s">
        <v>163</v>
      </c>
      <c r="I54" s="16">
        <v>-348083950000</v>
      </c>
      <c r="J54" s="16">
        <v>-582747030000</v>
      </c>
      <c r="K54" s="16" t="s">
        <v>978</v>
      </c>
      <c r="L54" s="17">
        <f t="shared" si="6"/>
        <v>21</v>
      </c>
      <c r="M54" s="17">
        <f t="shared" si="7"/>
        <v>7</v>
      </c>
      <c r="N54" s="18">
        <f t="shared" si="8"/>
        <v>0.75</v>
      </c>
      <c r="O54" s="28" t="s">
        <v>941</v>
      </c>
      <c r="P54" s="8" t="s">
        <v>941</v>
      </c>
      <c r="Q54" s="8" t="s">
        <v>941</v>
      </c>
      <c r="R54" s="8" t="s">
        <v>941</v>
      </c>
      <c r="S54" s="28" t="s">
        <v>941</v>
      </c>
      <c r="T54" s="28" t="s">
        <v>941</v>
      </c>
      <c r="U54" s="8" t="s">
        <v>941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.75" thickBot="1" x14ac:dyDescent="0.3">
      <c r="A55" t="s">
        <v>80</v>
      </c>
      <c r="C55" s="46" t="s">
        <v>167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979</v>
      </c>
      <c r="L55" s="17">
        <f t="shared" si="6"/>
        <v>28</v>
      </c>
      <c r="M55" s="17">
        <f t="shared" si="7"/>
        <v>0</v>
      </c>
      <c r="N55" s="18">
        <f t="shared" si="8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.75" thickBot="1" x14ac:dyDescent="0.3">
      <c r="A56" t="s">
        <v>168</v>
      </c>
      <c r="C56" s="46" t="s">
        <v>169</v>
      </c>
      <c r="D56" t="s">
        <v>170</v>
      </c>
      <c r="E56" t="s">
        <v>24</v>
      </c>
      <c r="F56" t="s">
        <v>36</v>
      </c>
      <c r="G56" t="s">
        <v>171</v>
      </c>
      <c r="H56"/>
      <c r="I56" s="16">
        <v>-347986060000</v>
      </c>
      <c r="J56" s="16">
        <v>-582839810000</v>
      </c>
      <c r="K56" s="16" t="s">
        <v>980</v>
      </c>
      <c r="L56" s="17">
        <f t="shared" si="6"/>
        <v>27</v>
      </c>
      <c r="M56" s="17">
        <f t="shared" si="7"/>
        <v>1</v>
      </c>
      <c r="N56" s="18">
        <f t="shared" si="8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941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.75" thickBot="1" x14ac:dyDescent="0.3">
      <c r="A57" t="s">
        <v>80</v>
      </c>
      <c r="C57" s="46" t="s">
        <v>172</v>
      </c>
      <c r="D57" t="s">
        <v>173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981</v>
      </c>
      <c r="L57" s="17">
        <f t="shared" si="6"/>
        <v>28</v>
      </c>
      <c r="M57" s="17">
        <f t="shared" si="7"/>
        <v>0</v>
      </c>
      <c r="N57" s="18">
        <f t="shared" si="8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.75" thickBot="1" x14ac:dyDescent="0.3">
      <c r="A58" t="s">
        <v>80</v>
      </c>
      <c r="C58" s="46" t="s">
        <v>174</v>
      </c>
      <c r="D58" t="s">
        <v>175</v>
      </c>
      <c r="E58" t="s">
        <v>24</v>
      </c>
      <c r="F58" t="s">
        <v>25</v>
      </c>
      <c r="G58" t="s">
        <v>176</v>
      </c>
      <c r="H58"/>
      <c r="I58" s="16">
        <v>-348040780000</v>
      </c>
      <c r="J58" s="16">
        <v>-582835220000</v>
      </c>
      <c r="K58" s="16" t="s">
        <v>982</v>
      </c>
      <c r="L58" s="17">
        <f t="shared" si="6"/>
        <v>28</v>
      </c>
      <c r="M58" s="17">
        <f t="shared" si="7"/>
        <v>0</v>
      </c>
      <c r="N58" s="18">
        <f t="shared" si="8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.75" thickBot="1" x14ac:dyDescent="0.3">
      <c r="A59" t="s">
        <v>80</v>
      </c>
      <c r="C59" s="46" t="s">
        <v>177</v>
      </c>
      <c r="D59" t="s">
        <v>178</v>
      </c>
      <c r="E59" t="s">
        <v>24</v>
      </c>
      <c r="F59" t="s">
        <v>36</v>
      </c>
      <c r="G59" t="s">
        <v>179</v>
      </c>
      <c r="H59"/>
      <c r="I59" s="16">
        <v>-348078180000</v>
      </c>
      <c r="J59" s="16">
        <v>-582747270000</v>
      </c>
      <c r="K59" s="16" t="s">
        <v>983</v>
      </c>
      <c r="L59" s="17">
        <f t="shared" si="6"/>
        <v>25</v>
      </c>
      <c r="M59" s="17">
        <f t="shared" si="7"/>
        <v>3</v>
      </c>
      <c r="N59" s="18">
        <f t="shared" si="8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941</v>
      </c>
      <c r="X59" s="28" t="s">
        <v>941</v>
      </c>
      <c r="Y59" s="28" t="s">
        <v>941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.75" thickBot="1" x14ac:dyDescent="0.3">
      <c r="A60" t="s">
        <v>80</v>
      </c>
      <c r="C60" s="46" t="s">
        <v>180</v>
      </c>
      <c r="D60" t="s">
        <v>919</v>
      </c>
      <c r="E60" t="s">
        <v>24</v>
      </c>
      <c r="F60" t="s">
        <v>36</v>
      </c>
      <c r="G60" t="s">
        <v>181</v>
      </c>
      <c r="H60"/>
      <c r="I60" s="16">
        <v>-348079190000</v>
      </c>
      <c r="J60" s="16">
        <v>-582764410000</v>
      </c>
      <c r="K60" s="16" t="s">
        <v>984</v>
      </c>
      <c r="L60" s="17">
        <f t="shared" si="6"/>
        <v>18</v>
      </c>
      <c r="M60" s="17">
        <f t="shared" si="7"/>
        <v>10</v>
      </c>
      <c r="N60" s="18">
        <f t="shared" si="8"/>
        <v>0.6428571428571429</v>
      </c>
      <c r="O60" s="28" t="s">
        <v>941</v>
      </c>
      <c r="P60" s="8" t="s">
        <v>941</v>
      </c>
      <c r="Q60" s="8" t="s">
        <v>941</v>
      </c>
      <c r="R60" s="8" t="s">
        <v>941</v>
      </c>
      <c r="S60" s="28" t="s">
        <v>941</v>
      </c>
      <c r="T60" s="28" t="s">
        <v>941</v>
      </c>
      <c r="U60" s="8" t="s">
        <v>941</v>
      </c>
      <c r="V60" s="8"/>
      <c r="W60" s="8" t="s">
        <v>941</v>
      </c>
      <c r="X60" s="28" t="s">
        <v>941</v>
      </c>
      <c r="Y60" s="28" t="s">
        <v>941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.75" thickBot="1" x14ac:dyDescent="0.3">
      <c r="A61" t="s">
        <v>80</v>
      </c>
      <c r="C61" s="46" t="s">
        <v>182</v>
      </c>
      <c r="D61" t="s">
        <v>183</v>
      </c>
      <c r="E61" t="s">
        <v>24</v>
      </c>
      <c r="F61" t="s">
        <v>36</v>
      </c>
      <c r="G61" t="s">
        <v>65</v>
      </c>
      <c r="H61" t="s">
        <v>184</v>
      </c>
      <c r="I61" s="16">
        <v>-348027470000</v>
      </c>
      <c r="J61" s="16">
        <v>-582782920000</v>
      </c>
      <c r="K61" s="16" t="s">
        <v>985</v>
      </c>
      <c r="L61" s="17">
        <f t="shared" si="6"/>
        <v>28</v>
      </c>
      <c r="M61" s="17">
        <f t="shared" si="7"/>
        <v>0</v>
      </c>
      <c r="N61" s="18">
        <f t="shared" si="8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.75" thickBot="1" x14ac:dyDescent="0.3">
      <c r="A62" t="s">
        <v>80</v>
      </c>
      <c r="C62" s="46" t="s">
        <v>185</v>
      </c>
      <c r="D62" t="s">
        <v>917</v>
      </c>
      <c r="E62" t="s">
        <v>24</v>
      </c>
      <c r="F62" t="s">
        <v>36</v>
      </c>
      <c r="G62" t="s">
        <v>186</v>
      </c>
      <c r="H62"/>
      <c r="I62" s="16">
        <v>-348089580000</v>
      </c>
      <c r="J62" s="16">
        <v>-582763340000</v>
      </c>
      <c r="K62" s="16" t="s">
        <v>986</v>
      </c>
      <c r="L62" s="17">
        <f t="shared" si="6"/>
        <v>27</v>
      </c>
      <c r="M62" s="17">
        <f t="shared" si="7"/>
        <v>1</v>
      </c>
      <c r="N62" s="18">
        <f t="shared" si="8"/>
        <v>0.9642857142857143</v>
      </c>
      <c r="O62" s="28"/>
      <c r="P62" s="8"/>
      <c r="Q62" s="8"/>
      <c r="R62" s="8"/>
      <c r="S62" s="28"/>
      <c r="T62" s="28"/>
      <c r="U62" s="8"/>
      <c r="V62" s="8" t="s">
        <v>941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.75" thickBot="1" x14ac:dyDescent="0.3">
      <c r="A63" t="s">
        <v>80</v>
      </c>
      <c r="C63" s="46" t="s">
        <v>187</v>
      </c>
      <c r="D63" t="s">
        <v>916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987</v>
      </c>
      <c r="L63" s="17">
        <f t="shared" si="6"/>
        <v>19</v>
      </c>
      <c r="M63" s="17">
        <f t="shared" si="7"/>
        <v>9</v>
      </c>
      <c r="N63" s="18">
        <f t="shared" si="8"/>
        <v>0.6785714285714286</v>
      </c>
      <c r="O63" s="28" t="s">
        <v>941</v>
      </c>
      <c r="P63" s="8" t="s">
        <v>941</v>
      </c>
      <c r="Q63" s="8" t="s">
        <v>941</v>
      </c>
      <c r="R63" s="8" t="s">
        <v>941</v>
      </c>
      <c r="S63" s="28" t="s">
        <v>941</v>
      </c>
      <c r="T63" s="28" t="s">
        <v>941</v>
      </c>
      <c r="U63" s="8" t="s">
        <v>941</v>
      </c>
      <c r="V63" s="8" t="s">
        <v>941</v>
      </c>
      <c r="W63" s="8" t="s">
        <v>941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.75" thickBot="1" x14ac:dyDescent="0.3">
      <c r="A64" t="s">
        <v>80</v>
      </c>
      <c r="C64" s="46" t="s">
        <v>188</v>
      </c>
      <c r="D64" t="s">
        <v>189</v>
      </c>
      <c r="E64" t="s">
        <v>24</v>
      </c>
      <c r="F64" t="s">
        <v>36</v>
      </c>
      <c r="G64" t="s">
        <v>186</v>
      </c>
      <c r="H64"/>
      <c r="I64" s="16">
        <v>-348087820000</v>
      </c>
      <c r="J64" s="16">
        <v>-582729860000</v>
      </c>
      <c r="K64" s="16" t="s">
        <v>988</v>
      </c>
      <c r="L64" s="17">
        <f t="shared" si="6"/>
        <v>28</v>
      </c>
      <c r="M64" s="17">
        <f t="shared" si="7"/>
        <v>0</v>
      </c>
      <c r="N64" s="18">
        <f t="shared" si="8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.75" thickBot="1" x14ac:dyDescent="0.3">
      <c r="A65" t="s">
        <v>80</v>
      </c>
      <c r="C65" s="46" t="s">
        <v>190</v>
      </c>
      <c r="D65" t="s">
        <v>191</v>
      </c>
      <c r="E65" t="s">
        <v>24</v>
      </c>
      <c r="F65" t="s">
        <v>36</v>
      </c>
      <c r="G65" t="s">
        <v>186</v>
      </c>
      <c r="H65"/>
      <c r="I65" s="16">
        <v>-348066860000</v>
      </c>
      <c r="J65" s="16">
        <v>-582731470000</v>
      </c>
      <c r="K65" s="16" t="s">
        <v>989</v>
      </c>
      <c r="L65" s="17">
        <f t="shared" si="6"/>
        <v>17</v>
      </c>
      <c r="M65" s="17">
        <f t="shared" si="7"/>
        <v>11</v>
      </c>
      <c r="N65" s="18">
        <f t="shared" si="8"/>
        <v>0.6071428571428571</v>
      </c>
      <c r="O65" s="28" t="s">
        <v>941</v>
      </c>
      <c r="P65" s="8" t="s">
        <v>941</v>
      </c>
      <c r="Q65" s="8" t="s">
        <v>941</v>
      </c>
      <c r="R65" s="8" t="s">
        <v>941</v>
      </c>
      <c r="S65" s="28" t="s">
        <v>941</v>
      </c>
      <c r="T65" s="28" t="s">
        <v>941</v>
      </c>
      <c r="U65" s="8" t="s">
        <v>941</v>
      </c>
      <c r="V65" s="8" t="s">
        <v>941</v>
      </c>
      <c r="W65" s="8" t="s">
        <v>941</v>
      </c>
      <c r="X65" s="28" t="s">
        <v>941</v>
      </c>
      <c r="Y65" s="28" t="s">
        <v>941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.75" thickBot="1" x14ac:dyDescent="0.3">
      <c r="A66" t="s">
        <v>80</v>
      </c>
      <c r="C66" s="46" t="s">
        <v>192</v>
      </c>
      <c r="D66" t="s">
        <v>193</v>
      </c>
      <c r="E66" t="s">
        <v>24</v>
      </c>
      <c r="F66" t="s">
        <v>36</v>
      </c>
      <c r="G66" t="s">
        <v>194</v>
      </c>
      <c r="H66"/>
      <c r="I66" s="16">
        <v>-348086060000</v>
      </c>
      <c r="J66" s="16">
        <v>-582700470000</v>
      </c>
      <c r="K66" s="16" t="s">
        <v>990</v>
      </c>
      <c r="L66" s="17">
        <f t="shared" si="6"/>
        <v>28</v>
      </c>
      <c r="M66" s="17">
        <f t="shared" si="7"/>
        <v>0</v>
      </c>
      <c r="N66" s="18">
        <f t="shared" si="8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.75" thickBot="1" x14ac:dyDescent="0.3">
      <c r="A67" t="s">
        <v>80</v>
      </c>
      <c r="C67" s="46" t="s">
        <v>195</v>
      </c>
      <c r="D67" t="s">
        <v>196</v>
      </c>
      <c r="E67" t="s">
        <v>24</v>
      </c>
      <c r="F67" t="s">
        <v>36</v>
      </c>
      <c r="G67" t="s">
        <v>197</v>
      </c>
      <c r="H67"/>
      <c r="I67" s="16">
        <v>-348088130000</v>
      </c>
      <c r="J67" s="16">
        <v>-582738390000</v>
      </c>
      <c r="K67" s="16" t="s">
        <v>991</v>
      </c>
      <c r="L67" s="17">
        <f t="shared" si="6"/>
        <v>28</v>
      </c>
      <c r="M67" s="17">
        <f t="shared" si="7"/>
        <v>0</v>
      </c>
      <c r="N67" s="18">
        <f t="shared" si="8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.75" thickBot="1" x14ac:dyDescent="0.3">
      <c r="A68" t="s">
        <v>80</v>
      </c>
      <c r="C68" s="46" t="s">
        <v>198</v>
      </c>
      <c r="D68" t="s">
        <v>918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992</v>
      </c>
      <c r="L68" s="17">
        <f t="shared" si="6"/>
        <v>19</v>
      </c>
      <c r="M68" s="17">
        <f t="shared" si="7"/>
        <v>9</v>
      </c>
      <c r="N68" s="18">
        <f t="shared" si="8"/>
        <v>0.6785714285714286</v>
      </c>
      <c r="O68" s="28" t="s">
        <v>941</v>
      </c>
      <c r="P68" s="8" t="s">
        <v>941</v>
      </c>
      <c r="Q68" s="8" t="s">
        <v>941</v>
      </c>
      <c r="R68" s="8" t="s">
        <v>941</v>
      </c>
      <c r="S68" s="28" t="s">
        <v>941</v>
      </c>
      <c r="T68" s="28" t="s">
        <v>941</v>
      </c>
      <c r="U68" s="8" t="s">
        <v>941</v>
      </c>
      <c r="V68" s="8" t="s">
        <v>941</v>
      </c>
      <c r="W68" s="8" t="s">
        <v>941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.75" thickBot="1" x14ac:dyDescent="0.3">
      <c r="A69" t="s">
        <v>80</v>
      </c>
      <c r="C69" s="46" t="s">
        <v>199</v>
      </c>
      <c r="D69" t="s">
        <v>200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993</v>
      </c>
      <c r="L69" s="17">
        <f t="shared" ref="L69:L132" si="9">COUNTIF(O69:AP69,"")</f>
        <v>28</v>
      </c>
      <c r="M69" s="17">
        <f t="shared" ref="M69:M132" si="10">COUNTIF(O69:AP69,"APAGADO")</f>
        <v>0</v>
      </c>
      <c r="N69" s="18">
        <f t="shared" ref="N69:N132" si="11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.75" thickBot="1" x14ac:dyDescent="0.3">
      <c r="A70" t="s">
        <v>80</v>
      </c>
      <c r="C70" s="46" t="s">
        <v>201</v>
      </c>
      <c r="D70" t="s">
        <v>920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994</v>
      </c>
      <c r="L70" s="17">
        <f t="shared" si="9"/>
        <v>18</v>
      </c>
      <c r="M70" s="17">
        <f t="shared" si="10"/>
        <v>10</v>
      </c>
      <c r="N70" s="18">
        <f t="shared" si="11"/>
        <v>0.6428571428571429</v>
      </c>
      <c r="O70" s="28" t="s">
        <v>941</v>
      </c>
      <c r="P70" s="8" t="s">
        <v>941</v>
      </c>
      <c r="Q70" s="8" t="s">
        <v>941</v>
      </c>
      <c r="R70" s="8" t="s">
        <v>941</v>
      </c>
      <c r="S70" s="28" t="s">
        <v>941</v>
      </c>
      <c r="T70" s="28" t="s">
        <v>941</v>
      </c>
      <c r="U70" s="8" t="s">
        <v>941</v>
      </c>
      <c r="V70" s="8" t="s">
        <v>941</v>
      </c>
      <c r="W70" s="8" t="s">
        <v>941</v>
      </c>
      <c r="X70" s="28" t="s">
        <v>941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.75" thickBot="1" x14ac:dyDescent="0.3">
      <c r="A71" t="s">
        <v>80</v>
      </c>
      <c r="C71" s="46" t="s">
        <v>202</v>
      </c>
      <c r="D71" t="s">
        <v>921</v>
      </c>
      <c r="E71" t="s">
        <v>24</v>
      </c>
      <c r="F71" t="s">
        <v>36</v>
      </c>
      <c r="G71" t="s">
        <v>162</v>
      </c>
      <c r="H71"/>
      <c r="I71" s="16">
        <v>-347995320000</v>
      </c>
      <c r="J71" s="16">
        <v>-582767420000</v>
      </c>
      <c r="K71" s="16" t="s">
        <v>995</v>
      </c>
      <c r="L71" s="17">
        <f t="shared" si="9"/>
        <v>28</v>
      </c>
      <c r="M71" s="17">
        <f t="shared" si="10"/>
        <v>0</v>
      </c>
      <c r="N71" s="18">
        <f t="shared" si="11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.75" thickBot="1" x14ac:dyDescent="0.3">
      <c r="A72" t="s">
        <v>80</v>
      </c>
      <c r="C72" s="46" t="s">
        <v>203</v>
      </c>
      <c r="D72" t="s">
        <v>922</v>
      </c>
      <c r="E72" t="s">
        <v>24</v>
      </c>
      <c r="F72" t="s">
        <v>36</v>
      </c>
      <c r="G72" t="s">
        <v>162</v>
      </c>
      <c r="H72"/>
      <c r="I72" s="16">
        <v>-348027390000</v>
      </c>
      <c r="J72" s="16">
        <v>-582766340000</v>
      </c>
      <c r="K72" s="16" t="s">
        <v>996</v>
      </c>
      <c r="L72" s="17">
        <f t="shared" si="9"/>
        <v>28</v>
      </c>
      <c r="M72" s="17">
        <f t="shared" si="10"/>
        <v>0</v>
      </c>
      <c r="N72" s="18">
        <f t="shared" si="11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.75" thickBot="1" x14ac:dyDescent="0.3">
      <c r="A73" t="s">
        <v>80</v>
      </c>
      <c r="C73" s="46" t="s">
        <v>204</v>
      </c>
      <c r="D73" t="s">
        <v>205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997</v>
      </c>
      <c r="L73" s="17">
        <f t="shared" si="9"/>
        <v>28</v>
      </c>
      <c r="M73" s="17">
        <f t="shared" si="10"/>
        <v>0</v>
      </c>
      <c r="N73" s="18">
        <f t="shared" si="11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.75" thickBot="1" x14ac:dyDescent="0.3">
      <c r="A74" t="s">
        <v>80</v>
      </c>
      <c r="C74" s="46" t="s">
        <v>206</v>
      </c>
      <c r="D74" t="s">
        <v>207</v>
      </c>
      <c r="E74" t="s">
        <v>24</v>
      </c>
      <c r="F74" t="s">
        <v>36</v>
      </c>
      <c r="G74" t="s">
        <v>162</v>
      </c>
      <c r="H74"/>
      <c r="I74" s="16">
        <v>-348004490000</v>
      </c>
      <c r="J74" s="16">
        <v>-582742520000</v>
      </c>
      <c r="K74" s="16" t="s">
        <v>998</v>
      </c>
      <c r="L74" s="17">
        <f t="shared" si="9"/>
        <v>28</v>
      </c>
      <c r="M74" s="17">
        <f t="shared" si="10"/>
        <v>0</v>
      </c>
      <c r="N74" s="18">
        <f t="shared" si="11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.75" thickBot="1" x14ac:dyDescent="0.3">
      <c r="A75" t="s">
        <v>80</v>
      </c>
      <c r="C75" s="46" t="s">
        <v>208</v>
      </c>
      <c r="D75" t="s">
        <v>209</v>
      </c>
      <c r="E75" t="s">
        <v>24</v>
      </c>
      <c r="F75" t="s">
        <v>36</v>
      </c>
      <c r="G75" t="s">
        <v>210</v>
      </c>
      <c r="H75"/>
      <c r="I75" s="16">
        <v>-348038310000</v>
      </c>
      <c r="J75" s="16">
        <v>-582781900000</v>
      </c>
      <c r="K75" s="16" t="s">
        <v>999</v>
      </c>
      <c r="L75" s="17">
        <f t="shared" si="9"/>
        <v>28</v>
      </c>
      <c r="M75" s="17">
        <f t="shared" si="10"/>
        <v>0</v>
      </c>
      <c r="N75" s="18">
        <f t="shared" si="11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.75" thickBot="1" x14ac:dyDescent="0.3">
      <c r="A76" t="s">
        <v>80</v>
      </c>
      <c r="C76" s="46" t="s">
        <v>211</v>
      </c>
      <c r="D76" t="s">
        <v>212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1000</v>
      </c>
      <c r="L76" s="17">
        <f t="shared" si="9"/>
        <v>28</v>
      </c>
      <c r="M76" s="17">
        <f t="shared" si="10"/>
        <v>0</v>
      </c>
      <c r="N76" s="18">
        <f t="shared" si="11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.75" thickBot="1" x14ac:dyDescent="0.3">
      <c r="A77" t="s">
        <v>80</v>
      </c>
      <c r="C77" s="46" t="s">
        <v>213</v>
      </c>
      <c r="D77" t="s">
        <v>214</v>
      </c>
      <c r="E77" t="s">
        <v>24</v>
      </c>
      <c r="F77" t="s">
        <v>36</v>
      </c>
      <c r="G77" t="s">
        <v>215</v>
      </c>
      <c r="H77"/>
      <c r="I77" s="16">
        <v>-348045710000</v>
      </c>
      <c r="J77" s="16">
        <v>-582732760000</v>
      </c>
      <c r="K77" s="16" t="s">
        <v>1001</v>
      </c>
      <c r="L77" s="17">
        <f t="shared" si="9"/>
        <v>28</v>
      </c>
      <c r="M77" s="17">
        <f t="shared" si="10"/>
        <v>0</v>
      </c>
      <c r="N77" s="18">
        <f t="shared" si="11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.75" thickBot="1" x14ac:dyDescent="0.3">
      <c r="A78" t="s">
        <v>80</v>
      </c>
      <c r="C78" s="46" t="s">
        <v>216</v>
      </c>
      <c r="D78" t="s">
        <v>217</v>
      </c>
      <c r="E78" t="s">
        <v>24</v>
      </c>
      <c r="F78" t="s">
        <v>36</v>
      </c>
      <c r="G78" t="s">
        <v>162</v>
      </c>
      <c r="H78"/>
      <c r="I78" s="16">
        <v>-348034610000</v>
      </c>
      <c r="J78" s="16">
        <v>-582706900000</v>
      </c>
      <c r="K78" s="16" t="s">
        <v>1002</v>
      </c>
      <c r="L78" s="17">
        <f t="shared" si="9"/>
        <v>28</v>
      </c>
      <c r="M78" s="17">
        <f t="shared" si="10"/>
        <v>0</v>
      </c>
      <c r="N78" s="18">
        <f t="shared" si="11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.75" thickBot="1" x14ac:dyDescent="0.3">
      <c r="A79" t="s">
        <v>80</v>
      </c>
      <c r="C79" s="46" t="s">
        <v>218</v>
      </c>
      <c r="D79" t="s">
        <v>219</v>
      </c>
      <c r="E79" t="s">
        <v>24</v>
      </c>
      <c r="F79" t="s">
        <v>36</v>
      </c>
      <c r="G79" t="s">
        <v>186</v>
      </c>
      <c r="H79" t="s">
        <v>220</v>
      </c>
      <c r="I79" s="16">
        <v>-348076770000</v>
      </c>
      <c r="J79" s="16">
        <v>-582730080000</v>
      </c>
      <c r="K79" s="16" t="s">
        <v>1003</v>
      </c>
      <c r="L79" s="17">
        <f t="shared" si="9"/>
        <v>28</v>
      </c>
      <c r="M79" s="17">
        <f t="shared" si="10"/>
        <v>0</v>
      </c>
      <c r="N79" s="18">
        <f t="shared" si="11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.75" thickBot="1" x14ac:dyDescent="0.3">
      <c r="A80" t="s">
        <v>80</v>
      </c>
      <c r="C80" s="46" t="s">
        <v>221</v>
      </c>
      <c r="D80" t="s">
        <v>222</v>
      </c>
      <c r="E80" t="s">
        <v>24</v>
      </c>
      <c r="F80" t="s">
        <v>36</v>
      </c>
      <c r="G80" t="s">
        <v>186</v>
      </c>
      <c r="H80"/>
      <c r="I80" s="16">
        <v>-348087290000</v>
      </c>
      <c r="J80" s="16">
        <v>-582714950000</v>
      </c>
      <c r="K80" s="16" t="s">
        <v>1004</v>
      </c>
      <c r="L80" s="17">
        <f t="shared" si="9"/>
        <v>17</v>
      </c>
      <c r="M80" s="17">
        <f t="shared" si="10"/>
        <v>11</v>
      </c>
      <c r="N80" s="18">
        <f t="shared" si="11"/>
        <v>0.6071428571428571</v>
      </c>
      <c r="O80" s="28" t="s">
        <v>941</v>
      </c>
      <c r="P80" s="8" t="s">
        <v>941</v>
      </c>
      <c r="Q80" s="8" t="s">
        <v>941</v>
      </c>
      <c r="R80" s="8" t="s">
        <v>941</v>
      </c>
      <c r="S80" s="28" t="s">
        <v>941</v>
      </c>
      <c r="T80" s="28" t="s">
        <v>941</v>
      </c>
      <c r="U80" s="8" t="s">
        <v>941</v>
      </c>
      <c r="V80" s="8" t="s">
        <v>941</v>
      </c>
      <c r="W80" s="8" t="s">
        <v>941</v>
      </c>
      <c r="X80" s="28" t="s">
        <v>941</v>
      </c>
      <c r="Y80" s="28" t="s">
        <v>941</v>
      </c>
      <c r="Z80" s="28"/>
      <c r="AA80" s="28"/>
      <c r="AB80" s="28"/>
      <c r="AC80" s="28"/>
      <c r="AD80" s="28"/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.75" thickBot="1" x14ac:dyDescent="0.3">
      <c r="A81" t="s">
        <v>80</v>
      </c>
      <c r="C81" s="46" t="s">
        <v>223</v>
      </c>
      <c r="D81" t="s">
        <v>87</v>
      </c>
      <c r="E81" t="s">
        <v>113</v>
      </c>
      <c r="F81" t="s">
        <v>36</v>
      </c>
      <c r="G81"/>
      <c r="H81" t="s">
        <v>224</v>
      </c>
      <c r="I81" s="16">
        <v>-348102990000</v>
      </c>
      <c r="J81" s="16">
        <v>-582835440000</v>
      </c>
      <c r="K81" s="16" t="s">
        <v>1005</v>
      </c>
      <c r="L81" s="17">
        <f t="shared" si="9"/>
        <v>28</v>
      </c>
      <c r="M81" s="17">
        <f t="shared" si="10"/>
        <v>0</v>
      </c>
      <c r="N81" s="18">
        <f t="shared" si="11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.75" thickBot="1" x14ac:dyDescent="0.3">
      <c r="A82" t="s">
        <v>80</v>
      </c>
      <c r="C82" s="46" t="s">
        <v>225</v>
      </c>
      <c r="D82" t="s">
        <v>87</v>
      </c>
      <c r="E82" t="s">
        <v>113</v>
      </c>
      <c r="F82" t="s">
        <v>36</v>
      </c>
      <c r="G82"/>
      <c r="H82" t="s">
        <v>224</v>
      </c>
      <c r="I82" s="16">
        <v>-348102840000</v>
      </c>
      <c r="J82" s="16">
        <v>-582835020000</v>
      </c>
      <c r="K82" s="16" t="s">
        <v>1006</v>
      </c>
      <c r="L82" s="17">
        <f t="shared" si="9"/>
        <v>28</v>
      </c>
      <c r="M82" s="17">
        <f t="shared" si="10"/>
        <v>0</v>
      </c>
      <c r="N82" s="18">
        <f t="shared" si="11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.75" thickBot="1" x14ac:dyDescent="0.3">
      <c r="A83" t="s">
        <v>80</v>
      </c>
      <c r="C83" s="46" t="s">
        <v>226</v>
      </c>
      <c r="D83" t="s">
        <v>227</v>
      </c>
      <c r="E83" t="s">
        <v>24</v>
      </c>
      <c r="F83" t="s">
        <v>36</v>
      </c>
      <c r="G83" t="s">
        <v>162</v>
      </c>
      <c r="H83"/>
      <c r="I83" s="16">
        <v>-348076280000</v>
      </c>
      <c r="J83" s="16">
        <v>-582715700000</v>
      </c>
      <c r="K83" s="16" t="s">
        <v>1007</v>
      </c>
      <c r="L83" s="17">
        <f t="shared" si="9"/>
        <v>28</v>
      </c>
      <c r="M83" s="17">
        <f t="shared" si="10"/>
        <v>0</v>
      </c>
      <c r="N83" s="18">
        <f t="shared" si="11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.75" thickBot="1" x14ac:dyDescent="0.3">
      <c r="A84" t="s">
        <v>80</v>
      </c>
      <c r="C84" s="46" t="s">
        <v>228</v>
      </c>
      <c r="D84" t="s">
        <v>229</v>
      </c>
      <c r="E84" t="s">
        <v>24</v>
      </c>
      <c r="F84" t="s">
        <v>25</v>
      </c>
      <c r="G84" t="s">
        <v>230</v>
      </c>
      <c r="H84" t="s">
        <v>231</v>
      </c>
      <c r="I84" s="16">
        <v>-348082910000</v>
      </c>
      <c r="J84" s="16">
        <v>-582832080000</v>
      </c>
      <c r="K84" s="16" t="s">
        <v>1008</v>
      </c>
      <c r="L84" s="17">
        <f t="shared" si="9"/>
        <v>27</v>
      </c>
      <c r="M84" s="17">
        <f t="shared" si="10"/>
        <v>1</v>
      </c>
      <c r="N84" s="18">
        <f t="shared" si="11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941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.75" thickBot="1" x14ac:dyDescent="0.3">
      <c r="A85" t="s">
        <v>80</v>
      </c>
      <c r="C85" s="46" t="s">
        <v>232</v>
      </c>
      <c r="D85" t="s">
        <v>233</v>
      </c>
      <c r="E85" t="s">
        <v>24</v>
      </c>
      <c r="F85" t="s">
        <v>25</v>
      </c>
      <c r="G85" t="s">
        <v>234</v>
      </c>
      <c r="H85"/>
      <c r="I85" s="16">
        <v>-347975480000</v>
      </c>
      <c r="J85" s="16">
        <v>-582789940000</v>
      </c>
      <c r="K85" s="16" t="s">
        <v>1009</v>
      </c>
      <c r="L85" s="17">
        <f t="shared" si="9"/>
        <v>28</v>
      </c>
      <c r="M85" s="17">
        <f t="shared" si="10"/>
        <v>0</v>
      </c>
      <c r="N85" s="18">
        <f t="shared" si="11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.75" thickBot="1" x14ac:dyDescent="0.3">
      <c r="A86" t="s">
        <v>80</v>
      </c>
      <c r="C86" s="46" t="s">
        <v>235</v>
      </c>
      <c r="D86" t="s">
        <v>236</v>
      </c>
      <c r="E86" t="s">
        <v>24</v>
      </c>
      <c r="F86" t="s">
        <v>25</v>
      </c>
      <c r="G86" t="s">
        <v>237</v>
      </c>
      <c r="H86" t="s">
        <v>238</v>
      </c>
      <c r="I86" s="16">
        <v>-348070120000</v>
      </c>
      <c r="J86" s="16">
        <v>-582783830000</v>
      </c>
      <c r="K86" s="16" t="s">
        <v>1010</v>
      </c>
      <c r="L86" s="17">
        <f t="shared" si="9"/>
        <v>27</v>
      </c>
      <c r="M86" s="17">
        <f t="shared" si="10"/>
        <v>1</v>
      </c>
      <c r="N86" s="18">
        <f t="shared" si="11"/>
        <v>0.9642857142857143</v>
      </c>
      <c r="O86" s="28" t="s">
        <v>941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.75" thickBot="1" x14ac:dyDescent="0.3">
      <c r="C87" s="46" t="s">
        <v>239</v>
      </c>
      <c r="D87" t="s">
        <v>240</v>
      </c>
      <c r="E87" t="s">
        <v>19</v>
      </c>
      <c r="F87" t="s">
        <v>25</v>
      </c>
      <c r="G87"/>
      <c r="H87" t="s">
        <v>241</v>
      </c>
      <c r="I87" s="16">
        <v>-348006380000</v>
      </c>
      <c r="J87" s="16">
        <v>-582785240000</v>
      </c>
      <c r="K87" s="16" t="s">
        <v>1013</v>
      </c>
      <c r="L87" s="17">
        <f t="shared" si="9"/>
        <v>28</v>
      </c>
      <c r="M87" s="17">
        <f t="shared" si="10"/>
        <v>0</v>
      </c>
      <c r="N87" s="18">
        <f t="shared" si="11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.75" thickBot="1" x14ac:dyDescent="0.3">
      <c r="A88" t="s">
        <v>80</v>
      </c>
      <c r="C88" s="46" t="s">
        <v>242</v>
      </c>
      <c r="D88" t="s">
        <v>243</v>
      </c>
      <c r="E88" t="s">
        <v>73</v>
      </c>
      <c r="F88" t="s">
        <v>36</v>
      </c>
      <c r="G88"/>
      <c r="H88" t="s">
        <v>224</v>
      </c>
      <c r="I88" s="16">
        <v>-348100370000</v>
      </c>
      <c r="J88" s="16">
        <v>-582778830000</v>
      </c>
      <c r="K88" s="16" t="s">
        <v>1026</v>
      </c>
      <c r="L88" s="17">
        <f t="shared" si="9"/>
        <v>18</v>
      </c>
      <c r="M88" s="17">
        <f t="shared" si="10"/>
        <v>10</v>
      </c>
      <c r="N88" s="18">
        <f t="shared" si="11"/>
        <v>0.6428571428571429</v>
      </c>
      <c r="O88" s="28" t="s">
        <v>941</v>
      </c>
      <c r="P88" s="8" t="s">
        <v>941</v>
      </c>
      <c r="Q88" s="8" t="s">
        <v>941</v>
      </c>
      <c r="R88" s="8" t="s">
        <v>941</v>
      </c>
      <c r="S88" s="28" t="s">
        <v>941</v>
      </c>
      <c r="T88" s="28" t="s">
        <v>941</v>
      </c>
      <c r="U88" s="8" t="s">
        <v>941</v>
      </c>
      <c r="V88" s="8" t="s">
        <v>941</v>
      </c>
      <c r="W88" s="8" t="s">
        <v>941</v>
      </c>
      <c r="X88" s="28" t="s">
        <v>941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.75" thickBot="1" x14ac:dyDescent="0.3">
      <c r="A89" t="s">
        <v>80</v>
      </c>
      <c r="C89" s="46" t="s">
        <v>244</v>
      </c>
      <c r="D89" t="s">
        <v>245</v>
      </c>
      <c r="E89" t="s">
        <v>73</v>
      </c>
      <c r="F89" t="s">
        <v>36</v>
      </c>
      <c r="G89"/>
      <c r="H89" t="s">
        <v>224</v>
      </c>
      <c r="I89" s="16">
        <v>-348107920000</v>
      </c>
      <c r="J89" s="16">
        <v>-582777490000</v>
      </c>
      <c r="K89" s="16" t="s">
        <v>1027</v>
      </c>
      <c r="L89" s="17">
        <f t="shared" si="9"/>
        <v>19</v>
      </c>
      <c r="M89" s="17">
        <f t="shared" si="10"/>
        <v>9</v>
      </c>
      <c r="N89" s="18">
        <f t="shared" si="11"/>
        <v>0.6785714285714286</v>
      </c>
      <c r="O89" s="28"/>
      <c r="P89" s="8" t="s">
        <v>941</v>
      </c>
      <c r="Q89" s="8" t="s">
        <v>941</v>
      </c>
      <c r="R89" s="8" t="s">
        <v>941</v>
      </c>
      <c r="S89" s="28" t="s">
        <v>941</v>
      </c>
      <c r="T89" s="28" t="s">
        <v>941</v>
      </c>
      <c r="U89" s="8" t="s">
        <v>941</v>
      </c>
      <c r="V89" s="8" t="s">
        <v>941</v>
      </c>
      <c r="W89" s="8" t="s">
        <v>941</v>
      </c>
      <c r="X89" s="28" t="s">
        <v>941</v>
      </c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.75" thickBot="1" x14ac:dyDescent="0.3">
      <c r="A90" t="s">
        <v>80</v>
      </c>
      <c r="C90" s="46" t="s">
        <v>246</v>
      </c>
      <c r="D90" t="s">
        <v>245</v>
      </c>
      <c r="E90" t="s">
        <v>73</v>
      </c>
      <c r="F90" t="s">
        <v>36</v>
      </c>
      <c r="G90"/>
      <c r="H90" t="s">
        <v>224</v>
      </c>
      <c r="I90" s="16">
        <v>-348109620000</v>
      </c>
      <c r="J90" s="16">
        <v>-582777260000</v>
      </c>
      <c r="K90" s="16" t="s">
        <v>1028</v>
      </c>
      <c r="L90" s="17">
        <f t="shared" si="9"/>
        <v>18</v>
      </c>
      <c r="M90" s="17">
        <f t="shared" si="10"/>
        <v>10</v>
      </c>
      <c r="N90" s="18">
        <f t="shared" si="11"/>
        <v>0.6428571428571429</v>
      </c>
      <c r="O90" s="28" t="s">
        <v>941</v>
      </c>
      <c r="P90" s="8" t="s">
        <v>941</v>
      </c>
      <c r="Q90" s="8" t="s">
        <v>941</v>
      </c>
      <c r="R90" s="8" t="s">
        <v>941</v>
      </c>
      <c r="S90" s="28" t="s">
        <v>941</v>
      </c>
      <c r="T90" s="28" t="s">
        <v>941</v>
      </c>
      <c r="U90" s="8" t="s">
        <v>941</v>
      </c>
      <c r="V90" s="8" t="s">
        <v>941</v>
      </c>
      <c r="W90" s="8" t="s">
        <v>941</v>
      </c>
      <c r="X90" s="28" t="s">
        <v>941</v>
      </c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" customHeight="1" thickBot="1" x14ac:dyDescent="0.3">
      <c r="A91" t="s">
        <v>80</v>
      </c>
      <c r="C91" s="46" t="s">
        <v>247</v>
      </c>
      <c r="D91" t="s">
        <v>248</v>
      </c>
      <c r="E91" t="s">
        <v>113</v>
      </c>
      <c r="F91" t="s">
        <v>36</v>
      </c>
      <c r="G91"/>
      <c r="H91" t="s">
        <v>249</v>
      </c>
      <c r="I91" s="16">
        <v>-348024610000</v>
      </c>
      <c r="J91" s="16">
        <v>-582715570000</v>
      </c>
      <c r="K91" s="16" t="s">
        <v>1032</v>
      </c>
      <c r="L91" s="17">
        <f t="shared" si="9"/>
        <v>17</v>
      </c>
      <c r="M91" s="17">
        <f t="shared" si="10"/>
        <v>11</v>
      </c>
      <c r="N91" s="18">
        <f t="shared" si="11"/>
        <v>0.6071428571428571</v>
      </c>
      <c r="O91" s="28" t="s">
        <v>941</v>
      </c>
      <c r="P91" s="8" t="s">
        <v>941</v>
      </c>
      <c r="Q91" s="8" t="s">
        <v>941</v>
      </c>
      <c r="R91" s="8" t="s">
        <v>941</v>
      </c>
      <c r="S91" s="28" t="s">
        <v>941</v>
      </c>
      <c r="T91" s="28" t="s">
        <v>941</v>
      </c>
      <c r="U91" s="8" t="s">
        <v>941</v>
      </c>
      <c r="V91" s="8" t="s">
        <v>941</v>
      </c>
      <c r="W91" s="8" t="s">
        <v>941</v>
      </c>
      <c r="X91" s="28" t="s">
        <v>941</v>
      </c>
      <c r="Y91" s="28" t="s">
        <v>941</v>
      </c>
      <c r="Z91" s="28"/>
      <c r="AA91" s="28"/>
      <c r="AB91" s="28"/>
      <c r="AC91" s="28"/>
      <c r="AD91" s="28"/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.75" thickBot="1" x14ac:dyDescent="0.3">
      <c r="A92" t="s">
        <v>80</v>
      </c>
      <c r="C92" s="46" t="s">
        <v>250</v>
      </c>
      <c r="D92" t="s">
        <v>248</v>
      </c>
      <c r="E92" t="s">
        <v>113</v>
      </c>
      <c r="F92" t="s">
        <v>36</v>
      </c>
      <c r="G92"/>
      <c r="H92" t="s">
        <v>249</v>
      </c>
      <c r="I92" s="16">
        <v>-348024610000</v>
      </c>
      <c r="J92" s="16">
        <v>-582715570000</v>
      </c>
      <c r="K92" s="16" t="s">
        <v>1033</v>
      </c>
      <c r="L92" s="17">
        <f t="shared" si="9"/>
        <v>17</v>
      </c>
      <c r="M92" s="17">
        <f t="shared" si="10"/>
        <v>11</v>
      </c>
      <c r="N92" s="18">
        <f t="shared" si="11"/>
        <v>0.6071428571428571</v>
      </c>
      <c r="O92" s="28" t="s">
        <v>941</v>
      </c>
      <c r="P92" s="8" t="s">
        <v>941</v>
      </c>
      <c r="Q92" s="8" t="s">
        <v>941</v>
      </c>
      <c r="R92" s="8" t="s">
        <v>941</v>
      </c>
      <c r="S92" s="28" t="s">
        <v>941</v>
      </c>
      <c r="T92" s="28" t="s">
        <v>941</v>
      </c>
      <c r="U92" s="8" t="s">
        <v>941</v>
      </c>
      <c r="V92" s="8" t="s">
        <v>941</v>
      </c>
      <c r="W92" s="8" t="s">
        <v>941</v>
      </c>
      <c r="X92" s="28" t="s">
        <v>941</v>
      </c>
      <c r="Y92" s="28" t="s">
        <v>941</v>
      </c>
      <c r="Z92" s="28"/>
      <c r="AA92" s="28"/>
      <c r="AB92" s="28"/>
      <c r="AC92" s="28"/>
      <c r="AD92" s="28"/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.75" thickBot="1" x14ac:dyDescent="0.3">
      <c r="A93" t="s">
        <v>80</v>
      </c>
      <c r="C93" s="46" t="s">
        <v>251</v>
      </c>
      <c r="D93" t="s">
        <v>252</v>
      </c>
      <c r="E93" t="s">
        <v>19</v>
      </c>
      <c r="F93" t="s">
        <v>36</v>
      </c>
      <c r="G93"/>
      <c r="H93" t="s">
        <v>253</v>
      </c>
      <c r="I93" s="16">
        <v>-348093230000</v>
      </c>
      <c r="J93" s="16">
        <v>-582817790000</v>
      </c>
      <c r="K93" s="16" t="s">
        <v>1034</v>
      </c>
      <c r="L93" s="17">
        <f t="shared" si="9"/>
        <v>28</v>
      </c>
      <c r="M93" s="17">
        <f t="shared" si="10"/>
        <v>0</v>
      </c>
      <c r="N93" s="18">
        <f t="shared" si="11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.75" thickBot="1" x14ac:dyDescent="0.3">
      <c r="A94" t="s">
        <v>80</v>
      </c>
      <c r="C94" s="46" t="s">
        <v>254</v>
      </c>
      <c r="D94" t="s">
        <v>255</v>
      </c>
      <c r="E94" t="s">
        <v>19</v>
      </c>
      <c r="F94" t="s">
        <v>36</v>
      </c>
      <c r="G94"/>
      <c r="H94" t="s">
        <v>256</v>
      </c>
      <c r="I94" s="16">
        <v>-347987330000</v>
      </c>
      <c r="J94" s="16">
        <v>-582822490000</v>
      </c>
      <c r="K94" s="16" t="s">
        <v>1038</v>
      </c>
      <c r="L94" s="17">
        <f t="shared" si="9"/>
        <v>27</v>
      </c>
      <c r="M94" s="17">
        <f t="shared" si="10"/>
        <v>1</v>
      </c>
      <c r="N94" s="18">
        <f t="shared" si="11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941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.75" thickBot="1" x14ac:dyDescent="0.3">
      <c r="A95" t="s">
        <v>80</v>
      </c>
      <c r="C95" s="46" t="s">
        <v>257</v>
      </c>
      <c r="D95" t="s">
        <v>258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1039</v>
      </c>
      <c r="L95" s="17">
        <f t="shared" si="9"/>
        <v>28</v>
      </c>
      <c r="M95" s="17">
        <f t="shared" si="10"/>
        <v>0</v>
      </c>
      <c r="N95" s="18">
        <f t="shared" si="11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.75" thickBot="1" x14ac:dyDescent="0.3">
      <c r="A96" t="s">
        <v>259</v>
      </c>
      <c r="C96" s="46" t="s">
        <v>260</v>
      </c>
      <c r="D96" t="s">
        <v>261</v>
      </c>
      <c r="E96" t="s">
        <v>24</v>
      </c>
      <c r="F96" t="s">
        <v>25</v>
      </c>
      <c r="G96" t="s">
        <v>162</v>
      </c>
      <c r="H96"/>
      <c r="I96" s="16">
        <v>-348055400000</v>
      </c>
      <c r="J96" s="16">
        <v>-582972760000</v>
      </c>
      <c r="K96" s="16" t="s">
        <v>1040</v>
      </c>
      <c r="L96" s="17">
        <f t="shared" si="9"/>
        <v>28</v>
      </c>
      <c r="M96" s="17">
        <f t="shared" si="10"/>
        <v>0</v>
      </c>
      <c r="N96" s="18">
        <f t="shared" si="11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.75" thickBot="1" x14ac:dyDescent="0.3">
      <c r="A97" t="s">
        <v>262</v>
      </c>
      <c r="C97" s="46" t="s">
        <v>263</v>
      </c>
      <c r="D97" t="s">
        <v>264</v>
      </c>
      <c r="E97" t="s">
        <v>24</v>
      </c>
      <c r="F97" t="s">
        <v>25</v>
      </c>
      <c r="G97" t="s">
        <v>186</v>
      </c>
      <c r="H97" t="s">
        <v>265</v>
      </c>
      <c r="I97" s="16">
        <v>-348032560000</v>
      </c>
      <c r="J97" s="16">
        <v>-582926760000</v>
      </c>
      <c r="K97" s="16" t="s">
        <v>1041</v>
      </c>
      <c r="L97" s="17">
        <f t="shared" si="9"/>
        <v>26</v>
      </c>
      <c r="M97" s="17">
        <f t="shared" si="10"/>
        <v>2</v>
      </c>
      <c r="N97" s="18">
        <f t="shared" si="11"/>
        <v>0.9285714285714286</v>
      </c>
      <c r="O97" s="28"/>
      <c r="P97" s="8"/>
      <c r="Q97" s="8"/>
      <c r="R97" s="8"/>
      <c r="S97" s="28"/>
      <c r="T97" s="28"/>
      <c r="U97" s="8" t="s">
        <v>941</v>
      </c>
      <c r="V97" s="8" t="s">
        <v>941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.75" thickBot="1" x14ac:dyDescent="0.3">
      <c r="A98" t="s">
        <v>262</v>
      </c>
      <c r="C98" s="46" t="s">
        <v>266</v>
      </c>
      <c r="D98" t="s">
        <v>267</v>
      </c>
      <c r="E98" t="s">
        <v>19</v>
      </c>
      <c r="F98" t="s">
        <v>36</v>
      </c>
      <c r="G98"/>
      <c r="H98" t="s">
        <v>268</v>
      </c>
      <c r="I98" s="16">
        <v>-348083930000</v>
      </c>
      <c r="J98" s="16">
        <v>-582918310000</v>
      </c>
      <c r="K98" s="16" t="s">
        <v>1042</v>
      </c>
      <c r="L98" s="17">
        <f t="shared" si="9"/>
        <v>28</v>
      </c>
      <c r="M98" s="17">
        <f t="shared" si="10"/>
        <v>0</v>
      </c>
      <c r="N98" s="18">
        <f t="shared" si="11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.75" thickBot="1" x14ac:dyDescent="0.3">
      <c r="A99" t="s">
        <v>262</v>
      </c>
      <c r="C99" s="46" t="s">
        <v>269</v>
      </c>
      <c r="D99" t="s">
        <v>270</v>
      </c>
      <c r="E99" t="s">
        <v>19</v>
      </c>
      <c r="F99" t="s">
        <v>36</v>
      </c>
      <c r="G99"/>
      <c r="H99" t="s">
        <v>271</v>
      </c>
      <c r="I99" s="16">
        <v>-348019100000</v>
      </c>
      <c r="J99" s="16">
        <v>-582901420000</v>
      </c>
      <c r="K99" s="16" t="s">
        <v>1043</v>
      </c>
      <c r="L99" s="17">
        <f t="shared" si="9"/>
        <v>28</v>
      </c>
      <c r="M99" s="17">
        <f t="shared" si="10"/>
        <v>0</v>
      </c>
      <c r="N99" s="18">
        <f t="shared" si="11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.75" thickBot="1" x14ac:dyDescent="0.3">
      <c r="A100" t="s">
        <v>272</v>
      </c>
      <c r="C100" s="46" t="s">
        <v>273</v>
      </c>
      <c r="D100" t="s">
        <v>274</v>
      </c>
      <c r="E100" t="s">
        <v>24</v>
      </c>
      <c r="F100" t="s">
        <v>25</v>
      </c>
      <c r="G100" t="s">
        <v>162</v>
      </c>
      <c r="H100"/>
      <c r="I100" s="16">
        <v>-348419680000</v>
      </c>
      <c r="J100" s="16">
        <v>-582787590000</v>
      </c>
      <c r="K100" s="16" t="s">
        <v>1044</v>
      </c>
      <c r="L100" s="17">
        <f t="shared" si="9"/>
        <v>28</v>
      </c>
      <c r="M100" s="17">
        <f t="shared" si="10"/>
        <v>0</v>
      </c>
      <c r="N100" s="18">
        <f t="shared" si="11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.75" thickBot="1" x14ac:dyDescent="0.3">
      <c r="A101" t="s">
        <v>275</v>
      </c>
      <c r="C101" s="46" t="s">
        <v>276</v>
      </c>
      <c r="D101" t="s">
        <v>277</v>
      </c>
      <c r="E101" t="s">
        <v>24</v>
      </c>
      <c r="F101" t="s">
        <v>25</v>
      </c>
      <c r="G101" t="s">
        <v>278</v>
      </c>
      <c r="H101"/>
      <c r="I101" s="16">
        <v>-348439980000</v>
      </c>
      <c r="J101" s="16">
        <v>-582786670000</v>
      </c>
      <c r="K101" s="16" t="s">
        <v>1045</v>
      </c>
      <c r="L101" s="17">
        <f t="shared" si="9"/>
        <v>28</v>
      </c>
      <c r="M101" s="17">
        <f t="shared" si="10"/>
        <v>0</v>
      </c>
      <c r="N101" s="18">
        <f t="shared" si="11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.75" thickBot="1" x14ac:dyDescent="0.3">
      <c r="A102" t="s">
        <v>275</v>
      </c>
      <c r="C102" s="46" t="s">
        <v>279</v>
      </c>
      <c r="D102" t="s">
        <v>280</v>
      </c>
      <c r="E102" t="s">
        <v>19</v>
      </c>
      <c r="F102" t="s">
        <v>25</v>
      </c>
      <c r="G102"/>
      <c r="H102" t="s">
        <v>281</v>
      </c>
      <c r="I102" s="16">
        <v>-348376190000</v>
      </c>
      <c r="J102" s="16">
        <v>-582703080000</v>
      </c>
      <c r="K102" s="16" t="s">
        <v>1046</v>
      </c>
      <c r="L102" s="17">
        <f t="shared" si="9"/>
        <v>27</v>
      </c>
      <c r="M102" s="17">
        <f t="shared" si="10"/>
        <v>1</v>
      </c>
      <c r="N102" s="18">
        <f t="shared" si="11"/>
        <v>0.9642857142857143</v>
      </c>
      <c r="O102" s="28"/>
      <c r="P102" s="8"/>
      <c r="Q102" s="8"/>
      <c r="R102" s="8"/>
      <c r="S102" s="28"/>
      <c r="T102" s="28"/>
      <c r="U102" s="8" t="s">
        <v>941</v>
      </c>
      <c r="V102" s="8"/>
      <c r="W102" s="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.75" thickBot="1" x14ac:dyDescent="0.3">
      <c r="C103" s="46" t="s">
        <v>282</v>
      </c>
      <c r="D103" t="s">
        <v>283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1047</v>
      </c>
      <c r="L103" s="17">
        <f t="shared" si="9"/>
        <v>28</v>
      </c>
      <c r="M103" s="17">
        <f t="shared" si="10"/>
        <v>0</v>
      </c>
      <c r="N103" s="18">
        <f t="shared" si="11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.75" thickBot="1" x14ac:dyDescent="0.3">
      <c r="A104" t="s">
        <v>284</v>
      </c>
      <c r="C104" s="46" t="s">
        <v>285</v>
      </c>
      <c r="D104" t="s">
        <v>286</v>
      </c>
      <c r="E104" t="s">
        <v>113</v>
      </c>
      <c r="F104" t="s">
        <v>947</v>
      </c>
      <c r="G104"/>
      <c r="H104" t="s">
        <v>287</v>
      </c>
      <c r="I104" s="16">
        <v>-347971580000</v>
      </c>
      <c r="J104" s="16">
        <v>-583070820000</v>
      </c>
      <c r="K104" s="16" t="s">
        <v>1048</v>
      </c>
      <c r="L104" s="17">
        <f t="shared" si="9"/>
        <v>27</v>
      </c>
      <c r="M104" s="17">
        <f t="shared" si="10"/>
        <v>1</v>
      </c>
      <c r="N104" s="18">
        <f t="shared" si="11"/>
        <v>0.9642857142857143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941</v>
      </c>
      <c r="Z104" s="28"/>
      <c r="AA104" s="28"/>
      <c r="AB104" s="28"/>
      <c r="AC104" s="28"/>
      <c r="AD104" s="28"/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149999999999999" customHeight="1" thickBot="1" x14ac:dyDescent="0.3">
      <c r="A105" t="s">
        <v>284</v>
      </c>
      <c r="C105" s="46" t="s">
        <v>288</v>
      </c>
      <c r="D105" t="s">
        <v>286</v>
      </c>
      <c r="E105" t="s">
        <v>113</v>
      </c>
      <c r="F105" t="s">
        <v>947</v>
      </c>
      <c r="G105"/>
      <c r="H105" t="s">
        <v>289</v>
      </c>
      <c r="I105" s="16">
        <v>-347971580000</v>
      </c>
      <c r="J105" s="16">
        <v>-583070820000</v>
      </c>
      <c r="K105" s="16" t="s">
        <v>1049</v>
      </c>
      <c r="L105" s="17">
        <f t="shared" si="9"/>
        <v>27</v>
      </c>
      <c r="M105" s="17">
        <f t="shared" si="10"/>
        <v>1</v>
      </c>
      <c r="N105" s="18">
        <f t="shared" si="11"/>
        <v>0.9642857142857143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941</v>
      </c>
      <c r="Z105" s="28"/>
      <c r="AA105" s="28"/>
      <c r="AB105" s="28"/>
      <c r="AC105" s="28"/>
      <c r="AD105" s="28"/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.75" thickBot="1" x14ac:dyDescent="0.3">
      <c r="A106" t="s">
        <v>290</v>
      </c>
      <c r="C106" s="46" t="s">
        <v>291</v>
      </c>
      <c r="D106" t="s">
        <v>292</v>
      </c>
      <c r="E106" t="s">
        <v>19</v>
      </c>
      <c r="F106" t="s">
        <v>36</v>
      </c>
      <c r="G106"/>
      <c r="H106" t="s">
        <v>293</v>
      </c>
      <c r="I106" s="16">
        <v>-348640160000</v>
      </c>
      <c r="J106" s="16">
        <v>-581864200000</v>
      </c>
      <c r="K106" s="16" t="s">
        <v>1050</v>
      </c>
      <c r="L106" s="17">
        <f t="shared" si="9"/>
        <v>25</v>
      </c>
      <c r="M106" s="17">
        <f t="shared" si="10"/>
        <v>3</v>
      </c>
      <c r="N106" s="18">
        <f t="shared" si="11"/>
        <v>0.8928571428571429</v>
      </c>
      <c r="O106" s="28"/>
      <c r="P106" s="8" t="s">
        <v>941</v>
      </c>
      <c r="Q106" s="8" t="s">
        <v>941</v>
      </c>
      <c r="R106" s="8"/>
      <c r="S106" s="28"/>
      <c r="T106" s="28"/>
      <c r="U106" s="8"/>
      <c r="V106" s="8"/>
      <c r="W106" s="8"/>
      <c r="X106" s="28" t="s">
        <v>941</v>
      </c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.75" thickBot="1" x14ac:dyDescent="0.3">
      <c r="A107" t="s">
        <v>290</v>
      </c>
      <c r="C107" s="46" t="s">
        <v>294</v>
      </c>
      <c r="D107" t="s">
        <v>295</v>
      </c>
      <c r="E107" t="s">
        <v>19</v>
      </c>
      <c r="F107" t="s">
        <v>36</v>
      </c>
      <c r="G107"/>
      <c r="H107" t="s">
        <v>293</v>
      </c>
      <c r="I107" s="16">
        <v>-348649110000</v>
      </c>
      <c r="J107" s="16">
        <v>-581897790000</v>
      </c>
      <c r="K107" s="16" t="s">
        <v>1051</v>
      </c>
      <c r="L107" s="17">
        <f t="shared" si="9"/>
        <v>25</v>
      </c>
      <c r="M107" s="17">
        <f t="shared" si="10"/>
        <v>3</v>
      </c>
      <c r="N107" s="18">
        <f t="shared" si="11"/>
        <v>0.8928571428571429</v>
      </c>
      <c r="O107" s="28"/>
      <c r="P107" s="8" t="s">
        <v>941</v>
      </c>
      <c r="Q107" s="8" t="s">
        <v>941</v>
      </c>
      <c r="R107" s="8"/>
      <c r="S107" s="28"/>
      <c r="T107" s="28"/>
      <c r="U107" s="8"/>
      <c r="V107" s="8"/>
      <c r="W107" s="8"/>
      <c r="X107" s="28" t="s">
        <v>941</v>
      </c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.75" thickBot="1" x14ac:dyDescent="0.3">
      <c r="A108" t="s">
        <v>290</v>
      </c>
      <c r="C108" s="46" t="s">
        <v>296</v>
      </c>
      <c r="D108" t="s">
        <v>297</v>
      </c>
      <c r="E108" t="s">
        <v>24</v>
      </c>
      <c r="F108" t="s">
        <v>36</v>
      </c>
      <c r="G108"/>
      <c r="H108" t="s">
        <v>298</v>
      </c>
      <c r="I108" s="16">
        <v>-348627750000</v>
      </c>
      <c r="J108" s="16">
        <v>-581816550000</v>
      </c>
      <c r="K108" s="16" t="s">
        <v>1052</v>
      </c>
      <c r="L108" s="17">
        <f t="shared" si="9"/>
        <v>25</v>
      </c>
      <c r="M108" s="17">
        <f t="shared" si="10"/>
        <v>3</v>
      </c>
      <c r="N108" s="18">
        <f t="shared" si="11"/>
        <v>0.8928571428571429</v>
      </c>
      <c r="O108" s="28"/>
      <c r="P108" s="8" t="s">
        <v>941</v>
      </c>
      <c r="Q108" s="8" t="s">
        <v>941</v>
      </c>
      <c r="R108" s="8"/>
      <c r="S108" s="28"/>
      <c r="T108" s="28"/>
      <c r="U108" s="8"/>
      <c r="V108" s="8"/>
      <c r="W108" s="8"/>
      <c r="X108" s="28" t="s">
        <v>941</v>
      </c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.75" thickBot="1" x14ac:dyDescent="0.3">
      <c r="A109" t="s">
        <v>290</v>
      </c>
      <c r="C109" s="46" t="s">
        <v>299</v>
      </c>
      <c r="D109" t="s">
        <v>300</v>
      </c>
      <c r="E109" t="s">
        <v>19</v>
      </c>
      <c r="F109" t="s">
        <v>36</v>
      </c>
      <c r="G109"/>
      <c r="H109" t="s">
        <v>301</v>
      </c>
      <c r="I109" s="16">
        <v>-348644840000</v>
      </c>
      <c r="J109" s="16">
        <v>-581880940000</v>
      </c>
      <c r="K109" s="16" t="s">
        <v>1053</v>
      </c>
      <c r="L109" s="17">
        <f t="shared" si="9"/>
        <v>25</v>
      </c>
      <c r="M109" s="17">
        <f t="shared" si="10"/>
        <v>3</v>
      </c>
      <c r="N109" s="18">
        <f t="shared" si="11"/>
        <v>0.8928571428571429</v>
      </c>
      <c r="O109" s="28"/>
      <c r="P109" s="8" t="s">
        <v>941</v>
      </c>
      <c r="Q109" s="8" t="s">
        <v>941</v>
      </c>
      <c r="R109" s="8"/>
      <c r="S109" s="28"/>
      <c r="T109" s="28"/>
      <c r="U109" s="8"/>
      <c r="V109" s="8"/>
      <c r="W109" s="8"/>
      <c r="X109" s="28" t="s">
        <v>941</v>
      </c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.75" thickBot="1" x14ac:dyDescent="0.3">
      <c r="A110" t="s">
        <v>302</v>
      </c>
      <c r="C110" s="46" t="s">
        <v>303</v>
      </c>
      <c r="D110" t="s">
        <v>304</v>
      </c>
      <c r="E110" t="s">
        <v>19</v>
      </c>
      <c r="F110" t="s">
        <v>947</v>
      </c>
      <c r="G110"/>
      <c r="H110" t="s">
        <v>305</v>
      </c>
      <c r="I110" s="16">
        <v>-348185740000</v>
      </c>
      <c r="J110" s="16">
        <v>-582866380000</v>
      </c>
      <c r="K110" s="16" t="s">
        <v>1060</v>
      </c>
      <c r="L110" s="17">
        <f t="shared" si="9"/>
        <v>28</v>
      </c>
      <c r="M110" s="17">
        <f t="shared" si="10"/>
        <v>0</v>
      </c>
      <c r="N110" s="18">
        <f t="shared" si="11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.75" thickBot="1" x14ac:dyDescent="0.3">
      <c r="A111" t="s">
        <v>302</v>
      </c>
      <c r="C111" s="46" t="s">
        <v>306</v>
      </c>
      <c r="D111" t="s">
        <v>307</v>
      </c>
      <c r="E111" t="s">
        <v>73</v>
      </c>
      <c r="F111" t="s">
        <v>25</v>
      </c>
      <c r="G111"/>
      <c r="H111" t="s">
        <v>308</v>
      </c>
      <c r="I111" s="16">
        <v>-348166000000</v>
      </c>
      <c r="J111" s="16">
        <v>-582800440000</v>
      </c>
      <c r="K111" s="16" t="s">
        <v>1061</v>
      </c>
      <c r="L111" s="17">
        <f t="shared" si="9"/>
        <v>28</v>
      </c>
      <c r="M111" s="17">
        <f t="shared" si="10"/>
        <v>0</v>
      </c>
      <c r="N111" s="18">
        <f t="shared" si="11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.75" thickBot="1" x14ac:dyDescent="0.3">
      <c r="A112" t="s">
        <v>302</v>
      </c>
      <c r="C112" s="46" t="s">
        <v>309</v>
      </c>
      <c r="D112" t="s">
        <v>310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1054</v>
      </c>
      <c r="L112" s="17">
        <f t="shared" si="9"/>
        <v>26</v>
      </c>
      <c r="M112" s="17">
        <f t="shared" si="10"/>
        <v>2</v>
      </c>
      <c r="N112" s="18">
        <f t="shared" si="11"/>
        <v>0.9285714285714286</v>
      </c>
      <c r="O112" s="28"/>
      <c r="P112" s="8"/>
      <c r="Q112" s="8"/>
      <c r="R112" s="8"/>
      <c r="S112" s="28" t="s">
        <v>941</v>
      </c>
      <c r="T112" s="28"/>
      <c r="U112" s="8"/>
      <c r="V112" s="8"/>
      <c r="W112" s="8" t="s">
        <v>941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.75" thickBot="1" x14ac:dyDescent="0.3">
      <c r="A113" t="s">
        <v>311</v>
      </c>
      <c r="C113" s="46" t="s">
        <v>312</v>
      </c>
      <c r="D113" t="s">
        <v>313</v>
      </c>
      <c r="E113" t="s">
        <v>24</v>
      </c>
      <c r="F113" t="s">
        <v>947</v>
      </c>
      <c r="G113" t="s">
        <v>152</v>
      </c>
      <c r="H113"/>
      <c r="I113" s="16">
        <v>-348125000000</v>
      </c>
      <c r="J113" s="16">
        <v>-582916650000</v>
      </c>
      <c r="K113" s="16" t="s">
        <v>1055</v>
      </c>
      <c r="L113" s="17">
        <f t="shared" si="9"/>
        <v>28</v>
      </c>
      <c r="M113" s="17">
        <f t="shared" si="10"/>
        <v>0</v>
      </c>
      <c r="N113" s="18">
        <f t="shared" si="11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.75" thickBot="1" x14ac:dyDescent="0.3">
      <c r="A114" t="s">
        <v>314</v>
      </c>
      <c r="C114" s="46" t="s">
        <v>315</v>
      </c>
      <c r="D114" t="s">
        <v>316</v>
      </c>
      <c r="E114" t="s">
        <v>19</v>
      </c>
      <c r="F114" t="s">
        <v>947</v>
      </c>
      <c r="G114" t="s">
        <v>317</v>
      </c>
      <c r="H114"/>
      <c r="I114" s="16">
        <v>-348215020000</v>
      </c>
      <c r="J114" s="16">
        <v>-582844880000</v>
      </c>
      <c r="K114" s="16" t="s">
        <v>1056</v>
      </c>
      <c r="L114" s="17">
        <f t="shared" si="9"/>
        <v>28</v>
      </c>
      <c r="M114" s="17">
        <f t="shared" si="10"/>
        <v>0</v>
      </c>
      <c r="N114" s="18">
        <f t="shared" si="11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.75" thickBot="1" x14ac:dyDescent="0.3">
      <c r="A115" t="s">
        <v>302</v>
      </c>
      <c r="C115" s="46" t="s">
        <v>318</v>
      </c>
      <c r="D115" t="s">
        <v>319</v>
      </c>
      <c r="E115" t="s">
        <v>24</v>
      </c>
      <c r="F115" t="s">
        <v>36</v>
      </c>
      <c r="G115" t="s">
        <v>162</v>
      </c>
      <c r="H115"/>
      <c r="I115" s="16">
        <v>-348128700000</v>
      </c>
      <c r="J115" s="16">
        <v>-582840370000</v>
      </c>
      <c r="K115" s="16" t="s">
        <v>1057</v>
      </c>
      <c r="L115" s="17">
        <f t="shared" si="9"/>
        <v>18</v>
      </c>
      <c r="M115" s="17">
        <f t="shared" si="10"/>
        <v>10</v>
      </c>
      <c r="N115" s="18">
        <f t="shared" si="11"/>
        <v>0.6428571428571429</v>
      </c>
      <c r="O115" s="28" t="s">
        <v>941</v>
      </c>
      <c r="P115" s="8" t="s">
        <v>941</v>
      </c>
      <c r="Q115" s="8" t="s">
        <v>941</v>
      </c>
      <c r="R115" s="8" t="s">
        <v>941</v>
      </c>
      <c r="S115" s="28" t="s">
        <v>941</v>
      </c>
      <c r="T115" s="28" t="s">
        <v>941</v>
      </c>
      <c r="U115" s="8" t="s">
        <v>941</v>
      </c>
      <c r="V115" s="8" t="s">
        <v>941</v>
      </c>
      <c r="W115" s="8" t="s">
        <v>941</v>
      </c>
      <c r="X115" s="28" t="s">
        <v>941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.75" thickBot="1" x14ac:dyDescent="0.3">
      <c r="A116" t="s">
        <v>302</v>
      </c>
      <c r="C116" s="46" t="s">
        <v>320</v>
      </c>
      <c r="D116" t="s">
        <v>321</v>
      </c>
      <c r="E116" t="s">
        <v>24</v>
      </c>
      <c r="F116" t="s">
        <v>36</v>
      </c>
      <c r="G116" t="s">
        <v>322</v>
      </c>
      <c r="H116"/>
      <c r="I116" s="16">
        <v>-348143510000</v>
      </c>
      <c r="J116" s="16">
        <v>-582840870000</v>
      </c>
      <c r="K116" s="16" t="s">
        <v>1058</v>
      </c>
      <c r="L116" s="17">
        <f t="shared" si="9"/>
        <v>18</v>
      </c>
      <c r="M116" s="17">
        <f t="shared" si="10"/>
        <v>10</v>
      </c>
      <c r="N116" s="18">
        <f t="shared" si="11"/>
        <v>0.6428571428571429</v>
      </c>
      <c r="O116" s="28" t="s">
        <v>941</v>
      </c>
      <c r="P116" s="8" t="s">
        <v>941</v>
      </c>
      <c r="Q116" s="8" t="s">
        <v>941</v>
      </c>
      <c r="R116" s="8" t="s">
        <v>941</v>
      </c>
      <c r="S116" s="28" t="s">
        <v>941</v>
      </c>
      <c r="T116" s="28" t="s">
        <v>941</v>
      </c>
      <c r="U116" s="8" t="s">
        <v>941</v>
      </c>
      <c r="V116" s="8" t="s">
        <v>941</v>
      </c>
      <c r="W116" s="8" t="s">
        <v>941</v>
      </c>
      <c r="X116" s="28" t="s">
        <v>941</v>
      </c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.75" thickBot="1" x14ac:dyDescent="0.3">
      <c r="A117" t="s">
        <v>302</v>
      </c>
      <c r="C117" s="46" t="s">
        <v>323</v>
      </c>
      <c r="D117" t="s">
        <v>324</v>
      </c>
      <c r="E117" t="s">
        <v>24</v>
      </c>
      <c r="F117" t="s">
        <v>25</v>
      </c>
      <c r="G117" t="s">
        <v>325</v>
      </c>
      <c r="H117"/>
      <c r="I117" s="16">
        <v>-348122180000</v>
      </c>
      <c r="J117" s="16">
        <v>-582880340000</v>
      </c>
      <c r="K117" s="16" t="s">
        <v>1059</v>
      </c>
      <c r="L117" s="17">
        <f t="shared" si="9"/>
        <v>28</v>
      </c>
      <c r="M117" s="17">
        <f t="shared" si="10"/>
        <v>0</v>
      </c>
      <c r="N117" s="18">
        <f t="shared" si="11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.75" thickBot="1" x14ac:dyDescent="0.3">
      <c r="A118" t="s">
        <v>302</v>
      </c>
      <c r="C118" s="46" t="s">
        <v>326</v>
      </c>
      <c r="D118" t="s">
        <v>327</v>
      </c>
      <c r="E118" t="s">
        <v>113</v>
      </c>
      <c r="F118" t="s">
        <v>36</v>
      </c>
      <c r="G118"/>
      <c r="H118" t="s">
        <v>328</v>
      </c>
      <c r="I118" s="16">
        <v>-348119540000</v>
      </c>
      <c r="J118" s="16">
        <v>-582824360000</v>
      </c>
      <c r="K118" s="16" t="s">
        <v>1062</v>
      </c>
      <c r="L118" s="17">
        <f t="shared" si="9"/>
        <v>28</v>
      </c>
      <c r="M118" s="17">
        <f t="shared" si="10"/>
        <v>0</v>
      </c>
      <c r="N118" s="18">
        <f t="shared" si="11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.75" thickBot="1" x14ac:dyDescent="0.3">
      <c r="A119" t="s">
        <v>302</v>
      </c>
      <c r="C119" s="46" t="s">
        <v>329</v>
      </c>
      <c r="D119" t="s">
        <v>327</v>
      </c>
      <c r="E119" t="s">
        <v>113</v>
      </c>
      <c r="F119" t="s">
        <v>36</v>
      </c>
      <c r="G119"/>
      <c r="H119" t="s">
        <v>330</v>
      </c>
      <c r="I119" s="16">
        <v>-348119550000</v>
      </c>
      <c r="J119" s="16">
        <v>-582824410000</v>
      </c>
      <c r="K119" s="16" t="s">
        <v>1063</v>
      </c>
      <c r="L119" s="17">
        <f t="shared" si="9"/>
        <v>28</v>
      </c>
      <c r="M119" s="17">
        <f t="shared" si="10"/>
        <v>0</v>
      </c>
      <c r="N119" s="18">
        <f t="shared" si="11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.75" thickBot="1" x14ac:dyDescent="0.3">
      <c r="A120" t="s">
        <v>302</v>
      </c>
      <c r="C120" s="46" t="s">
        <v>331</v>
      </c>
      <c r="D120" t="s">
        <v>332</v>
      </c>
      <c r="E120" t="s">
        <v>113</v>
      </c>
      <c r="F120" t="s">
        <v>36</v>
      </c>
      <c r="G120"/>
      <c r="H120" t="s">
        <v>249</v>
      </c>
      <c r="I120" s="16">
        <v>-348203540000</v>
      </c>
      <c r="J120" s="16">
        <v>-582852520000</v>
      </c>
      <c r="K120" s="16" t="s">
        <v>1030</v>
      </c>
      <c r="L120" s="17">
        <f t="shared" si="9"/>
        <v>17</v>
      </c>
      <c r="M120" s="17">
        <f t="shared" si="10"/>
        <v>11</v>
      </c>
      <c r="N120" s="18">
        <f t="shared" si="11"/>
        <v>0.6071428571428571</v>
      </c>
      <c r="O120" s="28" t="s">
        <v>941</v>
      </c>
      <c r="P120" s="8" t="s">
        <v>941</v>
      </c>
      <c r="Q120" s="8" t="s">
        <v>941</v>
      </c>
      <c r="R120" s="8" t="s">
        <v>941</v>
      </c>
      <c r="S120" s="28" t="s">
        <v>941</v>
      </c>
      <c r="T120" s="28" t="s">
        <v>941</v>
      </c>
      <c r="U120" s="8" t="s">
        <v>941</v>
      </c>
      <c r="V120" s="8" t="s">
        <v>941</v>
      </c>
      <c r="W120" s="8" t="s">
        <v>941</v>
      </c>
      <c r="X120" s="28" t="s">
        <v>941</v>
      </c>
      <c r="Y120" s="28" t="s">
        <v>941</v>
      </c>
      <c r="Z120" s="28"/>
      <c r="AA120" s="28"/>
      <c r="AB120" s="28"/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.75" thickBot="1" x14ac:dyDescent="0.3">
      <c r="A121" t="s">
        <v>302</v>
      </c>
      <c r="C121" s="46" t="s">
        <v>333</v>
      </c>
      <c r="D121" t="s">
        <v>332</v>
      </c>
      <c r="E121" t="s">
        <v>113</v>
      </c>
      <c r="F121" t="s">
        <v>36</v>
      </c>
      <c r="G121"/>
      <c r="H121" t="s">
        <v>249</v>
      </c>
      <c r="I121" s="16">
        <v>-348203540000</v>
      </c>
      <c r="J121" s="16">
        <v>-582852520000</v>
      </c>
      <c r="K121" s="16" t="s">
        <v>1031</v>
      </c>
      <c r="L121" s="17">
        <f t="shared" si="9"/>
        <v>17</v>
      </c>
      <c r="M121" s="17">
        <f t="shared" si="10"/>
        <v>11</v>
      </c>
      <c r="N121" s="18">
        <f t="shared" si="11"/>
        <v>0.6071428571428571</v>
      </c>
      <c r="O121" s="28" t="s">
        <v>941</v>
      </c>
      <c r="P121" s="8" t="s">
        <v>941</v>
      </c>
      <c r="Q121" s="8" t="s">
        <v>941</v>
      </c>
      <c r="R121" s="8" t="s">
        <v>941</v>
      </c>
      <c r="S121" s="28" t="s">
        <v>941</v>
      </c>
      <c r="T121" s="28" t="s">
        <v>941</v>
      </c>
      <c r="U121" s="8" t="s">
        <v>941</v>
      </c>
      <c r="V121" s="8" t="s">
        <v>941</v>
      </c>
      <c r="W121" s="8" t="s">
        <v>941</v>
      </c>
      <c r="X121" s="28" t="s">
        <v>941</v>
      </c>
      <c r="Y121" s="28" t="s">
        <v>941</v>
      </c>
      <c r="Z121" s="28"/>
      <c r="AA121" s="28"/>
      <c r="AB121" s="28"/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.75" thickBot="1" x14ac:dyDescent="0.3">
      <c r="A122" t="s">
        <v>334</v>
      </c>
      <c r="C122" s="46" t="s">
        <v>335</v>
      </c>
      <c r="D122" t="s">
        <v>336</v>
      </c>
      <c r="E122" t="s">
        <v>19</v>
      </c>
      <c r="F122" t="s">
        <v>36</v>
      </c>
      <c r="G122"/>
      <c r="H122" t="s">
        <v>293</v>
      </c>
      <c r="I122" s="16">
        <v>-348663680000</v>
      </c>
      <c r="J122" s="16">
        <v>-581917520000</v>
      </c>
      <c r="K122" s="16" t="s">
        <v>1065</v>
      </c>
      <c r="L122" s="17">
        <f t="shared" si="9"/>
        <v>24</v>
      </c>
      <c r="M122" s="17">
        <f t="shared" si="10"/>
        <v>4</v>
      </c>
      <c r="N122" s="18">
        <f t="shared" si="11"/>
        <v>0.8571428571428571</v>
      </c>
      <c r="O122" s="28"/>
      <c r="P122" s="8" t="s">
        <v>941</v>
      </c>
      <c r="Q122" s="8" t="s">
        <v>941</v>
      </c>
      <c r="R122" s="8"/>
      <c r="S122" s="28"/>
      <c r="T122" s="28"/>
      <c r="U122" s="8" t="s">
        <v>941</v>
      </c>
      <c r="V122" s="8"/>
      <c r="W122" s="8"/>
      <c r="X122" s="28" t="s">
        <v>941</v>
      </c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.75" thickBot="1" x14ac:dyDescent="0.3">
      <c r="A123" t="s">
        <v>334</v>
      </c>
      <c r="C123" s="46" t="s">
        <v>337</v>
      </c>
      <c r="D123" t="s">
        <v>338</v>
      </c>
      <c r="E123" t="s">
        <v>19</v>
      </c>
      <c r="F123" t="s">
        <v>36</v>
      </c>
      <c r="G123"/>
      <c r="H123" t="s">
        <v>293</v>
      </c>
      <c r="I123" s="16">
        <v>-348677360000</v>
      </c>
      <c r="J123" s="16">
        <v>-581899690000</v>
      </c>
      <c r="K123" s="16" t="s">
        <v>1066</v>
      </c>
      <c r="L123" s="17">
        <f t="shared" si="9"/>
        <v>24</v>
      </c>
      <c r="M123" s="17">
        <f t="shared" si="10"/>
        <v>4</v>
      </c>
      <c r="N123" s="18">
        <f t="shared" si="11"/>
        <v>0.8571428571428571</v>
      </c>
      <c r="O123" s="28"/>
      <c r="P123" s="8" t="s">
        <v>941</v>
      </c>
      <c r="Q123" s="8" t="s">
        <v>941</v>
      </c>
      <c r="R123" s="8"/>
      <c r="S123" s="28"/>
      <c r="T123" s="28"/>
      <c r="U123" s="8" t="s">
        <v>941</v>
      </c>
      <c r="V123" s="8"/>
      <c r="W123" s="8"/>
      <c r="X123" s="28" t="s">
        <v>941</v>
      </c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.75" thickBot="1" x14ac:dyDescent="0.3">
      <c r="A124" t="s">
        <v>339</v>
      </c>
      <c r="C124" s="46" t="s">
        <v>340</v>
      </c>
      <c r="D124" t="s">
        <v>341</v>
      </c>
      <c r="E124" t="s">
        <v>19</v>
      </c>
      <c r="F124" t="s">
        <v>36</v>
      </c>
      <c r="G124"/>
      <c r="H124" t="s">
        <v>342</v>
      </c>
      <c r="I124" s="16">
        <v>-348252070000</v>
      </c>
      <c r="J124" s="16">
        <v>-582467880000</v>
      </c>
      <c r="K124" s="16" t="s">
        <v>1067</v>
      </c>
      <c r="L124" s="17">
        <f t="shared" si="9"/>
        <v>28</v>
      </c>
      <c r="M124" s="17">
        <f t="shared" si="10"/>
        <v>0</v>
      </c>
      <c r="N124" s="18">
        <f t="shared" si="11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.75" thickBot="1" x14ac:dyDescent="0.3">
      <c r="A125" t="s">
        <v>343</v>
      </c>
      <c r="C125" s="46" t="s">
        <v>344</v>
      </c>
      <c r="D125" t="s">
        <v>345</v>
      </c>
      <c r="E125" t="s">
        <v>19</v>
      </c>
      <c r="F125" t="s">
        <v>25</v>
      </c>
      <c r="G125"/>
      <c r="H125" t="s">
        <v>346</v>
      </c>
      <c r="I125" s="16">
        <v>-348066790000</v>
      </c>
      <c r="J125" s="16">
        <v>-583015690000</v>
      </c>
      <c r="K125" s="16" t="s">
        <v>1074</v>
      </c>
      <c r="L125" s="17">
        <f t="shared" si="9"/>
        <v>28</v>
      </c>
      <c r="M125" s="17">
        <f t="shared" si="10"/>
        <v>0</v>
      </c>
      <c r="N125" s="18">
        <f t="shared" si="11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.75" thickBot="1" x14ac:dyDescent="0.3">
      <c r="A126" t="s">
        <v>343</v>
      </c>
      <c r="C126" s="46" t="s">
        <v>347</v>
      </c>
      <c r="D126" t="s">
        <v>348</v>
      </c>
      <c r="E126" t="s">
        <v>19</v>
      </c>
      <c r="F126" t="s">
        <v>25</v>
      </c>
      <c r="G126"/>
      <c r="H126" t="s">
        <v>349</v>
      </c>
      <c r="I126" s="16">
        <v>-348074220000</v>
      </c>
      <c r="J126" s="16">
        <v>-582975280000</v>
      </c>
      <c r="K126" s="16" t="s">
        <v>1075</v>
      </c>
      <c r="L126" s="17">
        <f t="shared" si="9"/>
        <v>28</v>
      </c>
      <c r="M126" s="17">
        <f t="shared" si="10"/>
        <v>0</v>
      </c>
      <c r="N126" s="18">
        <f t="shared" si="11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.75" thickBot="1" x14ac:dyDescent="0.3">
      <c r="A127" t="s">
        <v>343</v>
      </c>
      <c r="C127" s="46" t="s">
        <v>350</v>
      </c>
      <c r="D127" t="s">
        <v>351</v>
      </c>
      <c r="E127" t="s">
        <v>19</v>
      </c>
      <c r="F127" t="s">
        <v>25</v>
      </c>
      <c r="G127"/>
      <c r="H127" t="s">
        <v>352</v>
      </c>
      <c r="I127" s="16">
        <v>-348076100000</v>
      </c>
      <c r="J127" s="16">
        <v>-582957320000</v>
      </c>
      <c r="K127" s="16" t="s">
        <v>1076</v>
      </c>
      <c r="L127" s="17">
        <f t="shared" si="9"/>
        <v>28</v>
      </c>
      <c r="M127" s="17">
        <f t="shared" si="10"/>
        <v>0</v>
      </c>
      <c r="N127" s="18">
        <f t="shared" si="11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.75" thickBot="1" x14ac:dyDescent="0.3">
      <c r="A128" t="s">
        <v>343</v>
      </c>
      <c r="C128" s="46" t="s">
        <v>353</v>
      </c>
      <c r="D128" t="s">
        <v>354</v>
      </c>
      <c r="E128" t="s">
        <v>19</v>
      </c>
      <c r="F128" t="s">
        <v>25</v>
      </c>
      <c r="G128"/>
      <c r="H128" t="s">
        <v>355</v>
      </c>
      <c r="I128" s="16">
        <v>-348075900000</v>
      </c>
      <c r="J128" s="16">
        <v>-582968630000</v>
      </c>
      <c r="K128" s="16" t="s">
        <v>1077</v>
      </c>
      <c r="L128" s="17">
        <f t="shared" si="9"/>
        <v>28</v>
      </c>
      <c r="M128" s="17">
        <f t="shared" si="10"/>
        <v>0</v>
      </c>
      <c r="N128" s="18">
        <f t="shared" si="11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.75" thickBot="1" x14ac:dyDescent="0.3">
      <c r="A129" t="s">
        <v>343</v>
      </c>
      <c r="C129" s="46" t="s">
        <v>356</v>
      </c>
      <c r="D129" t="s">
        <v>357</v>
      </c>
      <c r="E129" t="s">
        <v>113</v>
      </c>
      <c r="F129" t="s">
        <v>947</v>
      </c>
      <c r="G129"/>
      <c r="H129" t="s">
        <v>298</v>
      </c>
      <c r="I129" s="16">
        <v>-348034360000</v>
      </c>
      <c r="J129" s="16">
        <v>-583009630000</v>
      </c>
      <c r="K129" s="16" t="s">
        <v>1079</v>
      </c>
      <c r="L129" s="17">
        <f t="shared" si="9"/>
        <v>26</v>
      </c>
      <c r="M129" s="17">
        <f t="shared" si="10"/>
        <v>2</v>
      </c>
      <c r="N129" s="18">
        <f t="shared" si="11"/>
        <v>0.9285714285714286</v>
      </c>
      <c r="O129" s="28"/>
      <c r="P129" s="8"/>
      <c r="Q129" s="8"/>
      <c r="R129" s="8"/>
      <c r="S129" s="28" t="s">
        <v>941</v>
      </c>
      <c r="T129" s="28"/>
      <c r="U129" s="8"/>
      <c r="V129" s="8"/>
      <c r="W129" s="8"/>
      <c r="X129" s="28"/>
      <c r="Y129" s="28" t="s">
        <v>941</v>
      </c>
      <c r="Z129" s="28"/>
      <c r="AA129" s="28"/>
      <c r="AB129" s="28"/>
      <c r="AC129" s="28"/>
      <c r="AD129" s="28"/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.75" thickBot="1" x14ac:dyDescent="0.3">
      <c r="A130" t="s">
        <v>343</v>
      </c>
      <c r="C130" s="46" t="s">
        <v>358</v>
      </c>
      <c r="D130" t="s">
        <v>357</v>
      </c>
      <c r="E130" t="s">
        <v>113</v>
      </c>
      <c r="F130" t="s">
        <v>947</v>
      </c>
      <c r="G130"/>
      <c r="H130" t="s">
        <v>298</v>
      </c>
      <c r="I130" s="16">
        <v>-348034540000</v>
      </c>
      <c r="J130" s="16">
        <v>-583010170000</v>
      </c>
      <c r="K130" s="16" t="s">
        <v>1080</v>
      </c>
      <c r="L130" s="17">
        <f t="shared" si="9"/>
        <v>27</v>
      </c>
      <c r="M130" s="17">
        <f t="shared" si="10"/>
        <v>1</v>
      </c>
      <c r="N130" s="18">
        <f t="shared" si="11"/>
        <v>0.9642857142857143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941</v>
      </c>
      <c r="Z130" s="28"/>
      <c r="AA130" s="28"/>
      <c r="AB130" s="28"/>
      <c r="AC130" s="28"/>
      <c r="AD130" s="28"/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.75" thickBot="1" x14ac:dyDescent="0.3">
      <c r="A131" t="s">
        <v>359</v>
      </c>
      <c r="C131" s="46" t="s">
        <v>360</v>
      </c>
      <c r="D131" t="s">
        <v>361</v>
      </c>
      <c r="E131" t="s">
        <v>19</v>
      </c>
      <c r="F131" t="s">
        <v>25</v>
      </c>
      <c r="G131" t="s">
        <v>362</v>
      </c>
      <c r="H131"/>
      <c r="I131" s="16">
        <v>-348074000000</v>
      </c>
      <c r="J131" s="16">
        <v>-583095340000</v>
      </c>
      <c r="K131" s="16" t="s">
        <v>1068</v>
      </c>
      <c r="L131" s="17">
        <f t="shared" si="9"/>
        <v>28</v>
      </c>
      <c r="M131" s="17">
        <f t="shared" si="10"/>
        <v>0</v>
      </c>
      <c r="N131" s="18">
        <f t="shared" si="11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.75" thickBot="1" x14ac:dyDescent="0.3">
      <c r="A132" t="s">
        <v>262</v>
      </c>
      <c r="C132" s="46" t="s">
        <v>363</v>
      </c>
      <c r="D132" t="s">
        <v>364</v>
      </c>
      <c r="E132" t="s">
        <v>24</v>
      </c>
      <c r="F132" t="s">
        <v>25</v>
      </c>
      <c r="G132" t="s">
        <v>365</v>
      </c>
      <c r="H132"/>
      <c r="I132" s="16">
        <v>-348084650000</v>
      </c>
      <c r="J132" s="16">
        <v>-582948520000</v>
      </c>
      <c r="K132" s="16" t="s">
        <v>1069</v>
      </c>
      <c r="L132" s="17">
        <f t="shared" si="9"/>
        <v>28</v>
      </c>
      <c r="M132" s="17">
        <f t="shared" si="10"/>
        <v>0</v>
      </c>
      <c r="N132" s="18">
        <f t="shared" si="11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.75" thickBot="1" x14ac:dyDescent="0.3">
      <c r="A133" t="s">
        <v>343</v>
      </c>
      <c r="C133" s="46" t="s">
        <v>366</v>
      </c>
      <c r="D133" t="s">
        <v>367</v>
      </c>
      <c r="E133" t="s">
        <v>24</v>
      </c>
      <c r="F133" t="s">
        <v>25</v>
      </c>
      <c r="G133" t="s">
        <v>368</v>
      </c>
      <c r="H133"/>
      <c r="I133" s="16">
        <v>-348022280000</v>
      </c>
      <c r="J133" s="16">
        <v>-583005700000</v>
      </c>
      <c r="K133" s="16" t="s">
        <v>1070</v>
      </c>
      <c r="L133" s="17">
        <f t="shared" ref="L133:L196" si="12">COUNTIF(O133:AP133,"")</f>
        <v>17</v>
      </c>
      <c r="M133" s="17">
        <f t="shared" ref="M133:M196" si="13">COUNTIF(O133:AP133,"APAGADO")</f>
        <v>11</v>
      </c>
      <c r="N133" s="18">
        <f t="shared" ref="N133:N196" si="14">(L133)/(M133+L133)</f>
        <v>0.6071428571428571</v>
      </c>
      <c r="O133" s="28" t="s">
        <v>941</v>
      </c>
      <c r="P133" s="8" t="s">
        <v>941</v>
      </c>
      <c r="Q133" s="8" t="s">
        <v>941</v>
      </c>
      <c r="R133" s="8" t="s">
        <v>941</v>
      </c>
      <c r="S133" s="28" t="s">
        <v>941</v>
      </c>
      <c r="T133" s="28" t="s">
        <v>941</v>
      </c>
      <c r="U133" s="8" t="s">
        <v>941</v>
      </c>
      <c r="V133" s="8" t="s">
        <v>941</v>
      </c>
      <c r="W133" s="8" t="s">
        <v>941</v>
      </c>
      <c r="X133" s="28" t="s">
        <v>941</v>
      </c>
      <c r="Y133" s="28" t="s">
        <v>941</v>
      </c>
      <c r="Z133" s="28"/>
      <c r="AA133" s="28"/>
      <c r="AB133" s="28"/>
      <c r="AC133" s="28"/>
      <c r="AD133" s="28"/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.75" thickBot="1" x14ac:dyDescent="0.3">
      <c r="A134" t="s">
        <v>343</v>
      </c>
      <c r="C134" s="46" t="s">
        <v>369</v>
      </c>
      <c r="D134" t="s">
        <v>370</v>
      </c>
      <c r="E134" t="s">
        <v>24</v>
      </c>
      <c r="F134" t="s">
        <v>25</v>
      </c>
      <c r="G134" t="s">
        <v>371</v>
      </c>
      <c r="H134"/>
      <c r="I134" s="16">
        <v>-348079900000</v>
      </c>
      <c r="J134" s="16">
        <v>-583023830000</v>
      </c>
      <c r="K134" s="16" t="s">
        <v>1071</v>
      </c>
      <c r="L134" s="17">
        <f t="shared" si="12"/>
        <v>27</v>
      </c>
      <c r="M134" s="17">
        <f t="shared" si="13"/>
        <v>1</v>
      </c>
      <c r="N134" s="18">
        <f t="shared" si="14"/>
        <v>0.9642857142857143</v>
      </c>
      <c r="O134" s="28"/>
      <c r="P134" s="8"/>
      <c r="Q134" s="8"/>
      <c r="R134" s="8"/>
      <c r="S134" s="28" t="s">
        <v>941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.75" thickBot="1" x14ac:dyDescent="0.3">
      <c r="A135" t="s">
        <v>343</v>
      </c>
      <c r="C135" s="46" t="s">
        <v>372</v>
      </c>
      <c r="D135" t="s">
        <v>373</v>
      </c>
      <c r="E135" t="s">
        <v>24</v>
      </c>
      <c r="F135" t="s">
        <v>25</v>
      </c>
      <c r="G135" t="s">
        <v>362</v>
      </c>
      <c r="H135"/>
      <c r="I135" s="16">
        <v>-348085620000</v>
      </c>
      <c r="J135" s="16">
        <v>-582997660000</v>
      </c>
      <c r="K135" s="16" t="s">
        <v>1072</v>
      </c>
      <c r="L135" s="17">
        <f t="shared" si="12"/>
        <v>28</v>
      </c>
      <c r="M135" s="17">
        <f t="shared" si="13"/>
        <v>0</v>
      </c>
      <c r="N135" s="18">
        <f t="shared" si="14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.75" thickBot="1" x14ac:dyDescent="0.3">
      <c r="A136" t="s">
        <v>343</v>
      </c>
      <c r="C136" s="46" t="s">
        <v>374</v>
      </c>
      <c r="D136" t="s">
        <v>375</v>
      </c>
      <c r="E136" t="s">
        <v>19</v>
      </c>
      <c r="F136" t="s">
        <v>25</v>
      </c>
      <c r="G136" t="s">
        <v>376</v>
      </c>
      <c r="H136"/>
      <c r="I136" s="16">
        <v>-348070910000</v>
      </c>
      <c r="J136" s="16">
        <v>-583063750000</v>
      </c>
      <c r="K136" s="16" t="s">
        <v>1073</v>
      </c>
      <c r="L136" s="17">
        <f t="shared" si="12"/>
        <v>27</v>
      </c>
      <c r="M136" s="17">
        <f t="shared" si="13"/>
        <v>1</v>
      </c>
      <c r="N136" s="18">
        <f t="shared" si="14"/>
        <v>0.9642857142857143</v>
      </c>
      <c r="O136" s="28" t="s">
        <v>941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.75" thickBot="1" x14ac:dyDescent="0.3">
      <c r="A137" t="s">
        <v>343</v>
      </c>
      <c r="C137" s="46" t="s">
        <v>377</v>
      </c>
      <c r="D137" t="s">
        <v>378</v>
      </c>
      <c r="E137" t="s">
        <v>19</v>
      </c>
      <c r="F137" t="s">
        <v>36</v>
      </c>
      <c r="G137"/>
      <c r="H137" t="s">
        <v>268</v>
      </c>
      <c r="I137" s="16">
        <v>-348083080000</v>
      </c>
      <c r="J137" s="16">
        <v>-582951030000</v>
      </c>
      <c r="K137" s="16" t="s">
        <v>1078</v>
      </c>
      <c r="L137" s="17">
        <f t="shared" si="12"/>
        <v>24</v>
      </c>
      <c r="M137" s="17">
        <f t="shared" si="13"/>
        <v>4</v>
      </c>
      <c r="N137" s="18">
        <f t="shared" si="14"/>
        <v>0.8571428571428571</v>
      </c>
      <c r="O137" s="28" t="s">
        <v>941</v>
      </c>
      <c r="P137" s="8" t="s">
        <v>941</v>
      </c>
      <c r="Q137" s="8" t="s">
        <v>941</v>
      </c>
      <c r="R137" s="8" t="s">
        <v>941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.75" thickBot="1" x14ac:dyDescent="0.3">
      <c r="A138" t="s">
        <v>343</v>
      </c>
      <c r="C138" s="46" t="s">
        <v>379</v>
      </c>
      <c r="D138" t="s">
        <v>380</v>
      </c>
      <c r="E138" t="s">
        <v>113</v>
      </c>
      <c r="F138" t="s">
        <v>947</v>
      </c>
      <c r="G138"/>
      <c r="H138" t="s">
        <v>381</v>
      </c>
      <c r="I138" s="16">
        <v>-348053300000</v>
      </c>
      <c r="J138" s="16">
        <v>-583014930000</v>
      </c>
      <c r="K138" s="16" t="s">
        <v>1081</v>
      </c>
      <c r="L138" s="17">
        <f t="shared" si="12"/>
        <v>27</v>
      </c>
      <c r="M138" s="17">
        <f t="shared" si="13"/>
        <v>1</v>
      </c>
      <c r="N138" s="18">
        <f t="shared" si="14"/>
        <v>0.9642857142857143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941</v>
      </c>
      <c r="Z138" s="28"/>
      <c r="AA138" s="28"/>
      <c r="AB138" s="28"/>
      <c r="AC138" s="28"/>
      <c r="AD138" s="28"/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.75" thickBot="1" x14ac:dyDescent="0.3">
      <c r="A139" t="s">
        <v>343</v>
      </c>
      <c r="C139" s="46" t="s">
        <v>382</v>
      </c>
      <c r="D139" t="s">
        <v>380</v>
      </c>
      <c r="E139" t="s">
        <v>113</v>
      </c>
      <c r="F139" t="s">
        <v>947</v>
      </c>
      <c r="G139"/>
      <c r="H139" t="s">
        <v>383</v>
      </c>
      <c r="I139" s="16">
        <v>-348053300000</v>
      </c>
      <c r="J139" s="16">
        <v>-583014930000</v>
      </c>
      <c r="K139" s="16" t="s">
        <v>1082</v>
      </c>
      <c r="L139" s="17">
        <f t="shared" si="12"/>
        <v>27</v>
      </c>
      <c r="M139" s="17">
        <f t="shared" si="13"/>
        <v>1</v>
      </c>
      <c r="N139" s="18">
        <f t="shared" si="14"/>
        <v>0.9642857142857143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941</v>
      </c>
      <c r="Z139" s="28"/>
      <c r="AA139" s="28"/>
      <c r="AB139" s="28"/>
      <c r="AC139" s="28"/>
      <c r="AD139" s="28"/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.75" thickBot="1" x14ac:dyDescent="0.3">
      <c r="A140" t="s">
        <v>343</v>
      </c>
      <c r="C140" s="46" t="s">
        <v>384</v>
      </c>
      <c r="D140" t="s">
        <v>385</v>
      </c>
      <c r="E140" t="s">
        <v>113</v>
      </c>
      <c r="F140" t="s">
        <v>947</v>
      </c>
      <c r="G140"/>
      <c r="H140" t="s">
        <v>386</v>
      </c>
      <c r="I140" s="16">
        <v>-348051560000</v>
      </c>
      <c r="J140" s="16">
        <v>-583023560000</v>
      </c>
      <c r="K140" s="16" t="s">
        <v>1083</v>
      </c>
      <c r="L140" s="17">
        <f t="shared" si="12"/>
        <v>27</v>
      </c>
      <c r="M140" s="17">
        <f t="shared" si="13"/>
        <v>1</v>
      </c>
      <c r="N140" s="18">
        <f t="shared" si="14"/>
        <v>0.9642857142857143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941</v>
      </c>
      <c r="Z140" s="28"/>
      <c r="AA140" s="28"/>
      <c r="AB140" s="28"/>
      <c r="AC140" s="28"/>
      <c r="AD140" s="28"/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.75" thickBot="1" x14ac:dyDescent="0.3">
      <c r="A141" t="s">
        <v>343</v>
      </c>
      <c r="C141" s="46" t="s">
        <v>387</v>
      </c>
      <c r="D141" t="s">
        <v>385</v>
      </c>
      <c r="E141" t="s">
        <v>113</v>
      </c>
      <c r="F141" t="s">
        <v>947</v>
      </c>
      <c r="G141"/>
      <c r="H141" t="s">
        <v>386</v>
      </c>
      <c r="I141" s="16">
        <v>-348051560000</v>
      </c>
      <c r="J141" s="16">
        <v>-583023560000</v>
      </c>
      <c r="K141" s="16" t="s">
        <v>1084</v>
      </c>
      <c r="L141" s="17">
        <f t="shared" si="12"/>
        <v>26</v>
      </c>
      <c r="M141" s="17">
        <f t="shared" si="13"/>
        <v>2</v>
      </c>
      <c r="N141" s="18">
        <f t="shared" si="14"/>
        <v>0.9285714285714286</v>
      </c>
      <c r="O141" s="28"/>
      <c r="P141" s="8"/>
      <c r="Q141" s="8"/>
      <c r="R141" s="8"/>
      <c r="S141" s="28" t="s">
        <v>941</v>
      </c>
      <c r="T141" s="28"/>
      <c r="U141" s="8"/>
      <c r="V141" s="8"/>
      <c r="W141" s="8"/>
      <c r="X141" s="28"/>
      <c r="Y141" s="28" t="s">
        <v>941</v>
      </c>
      <c r="Z141" s="28"/>
      <c r="AA141" s="28"/>
      <c r="AB141" s="28"/>
      <c r="AC141" s="28"/>
      <c r="AD141" s="28"/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.75" thickBot="1" x14ac:dyDescent="0.3">
      <c r="A142" t="s">
        <v>168</v>
      </c>
      <c r="C142" s="46" t="s">
        <v>388</v>
      </c>
      <c r="D142" t="s">
        <v>389</v>
      </c>
      <c r="E142" t="s">
        <v>19</v>
      </c>
      <c r="F142" t="s">
        <v>947</v>
      </c>
      <c r="G142"/>
      <c r="H142" t="s">
        <v>390</v>
      </c>
      <c r="I142" s="16">
        <v>-347976230000</v>
      </c>
      <c r="J142" s="16">
        <v>-582821290000</v>
      </c>
      <c r="K142" s="16" t="s">
        <v>1085</v>
      </c>
      <c r="L142" s="17">
        <f t="shared" si="12"/>
        <v>27</v>
      </c>
      <c r="M142" s="17">
        <f t="shared" si="13"/>
        <v>1</v>
      </c>
      <c r="N142" s="18">
        <f t="shared" si="14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941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.75" thickBot="1" x14ac:dyDescent="0.3">
      <c r="A143" t="s">
        <v>168</v>
      </c>
      <c r="C143" s="46" t="s">
        <v>391</v>
      </c>
      <c r="D143" t="s">
        <v>392</v>
      </c>
      <c r="E143" t="s">
        <v>19</v>
      </c>
      <c r="F143" t="s">
        <v>947</v>
      </c>
      <c r="G143"/>
      <c r="H143" t="s">
        <v>390</v>
      </c>
      <c r="I143" s="16">
        <v>-347960180000</v>
      </c>
      <c r="J143" s="16">
        <v>-582861620000</v>
      </c>
      <c r="K143" s="16" t="s">
        <v>1086</v>
      </c>
      <c r="L143" s="17">
        <f t="shared" si="12"/>
        <v>27</v>
      </c>
      <c r="M143" s="17">
        <f t="shared" si="13"/>
        <v>1</v>
      </c>
      <c r="N143" s="18">
        <f t="shared" si="14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941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.75" thickBot="1" x14ac:dyDescent="0.3">
      <c r="A144" t="s">
        <v>168</v>
      </c>
      <c r="B144" s="60">
        <v>44629</v>
      </c>
      <c r="C144" s="62" t="s">
        <v>393</v>
      </c>
      <c r="D144" t="s">
        <v>394</v>
      </c>
      <c r="E144" t="s">
        <v>19</v>
      </c>
      <c r="F144" t="s">
        <v>947</v>
      </c>
      <c r="G144"/>
      <c r="H144" t="s">
        <v>390</v>
      </c>
      <c r="I144" s="16">
        <v>-347947670000</v>
      </c>
      <c r="J144" s="16">
        <v>-582871810000</v>
      </c>
      <c r="K144" s="16" t="s">
        <v>1087</v>
      </c>
      <c r="L144" s="17">
        <f t="shared" si="12"/>
        <v>26</v>
      </c>
      <c r="M144" s="17">
        <f t="shared" si="13"/>
        <v>2</v>
      </c>
      <c r="N144" s="18">
        <f t="shared" si="14"/>
        <v>0.9285714285714286</v>
      </c>
      <c r="O144" s="28"/>
      <c r="P144" s="8"/>
      <c r="Q144" s="8"/>
      <c r="R144" s="8"/>
      <c r="S144" s="28"/>
      <c r="T144" s="28"/>
      <c r="U144" s="8"/>
      <c r="V144" s="8" t="s">
        <v>941</v>
      </c>
      <c r="W144" s="8" t="s">
        <v>941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.75" thickBot="1" x14ac:dyDescent="0.3">
      <c r="A145" t="s">
        <v>262</v>
      </c>
      <c r="C145" s="46" t="s">
        <v>395</v>
      </c>
      <c r="D145" t="s">
        <v>1324</v>
      </c>
      <c r="E145" t="s">
        <v>24</v>
      </c>
      <c r="F145" t="s">
        <v>25</v>
      </c>
      <c r="G145" t="s">
        <v>365</v>
      </c>
      <c r="H145"/>
      <c r="I145" s="16">
        <v>-348070980000</v>
      </c>
      <c r="J145" s="16">
        <v>-582892260000</v>
      </c>
      <c r="K145" s="16" t="s">
        <v>1088</v>
      </c>
      <c r="L145" s="17">
        <f t="shared" si="12"/>
        <v>28</v>
      </c>
      <c r="M145" s="17">
        <f t="shared" si="13"/>
        <v>0</v>
      </c>
      <c r="N145" s="18">
        <f t="shared" si="14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.75" thickBot="1" x14ac:dyDescent="0.3">
      <c r="C146" s="46" t="s">
        <v>396</v>
      </c>
      <c r="D146" t="s">
        <v>397</v>
      </c>
      <c r="E146" t="s">
        <v>24</v>
      </c>
      <c r="F146" t="s">
        <v>25</v>
      </c>
      <c r="G146" t="s">
        <v>398</v>
      </c>
      <c r="H146" t="s">
        <v>399</v>
      </c>
      <c r="I146" s="16">
        <v>-348065100000</v>
      </c>
      <c r="J146" s="16">
        <v>-582865850000</v>
      </c>
      <c r="K146" s="16" t="s">
        <v>1089</v>
      </c>
      <c r="L146" s="17">
        <f t="shared" si="12"/>
        <v>25</v>
      </c>
      <c r="M146" s="17">
        <f t="shared" si="13"/>
        <v>3</v>
      </c>
      <c r="N146" s="18">
        <f t="shared" si="14"/>
        <v>0.8928571428571429</v>
      </c>
      <c r="O146" s="28"/>
      <c r="P146" s="8"/>
      <c r="Q146" s="8"/>
      <c r="R146" s="8" t="s">
        <v>941</v>
      </c>
      <c r="S146" s="28" t="s">
        <v>941</v>
      </c>
      <c r="T146" s="28" t="s">
        <v>941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.75" thickBot="1" x14ac:dyDescent="0.3">
      <c r="A147" t="s">
        <v>400</v>
      </c>
      <c r="C147" s="46" t="s">
        <v>401</v>
      </c>
      <c r="D147" t="s">
        <v>402</v>
      </c>
      <c r="E147" t="s">
        <v>113</v>
      </c>
      <c r="F147" t="s">
        <v>36</v>
      </c>
      <c r="G147"/>
      <c r="H147" t="s">
        <v>249</v>
      </c>
      <c r="I147" s="16">
        <v>-348071440000</v>
      </c>
      <c r="J147" s="16">
        <v>-582892140000</v>
      </c>
      <c r="K147" s="16" t="s">
        <v>1090</v>
      </c>
      <c r="L147" s="17">
        <f t="shared" si="12"/>
        <v>28</v>
      </c>
      <c r="M147" s="17">
        <f t="shared" si="13"/>
        <v>0</v>
      </c>
      <c r="N147" s="18">
        <f t="shared" si="14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.75" thickBot="1" x14ac:dyDescent="0.3">
      <c r="A148" t="s">
        <v>400</v>
      </c>
      <c r="C148" s="46" t="s">
        <v>403</v>
      </c>
      <c r="D148" t="s">
        <v>402</v>
      </c>
      <c r="E148" t="s">
        <v>73</v>
      </c>
      <c r="F148" t="s">
        <v>36</v>
      </c>
      <c r="G148"/>
      <c r="H148" t="s">
        <v>224</v>
      </c>
      <c r="I148" s="16">
        <v>-348070260000</v>
      </c>
      <c r="J148" s="16">
        <v>-582887990000</v>
      </c>
      <c r="K148" s="16" t="s">
        <v>1064</v>
      </c>
      <c r="L148" s="17">
        <f t="shared" si="12"/>
        <v>28</v>
      </c>
      <c r="M148" s="17">
        <f t="shared" si="13"/>
        <v>0</v>
      </c>
      <c r="N148" s="18">
        <f t="shared" si="14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.75" thickBot="1" x14ac:dyDescent="0.3">
      <c r="A149" t="s">
        <v>404</v>
      </c>
      <c r="C149" s="46" t="s">
        <v>405</v>
      </c>
      <c r="D149" t="s">
        <v>406</v>
      </c>
      <c r="E149" t="s">
        <v>19</v>
      </c>
      <c r="F149" t="s">
        <v>36</v>
      </c>
      <c r="G149"/>
      <c r="H149" t="s">
        <v>249</v>
      </c>
      <c r="I149" s="16">
        <v>-348519500000</v>
      </c>
      <c r="J149" s="16">
        <v>-582783830000</v>
      </c>
      <c r="K149" s="16" t="s">
        <v>1091</v>
      </c>
      <c r="L149" s="17">
        <f t="shared" si="12"/>
        <v>26</v>
      </c>
      <c r="M149" s="17">
        <f t="shared" si="13"/>
        <v>2</v>
      </c>
      <c r="N149" s="18">
        <f t="shared" si="14"/>
        <v>0.9285714285714286</v>
      </c>
      <c r="O149" s="28" t="s">
        <v>941</v>
      </c>
      <c r="P149" s="8" t="s">
        <v>941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.75" thickBot="1" x14ac:dyDescent="0.3">
      <c r="A150" t="s">
        <v>404</v>
      </c>
      <c r="C150" s="46" t="s">
        <v>407</v>
      </c>
      <c r="D150" t="s">
        <v>408</v>
      </c>
      <c r="E150" t="s">
        <v>113</v>
      </c>
      <c r="F150" t="s">
        <v>36</v>
      </c>
      <c r="G150"/>
      <c r="H150" t="s">
        <v>330</v>
      </c>
      <c r="I150" s="16">
        <v>-348525210000</v>
      </c>
      <c r="J150" s="16">
        <v>-582783180000</v>
      </c>
      <c r="K150" s="16" t="s">
        <v>1092</v>
      </c>
      <c r="L150" s="17">
        <f t="shared" si="12"/>
        <v>26</v>
      </c>
      <c r="M150" s="17">
        <f t="shared" si="13"/>
        <v>2</v>
      </c>
      <c r="N150" s="18">
        <f t="shared" si="14"/>
        <v>0.9285714285714286</v>
      </c>
      <c r="O150" s="28" t="s">
        <v>941</v>
      </c>
      <c r="P150" s="8" t="s">
        <v>941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.75" thickBot="1" x14ac:dyDescent="0.3">
      <c r="A151" t="s">
        <v>404</v>
      </c>
      <c r="C151" s="46" t="s">
        <v>409</v>
      </c>
      <c r="D151" t="s">
        <v>408</v>
      </c>
      <c r="E151" t="s">
        <v>113</v>
      </c>
      <c r="F151" t="s">
        <v>36</v>
      </c>
      <c r="G151"/>
      <c r="H151" t="s">
        <v>330</v>
      </c>
      <c r="I151" s="16">
        <v>-348525370000</v>
      </c>
      <c r="J151" s="16">
        <v>-582783380000</v>
      </c>
      <c r="K151" s="16" t="s">
        <v>1093</v>
      </c>
      <c r="L151" s="17">
        <f t="shared" si="12"/>
        <v>26</v>
      </c>
      <c r="M151" s="17">
        <f t="shared" si="13"/>
        <v>2</v>
      </c>
      <c r="N151" s="18">
        <f t="shared" si="14"/>
        <v>0.9285714285714286</v>
      </c>
      <c r="O151" s="28" t="s">
        <v>941</v>
      </c>
      <c r="P151" s="8" t="s">
        <v>941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.75" thickBot="1" x14ac:dyDescent="0.3">
      <c r="C152" s="46" t="s">
        <v>410</v>
      </c>
      <c r="D152" t="s">
        <v>411</v>
      </c>
      <c r="E152" t="s">
        <v>73</v>
      </c>
      <c r="F152" t="s">
        <v>36</v>
      </c>
      <c r="G152" t="s">
        <v>186</v>
      </c>
      <c r="H152" t="s">
        <v>412</v>
      </c>
      <c r="I152" s="16">
        <v>-347838400000</v>
      </c>
      <c r="J152" s="16">
        <v>-582682780000</v>
      </c>
      <c r="K152" s="16" t="s">
        <v>1094</v>
      </c>
      <c r="L152" s="17">
        <f t="shared" si="12"/>
        <v>28</v>
      </c>
      <c r="M152" s="17">
        <f t="shared" si="13"/>
        <v>0</v>
      </c>
      <c r="N152" s="18">
        <f t="shared" si="14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.75" thickBot="1" x14ac:dyDescent="0.3">
      <c r="A153" t="s">
        <v>413</v>
      </c>
      <c r="C153" s="46" t="s">
        <v>414</v>
      </c>
      <c r="D153" t="s">
        <v>415</v>
      </c>
      <c r="E153" t="s">
        <v>24</v>
      </c>
      <c r="F153" t="s">
        <v>36</v>
      </c>
      <c r="G153" t="s">
        <v>186</v>
      </c>
      <c r="H153"/>
      <c r="I153" s="16">
        <v>-347869330000</v>
      </c>
      <c r="J153" s="16">
        <v>-582738880000</v>
      </c>
      <c r="K153" s="16" t="s">
        <v>1095</v>
      </c>
      <c r="L153" s="17">
        <f t="shared" si="12"/>
        <v>24</v>
      </c>
      <c r="M153" s="17">
        <f t="shared" si="13"/>
        <v>4</v>
      </c>
      <c r="N153" s="18">
        <f t="shared" si="14"/>
        <v>0.8571428571428571</v>
      </c>
      <c r="O153" s="28"/>
      <c r="P153" s="8"/>
      <c r="Q153" s="8"/>
      <c r="R153" s="8"/>
      <c r="S153" s="28"/>
      <c r="T153" s="28"/>
      <c r="U153" s="8"/>
      <c r="V153" s="8" t="s">
        <v>941</v>
      </c>
      <c r="W153" s="8" t="s">
        <v>941</v>
      </c>
      <c r="X153" s="28" t="s">
        <v>941</v>
      </c>
      <c r="Y153" s="28" t="s">
        <v>941</v>
      </c>
      <c r="Z153" s="28"/>
      <c r="AA153" s="28"/>
      <c r="AB153" s="28"/>
      <c r="AC153" s="28"/>
      <c r="AD153" s="28"/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.75" thickBot="1" x14ac:dyDescent="0.3">
      <c r="A154" t="s">
        <v>416</v>
      </c>
      <c r="C154" s="46" t="s">
        <v>417</v>
      </c>
      <c r="D154" t="s">
        <v>418</v>
      </c>
      <c r="E154" t="s">
        <v>113</v>
      </c>
      <c r="F154" t="s">
        <v>36</v>
      </c>
      <c r="G154" t="s">
        <v>186</v>
      </c>
      <c r="H154"/>
      <c r="I154" s="16">
        <v>-347836020000</v>
      </c>
      <c r="J154" s="16">
        <v>-582678150000</v>
      </c>
      <c r="K154" s="16" t="s">
        <v>1096</v>
      </c>
      <c r="L154" s="17">
        <f t="shared" si="12"/>
        <v>28</v>
      </c>
      <c r="M154" s="17">
        <f t="shared" si="13"/>
        <v>0</v>
      </c>
      <c r="N154" s="18">
        <f t="shared" si="14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.75" thickBot="1" x14ac:dyDescent="0.3">
      <c r="A155" t="s">
        <v>416</v>
      </c>
      <c r="C155" s="46" t="s">
        <v>419</v>
      </c>
      <c r="D155" t="s">
        <v>420</v>
      </c>
      <c r="E155" t="s">
        <v>73</v>
      </c>
      <c r="F155" t="s">
        <v>36</v>
      </c>
      <c r="G155" t="s">
        <v>186</v>
      </c>
      <c r="H155" t="s">
        <v>421</v>
      </c>
      <c r="I155" s="16">
        <v>-347831840000</v>
      </c>
      <c r="J155" s="16">
        <v>-582670320000</v>
      </c>
      <c r="K155" s="16" t="s">
        <v>1097</v>
      </c>
      <c r="L155" s="17">
        <f t="shared" si="12"/>
        <v>28</v>
      </c>
      <c r="M155" s="17">
        <f t="shared" si="13"/>
        <v>0</v>
      </c>
      <c r="N155" s="18">
        <f t="shared" si="14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.75" thickBot="1" x14ac:dyDescent="0.3">
      <c r="A156" t="s">
        <v>416</v>
      </c>
      <c r="C156" s="46" t="s">
        <v>422</v>
      </c>
      <c r="D156" t="s">
        <v>423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1098</v>
      </c>
      <c r="L156" s="17">
        <f t="shared" si="12"/>
        <v>18</v>
      </c>
      <c r="M156" s="17">
        <f t="shared" si="13"/>
        <v>10</v>
      </c>
      <c r="N156" s="18">
        <f t="shared" si="14"/>
        <v>0.6428571428571429</v>
      </c>
      <c r="O156" s="28"/>
      <c r="P156" s="8" t="s">
        <v>941</v>
      </c>
      <c r="Q156" s="8" t="s">
        <v>941</v>
      </c>
      <c r="R156" s="8" t="s">
        <v>941</v>
      </c>
      <c r="S156" s="28" t="s">
        <v>941</v>
      </c>
      <c r="T156" s="28" t="s">
        <v>941</v>
      </c>
      <c r="U156" s="8" t="s">
        <v>941</v>
      </c>
      <c r="V156" s="8" t="s">
        <v>941</v>
      </c>
      <c r="W156" s="8" t="s">
        <v>941</v>
      </c>
      <c r="X156" s="28" t="s">
        <v>941</v>
      </c>
      <c r="Y156" s="28" t="s">
        <v>941</v>
      </c>
      <c r="Z156" s="28"/>
      <c r="AA156" s="28"/>
      <c r="AB156" s="28"/>
      <c r="AC156" s="28"/>
      <c r="AD156" s="28"/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.75" thickBot="1" x14ac:dyDescent="0.3">
      <c r="A157" t="s">
        <v>413</v>
      </c>
      <c r="C157" s="46" t="s">
        <v>424</v>
      </c>
      <c r="D157" t="s">
        <v>425</v>
      </c>
      <c r="E157" t="s">
        <v>24</v>
      </c>
      <c r="F157" t="s">
        <v>36</v>
      </c>
      <c r="G157" t="s">
        <v>426</v>
      </c>
      <c r="H157"/>
      <c r="I157" s="16">
        <v>-347807820000</v>
      </c>
      <c r="J157" s="16">
        <v>-582625370000</v>
      </c>
      <c r="K157" s="16" t="s">
        <v>1099</v>
      </c>
      <c r="L157" s="17">
        <f t="shared" si="12"/>
        <v>28</v>
      </c>
      <c r="M157" s="17">
        <f t="shared" si="13"/>
        <v>0</v>
      </c>
      <c r="N157" s="18">
        <f t="shared" si="14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.75" thickBot="1" x14ac:dyDescent="0.3">
      <c r="A158" t="s">
        <v>416</v>
      </c>
      <c r="C158" s="46" t="s">
        <v>427</v>
      </c>
      <c r="D158" t="s">
        <v>428</v>
      </c>
      <c r="E158" t="s">
        <v>24</v>
      </c>
      <c r="F158" t="s">
        <v>36</v>
      </c>
      <c r="G158" t="s">
        <v>186</v>
      </c>
      <c r="H158"/>
      <c r="I158" s="16">
        <v>-347816280000</v>
      </c>
      <c r="J158" s="16">
        <v>-582641460000</v>
      </c>
      <c r="K158" s="16" t="s">
        <v>1100</v>
      </c>
      <c r="L158" s="17">
        <f t="shared" si="12"/>
        <v>28</v>
      </c>
      <c r="M158" s="17">
        <f t="shared" si="13"/>
        <v>0</v>
      </c>
      <c r="N158" s="18">
        <f t="shared" si="14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.75" thickBot="1" x14ac:dyDescent="0.3">
      <c r="A159" t="s">
        <v>416</v>
      </c>
      <c r="C159" s="46" t="s">
        <v>429</v>
      </c>
      <c r="D159" t="s">
        <v>430</v>
      </c>
      <c r="E159" t="s">
        <v>24</v>
      </c>
      <c r="F159" t="s">
        <v>36</v>
      </c>
      <c r="G159" t="s">
        <v>186</v>
      </c>
      <c r="H159"/>
      <c r="I159" s="16">
        <v>-347799500000</v>
      </c>
      <c r="J159" s="16">
        <v>-582656480000</v>
      </c>
      <c r="K159" s="16" t="s">
        <v>1101</v>
      </c>
      <c r="L159" s="17">
        <f t="shared" si="12"/>
        <v>18</v>
      </c>
      <c r="M159" s="17">
        <f t="shared" si="13"/>
        <v>10</v>
      </c>
      <c r="N159" s="18">
        <f t="shared" si="14"/>
        <v>0.6428571428571429</v>
      </c>
      <c r="O159" s="28" t="s">
        <v>941</v>
      </c>
      <c r="P159" s="8" t="s">
        <v>941</v>
      </c>
      <c r="Q159" s="8" t="s">
        <v>941</v>
      </c>
      <c r="R159" s="8" t="s">
        <v>941</v>
      </c>
      <c r="S159" s="28" t="s">
        <v>941</v>
      </c>
      <c r="T159" s="28" t="s">
        <v>941</v>
      </c>
      <c r="U159" s="8" t="s">
        <v>941</v>
      </c>
      <c r="V159" s="8"/>
      <c r="W159" s="8" t="s">
        <v>941</v>
      </c>
      <c r="X159" s="28" t="s">
        <v>941</v>
      </c>
      <c r="Y159" s="28" t="s">
        <v>941</v>
      </c>
      <c r="Z159" s="28"/>
      <c r="AA159" s="28"/>
      <c r="AB159" s="28"/>
      <c r="AC159" s="28"/>
      <c r="AD159" s="28"/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.75" thickBot="1" x14ac:dyDescent="0.3">
      <c r="C160" s="46" t="s">
        <v>431</v>
      </c>
      <c r="D160" t="s">
        <v>432</v>
      </c>
      <c r="E160" t="s">
        <v>24</v>
      </c>
      <c r="F160" t="s">
        <v>36</v>
      </c>
      <c r="G160" t="s">
        <v>186</v>
      </c>
      <c r="H160"/>
      <c r="I160" s="16">
        <v>-347811260000</v>
      </c>
      <c r="J160" s="16">
        <v>-582702510000</v>
      </c>
      <c r="K160" s="16" t="s">
        <v>1102</v>
      </c>
      <c r="L160" s="17">
        <f t="shared" si="12"/>
        <v>18</v>
      </c>
      <c r="M160" s="17">
        <f t="shared" si="13"/>
        <v>10</v>
      </c>
      <c r="N160" s="18">
        <f t="shared" si="14"/>
        <v>0.6428571428571429</v>
      </c>
      <c r="O160" s="28"/>
      <c r="P160" s="8" t="s">
        <v>941</v>
      </c>
      <c r="Q160" s="8" t="s">
        <v>941</v>
      </c>
      <c r="R160" s="8" t="s">
        <v>941</v>
      </c>
      <c r="S160" s="28" t="s">
        <v>941</v>
      </c>
      <c r="T160" s="28" t="s">
        <v>941</v>
      </c>
      <c r="U160" s="8" t="s">
        <v>941</v>
      </c>
      <c r="V160" s="8" t="s">
        <v>941</v>
      </c>
      <c r="W160" s="8" t="s">
        <v>941</v>
      </c>
      <c r="X160" s="28" t="s">
        <v>941</v>
      </c>
      <c r="Y160" s="28" t="s">
        <v>941</v>
      </c>
      <c r="Z160" s="28"/>
      <c r="AA160" s="28"/>
      <c r="AB160" s="28"/>
      <c r="AC160" s="28"/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.75" thickBot="1" x14ac:dyDescent="0.3">
      <c r="A161" t="s">
        <v>416</v>
      </c>
      <c r="C161" s="46" t="s">
        <v>433</v>
      </c>
      <c r="D161" t="s">
        <v>434</v>
      </c>
      <c r="E161" t="s">
        <v>24</v>
      </c>
      <c r="F161" t="s">
        <v>36</v>
      </c>
      <c r="G161" t="s">
        <v>186</v>
      </c>
      <c r="H161"/>
      <c r="I161" s="16">
        <v>-347801920000</v>
      </c>
      <c r="J161" s="16">
        <v>-582637810000</v>
      </c>
      <c r="K161" s="16" t="s">
        <v>1103</v>
      </c>
      <c r="L161" s="17">
        <f t="shared" si="12"/>
        <v>28</v>
      </c>
      <c r="M161" s="17">
        <f t="shared" si="13"/>
        <v>0</v>
      </c>
      <c r="N161" s="18">
        <f t="shared" si="14"/>
        <v>1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.75" thickBot="1" x14ac:dyDescent="0.3">
      <c r="A162" t="s">
        <v>416</v>
      </c>
      <c r="C162" s="46" t="s">
        <v>435</v>
      </c>
      <c r="D162" t="s">
        <v>436</v>
      </c>
      <c r="E162" t="s">
        <v>24</v>
      </c>
      <c r="F162" t="s">
        <v>36</v>
      </c>
      <c r="G162" t="s">
        <v>437</v>
      </c>
      <c r="H162"/>
      <c r="I162" s="16">
        <v>-347837870000</v>
      </c>
      <c r="J162" s="16">
        <v>-582681690000</v>
      </c>
      <c r="K162" s="16" t="s">
        <v>1104</v>
      </c>
      <c r="L162" s="17">
        <f t="shared" si="12"/>
        <v>28</v>
      </c>
      <c r="M162" s="17">
        <f t="shared" si="13"/>
        <v>0</v>
      </c>
      <c r="N162" s="18">
        <f t="shared" si="14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.75" thickBot="1" x14ac:dyDescent="0.3">
      <c r="A163" t="s">
        <v>416</v>
      </c>
      <c r="C163" s="46" t="s">
        <v>438</v>
      </c>
      <c r="D163" t="s">
        <v>439</v>
      </c>
      <c r="E163" t="s">
        <v>113</v>
      </c>
      <c r="F163" t="s">
        <v>36</v>
      </c>
      <c r="G163"/>
      <c r="H163" t="s">
        <v>440</v>
      </c>
      <c r="I163" s="16">
        <v>-347808370000</v>
      </c>
      <c r="J163" s="16">
        <v>-582696060000</v>
      </c>
      <c r="K163" s="16" t="s">
        <v>1105</v>
      </c>
      <c r="L163" s="17">
        <f t="shared" si="12"/>
        <v>18</v>
      </c>
      <c r="M163" s="17">
        <f t="shared" si="13"/>
        <v>10</v>
      </c>
      <c r="N163" s="18">
        <f t="shared" si="14"/>
        <v>0.6428571428571429</v>
      </c>
      <c r="O163" s="28"/>
      <c r="P163" s="8" t="s">
        <v>941</v>
      </c>
      <c r="Q163" s="8" t="s">
        <v>941</v>
      </c>
      <c r="R163" s="8" t="s">
        <v>941</v>
      </c>
      <c r="S163" s="28" t="s">
        <v>941</v>
      </c>
      <c r="T163" s="28" t="s">
        <v>941</v>
      </c>
      <c r="U163" s="8" t="s">
        <v>941</v>
      </c>
      <c r="V163" s="8" t="s">
        <v>941</v>
      </c>
      <c r="W163" s="8" t="s">
        <v>941</v>
      </c>
      <c r="X163" s="28" t="s">
        <v>941</v>
      </c>
      <c r="Y163" s="28" t="s">
        <v>941</v>
      </c>
      <c r="Z163" s="28"/>
      <c r="AA163" s="28"/>
      <c r="AB163" s="28"/>
      <c r="AC163" s="28"/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.75" thickBot="1" x14ac:dyDescent="0.3">
      <c r="A164" t="s">
        <v>416</v>
      </c>
      <c r="C164" s="46" t="s">
        <v>441</v>
      </c>
      <c r="D164" t="s">
        <v>439</v>
      </c>
      <c r="E164" t="s">
        <v>113</v>
      </c>
      <c r="F164" t="s">
        <v>36</v>
      </c>
      <c r="G164"/>
      <c r="H164" t="s">
        <v>440</v>
      </c>
      <c r="I164" s="16">
        <v>-347808450000</v>
      </c>
      <c r="J164" s="16">
        <v>-582696230000</v>
      </c>
      <c r="K164" s="16" t="s">
        <v>1106</v>
      </c>
      <c r="L164" s="17">
        <f t="shared" si="12"/>
        <v>18</v>
      </c>
      <c r="M164" s="17">
        <f t="shared" si="13"/>
        <v>10</v>
      </c>
      <c r="N164" s="18">
        <f t="shared" si="14"/>
        <v>0.6428571428571429</v>
      </c>
      <c r="O164" s="28"/>
      <c r="P164" s="8" t="s">
        <v>941</v>
      </c>
      <c r="Q164" s="8" t="s">
        <v>941</v>
      </c>
      <c r="R164" s="8" t="s">
        <v>941</v>
      </c>
      <c r="S164" s="28" t="s">
        <v>941</v>
      </c>
      <c r="T164" s="28" t="s">
        <v>941</v>
      </c>
      <c r="U164" s="8" t="s">
        <v>941</v>
      </c>
      <c r="V164" s="8" t="s">
        <v>941</v>
      </c>
      <c r="W164" s="8" t="s">
        <v>941</v>
      </c>
      <c r="X164" s="28" t="s">
        <v>941</v>
      </c>
      <c r="Y164" s="28" t="s">
        <v>941</v>
      </c>
      <c r="Z164" s="28"/>
      <c r="AA164" s="28"/>
      <c r="AB164" s="28"/>
      <c r="AC164" s="28"/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.75" thickBot="1" x14ac:dyDescent="0.3">
      <c r="A165" t="s">
        <v>416</v>
      </c>
      <c r="C165" s="46" t="s">
        <v>442</v>
      </c>
      <c r="D165" t="s">
        <v>443</v>
      </c>
      <c r="E165" t="s">
        <v>19</v>
      </c>
      <c r="F165" t="s">
        <v>36</v>
      </c>
      <c r="G165"/>
      <c r="H165" t="s">
        <v>249</v>
      </c>
      <c r="I165" s="16">
        <v>-347812080000</v>
      </c>
      <c r="J165" s="16">
        <v>-582633880000</v>
      </c>
      <c r="K165" s="16" t="s">
        <v>1107</v>
      </c>
      <c r="L165" s="17">
        <f t="shared" si="12"/>
        <v>28</v>
      </c>
      <c r="M165" s="17">
        <f t="shared" si="13"/>
        <v>0</v>
      </c>
      <c r="N165" s="18">
        <f t="shared" si="14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.75" thickBot="1" x14ac:dyDescent="0.3">
      <c r="A166" t="s">
        <v>359</v>
      </c>
      <c r="C166" s="46" t="s">
        <v>444</v>
      </c>
      <c r="D166" t="s">
        <v>445</v>
      </c>
      <c r="E166" t="s">
        <v>19</v>
      </c>
      <c r="F166" t="s">
        <v>25</v>
      </c>
      <c r="G166"/>
      <c r="H166" t="s">
        <v>446</v>
      </c>
      <c r="I166" s="16">
        <v>-348079950000</v>
      </c>
      <c r="J166" s="16">
        <v>-583078510000</v>
      </c>
      <c r="K166" s="16" t="s">
        <v>1109</v>
      </c>
      <c r="L166" s="17">
        <f t="shared" si="12"/>
        <v>22</v>
      </c>
      <c r="M166" s="17">
        <f t="shared" si="13"/>
        <v>6</v>
      </c>
      <c r="N166" s="18">
        <f t="shared" si="14"/>
        <v>0.7857142857142857</v>
      </c>
      <c r="O166" s="28"/>
      <c r="P166" s="8"/>
      <c r="Q166" s="8"/>
      <c r="R166" s="8"/>
      <c r="S166" s="28" t="s">
        <v>941</v>
      </c>
      <c r="T166" s="28" t="s">
        <v>941</v>
      </c>
      <c r="U166" s="8" t="s">
        <v>941</v>
      </c>
      <c r="V166" s="8" t="s">
        <v>941</v>
      </c>
      <c r="W166" s="8" t="s">
        <v>941</v>
      </c>
      <c r="X166" s="28" t="s">
        <v>941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.75" thickBot="1" x14ac:dyDescent="0.3">
      <c r="A167" t="s">
        <v>447</v>
      </c>
      <c r="C167" s="46" t="s">
        <v>448</v>
      </c>
      <c r="D167" t="s">
        <v>935</v>
      </c>
      <c r="E167" t="s">
        <v>24</v>
      </c>
      <c r="F167" t="s">
        <v>25</v>
      </c>
      <c r="G167" t="s">
        <v>162</v>
      </c>
      <c r="H167"/>
      <c r="I167" s="16">
        <v>-348097650000</v>
      </c>
      <c r="J167" s="16">
        <v>-583197750000</v>
      </c>
      <c r="K167" s="16" t="s">
        <v>1108</v>
      </c>
      <c r="L167" s="17">
        <f t="shared" si="12"/>
        <v>28</v>
      </c>
      <c r="M167" s="17">
        <f t="shared" si="13"/>
        <v>0</v>
      </c>
      <c r="N167" s="18">
        <f t="shared" si="14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.75" thickBot="1" x14ac:dyDescent="0.3">
      <c r="A168" t="s">
        <v>447</v>
      </c>
      <c r="C168" s="46" t="s">
        <v>449</v>
      </c>
      <c r="D168" t="s">
        <v>450</v>
      </c>
      <c r="E168" t="s">
        <v>19</v>
      </c>
      <c r="F168" t="s">
        <v>36</v>
      </c>
      <c r="G168"/>
      <c r="H168" t="s">
        <v>451</v>
      </c>
      <c r="I168" s="16">
        <v>-348065880000</v>
      </c>
      <c r="J168" s="16">
        <v>-583140610000</v>
      </c>
      <c r="K168" s="16" t="s">
        <v>1110</v>
      </c>
      <c r="L168" s="17">
        <f t="shared" si="12"/>
        <v>28</v>
      </c>
      <c r="M168" s="17">
        <f t="shared" si="13"/>
        <v>0</v>
      </c>
      <c r="N168" s="18">
        <f t="shared" si="14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.75" thickBot="1" x14ac:dyDescent="0.3">
      <c r="A169" t="s">
        <v>452</v>
      </c>
      <c r="C169" s="46" t="s">
        <v>453</v>
      </c>
      <c r="D169" t="s">
        <v>454</v>
      </c>
      <c r="E169" t="s">
        <v>113</v>
      </c>
      <c r="F169" t="s">
        <v>36</v>
      </c>
      <c r="G169" t="s">
        <v>186</v>
      </c>
      <c r="H169" t="s">
        <v>455</v>
      </c>
      <c r="I169" s="16">
        <v>-347782860000</v>
      </c>
      <c r="J169" s="16">
        <v>-582672650000</v>
      </c>
      <c r="K169" s="16" t="s">
        <v>1115</v>
      </c>
      <c r="L169" s="17">
        <f t="shared" si="12"/>
        <v>22</v>
      </c>
      <c r="M169" s="17">
        <f t="shared" si="13"/>
        <v>6</v>
      </c>
      <c r="N169" s="18">
        <f t="shared" si="14"/>
        <v>0.7857142857142857</v>
      </c>
      <c r="O169" s="28"/>
      <c r="P169" s="8" t="s">
        <v>941</v>
      </c>
      <c r="Q169" s="8" t="s">
        <v>941</v>
      </c>
      <c r="R169" s="8" t="s">
        <v>941</v>
      </c>
      <c r="S169" s="28" t="s">
        <v>941</v>
      </c>
      <c r="T169" s="28" t="s">
        <v>941</v>
      </c>
      <c r="U169" s="8" t="s">
        <v>941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.75" thickBot="1" x14ac:dyDescent="0.3">
      <c r="A170" t="s">
        <v>416</v>
      </c>
      <c r="C170" s="46" t="s">
        <v>456</v>
      </c>
      <c r="D170" t="s">
        <v>457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1116</v>
      </c>
      <c r="L170" s="17">
        <f t="shared" si="12"/>
        <v>28</v>
      </c>
      <c r="M170" s="17">
        <f t="shared" si="13"/>
        <v>0</v>
      </c>
      <c r="N170" s="18">
        <f t="shared" si="14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.75" thickBot="1" x14ac:dyDescent="0.3">
      <c r="A171" t="s">
        <v>458</v>
      </c>
      <c r="C171" s="46" t="s">
        <v>459</v>
      </c>
      <c r="D171" t="s">
        <v>460</v>
      </c>
      <c r="E171" t="s">
        <v>24</v>
      </c>
      <c r="F171" t="s">
        <v>36</v>
      </c>
      <c r="G171" t="s">
        <v>461</v>
      </c>
      <c r="H171"/>
      <c r="I171" s="16">
        <v>-347760150000</v>
      </c>
      <c r="J171" s="16">
        <v>-582715170000</v>
      </c>
      <c r="K171" s="16" t="s">
        <v>1117</v>
      </c>
      <c r="L171" s="17">
        <f t="shared" si="12"/>
        <v>20</v>
      </c>
      <c r="M171" s="17">
        <f t="shared" si="13"/>
        <v>8</v>
      </c>
      <c r="N171" s="18">
        <f t="shared" si="14"/>
        <v>0.7142857142857143</v>
      </c>
      <c r="O171" s="28" t="s">
        <v>941</v>
      </c>
      <c r="P171" s="8" t="s">
        <v>941</v>
      </c>
      <c r="Q171" s="8" t="s">
        <v>941</v>
      </c>
      <c r="R171" s="8" t="s">
        <v>941</v>
      </c>
      <c r="S171" s="28" t="s">
        <v>941</v>
      </c>
      <c r="T171" s="28" t="s">
        <v>941</v>
      </c>
      <c r="U171" s="8" t="s">
        <v>941</v>
      </c>
      <c r="V171" s="8" t="s">
        <v>941</v>
      </c>
      <c r="W171" s="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.75" thickBot="1" x14ac:dyDescent="0.3">
      <c r="A172" t="s">
        <v>452</v>
      </c>
      <c r="C172" s="46" t="s">
        <v>462</v>
      </c>
      <c r="D172" t="s">
        <v>463</v>
      </c>
      <c r="E172" t="s">
        <v>24</v>
      </c>
      <c r="F172" t="s">
        <v>36</v>
      </c>
      <c r="G172" t="s">
        <v>464</v>
      </c>
      <c r="H172"/>
      <c r="I172" s="16">
        <v>-347796570000</v>
      </c>
      <c r="J172" s="16">
        <v>-582627950000</v>
      </c>
      <c r="K172" s="16" t="s">
        <v>1118</v>
      </c>
      <c r="L172" s="17">
        <f t="shared" si="12"/>
        <v>28</v>
      </c>
      <c r="M172" s="17">
        <f t="shared" si="13"/>
        <v>0</v>
      </c>
      <c r="N172" s="18">
        <f t="shared" si="14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.75" thickBot="1" x14ac:dyDescent="0.3">
      <c r="C173" s="46" t="s">
        <v>465</v>
      </c>
      <c r="D173" t="s">
        <v>466</v>
      </c>
      <c r="E173" t="s">
        <v>24</v>
      </c>
      <c r="F173" t="s">
        <v>36</v>
      </c>
      <c r="G173" t="s">
        <v>467</v>
      </c>
      <c r="H173"/>
      <c r="I173" s="16">
        <v>-347771820000</v>
      </c>
      <c r="J173" s="16">
        <v>-582693640000</v>
      </c>
      <c r="K173" s="16" t="s">
        <v>1119</v>
      </c>
      <c r="L173" s="17">
        <f t="shared" si="12"/>
        <v>28</v>
      </c>
      <c r="M173" s="17">
        <f t="shared" si="13"/>
        <v>0</v>
      </c>
      <c r="N173" s="18">
        <f t="shared" si="14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.75" thickBot="1" x14ac:dyDescent="0.3">
      <c r="A174" t="s">
        <v>458</v>
      </c>
      <c r="C174" s="46" t="s">
        <v>468</v>
      </c>
      <c r="D174" t="s">
        <v>469</v>
      </c>
      <c r="E174" t="s">
        <v>19</v>
      </c>
      <c r="F174" t="s">
        <v>36</v>
      </c>
      <c r="G174" t="s">
        <v>470</v>
      </c>
      <c r="H174"/>
      <c r="I174" s="16">
        <v>-347739010000</v>
      </c>
      <c r="J174" s="16">
        <v>-582753360000</v>
      </c>
      <c r="K174" s="16" t="s">
        <v>1120</v>
      </c>
      <c r="L174" s="17">
        <f t="shared" si="12"/>
        <v>19</v>
      </c>
      <c r="M174" s="17">
        <f t="shared" si="13"/>
        <v>9</v>
      </c>
      <c r="N174" s="18">
        <f t="shared" si="14"/>
        <v>0.6785714285714286</v>
      </c>
      <c r="O174" s="28" t="s">
        <v>941</v>
      </c>
      <c r="P174" s="8" t="s">
        <v>941</v>
      </c>
      <c r="Q174" s="8" t="s">
        <v>941</v>
      </c>
      <c r="R174" s="8" t="s">
        <v>941</v>
      </c>
      <c r="S174" s="28"/>
      <c r="T174" s="28" t="s">
        <v>941</v>
      </c>
      <c r="U174" s="8" t="s">
        <v>941</v>
      </c>
      <c r="V174" s="8" t="s">
        <v>941</v>
      </c>
      <c r="W174" s="8" t="s">
        <v>941</v>
      </c>
      <c r="X174" s="28" t="s">
        <v>941</v>
      </c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.75" thickBot="1" x14ac:dyDescent="0.3">
      <c r="A175" t="s">
        <v>471</v>
      </c>
      <c r="C175" s="46" t="s">
        <v>472</v>
      </c>
      <c r="D175" t="s">
        <v>473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1121</v>
      </c>
      <c r="L175" s="17">
        <f t="shared" si="12"/>
        <v>28</v>
      </c>
      <c r="M175" s="17">
        <f t="shared" si="13"/>
        <v>0</v>
      </c>
      <c r="N175" s="18">
        <f t="shared" si="14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.75" thickBot="1" x14ac:dyDescent="0.3">
      <c r="A176" t="s">
        <v>471</v>
      </c>
      <c r="C176" s="46" t="s">
        <v>474</v>
      </c>
      <c r="D176" t="s">
        <v>475</v>
      </c>
      <c r="E176" t="s">
        <v>24</v>
      </c>
      <c r="F176" t="s">
        <v>25</v>
      </c>
      <c r="G176" t="s">
        <v>476</v>
      </c>
      <c r="H176"/>
      <c r="I176" s="16">
        <v>-347941910000</v>
      </c>
      <c r="J176" s="16">
        <v>-582702320000</v>
      </c>
      <c r="K176" s="16" t="s">
        <v>1122</v>
      </c>
      <c r="L176" s="17">
        <f t="shared" si="12"/>
        <v>28</v>
      </c>
      <c r="M176" s="17">
        <f t="shared" si="13"/>
        <v>0</v>
      </c>
      <c r="N176" s="18">
        <f t="shared" si="14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.75" thickBot="1" x14ac:dyDescent="0.3">
      <c r="A177" t="s">
        <v>471</v>
      </c>
      <c r="C177" s="46" t="s">
        <v>477</v>
      </c>
      <c r="D177" t="s">
        <v>478</v>
      </c>
      <c r="E177" t="s">
        <v>24</v>
      </c>
      <c r="F177" t="s">
        <v>25</v>
      </c>
      <c r="G177" t="s">
        <v>368</v>
      </c>
      <c r="H177"/>
      <c r="I177" s="16">
        <v>-347965760000</v>
      </c>
      <c r="J177" s="16">
        <v>-582746550000</v>
      </c>
      <c r="K177" s="16" t="s">
        <v>1123</v>
      </c>
      <c r="L177" s="17">
        <f t="shared" si="12"/>
        <v>28</v>
      </c>
      <c r="M177" s="17">
        <f t="shared" si="13"/>
        <v>0</v>
      </c>
      <c r="N177" s="18">
        <f t="shared" si="14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.75" thickBot="1" x14ac:dyDescent="0.3">
      <c r="A178" t="s">
        <v>471</v>
      </c>
      <c r="C178" s="46" t="s">
        <v>479</v>
      </c>
      <c r="D178" t="s">
        <v>480</v>
      </c>
      <c r="E178" t="s">
        <v>24</v>
      </c>
      <c r="F178" t="s">
        <v>25</v>
      </c>
      <c r="G178" t="s">
        <v>481</v>
      </c>
      <c r="H178"/>
      <c r="I178" s="16">
        <v>-347889160000</v>
      </c>
      <c r="J178" s="16">
        <v>-582775030000</v>
      </c>
      <c r="K178" s="16" t="s">
        <v>1124</v>
      </c>
      <c r="L178" s="17">
        <f t="shared" si="12"/>
        <v>28</v>
      </c>
      <c r="M178" s="17">
        <f t="shared" si="13"/>
        <v>0</v>
      </c>
      <c r="N178" s="18">
        <f t="shared" si="14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.75" thickBot="1" x14ac:dyDescent="0.3">
      <c r="A179" t="s">
        <v>482</v>
      </c>
      <c r="C179" s="46" t="s">
        <v>483</v>
      </c>
      <c r="D179" t="s">
        <v>484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1132</v>
      </c>
      <c r="L179" s="17">
        <f t="shared" si="12"/>
        <v>28</v>
      </c>
      <c r="M179" s="17">
        <f t="shared" si="13"/>
        <v>0</v>
      </c>
      <c r="N179" s="18">
        <f t="shared" si="14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.75" thickBot="1" x14ac:dyDescent="0.3">
      <c r="A180" t="s">
        <v>482</v>
      </c>
      <c r="C180" s="46" t="s">
        <v>485</v>
      </c>
      <c r="D180" t="s">
        <v>486</v>
      </c>
      <c r="E180" t="s">
        <v>24</v>
      </c>
      <c r="F180" t="s">
        <v>36</v>
      </c>
      <c r="G180" t="s">
        <v>487</v>
      </c>
      <c r="H180"/>
      <c r="I180" s="16">
        <v>-348072540000</v>
      </c>
      <c r="J180" s="16">
        <v>-582665870000</v>
      </c>
      <c r="K180" s="16" t="s">
        <v>1125</v>
      </c>
      <c r="L180" s="17">
        <f t="shared" si="12"/>
        <v>26</v>
      </c>
      <c r="M180" s="17">
        <f t="shared" si="13"/>
        <v>2</v>
      </c>
      <c r="N180" s="18">
        <f t="shared" si="14"/>
        <v>0.9285714285714286</v>
      </c>
      <c r="O180" s="28" t="s">
        <v>941</v>
      </c>
      <c r="P180" s="8"/>
      <c r="Q180" s="8"/>
      <c r="R180" s="8" t="s">
        <v>941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.75" thickBot="1" x14ac:dyDescent="0.3">
      <c r="C181" s="46" t="s">
        <v>488</v>
      </c>
      <c r="D181" t="s">
        <v>489</v>
      </c>
      <c r="E181" t="s">
        <v>24</v>
      </c>
      <c r="F181" t="s">
        <v>25</v>
      </c>
      <c r="G181" t="s">
        <v>162</v>
      </c>
      <c r="H181" t="s">
        <v>490</v>
      </c>
      <c r="I181" s="16">
        <v>-348093100000</v>
      </c>
      <c r="J181" s="16">
        <v>-582605600000</v>
      </c>
      <c r="K181" s="16" t="s">
        <v>1126</v>
      </c>
      <c r="L181" s="17">
        <f t="shared" si="12"/>
        <v>28</v>
      </c>
      <c r="M181" s="17">
        <f t="shared" si="13"/>
        <v>0</v>
      </c>
      <c r="N181" s="18">
        <f t="shared" si="14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.75" thickBot="1" x14ac:dyDescent="0.3">
      <c r="A182" t="s">
        <v>482</v>
      </c>
      <c r="C182" s="46" t="s">
        <v>491</v>
      </c>
      <c r="D182" t="s">
        <v>492</v>
      </c>
      <c r="E182" t="s">
        <v>24</v>
      </c>
      <c r="F182" t="s">
        <v>947</v>
      </c>
      <c r="G182" t="s">
        <v>493</v>
      </c>
      <c r="H182" t="s">
        <v>494</v>
      </c>
      <c r="I182" s="16">
        <v>-348062580000</v>
      </c>
      <c r="J182" s="16">
        <v>-582667320000</v>
      </c>
      <c r="K182" s="16" t="s">
        <v>1127</v>
      </c>
      <c r="L182" s="17">
        <f t="shared" si="12"/>
        <v>25</v>
      </c>
      <c r="M182" s="17">
        <f t="shared" si="13"/>
        <v>3</v>
      </c>
      <c r="N182" s="18">
        <f t="shared" si="14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941</v>
      </c>
      <c r="X182" s="28" t="s">
        <v>941</v>
      </c>
      <c r="Y182" s="28" t="s">
        <v>941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.75" thickBot="1" x14ac:dyDescent="0.3">
      <c r="A183" t="s">
        <v>482</v>
      </c>
      <c r="C183" s="46" t="s">
        <v>495</v>
      </c>
      <c r="D183" t="s">
        <v>496</v>
      </c>
      <c r="E183" t="s">
        <v>24</v>
      </c>
      <c r="F183" t="s">
        <v>25</v>
      </c>
      <c r="G183" t="s">
        <v>162</v>
      </c>
      <c r="H183"/>
      <c r="I183" s="16">
        <v>-348035500000</v>
      </c>
      <c r="J183" s="16">
        <v>-582648750000</v>
      </c>
      <c r="K183" s="16" t="s">
        <v>1128</v>
      </c>
      <c r="L183" s="17">
        <f t="shared" si="12"/>
        <v>28</v>
      </c>
      <c r="M183" s="17">
        <f t="shared" si="13"/>
        <v>0</v>
      </c>
      <c r="N183" s="18">
        <f t="shared" si="14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.75" thickBot="1" x14ac:dyDescent="0.3">
      <c r="A184" t="s">
        <v>497</v>
      </c>
      <c r="C184" s="46" t="s">
        <v>498</v>
      </c>
      <c r="D184" t="s">
        <v>499</v>
      </c>
      <c r="E184" t="s">
        <v>24</v>
      </c>
      <c r="F184" t="s">
        <v>25</v>
      </c>
      <c r="G184" t="s">
        <v>493</v>
      </c>
      <c r="H184"/>
      <c r="I184" s="16">
        <v>-348026160000</v>
      </c>
      <c r="J184" s="16">
        <v>-582654650000</v>
      </c>
      <c r="K184" s="16" t="s">
        <v>1129</v>
      </c>
      <c r="L184" s="17">
        <f t="shared" si="12"/>
        <v>28</v>
      </c>
      <c r="M184" s="17">
        <f t="shared" si="13"/>
        <v>0</v>
      </c>
      <c r="N184" s="18">
        <f t="shared" si="14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.75" thickBot="1" x14ac:dyDescent="0.3">
      <c r="A185" t="s">
        <v>80</v>
      </c>
      <c r="C185" s="46" t="s">
        <v>500</v>
      </c>
      <c r="D185" t="s">
        <v>501</v>
      </c>
      <c r="E185" t="s">
        <v>24</v>
      </c>
      <c r="F185" t="s">
        <v>36</v>
      </c>
      <c r="G185" t="s">
        <v>186</v>
      </c>
      <c r="H185"/>
      <c r="I185" s="16">
        <v>-348074170000</v>
      </c>
      <c r="J185" s="16">
        <v>-582683730000</v>
      </c>
      <c r="K185" s="16" t="s">
        <v>1130</v>
      </c>
      <c r="L185" s="17">
        <f t="shared" si="12"/>
        <v>28</v>
      </c>
      <c r="M185" s="17">
        <f t="shared" si="13"/>
        <v>0</v>
      </c>
      <c r="N185" s="18">
        <f t="shared" si="14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.75" thickBot="1" x14ac:dyDescent="0.3">
      <c r="A186" t="s">
        <v>482</v>
      </c>
      <c r="C186" s="46" t="s">
        <v>502</v>
      </c>
      <c r="D186" t="s">
        <v>503</v>
      </c>
      <c r="E186" t="s">
        <v>24</v>
      </c>
      <c r="F186" t="s">
        <v>36</v>
      </c>
      <c r="G186" t="s">
        <v>504</v>
      </c>
      <c r="H186"/>
      <c r="I186" s="16">
        <v>-348107680000</v>
      </c>
      <c r="J186" s="16">
        <v>-582663690000</v>
      </c>
      <c r="K186" s="16" t="s">
        <v>1131</v>
      </c>
      <c r="L186" s="17">
        <f t="shared" si="12"/>
        <v>28</v>
      </c>
      <c r="M186" s="17">
        <f t="shared" si="13"/>
        <v>0</v>
      </c>
      <c r="N186" s="18">
        <f t="shared" si="14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.75" thickBot="1" x14ac:dyDescent="0.3">
      <c r="C187" s="46" t="s">
        <v>505</v>
      </c>
      <c r="D187" t="s">
        <v>506</v>
      </c>
      <c r="E187" t="s">
        <v>19</v>
      </c>
      <c r="F187" t="s">
        <v>36</v>
      </c>
      <c r="G187"/>
      <c r="H187" t="s">
        <v>507</v>
      </c>
      <c r="I187" s="16">
        <v>-348042930000</v>
      </c>
      <c r="J187" s="16">
        <v>-582667740000</v>
      </c>
      <c r="K187" s="16" t="s">
        <v>1133</v>
      </c>
      <c r="L187" s="17">
        <f t="shared" si="12"/>
        <v>28</v>
      </c>
      <c r="M187" s="17">
        <f t="shared" si="13"/>
        <v>0</v>
      </c>
      <c r="N187" s="18">
        <f t="shared" si="14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.75" thickBot="1" x14ac:dyDescent="0.3">
      <c r="C188" s="46" t="s">
        <v>508</v>
      </c>
      <c r="D188" t="s">
        <v>509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1134</v>
      </c>
      <c r="L188" s="17">
        <f t="shared" si="12"/>
        <v>28</v>
      </c>
      <c r="M188" s="17">
        <f t="shared" si="13"/>
        <v>0</v>
      </c>
      <c r="N188" s="18">
        <f t="shared" si="14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.75" thickBot="1" x14ac:dyDescent="0.3">
      <c r="A189" t="s">
        <v>510</v>
      </c>
      <c r="C189" s="46" t="s">
        <v>511</v>
      </c>
      <c r="D189" t="s">
        <v>512</v>
      </c>
      <c r="E189" t="s">
        <v>113</v>
      </c>
      <c r="F189" t="s">
        <v>36</v>
      </c>
      <c r="G189"/>
      <c r="H189" t="s">
        <v>513</v>
      </c>
      <c r="I189" s="16">
        <v>-348434280000</v>
      </c>
      <c r="J189" s="16">
        <v>-582840340000</v>
      </c>
      <c r="K189" s="16" t="s">
        <v>1135</v>
      </c>
      <c r="L189" s="17">
        <f t="shared" si="12"/>
        <v>28</v>
      </c>
      <c r="M189" s="17">
        <f t="shared" si="13"/>
        <v>0</v>
      </c>
      <c r="N189" s="18">
        <f t="shared" si="14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.75" thickBot="1" x14ac:dyDescent="0.3">
      <c r="A190" t="s">
        <v>510</v>
      </c>
      <c r="C190" s="46" t="s">
        <v>514</v>
      </c>
      <c r="D190" t="s">
        <v>512</v>
      </c>
      <c r="E190" t="s">
        <v>113</v>
      </c>
      <c r="F190" t="s">
        <v>36</v>
      </c>
      <c r="G190"/>
      <c r="H190" t="s">
        <v>513</v>
      </c>
      <c r="I190" s="16">
        <v>-348434120000</v>
      </c>
      <c r="J190" s="16">
        <v>-582840350000</v>
      </c>
      <c r="K190" s="16" t="s">
        <v>1136</v>
      </c>
      <c r="L190" s="17">
        <f t="shared" si="12"/>
        <v>28</v>
      </c>
      <c r="M190" s="17">
        <f t="shared" si="13"/>
        <v>0</v>
      </c>
      <c r="N190" s="18">
        <f t="shared" si="14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.75" thickBot="1" x14ac:dyDescent="0.3">
      <c r="A191" t="s">
        <v>510</v>
      </c>
      <c r="C191" s="46" t="s">
        <v>515</v>
      </c>
      <c r="D191" t="s">
        <v>516</v>
      </c>
      <c r="E191" t="s">
        <v>113</v>
      </c>
      <c r="F191" t="s">
        <v>36</v>
      </c>
      <c r="G191"/>
      <c r="H191" t="s">
        <v>517</v>
      </c>
      <c r="I191" s="16">
        <v>-348403890000</v>
      </c>
      <c r="J191" s="16">
        <v>-582866050000</v>
      </c>
      <c r="K191" s="16" t="s">
        <v>1137</v>
      </c>
      <c r="L191" s="17">
        <f t="shared" si="12"/>
        <v>17</v>
      </c>
      <c r="M191" s="17">
        <f t="shared" si="13"/>
        <v>11</v>
      </c>
      <c r="N191" s="18">
        <f t="shared" si="14"/>
        <v>0.6071428571428571</v>
      </c>
      <c r="O191" s="28" t="s">
        <v>941</v>
      </c>
      <c r="P191" s="8" t="s">
        <v>941</v>
      </c>
      <c r="Q191" s="8" t="s">
        <v>941</v>
      </c>
      <c r="R191" s="8" t="s">
        <v>941</v>
      </c>
      <c r="S191" s="28" t="s">
        <v>941</v>
      </c>
      <c r="T191" s="28" t="s">
        <v>941</v>
      </c>
      <c r="U191" s="8" t="s">
        <v>941</v>
      </c>
      <c r="V191" s="8" t="s">
        <v>941</v>
      </c>
      <c r="W191" s="8" t="s">
        <v>941</v>
      </c>
      <c r="X191" s="28" t="s">
        <v>941</v>
      </c>
      <c r="Y191" s="28" t="s">
        <v>941</v>
      </c>
      <c r="Z191" s="28"/>
      <c r="AA191" s="28"/>
      <c r="AB191" s="28"/>
      <c r="AC191" s="28"/>
      <c r="AD191" s="28"/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.75" thickBot="1" x14ac:dyDescent="0.3">
      <c r="A192" t="s">
        <v>510</v>
      </c>
      <c r="C192" s="46" t="s">
        <v>518</v>
      </c>
      <c r="D192" t="s">
        <v>516</v>
      </c>
      <c r="E192" t="s">
        <v>113</v>
      </c>
      <c r="F192" t="s">
        <v>36</v>
      </c>
      <c r="G192"/>
      <c r="H192" t="s">
        <v>517</v>
      </c>
      <c r="I192" s="16">
        <v>-348403890000</v>
      </c>
      <c r="J192" s="16">
        <v>-582866050000</v>
      </c>
      <c r="K192" s="16" t="s">
        <v>1138</v>
      </c>
      <c r="L192" s="17">
        <f t="shared" si="12"/>
        <v>17</v>
      </c>
      <c r="M192" s="17">
        <f t="shared" si="13"/>
        <v>11</v>
      </c>
      <c r="N192" s="18">
        <f t="shared" si="14"/>
        <v>0.6071428571428571</v>
      </c>
      <c r="O192" s="28" t="s">
        <v>941</v>
      </c>
      <c r="P192" s="8" t="s">
        <v>941</v>
      </c>
      <c r="Q192" s="8" t="s">
        <v>941</v>
      </c>
      <c r="R192" s="8" t="s">
        <v>941</v>
      </c>
      <c r="S192" s="28" t="s">
        <v>941</v>
      </c>
      <c r="T192" s="28" t="s">
        <v>941</v>
      </c>
      <c r="U192" s="8" t="s">
        <v>941</v>
      </c>
      <c r="V192" s="8" t="s">
        <v>941</v>
      </c>
      <c r="W192" s="8" t="s">
        <v>941</v>
      </c>
      <c r="X192" s="28" t="s">
        <v>941</v>
      </c>
      <c r="Y192" s="28" t="s">
        <v>941</v>
      </c>
      <c r="Z192" s="28"/>
      <c r="AA192" s="28"/>
      <c r="AB192" s="28"/>
      <c r="AC192" s="28"/>
      <c r="AD192" s="28"/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.75" thickBot="1" x14ac:dyDescent="0.3">
      <c r="A193" t="s">
        <v>413</v>
      </c>
      <c r="C193" s="46" t="s">
        <v>519</v>
      </c>
      <c r="D193" t="s">
        <v>520</v>
      </c>
      <c r="E193" t="s">
        <v>113</v>
      </c>
      <c r="F193" t="s">
        <v>36</v>
      </c>
      <c r="G193"/>
      <c r="H193" t="s">
        <v>249</v>
      </c>
      <c r="I193" s="16">
        <v>-347887260000</v>
      </c>
      <c r="J193" s="16">
        <v>-582696950000</v>
      </c>
      <c r="K193" s="16" t="s">
        <v>1139</v>
      </c>
      <c r="L193" s="17">
        <f t="shared" si="12"/>
        <v>17</v>
      </c>
      <c r="M193" s="17">
        <f t="shared" si="13"/>
        <v>11</v>
      </c>
      <c r="N193" s="18">
        <f t="shared" si="14"/>
        <v>0.6071428571428571</v>
      </c>
      <c r="O193" s="28" t="s">
        <v>941</v>
      </c>
      <c r="P193" s="8" t="s">
        <v>941</v>
      </c>
      <c r="Q193" s="8" t="s">
        <v>941</v>
      </c>
      <c r="R193" s="8" t="s">
        <v>941</v>
      </c>
      <c r="S193" s="28" t="s">
        <v>941</v>
      </c>
      <c r="T193" s="28" t="s">
        <v>941</v>
      </c>
      <c r="U193" s="8" t="s">
        <v>941</v>
      </c>
      <c r="V193" s="8" t="s">
        <v>941</v>
      </c>
      <c r="W193" s="8" t="s">
        <v>941</v>
      </c>
      <c r="X193" s="28" t="s">
        <v>941</v>
      </c>
      <c r="Y193" s="28" t="s">
        <v>941</v>
      </c>
      <c r="Z193" s="28"/>
      <c r="AA193" s="28"/>
      <c r="AB193" s="28"/>
      <c r="AC193" s="28"/>
      <c r="AD193" s="28"/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.75" thickBot="1" x14ac:dyDescent="0.3">
      <c r="A194" t="s">
        <v>413</v>
      </c>
      <c r="C194" s="46" t="s">
        <v>521</v>
      </c>
      <c r="D194" t="s">
        <v>520</v>
      </c>
      <c r="E194" t="s">
        <v>113</v>
      </c>
      <c r="F194" t="s">
        <v>36</v>
      </c>
      <c r="G194"/>
      <c r="H194" t="s">
        <v>249</v>
      </c>
      <c r="I194" s="16">
        <v>-347887260000</v>
      </c>
      <c r="J194" s="16">
        <v>-582696950000</v>
      </c>
      <c r="K194" s="16" t="s">
        <v>1140</v>
      </c>
      <c r="L194" s="17">
        <f t="shared" si="12"/>
        <v>17</v>
      </c>
      <c r="M194" s="17">
        <f t="shared" si="13"/>
        <v>11</v>
      </c>
      <c r="N194" s="18">
        <f t="shared" si="14"/>
        <v>0.6071428571428571</v>
      </c>
      <c r="O194" s="28" t="s">
        <v>941</v>
      </c>
      <c r="P194" s="8" t="s">
        <v>941</v>
      </c>
      <c r="Q194" s="8" t="s">
        <v>941</v>
      </c>
      <c r="R194" s="8" t="s">
        <v>941</v>
      </c>
      <c r="S194" s="28" t="s">
        <v>941</v>
      </c>
      <c r="T194" s="28" t="s">
        <v>941</v>
      </c>
      <c r="U194" s="8" t="s">
        <v>941</v>
      </c>
      <c r="V194" s="8" t="s">
        <v>941</v>
      </c>
      <c r="W194" s="8" t="s">
        <v>941</v>
      </c>
      <c r="X194" s="28" t="s">
        <v>941</v>
      </c>
      <c r="Y194" s="28" t="s">
        <v>941</v>
      </c>
      <c r="Z194" s="28"/>
      <c r="AA194" s="28"/>
      <c r="AB194" s="28"/>
      <c r="AC194" s="28"/>
      <c r="AD194" s="28"/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.75" thickBot="1" x14ac:dyDescent="0.3">
      <c r="A195" t="s">
        <v>62</v>
      </c>
      <c r="C195" s="46" t="s">
        <v>522</v>
      </c>
      <c r="D195" t="s">
        <v>523</v>
      </c>
      <c r="E195" t="s">
        <v>19</v>
      </c>
      <c r="F195" t="s">
        <v>36</v>
      </c>
      <c r="G195"/>
      <c r="H195" t="s">
        <v>524</v>
      </c>
      <c r="I195" s="16">
        <v>-347980180000</v>
      </c>
      <c r="J195" s="16">
        <v>-583162160000</v>
      </c>
      <c r="K195" s="16" t="s">
        <v>1141</v>
      </c>
      <c r="L195" s="17">
        <f t="shared" si="12"/>
        <v>19</v>
      </c>
      <c r="M195" s="17">
        <f t="shared" si="13"/>
        <v>9</v>
      </c>
      <c r="N195" s="18">
        <f t="shared" si="14"/>
        <v>0.6785714285714286</v>
      </c>
      <c r="O195" s="28"/>
      <c r="P195" s="8" t="s">
        <v>941</v>
      </c>
      <c r="Q195" s="8" t="s">
        <v>941</v>
      </c>
      <c r="R195" s="8" t="s">
        <v>941</v>
      </c>
      <c r="S195" s="28" t="s">
        <v>941</v>
      </c>
      <c r="T195" s="28" t="s">
        <v>941</v>
      </c>
      <c r="U195" s="8" t="s">
        <v>941</v>
      </c>
      <c r="V195" s="8" t="s">
        <v>941</v>
      </c>
      <c r="W195" s="8" t="s">
        <v>941</v>
      </c>
      <c r="X195" s="28" t="s">
        <v>941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.75" thickBot="1" x14ac:dyDescent="0.3">
      <c r="A196" t="s">
        <v>62</v>
      </c>
      <c r="C196" s="46" t="s">
        <v>525</v>
      </c>
      <c r="D196" t="s">
        <v>523</v>
      </c>
      <c r="E196" t="s">
        <v>113</v>
      </c>
      <c r="F196" t="s">
        <v>36</v>
      </c>
      <c r="G196"/>
      <c r="H196" t="s">
        <v>524</v>
      </c>
      <c r="I196" s="16">
        <v>-347980200000</v>
      </c>
      <c r="J196" s="16">
        <v>-583162180000</v>
      </c>
      <c r="K196" s="16" t="s">
        <v>1142</v>
      </c>
      <c r="L196" s="17">
        <f t="shared" si="12"/>
        <v>19</v>
      </c>
      <c r="M196" s="17">
        <f t="shared" si="13"/>
        <v>9</v>
      </c>
      <c r="N196" s="18">
        <f t="shared" si="14"/>
        <v>0.6785714285714286</v>
      </c>
      <c r="O196" s="28"/>
      <c r="P196" s="8" t="s">
        <v>941</v>
      </c>
      <c r="Q196" s="8" t="s">
        <v>941</v>
      </c>
      <c r="R196" s="8" t="s">
        <v>941</v>
      </c>
      <c r="S196" s="28" t="s">
        <v>941</v>
      </c>
      <c r="T196" s="28" t="s">
        <v>941</v>
      </c>
      <c r="U196" s="8" t="s">
        <v>941</v>
      </c>
      <c r="V196" s="8" t="s">
        <v>941</v>
      </c>
      <c r="W196" s="8" t="s">
        <v>941</v>
      </c>
      <c r="X196" s="28" t="s">
        <v>941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.75" thickBot="1" x14ac:dyDescent="0.3">
      <c r="A197" t="s">
        <v>290</v>
      </c>
      <c r="C197" s="46" t="s">
        <v>526</v>
      </c>
      <c r="D197" t="s">
        <v>527</v>
      </c>
      <c r="E197" t="s">
        <v>19</v>
      </c>
      <c r="F197" t="s">
        <v>36</v>
      </c>
      <c r="G197"/>
      <c r="H197" t="s">
        <v>528</v>
      </c>
      <c r="I197" s="16">
        <v>-348657160000</v>
      </c>
      <c r="J197" s="16">
        <v>-581910020000</v>
      </c>
      <c r="K197" s="16" t="s">
        <v>1143</v>
      </c>
      <c r="L197" s="17">
        <f t="shared" ref="L197:L260" si="15">COUNTIF(O197:AP197,"")</f>
        <v>21</v>
      </c>
      <c r="M197" s="17">
        <f t="shared" ref="M197:M260" si="16">COUNTIF(O197:AP197,"APAGADO")</f>
        <v>7</v>
      </c>
      <c r="N197" s="18">
        <f t="shared" ref="N197:N260" si="17">(L197)/(M197+L197)</f>
        <v>0.75</v>
      </c>
      <c r="O197" s="28" t="s">
        <v>941</v>
      </c>
      <c r="P197" s="8" t="s">
        <v>941</v>
      </c>
      <c r="Q197" s="8" t="s">
        <v>941</v>
      </c>
      <c r="R197" s="8" t="s">
        <v>941</v>
      </c>
      <c r="S197" s="28" t="s">
        <v>941</v>
      </c>
      <c r="T197" s="28" t="s">
        <v>941</v>
      </c>
      <c r="U197" s="8"/>
      <c r="V197" s="8"/>
      <c r="W197" s="8"/>
      <c r="X197" s="28" t="s">
        <v>941</v>
      </c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.75" thickBot="1" x14ac:dyDescent="0.3">
      <c r="A198" t="s">
        <v>290</v>
      </c>
      <c r="C198" s="46" t="s">
        <v>529</v>
      </c>
      <c r="D198" t="s">
        <v>527</v>
      </c>
      <c r="E198" t="s">
        <v>113</v>
      </c>
      <c r="F198" t="s">
        <v>36</v>
      </c>
      <c r="G198"/>
      <c r="H198" t="s">
        <v>530</v>
      </c>
      <c r="I198" s="16">
        <v>-348657160000</v>
      </c>
      <c r="J198" s="16">
        <v>-581910020000</v>
      </c>
      <c r="K198" s="16" t="s">
        <v>1144</v>
      </c>
      <c r="L198" s="17">
        <f t="shared" si="15"/>
        <v>25</v>
      </c>
      <c r="M198" s="17">
        <f t="shared" si="16"/>
        <v>3</v>
      </c>
      <c r="N198" s="18">
        <f t="shared" si="17"/>
        <v>0.8928571428571429</v>
      </c>
      <c r="O198" s="28"/>
      <c r="P198" s="8" t="s">
        <v>941</v>
      </c>
      <c r="Q198" s="8" t="s">
        <v>941</v>
      </c>
      <c r="R198" s="8"/>
      <c r="S198" s="28"/>
      <c r="T198" s="28"/>
      <c r="U198" s="8"/>
      <c r="V198" s="8"/>
      <c r="W198" s="8"/>
      <c r="X198" s="28" t="s">
        <v>941</v>
      </c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.75" thickBot="1" x14ac:dyDescent="0.3">
      <c r="A199" t="s">
        <v>334</v>
      </c>
      <c r="C199" s="46" t="s">
        <v>531</v>
      </c>
      <c r="D199" t="s">
        <v>532</v>
      </c>
      <c r="E199" t="s">
        <v>19</v>
      </c>
      <c r="F199" t="s">
        <v>36</v>
      </c>
      <c r="G199"/>
      <c r="H199" t="s">
        <v>528</v>
      </c>
      <c r="I199" s="16">
        <v>-348711900000</v>
      </c>
      <c r="J199" s="16">
        <v>-581914850000</v>
      </c>
      <c r="K199" s="16" t="s">
        <v>1145</v>
      </c>
      <c r="L199" s="17">
        <f t="shared" si="15"/>
        <v>24</v>
      </c>
      <c r="M199" s="17">
        <f t="shared" si="16"/>
        <v>4</v>
      </c>
      <c r="N199" s="18">
        <f t="shared" si="17"/>
        <v>0.8571428571428571</v>
      </c>
      <c r="O199" s="28"/>
      <c r="P199" s="8"/>
      <c r="Q199" s="8"/>
      <c r="R199" s="8"/>
      <c r="S199" s="28"/>
      <c r="T199" s="28"/>
      <c r="U199" s="8" t="s">
        <v>941</v>
      </c>
      <c r="V199" s="8" t="s">
        <v>941</v>
      </c>
      <c r="W199" s="8" t="s">
        <v>941</v>
      </c>
      <c r="X199" s="28"/>
      <c r="Y199" s="28" t="s">
        <v>941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.75" thickBot="1" x14ac:dyDescent="0.3">
      <c r="A200" t="s">
        <v>334</v>
      </c>
      <c r="C200" s="46" t="s">
        <v>533</v>
      </c>
      <c r="D200" t="s">
        <v>532</v>
      </c>
      <c r="E200" t="s">
        <v>113</v>
      </c>
      <c r="F200" t="s">
        <v>36</v>
      </c>
      <c r="G200"/>
      <c r="H200" t="s">
        <v>530</v>
      </c>
      <c r="I200" s="16">
        <v>-348711900000</v>
      </c>
      <c r="J200" s="16">
        <v>-581914850000</v>
      </c>
      <c r="K200" s="16" t="s">
        <v>1146</v>
      </c>
      <c r="L200" s="17">
        <f t="shared" si="15"/>
        <v>27</v>
      </c>
      <c r="M200" s="17">
        <f t="shared" si="16"/>
        <v>1</v>
      </c>
      <c r="N200" s="18">
        <f t="shared" si="17"/>
        <v>0.9642857142857143</v>
      </c>
      <c r="O200" s="28"/>
      <c r="P200" s="8"/>
      <c r="Q200" s="8"/>
      <c r="R200" s="8"/>
      <c r="S200" s="28"/>
      <c r="T200" s="28"/>
      <c r="U200" s="8" t="s">
        <v>941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.75" thickBot="1" x14ac:dyDescent="0.3">
      <c r="A201" t="s">
        <v>359</v>
      </c>
      <c r="C201" s="46" t="s">
        <v>1156</v>
      </c>
      <c r="D201" t="s">
        <v>534</v>
      </c>
      <c r="E201" t="s">
        <v>24</v>
      </c>
      <c r="F201" t="s">
        <v>36</v>
      </c>
      <c r="G201"/>
      <c r="H201" t="s">
        <v>298</v>
      </c>
      <c r="I201" s="16">
        <v>-348096600000</v>
      </c>
      <c r="J201" s="16">
        <v>-583016800000</v>
      </c>
      <c r="K201" s="16" t="s">
        <v>1157</v>
      </c>
      <c r="L201" s="17">
        <f t="shared" si="15"/>
        <v>28</v>
      </c>
      <c r="M201" s="17">
        <f t="shared" si="16"/>
        <v>0</v>
      </c>
      <c r="N201" s="18">
        <f t="shared" si="17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.75" thickBot="1" x14ac:dyDescent="0.3">
      <c r="A202" t="s">
        <v>359</v>
      </c>
      <c r="C202" s="46" t="s">
        <v>535</v>
      </c>
      <c r="D202" t="s">
        <v>534</v>
      </c>
      <c r="E202" t="s">
        <v>113</v>
      </c>
      <c r="F202" t="s">
        <v>36</v>
      </c>
      <c r="G202"/>
      <c r="H202" t="s">
        <v>536</v>
      </c>
      <c r="I202" s="16">
        <v>-348095830000</v>
      </c>
      <c r="J202" s="16">
        <v>-583017120000</v>
      </c>
      <c r="K202" s="16" t="s">
        <v>1147</v>
      </c>
      <c r="L202" s="17">
        <f t="shared" si="15"/>
        <v>28</v>
      </c>
      <c r="M202" s="17">
        <f t="shared" si="16"/>
        <v>0</v>
      </c>
      <c r="N202" s="18">
        <f t="shared" si="17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.75" thickBot="1" x14ac:dyDescent="0.3">
      <c r="A203" t="s">
        <v>447</v>
      </c>
      <c r="C203" s="46" t="s">
        <v>537</v>
      </c>
      <c r="D203" t="s">
        <v>538</v>
      </c>
      <c r="E203" t="s">
        <v>113</v>
      </c>
      <c r="F203" t="s">
        <v>36</v>
      </c>
      <c r="G203"/>
      <c r="H203" t="s">
        <v>539</v>
      </c>
      <c r="I203" s="16">
        <v>-348071780000</v>
      </c>
      <c r="J203" s="16">
        <v>-583115710000</v>
      </c>
      <c r="K203" s="16" t="s">
        <v>1148</v>
      </c>
      <c r="L203" s="17">
        <f t="shared" si="15"/>
        <v>28</v>
      </c>
      <c r="M203" s="17">
        <f t="shared" si="16"/>
        <v>0</v>
      </c>
      <c r="N203" s="18">
        <f t="shared" si="17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.75" thickBot="1" x14ac:dyDescent="0.3">
      <c r="A204" t="s">
        <v>540</v>
      </c>
      <c r="C204" s="46" t="s">
        <v>541</v>
      </c>
      <c r="D204" t="s">
        <v>542</v>
      </c>
      <c r="E204" t="s">
        <v>19</v>
      </c>
      <c r="F204" t="s">
        <v>36</v>
      </c>
      <c r="G204"/>
      <c r="H204" t="s">
        <v>536</v>
      </c>
      <c r="I204" s="16">
        <v>-348476780000</v>
      </c>
      <c r="J204" s="16">
        <v>-582894530000</v>
      </c>
      <c r="K204" s="16" t="s">
        <v>1150</v>
      </c>
      <c r="L204" s="17">
        <f t="shared" si="15"/>
        <v>21</v>
      </c>
      <c r="M204" s="17">
        <f t="shared" si="16"/>
        <v>7</v>
      </c>
      <c r="N204" s="18">
        <f t="shared" si="17"/>
        <v>0.75</v>
      </c>
      <c r="O204" s="28" t="s">
        <v>941</v>
      </c>
      <c r="P204" s="8"/>
      <c r="Q204" s="8"/>
      <c r="R204" s="8"/>
      <c r="S204" s="28"/>
      <c r="T204" s="28" t="s">
        <v>941</v>
      </c>
      <c r="U204" s="8" t="s">
        <v>941</v>
      </c>
      <c r="V204" s="8" t="s">
        <v>941</v>
      </c>
      <c r="W204" s="8" t="s">
        <v>941</v>
      </c>
      <c r="X204" s="28" t="s">
        <v>941</v>
      </c>
      <c r="Y204" s="28" t="s">
        <v>941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.75" thickBot="1" x14ac:dyDescent="0.3">
      <c r="A205" t="s">
        <v>540</v>
      </c>
      <c r="C205" s="46" t="s">
        <v>543</v>
      </c>
      <c r="D205" t="s">
        <v>542</v>
      </c>
      <c r="E205" t="s">
        <v>113</v>
      </c>
      <c r="F205" t="s">
        <v>36</v>
      </c>
      <c r="G205"/>
      <c r="H205" t="s">
        <v>536</v>
      </c>
      <c r="I205" s="16">
        <v>-348477280000</v>
      </c>
      <c r="J205" s="16">
        <v>-582894670000</v>
      </c>
      <c r="K205" s="16" t="s">
        <v>1151</v>
      </c>
      <c r="L205" s="17">
        <f t="shared" si="15"/>
        <v>22</v>
      </c>
      <c r="M205" s="17">
        <f t="shared" si="16"/>
        <v>6</v>
      </c>
      <c r="N205" s="18">
        <f t="shared" si="17"/>
        <v>0.7857142857142857</v>
      </c>
      <c r="O205" s="28"/>
      <c r="P205" s="8"/>
      <c r="Q205" s="8"/>
      <c r="R205" s="8"/>
      <c r="S205" s="28"/>
      <c r="T205" s="28" t="s">
        <v>941</v>
      </c>
      <c r="U205" s="8" t="s">
        <v>941</v>
      </c>
      <c r="V205" s="8" t="s">
        <v>941</v>
      </c>
      <c r="W205" s="8" t="s">
        <v>941</v>
      </c>
      <c r="X205" s="28" t="s">
        <v>941</v>
      </c>
      <c r="Y205" s="28" t="s">
        <v>941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.75" thickBot="1" x14ac:dyDescent="0.3">
      <c r="A206" t="s">
        <v>544</v>
      </c>
      <c r="C206" s="46" t="s">
        <v>545</v>
      </c>
      <c r="D206" t="s">
        <v>546</v>
      </c>
      <c r="E206" t="s">
        <v>19</v>
      </c>
      <c r="F206" t="s">
        <v>36</v>
      </c>
      <c r="G206"/>
      <c r="H206" t="s">
        <v>536</v>
      </c>
      <c r="I206" s="16">
        <v>-348676700000</v>
      </c>
      <c r="J206" s="16">
        <v>-582754020000</v>
      </c>
      <c r="K206" s="16" t="s">
        <v>1158</v>
      </c>
      <c r="L206" s="17">
        <f t="shared" si="15"/>
        <v>17</v>
      </c>
      <c r="M206" s="17">
        <f t="shared" si="16"/>
        <v>11</v>
      </c>
      <c r="N206" s="18">
        <f t="shared" si="17"/>
        <v>0.6071428571428571</v>
      </c>
      <c r="O206" s="28" t="s">
        <v>941</v>
      </c>
      <c r="P206" s="8" t="s">
        <v>941</v>
      </c>
      <c r="Q206" s="8" t="s">
        <v>941</v>
      </c>
      <c r="R206" s="8" t="s">
        <v>941</v>
      </c>
      <c r="S206" s="28" t="s">
        <v>941</v>
      </c>
      <c r="T206" s="28" t="s">
        <v>941</v>
      </c>
      <c r="U206" s="8" t="s">
        <v>941</v>
      </c>
      <c r="V206" s="8" t="s">
        <v>941</v>
      </c>
      <c r="W206" s="8" t="s">
        <v>941</v>
      </c>
      <c r="X206" s="28" t="s">
        <v>941</v>
      </c>
      <c r="Y206" s="28" t="s">
        <v>941</v>
      </c>
      <c r="Z206" s="28"/>
      <c r="AA206" s="28"/>
      <c r="AB206" s="28"/>
      <c r="AC206" s="28"/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.75" thickBot="1" x14ac:dyDescent="0.3">
      <c r="A207" t="s">
        <v>311</v>
      </c>
      <c r="C207" s="46" t="s">
        <v>547</v>
      </c>
      <c r="D207" t="s">
        <v>548</v>
      </c>
      <c r="E207" t="s">
        <v>19</v>
      </c>
      <c r="F207" t="s">
        <v>947</v>
      </c>
      <c r="G207"/>
      <c r="H207" t="s">
        <v>549</v>
      </c>
      <c r="I207" s="16">
        <v>-348181990000</v>
      </c>
      <c r="J207" s="16">
        <v>-583002490000</v>
      </c>
      <c r="K207" s="16" t="s">
        <v>1152</v>
      </c>
      <c r="L207" s="17">
        <f t="shared" si="15"/>
        <v>26</v>
      </c>
      <c r="M207" s="17">
        <f t="shared" si="16"/>
        <v>2</v>
      </c>
      <c r="N207" s="18">
        <f t="shared" si="17"/>
        <v>0.9285714285714286</v>
      </c>
      <c r="O207" s="28"/>
      <c r="P207" s="8" t="s">
        <v>941</v>
      </c>
      <c r="Q207" s="8" t="s">
        <v>941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.75" thickBot="1" x14ac:dyDescent="0.3">
      <c r="A208" t="s">
        <v>311</v>
      </c>
      <c r="C208" s="46" t="s">
        <v>550</v>
      </c>
      <c r="D208" t="s">
        <v>548</v>
      </c>
      <c r="E208" t="s">
        <v>113</v>
      </c>
      <c r="F208" t="s">
        <v>947</v>
      </c>
      <c r="G208"/>
      <c r="H208" t="s">
        <v>549</v>
      </c>
      <c r="I208" s="16">
        <v>-348181940000</v>
      </c>
      <c r="J208" s="16">
        <v>-583002740000</v>
      </c>
      <c r="K208" s="16" t="s">
        <v>1153</v>
      </c>
      <c r="L208" s="17">
        <f t="shared" si="15"/>
        <v>26</v>
      </c>
      <c r="M208" s="17">
        <f t="shared" si="16"/>
        <v>2</v>
      </c>
      <c r="N208" s="18">
        <f t="shared" si="17"/>
        <v>0.9285714285714286</v>
      </c>
      <c r="O208" s="28"/>
      <c r="P208" s="8" t="s">
        <v>941</v>
      </c>
      <c r="Q208" s="8" t="s">
        <v>941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.75" thickBot="1" x14ac:dyDescent="0.3">
      <c r="A209" t="s">
        <v>551</v>
      </c>
      <c r="C209" s="46" t="s">
        <v>552</v>
      </c>
      <c r="D209" t="s">
        <v>553</v>
      </c>
      <c r="E209" t="s">
        <v>19</v>
      </c>
      <c r="F209" t="s">
        <v>36</v>
      </c>
      <c r="G209"/>
      <c r="H209" t="s">
        <v>342</v>
      </c>
      <c r="I209" s="16">
        <v>-348181790000</v>
      </c>
      <c r="J209" s="16">
        <v>-582067620000</v>
      </c>
      <c r="K209" s="16" t="s">
        <v>1159</v>
      </c>
      <c r="L209" s="17">
        <f t="shared" si="15"/>
        <v>28</v>
      </c>
      <c r="M209" s="17">
        <f t="shared" si="16"/>
        <v>0</v>
      </c>
      <c r="N209" s="18">
        <f t="shared" si="17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.75" thickBot="1" x14ac:dyDescent="0.3">
      <c r="A210" t="s">
        <v>551</v>
      </c>
      <c r="C210" s="46" t="s">
        <v>554</v>
      </c>
      <c r="D210" t="s">
        <v>553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1160</v>
      </c>
      <c r="L210" s="17">
        <f t="shared" si="15"/>
        <v>28</v>
      </c>
      <c r="M210" s="17">
        <f t="shared" si="16"/>
        <v>0</v>
      </c>
      <c r="N210" s="18">
        <f t="shared" si="17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.75" thickBot="1" x14ac:dyDescent="0.3">
      <c r="A211" t="s">
        <v>540</v>
      </c>
      <c r="C211" s="46" t="s">
        <v>555</v>
      </c>
      <c r="D211" t="s">
        <v>556</v>
      </c>
      <c r="E211" t="s">
        <v>19</v>
      </c>
      <c r="F211" t="s">
        <v>36</v>
      </c>
      <c r="G211"/>
      <c r="H211" t="s">
        <v>536</v>
      </c>
      <c r="I211" s="16">
        <v>-348315930000</v>
      </c>
      <c r="J211" s="16">
        <v>-582907280000</v>
      </c>
      <c r="K211" s="16" t="s">
        <v>1155</v>
      </c>
      <c r="L211" s="17">
        <f t="shared" si="15"/>
        <v>28</v>
      </c>
      <c r="M211" s="17">
        <f t="shared" si="16"/>
        <v>0</v>
      </c>
      <c r="N211" s="18">
        <f t="shared" si="17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.75" thickBot="1" x14ac:dyDescent="0.3">
      <c r="A212" t="s">
        <v>540</v>
      </c>
      <c r="C212" s="46" t="s">
        <v>557</v>
      </c>
      <c r="D212" t="s">
        <v>556</v>
      </c>
      <c r="E212" t="s">
        <v>113</v>
      </c>
      <c r="F212" t="s">
        <v>36</v>
      </c>
      <c r="G212"/>
      <c r="H212" t="s">
        <v>536</v>
      </c>
      <c r="I212" s="16">
        <v>-348315930000</v>
      </c>
      <c r="J212" s="16">
        <v>-582907280000</v>
      </c>
      <c r="K212" s="16" t="s">
        <v>1154</v>
      </c>
      <c r="L212" s="17">
        <f t="shared" si="15"/>
        <v>28</v>
      </c>
      <c r="M212" s="17">
        <f t="shared" si="16"/>
        <v>0</v>
      </c>
      <c r="N212" s="18">
        <f t="shared" si="17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.75" thickBot="1" x14ac:dyDescent="0.3">
      <c r="A213" t="s">
        <v>447</v>
      </c>
      <c r="C213" s="46" t="s">
        <v>558</v>
      </c>
      <c r="D213" t="s">
        <v>538</v>
      </c>
      <c r="E213" t="s">
        <v>19</v>
      </c>
      <c r="F213" t="s">
        <v>36</v>
      </c>
      <c r="G213"/>
      <c r="H213" t="s">
        <v>536</v>
      </c>
      <c r="I213" s="16">
        <v>-348071730000</v>
      </c>
      <c r="J213" s="16">
        <v>-583116710000</v>
      </c>
      <c r="K213" s="16" t="s">
        <v>1149</v>
      </c>
      <c r="L213" s="17">
        <f t="shared" si="15"/>
        <v>28</v>
      </c>
      <c r="M213" s="17">
        <f t="shared" si="16"/>
        <v>0</v>
      </c>
      <c r="N213" s="18">
        <f t="shared" si="17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.75" thickBot="1" x14ac:dyDescent="0.3">
      <c r="A214" t="s">
        <v>559</v>
      </c>
      <c r="C214" s="46" t="s">
        <v>560</v>
      </c>
      <c r="D214" t="s">
        <v>561</v>
      </c>
      <c r="E214" t="s">
        <v>19</v>
      </c>
      <c r="F214" t="s">
        <v>36</v>
      </c>
      <c r="G214"/>
      <c r="H214" t="s">
        <v>562</v>
      </c>
      <c r="I214" s="16">
        <v>-348307510000</v>
      </c>
      <c r="J214" s="16">
        <v>-582304880000</v>
      </c>
      <c r="K214" s="16" t="s">
        <v>1161</v>
      </c>
      <c r="L214" s="17">
        <f t="shared" si="15"/>
        <v>28</v>
      </c>
      <c r="M214" s="17">
        <f t="shared" si="16"/>
        <v>0</v>
      </c>
      <c r="N214" s="18">
        <f t="shared" si="17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.75" thickBot="1" x14ac:dyDescent="0.3">
      <c r="A215" t="s">
        <v>559</v>
      </c>
      <c r="C215" s="46" t="s">
        <v>563</v>
      </c>
      <c r="D215" t="s">
        <v>564</v>
      </c>
      <c r="E215" t="s">
        <v>19</v>
      </c>
      <c r="F215" t="s">
        <v>36</v>
      </c>
      <c r="G215"/>
      <c r="H215" t="s">
        <v>342</v>
      </c>
      <c r="I215" s="16">
        <v>-348296530000</v>
      </c>
      <c r="J215" s="16">
        <v>-582293330000</v>
      </c>
      <c r="K215" s="16" t="s">
        <v>1162</v>
      </c>
      <c r="L215" s="17">
        <f t="shared" si="15"/>
        <v>28</v>
      </c>
      <c r="M215" s="17">
        <f t="shared" si="16"/>
        <v>0</v>
      </c>
      <c r="N215" s="18">
        <f t="shared" si="17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.75" thickBot="1" x14ac:dyDescent="0.3">
      <c r="A216" t="s">
        <v>559</v>
      </c>
      <c r="C216" s="46" t="s">
        <v>565</v>
      </c>
      <c r="D216" t="s">
        <v>566</v>
      </c>
      <c r="E216" t="s">
        <v>113</v>
      </c>
      <c r="F216" t="s">
        <v>36</v>
      </c>
      <c r="G216"/>
      <c r="H216" t="s">
        <v>567</v>
      </c>
      <c r="I216" s="16">
        <v>-348304210000</v>
      </c>
      <c r="J216" s="16">
        <v>-582269250000</v>
      </c>
      <c r="K216" s="16" t="s">
        <v>1163</v>
      </c>
      <c r="L216" s="17">
        <f t="shared" si="15"/>
        <v>28</v>
      </c>
      <c r="M216" s="17">
        <f t="shared" si="16"/>
        <v>0</v>
      </c>
      <c r="N216" s="18">
        <f t="shared" si="17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.75" thickBot="1" x14ac:dyDescent="0.3">
      <c r="A217" t="s">
        <v>559</v>
      </c>
      <c r="C217" s="46" t="s">
        <v>568</v>
      </c>
      <c r="D217" t="s">
        <v>566</v>
      </c>
      <c r="E217" t="s">
        <v>113</v>
      </c>
      <c r="F217" t="s">
        <v>36</v>
      </c>
      <c r="G217"/>
      <c r="H217" t="s">
        <v>567</v>
      </c>
      <c r="I217" s="16">
        <v>-348304120000</v>
      </c>
      <c r="J217" s="16">
        <v>-582269240000</v>
      </c>
      <c r="K217" s="16" t="s">
        <v>1164</v>
      </c>
      <c r="L217" s="17">
        <f t="shared" si="15"/>
        <v>28</v>
      </c>
      <c r="M217" s="17">
        <f t="shared" si="16"/>
        <v>0</v>
      </c>
      <c r="N217" s="18">
        <f t="shared" si="17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.75" thickBot="1" x14ac:dyDescent="0.3">
      <c r="A218" t="s">
        <v>559</v>
      </c>
      <c r="C218" s="46" t="s">
        <v>569</v>
      </c>
      <c r="D218" t="s">
        <v>570</v>
      </c>
      <c r="E218" t="s">
        <v>113</v>
      </c>
      <c r="F218" t="s">
        <v>36</v>
      </c>
      <c r="G218"/>
      <c r="H218" t="s">
        <v>249</v>
      </c>
      <c r="I218" s="16">
        <v>-348327470000</v>
      </c>
      <c r="J218" s="16">
        <v>-582277380000</v>
      </c>
      <c r="K218" s="16" t="s">
        <v>1165</v>
      </c>
      <c r="L218" s="17">
        <f t="shared" si="15"/>
        <v>28</v>
      </c>
      <c r="M218" s="17">
        <f t="shared" si="16"/>
        <v>0</v>
      </c>
      <c r="N218" s="18">
        <f t="shared" si="17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.75" thickBot="1" x14ac:dyDescent="0.3">
      <c r="A219" t="s">
        <v>559</v>
      </c>
      <c r="C219" s="46" t="s">
        <v>571</v>
      </c>
      <c r="D219" t="s">
        <v>570</v>
      </c>
      <c r="E219" t="s">
        <v>73</v>
      </c>
      <c r="F219" t="s">
        <v>36</v>
      </c>
      <c r="G219"/>
      <c r="H219" t="s">
        <v>572</v>
      </c>
      <c r="I219" s="16">
        <v>-348327560000</v>
      </c>
      <c r="J219" s="16">
        <v>-582277570000</v>
      </c>
      <c r="K219" s="16" t="s">
        <v>1166</v>
      </c>
      <c r="L219" s="17">
        <f t="shared" si="15"/>
        <v>28</v>
      </c>
      <c r="M219" s="17">
        <f t="shared" si="16"/>
        <v>0</v>
      </c>
      <c r="N219" s="18">
        <f t="shared" si="17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.75" thickBot="1" x14ac:dyDescent="0.3">
      <c r="A220" t="s">
        <v>573</v>
      </c>
      <c r="C220" s="46" t="s">
        <v>574</v>
      </c>
      <c r="D220" t="s">
        <v>575</v>
      </c>
      <c r="E220" t="s">
        <v>19</v>
      </c>
      <c r="F220" t="s">
        <v>36</v>
      </c>
      <c r="G220"/>
      <c r="H220" t="s">
        <v>342</v>
      </c>
      <c r="I220" s="16">
        <v>-348284690000</v>
      </c>
      <c r="J220" s="16">
        <v>-582281770000</v>
      </c>
      <c r="K220" s="16" t="s">
        <v>1167</v>
      </c>
      <c r="L220" s="17">
        <f t="shared" si="15"/>
        <v>28</v>
      </c>
      <c r="M220" s="17">
        <f t="shared" si="16"/>
        <v>0</v>
      </c>
      <c r="N220" s="18">
        <f t="shared" si="17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.75" thickBot="1" x14ac:dyDescent="0.3">
      <c r="A221" t="s">
        <v>573</v>
      </c>
      <c r="C221" s="46" t="s">
        <v>576</v>
      </c>
      <c r="D221" t="s">
        <v>577</v>
      </c>
      <c r="E221" t="s">
        <v>19</v>
      </c>
      <c r="F221" t="s">
        <v>36</v>
      </c>
      <c r="G221"/>
      <c r="H221" t="s">
        <v>342</v>
      </c>
      <c r="I221" s="16">
        <v>-348266150000</v>
      </c>
      <c r="J221" s="16">
        <v>-582261560000</v>
      </c>
      <c r="K221" s="16" t="s">
        <v>1170</v>
      </c>
      <c r="L221" s="17">
        <f t="shared" si="15"/>
        <v>28</v>
      </c>
      <c r="M221" s="17">
        <f t="shared" si="16"/>
        <v>0</v>
      </c>
      <c r="N221" s="18">
        <f t="shared" si="17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.75" thickBot="1" x14ac:dyDescent="0.3">
      <c r="A222" t="s">
        <v>573</v>
      </c>
      <c r="C222" s="46" t="s">
        <v>578</v>
      </c>
      <c r="D222" t="s">
        <v>579</v>
      </c>
      <c r="E222" t="s">
        <v>113</v>
      </c>
      <c r="F222" t="s">
        <v>36</v>
      </c>
      <c r="G222"/>
      <c r="H222" t="s">
        <v>567</v>
      </c>
      <c r="I222" s="16">
        <v>-348268070000</v>
      </c>
      <c r="J222" s="16">
        <v>-582275680000</v>
      </c>
      <c r="K222" s="16" t="s">
        <v>1168</v>
      </c>
      <c r="L222" s="17">
        <f t="shared" si="15"/>
        <v>28</v>
      </c>
      <c r="M222" s="17">
        <f t="shared" si="16"/>
        <v>0</v>
      </c>
      <c r="N222" s="18">
        <f t="shared" si="17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.75" thickBot="1" x14ac:dyDescent="0.3">
      <c r="A223" t="s">
        <v>573</v>
      </c>
      <c r="C223" s="46" t="s">
        <v>580</v>
      </c>
      <c r="D223" t="s">
        <v>579</v>
      </c>
      <c r="E223" t="s">
        <v>113</v>
      </c>
      <c r="F223" t="s">
        <v>36</v>
      </c>
      <c r="G223"/>
      <c r="H223" t="s">
        <v>581</v>
      </c>
      <c r="I223" s="16">
        <v>-348268070000</v>
      </c>
      <c r="J223" s="16">
        <v>-582275680000</v>
      </c>
      <c r="K223" s="16" t="s">
        <v>1169</v>
      </c>
      <c r="L223" s="17">
        <f t="shared" si="15"/>
        <v>28</v>
      </c>
      <c r="M223" s="17">
        <f t="shared" si="16"/>
        <v>0</v>
      </c>
      <c r="N223" s="18">
        <f t="shared" si="17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.75" thickBot="1" x14ac:dyDescent="0.3">
      <c r="A224" t="s">
        <v>573</v>
      </c>
      <c r="B224" s="60">
        <v>44629</v>
      </c>
      <c r="C224" s="62" t="s">
        <v>582</v>
      </c>
      <c r="D224" t="s">
        <v>583</v>
      </c>
      <c r="E224" t="s">
        <v>19</v>
      </c>
      <c r="F224" t="s">
        <v>36</v>
      </c>
      <c r="G224"/>
      <c r="H224" t="s">
        <v>584</v>
      </c>
      <c r="I224" s="16">
        <v>-348255670000</v>
      </c>
      <c r="J224" s="16">
        <v>-582250020000</v>
      </c>
      <c r="K224" s="16" t="s">
        <v>1171</v>
      </c>
      <c r="L224" s="17">
        <f t="shared" si="15"/>
        <v>17</v>
      </c>
      <c r="M224" s="17">
        <f t="shared" si="16"/>
        <v>11</v>
      </c>
      <c r="N224" s="18">
        <f t="shared" si="17"/>
        <v>0.6071428571428571</v>
      </c>
      <c r="O224" s="28" t="s">
        <v>941</v>
      </c>
      <c r="P224" s="8" t="s">
        <v>941</v>
      </c>
      <c r="Q224" s="8" t="s">
        <v>941</v>
      </c>
      <c r="R224" s="8" t="s">
        <v>941</v>
      </c>
      <c r="S224" s="28" t="s">
        <v>941</v>
      </c>
      <c r="T224" s="28" t="s">
        <v>941</v>
      </c>
      <c r="U224" s="8" t="s">
        <v>941</v>
      </c>
      <c r="V224" s="8" t="s">
        <v>941</v>
      </c>
      <c r="W224" s="8" t="s">
        <v>941</v>
      </c>
      <c r="X224" s="28" t="s">
        <v>941</v>
      </c>
      <c r="Y224" s="28" t="s">
        <v>941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.75" thickBot="1" x14ac:dyDescent="0.3">
      <c r="A225" t="s">
        <v>413</v>
      </c>
      <c r="C225" s="46" t="s">
        <v>585</v>
      </c>
      <c r="D225" t="s">
        <v>586</v>
      </c>
      <c r="E225" t="s">
        <v>24</v>
      </c>
      <c r="F225" t="s">
        <v>36</v>
      </c>
      <c r="G225" t="s">
        <v>587</v>
      </c>
      <c r="H225"/>
      <c r="I225" s="16">
        <v>-347820290000</v>
      </c>
      <c r="J225" s="16">
        <v>-582627140000</v>
      </c>
      <c r="K225" s="16" t="s">
        <v>1172</v>
      </c>
      <c r="L225" s="17">
        <f t="shared" si="15"/>
        <v>28</v>
      </c>
      <c r="M225" s="17">
        <f t="shared" si="16"/>
        <v>0</v>
      </c>
      <c r="N225" s="18">
        <f t="shared" si="17"/>
        <v>1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.75" thickBot="1" x14ac:dyDescent="0.3">
      <c r="A226" t="s">
        <v>588</v>
      </c>
      <c r="C226" s="46" t="s">
        <v>589</v>
      </c>
      <c r="D226" t="s">
        <v>590</v>
      </c>
      <c r="E226" t="s">
        <v>24</v>
      </c>
      <c r="F226" t="s">
        <v>36</v>
      </c>
      <c r="G226" t="s">
        <v>591</v>
      </c>
      <c r="H226"/>
      <c r="I226" s="16">
        <v>-347820510000</v>
      </c>
      <c r="J226" s="16">
        <v>-582792740000</v>
      </c>
      <c r="K226" s="16" t="s">
        <v>1173</v>
      </c>
      <c r="L226" s="17">
        <f t="shared" si="15"/>
        <v>28</v>
      </c>
      <c r="M226" s="17">
        <f t="shared" si="16"/>
        <v>0</v>
      </c>
      <c r="N226" s="18">
        <f t="shared" si="17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.75" thickBot="1" x14ac:dyDescent="0.3">
      <c r="A227" t="s">
        <v>588</v>
      </c>
      <c r="C227" s="46" t="s">
        <v>592</v>
      </c>
      <c r="D227" t="s">
        <v>593</v>
      </c>
      <c r="E227" t="s">
        <v>24</v>
      </c>
      <c r="F227" t="s">
        <v>36</v>
      </c>
      <c r="G227" t="s">
        <v>594</v>
      </c>
      <c r="H227"/>
      <c r="I227" s="16">
        <v>-347891490000</v>
      </c>
      <c r="J227" s="16">
        <v>-582788520000</v>
      </c>
      <c r="K227" s="16" t="s">
        <v>1174</v>
      </c>
      <c r="L227" s="17">
        <f t="shared" si="15"/>
        <v>28</v>
      </c>
      <c r="M227" s="17">
        <f t="shared" si="16"/>
        <v>0</v>
      </c>
      <c r="N227" s="18">
        <f t="shared" si="17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.75" thickBot="1" x14ac:dyDescent="0.3">
      <c r="A228" t="s">
        <v>595</v>
      </c>
      <c r="C228" s="46" t="s">
        <v>596</v>
      </c>
      <c r="D228" t="s">
        <v>597</v>
      </c>
      <c r="E228" t="s">
        <v>24</v>
      </c>
      <c r="F228" t="s">
        <v>25</v>
      </c>
      <c r="G228" t="s">
        <v>278</v>
      </c>
      <c r="H228"/>
      <c r="I228" s="16">
        <v>-347858230000</v>
      </c>
      <c r="J228" s="16">
        <v>-582788230000</v>
      </c>
      <c r="K228" s="16" t="s">
        <v>1175</v>
      </c>
      <c r="L228" s="17">
        <f t="shared" si="15"/>
        <v>28</v>
      </c>
      <c r="M228" s="17">
        <f t="shared" si="16"/>
        <v>0</v>
      </c>
      <c r="N228" s="18">
        <f t="shared" si="17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.75" thickBot="1" x14ac:dyDescent="0.3">
      <c r="A229" t="s">
        <v>458</v>
      </c>
      <c r="C229" s="46" t="s">
        <v>598</v>
      </c>
      <c r="D229" t="s">
        <v>599</v>
      </c>
      <c r="E229" t="s">
        <v>24</v>
      </c>
      <c r="F229" t="s">
        <v>36</v>
      </c>
      <c r="G229" t="s">
        <v>600</v>
      </c>
      <c r="H229"/>
      <c r="I229" s="16">
        <v>-347803150000</v>
      </c>
      <c r="J229" s="16">
        <v>-582792150000</v>
      </c>
      <c r="K229" s="16" t="s">
        <v>1178</v>
      </c>
      <c r="L229" s="17">
        <f t="shared" si="15"/>
        <v>28</v>
      </c>
      <c r="M229" s="17">
        <f t="shared" si="16"/>
        <v>0</v>
      </c>
      <c r="N229" s="18">
        <f t="shared" si="17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.75" thickBot="1" x14ac:dyDescent="0.3">
      <c r="A230" t="s">
        <v>458</v>
      </c>
      <c r="C230" s="46" t="s">
        <v>601</v>
      </c>
      <c r="D230" t="s">
        <v>602</v>
      </c>
      <c r="E230" t="s">
        <v>24</v>
      </c>
      <c r="F230" t="s">
        <v>36</v>
      </c>
      <c r="G230" t="s">
        <v>603</v>
      </c>
      <c r="H230"/>
      <c r="I230" s="16">
        <v>-347724810000</v>
      </c>
      <c r="J230" s="16">
        <v>-582779860000</v>
      </c>
      <c r="K230" s="16" t="s">
        <v>1179</v>
      </c>
      <c r="L230" s="17">
        <f t="shared" si="15"/>
        <v>27</v>
      </c>
      <c r="M230" s="17">
        <f t="shared" si="16"/>
        <v>1</v>
      </c>
      <c r="N230" s="18">
        <f t="shared" si="17"/>
        <v>0.9642857142857143</v>
      </c>
      <c r="O230" s="28" t="s">
        <v>941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.75" thickBot="1" x14ac:dyDescent="0.3">
      <c r="A231" t="s">
        <v>458</v>
      </c>
      <c r="C231" s="46" t="s">
        <v>604</v>
      </c>
      <c r="D231" t="s">
        <v>605</v>
      </c>
      <c r="E231" t="s">
        <v>113</v>
      </c>
      <c r="F231" t="s">
        <v>36</v>
      </c>
      <c r="G231"/>
      <c r="H231" t="s">
        <v>249</v>
      </c>
      <c r="I231" s="16">
        <v>-347758420000</v>
      </c>
      <c r="J231" s="16">
        <v>-582787380000</v>
      </c>
      <c r="K231" s="16" t="s">
        <v>1176</v>
      </c>
      <c r="L231" s="17">
        <f t="shared" si="15"/>
        <v>28</v>
      </c>
      <c r="M231" s="17">
        <f t="shared" si="16"/>
        <v>0</v>
      </c>
      <c r="N231" s="18">
        <f t="shared" si="17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.75" thickBot="1" x14ac:dyDescent="0.3">
      <c r="A232" t="s">
        <v>458</v>
      </c>
      <c r="C232" s="46" t="s">
        <v>606</v>
      </c>
      <c r="D232" t="s">
        <v>605</v>
      </c>
      <c r="E232" t="s">
        <v>113</v>
      </c>
      <c r="F232" t="s">
        <v>36</v>
      </c>
      <c r="G232"/>
      <c r="H232" t="s">
        <v>249</v>
      </c>
      <c r="I232" s="16">
        <v>-347758300000</v>
      </c>
      <c r="J232" s="16">
        <v>-582787420000</v>
      </c>
      <c r="K232" s="16" t="s">
        <v>1177</v>
      </c>
      <c r="L232" s="17">
        <f t="shared" si="15"/>
        <v>28</v>
      </c>
      <c r="M232" s="17">
        <f t="shared" si="16"/>
        <v>0</v>
      </c>
      <c r="N232" s="18">
        <f t="shared" si="17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.75" thickBot="1" x14ac:dyDescent="0.3">
      <c r="A233" t="s">
        <v>588</v>
      </c>
      <c r="C233" s="46" t="s">
        <v>607</v>
      </c>
      <c r="D233" t="s">
        <v>608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1181</v>
      </c>
      <c r="L233" s="17">
        <f t="shared" si="15"/>
        <v>27</v>
      </c>
      <c r="M233" s="17">
        <f t="shared" si="16"/>
        <v>1</v>
      </c>
      <c r="N233" s="18">
        <f t="shared" si="17"/>
        <v>0.9642857142857143</v>
      </c>
      <c r="O233" s="28"/>
      <c r="P233" s="8"/>
      <c r="Q233" s="8" t="s">
        <v>941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.75" thickBot="1" x14ac:dyDescent="0.3">
      <c r="C234" s="46" t="s">
        <v>609</v>
      </c>
      <c r="D234" t="s">
        <v>610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1182</v>
      </c>
      <c r="L234" s="17">
        <f t="shared" si="15"/>
        <v>28</v>
      </c>
      <c r="M234" s="17">
        <f t="shared" si="16"/>
        <v>0</v>
      </c>
      <c r="N234" s="18">
        <f t="shared" si="17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.75" thickBot="1" x14ac:dyDescent="0.3">
      <c r="A235" t="s">
        <v>611</v>
      </c>
      <c r="C235" s="46" t="s">
        <v>612</v>
      </c>
      <c r="D235" t="s">
        <v>613</v>
      </c>
      <c r="E235" t="s">
        <v>24</v>
      </c>
      <c r="F235" t="s">
        <v>36</v>
      </c>
      <c r="G235"/>
      <c r="H235" t="s">
        <v>614</v>
      </c>
      <c r="I235" s="16">
        <v>-347813810000</v>
      </c>
      <c r="J235" s="16">
        <v>-582945970000</v>
      </c>
      <c r="K235" s="16" t="s">
        <v>1183</v>
      </c>
      <c r="L235" s="17">
        <f t="shared" si="15"/>
        <v>28</v>
      </c>
      <c r="M235" s="17">
        <f t="shared" si="16"/>
        <v>0</v>
      </c>
      <c r="N235" s="18">
        <f t="shared" si="17"/>
        <v>1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.75" thickBot="1" x14ac:dyDescent="0.3">
      <c r="A236" t="s">
        <v>611</v>
      </c>
      <c r="C236" s="46" t="s">
        <v>615</v>
      </c>
      <c r="D236" t="s">
        <v>613</v>
      </c>
      <c r="E236" t="s">
        <v>113</v>
      </c>
      <c r="F236" t="s">
        <v>36</v>
      </c>
      <c r="G236"/>
      <c r="H236" t="s">
        <v>616</v>
      </c>
      <c r="I236" s="16">
        <v>-347813820000</v>
      </c>
      <c r="J236" s="16">
        <v>-582946080000</v>
      </c>
      <c r="K236" s="16" t="s">
        <v>1184</v>
      </c>
      <c r="L236" s="17">
        <f t="shared" si="15"/>
        <v>28</v>
      </c>
      <c r="M236" s="17">
        <f t="shared" si="16"/>
        <v>0</v>
      </c>
      <c r="N236" s="18">
        <f t="shared" si="17"/>
        <v>1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.75" thickBot="1" x14ac:dyDescent="0.3">
      <c r="A237" t="s">
        <v>611</v>
      </c>
      <c r="C237" s="46" t="s">
        <v>617</v>
      </c>
      <c r="D237" t="s">
        <v>613</v>
      </c>
      <c r="E237" t="s">
        <v>113</v>
      </c>
      <c r="F237" t="s">
        <v>36</v>
      </c>
      <c r="G237"/>
      <c r="H237" t="s">
        <v>616</v>
      </c>
      <c r="I237" s="16">
        <v>-347813760000</v>
      </c>
      <c r="J237" s="16">
        <v>-582945930000</v>
      </c>
      <c r="K237" s="16" t="s">
        <v>1185</v>
      </c>
      <c r="L237" s="17">
        <f t="shared" si="15"/>
        <v>28</v>
      </c>
      <c r="M237" s="17">
        <f t="shared" si="16"/>
        <v>0</v>
      </c>
      <c r="N237" s="18">
        <f t="shared" si="17"/>
        <v>1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.75" thickBot="1" x14ac:dyDescent="0.3">
      <c r="A238" t="s">
        <v>611</v>
      </c>
      <c r="C238" s="46" t="s">
        <v>618</v>
      </c>
      <c r="D238" t="s">
        <v>619</v>
      </c>
      <c r="E238" t="s">
        <v>19</v>
      </c>
      <c r="F238" t="s">
        <v>25</v>
      </c>
      <c r="G238" t="s">
        <v>186</v>
      </c>
      <c r="H238" t="s">
        <v>620</v>
      </c>
      <c r="I238" s="16">
        <v>-347871630000</v>
      </c>
      <c r="J238" s="16">
        <v>-582901360000</v>
      </c>
      <c r="K238" s="16" t="s">
        <v>1180</v>
      </c>
      <c r="L238" s="17">
        <f t="shared" si="15"/>
        <v>24</v>
      </c>
      <c r="M238" s="17">
        <f t="shared" si="16"/>
        <v>4</v>
      </c>
      <c r="N238" s="18">
        <f t="shared" si="17"/>
        <v>0.8571428571428571</v>
      </c>
      <c r="O238" s="28" t="s">
        <v>941</v>
      </c>
      <c r="P238" s="8" t="s">
        <v>941</v>
      </c>
      <c r="Q238" s="8" t="s">
        <v>941</v>
      </c>
      <c r="R238" s="8" t="s">
        <v>941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.75" thickBot="1" x14ac:dyDescent="0.3">
      <c r="A239" t="s">
        <v>621</v>
      </c>
      <c r="C239" s="46" t="s">
        <v>622</v>
      </c>
      <c r="D239" t="s">
        <v>623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1186</v>
      </c>
      <c r="L239" s="17">
        <f t="shared" si="15"/>
        <v>19</v>
      </c>
      <c r="M239" s="17">
        <f t="shared" si="16"/>
        <v>9</v>
      </c>
      <c r="N239" s="18">
        <f t="shared" si="17"/>
        <v>0.6785714285714286</v>
      </c>
      <c r="O239" s="28" t="s">
        <v>941</v>
      </c>
      <c r="P239" s="8" t="s">
        <v>941</v>
      </c>
      <c r="Q239" s="8" t="s">
        <v>941</v>
      </c>
      <c r="R239" s="8" t="s">
        <v>941</v>
      </c>
      <c r="S239" s="28" t="s">
        <v>941</v>
      </c>
      <c r="T239" s="28" t="s">
        <v>941</v>
      </c>
      <c r="U239" s="8" t="s">
        <v>941</v>
      </c>
      <c r="V239" s="8" t="s">
        <v>941</v>
      </c>
      <c r="W239" s="8" t="s">
        <v>941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.75" thickBot="1" x14ac:dyDescent="0.3">
      <c r="A240" t="s">
        <v>621</v>
      </c>
      <c r="C240" s="46" t="s">
        <v>624</v>
      </c>
      <c r="D240" t="s">
        <v>623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1187</v>
      </c>
      <c r="L240" s="17">
        <f t="shared" si="15"/>
        <v>19</v>
      </c>
      <c r="M240" s="17">
        <f t="shared" si="16"/>
        <v>9</v>
      </c>
      <c r="N240" s="18">
        <f t="shared" si="17"/>
        <v>0.6785714285714286</v>
      </c>
      <c r="O240" s="28" t="s">
        <v>941</v>
      </c>
      <c r="P240" s="8" t="s">
        <v>941</v>
      </c>
      <c r="Q240" s="8" t="s">
        <v>941</v>
      </c>
      <c r="R240" s="8" t="s">
        <v>941</v>
      </c>
      <c r="S240" s="28" t="s">
        <v>941</v>
      </c>
      <c r="T240" s="28" t="s">
        <v>941</v>
      </c>
      <c r="U240" s="8" t="s">
        <v>941</v>
      </c>
      <c r="V240" s="8" t="s">
        <v>941</v>
      </c>
      <c r="W240" s="8" t="s">
        <v>941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.75" thickBot="1" x14ac:dyDescent="0.3">
      <c r="A241" t="s">
        <v>611</v>
      </c>
      <c r="C241" s="46" t="s">
        <v>625</v>
      </c>
      <c r="D241" t="s">
        <v>626</v>
      </c>
      <c r="E241" t="s">
        <v>113</v>
      </c>
      <c r="F241" t="s">
        <v>36</v>
      </c>
      <c r="G241" t="s">
        <v>627</v>
      </c>
      <c r="H241"/>
      <c r="I241" s="16">
        <v>-347831700000</v>
      </c>
      <c r="J241" s="16">
        <v>-582932590000</v>
      </c>
      <c r="K241" s="16" t="s">
        <v>1188</v>
      </c>
      <c r="L241" s="17">
        <f t="shared" si="15"/>
        <v>28</v>
      </c>
      <c r="M241" s="17">
        <f t="shared" si="16"/>
        <v>0</v>
      </c>
      <c r="N241" s="18">
        <f t="shared" si="17"/>
        <v>1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.75" thickBot="1" x14ac:dyDescent="0.3">
      <c r="A242" t="s">
        <v>611</v>
      </c>
      <c r="C242" s="46" t="s">
        <v>628</v>
      </c>
      <c r="D242" t="s">
        <v>626</v>
      </c>
      <c r="E242" t="s">
        <v>113</v>
      </c>
      <c r="F242" t="s">
        <v>36</v>
      </c>
      <c r="G242" t="s">
        <v>627</v>
      </c>
      <c r="H242"/>
      <c r="I242" s="16">
        <v>-347832580000</v>
      </c>
      <c r="J242" s="16">
        <v>-582932170000</v>
      </c>
      <c r="K242" s="16" t="s">
        <v>1189</v>
      </c>
      <c r="L242" s="17">
        <f t="shared" si="15"/>
        <v>28</v>
      </c>
      <c r="M242" s="17">
        <f t="shared" si="16"/>
        <v>0</v>
      </c>
      <c r="N242" s="18">
        <f t="shared" si="17"/>
        <v>1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.75" thickBot="1" x14ac:dyDescent="0.3">
      <c r="A243" t="s">
        <v>611</v>
      </c>
      <c r="C243" s="46" t="s">
        <v>629</v>
      </c>
      <c r="D243" t="s">
        <v>630</v>
      </c>
      <c r="E243" t="s">
        <v>113</v>
      </c>
      <c r="F243" t="s">
        <v>36</v>
      </c>
      <c r="G243" t="s">
        <v>631</v>
      </c>
      <c r="H243"/>
      <c r="I243" s="16">
        <v>-347819280000</v>
      </c>
      <c r="J243" s="16">
        <v>-582932800000</v>
      </c>
      <c r="K243" s="16" t="s">
        <v>1190</v>
      </c>
      <c r="L243" s="17">
        <f t="shared" si="15"/>
        <v>28</v>
      </c>
      <c r="M243" s="17">
        <f t="shared" si="16"/>
        <v>0</v>
      </c>
      <c r="N243" s="18">
        <f t="shared" si="17"/>
        <v>1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.75" thickBot="1" x14ac:dyDescent="0.3">
      <c r="A244" t="s">
        <v>611</v>
      </c>
      <c r="C244" s="46" t="s">
        <v>632</v>
      </c>
      <c r="D244" t="s">
        <v>630</v>
      </c>
      <c r="E244" t="s">
        <v>113</v>
      </c>
      <c r="F244" t="s">
        <v>36</v>
      </c>
      <c r="G244" t="s">
        <v>631</v>
      </c>
      <c r="H244"/>
      <c r="I244" s="16">
        <v>-347819190000</v>
      </c>
      <c r="J244" s="16">
        <v>-582932910000</v>
      </c>
      <c r="K244" s="16" t="s">
        <v>1191</v>
      </c>
      <c r="L244" s="17">
        <f t="shared" si="15"/>
        <v>28</v>
      </c>
      <c r="M244" s="17">
        <f t="shared" si="16"/>
        <v>0</v>
      </c>
      <c r="N244" s="18">
        <f t="shared" si="17"/>
        <v>1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.75" thickBot="1" x14ac:dyDescent="0.3">
      <c r="A245" t="s">
        <v>311</v>
      </c>
      <c r="C245" s="46" t="s">
        <v>633</v>
      </c>
      <c r="D245" t="s">
        <v>634</v>
      </c>
      <c r="E245" t="s">
        <v>19</v>
      </c>
      <c r="F245" t="s">
        <v>25</v>
      </c>
      <c r="G245"/>
      <c r="H245" t="s">
        <v>635</v>
      </c>
      <c r="I245" s="16">
        <v>-348247270000</v>
      </c>
      <c r="J245" s="16">
        <v>-582923280000</v>
      </c>
      <c r="K245" s="16" t="s">
        <v>1194</v>
      </c>
      <c r="L245" s="17">
        <f t="shared" si="15"/>
        <v>28</v>
      </c>
      <c r="M245" s="17">
        <f t="shared" si="16"/>
        <v>0</v>
      </c>
      <c r="N245" s="18">
        <f t="shared" si="17"/>
        <v>1</v>
      </c>
      <c r="O245" s="28"/>
      <c r="P245" s="8"/>
      <c r="Q245" s="8"/>
      <c r="R245" s="8"/>
      <c r="S245" s="28"/>
      <c r="T245" s="28"/>
      <c r="U245" s="8"/>
      <c r="V245" s="8"/>
      <c r="W245" s="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8"/>
      <c r="AJ245" s="8"/>
      <c r="AK245" s="8"/>
      <c r="AL245" s="8"/>
      <c r="AM245" s="8"/>
      <c r="AN245" s="28"/>
      <c r="AO245" s="8"/>
      <c r="AP245" s="8"/>
      <c r="AQ245" s="28"/>
      <c r="AR245" s="28"/>
      <c r="AS245" s="28"/>
    </row>
    <row r="246" spans="1:45" ht="15.75" thickBot="1" x14ac:dyDescent="0.3">
      <c r="A246" t="s">
        <v>311</v>
      </c>
      <c r="C246" s="46" t="s">
        <v>636</v>
      </c>
      <c r="D246" t="s">
        <v>637</v>
      </c>
      <c r="E246" t="s">
        <v>19</v>
      </c>
      <c r="F246" t="s">
        <v>25</v>
      </c>
      <c r="G246"/>
      <c r="H246" t="s">
        <v>635</v>
      </c>
      <c r="I246" s="16">
        <v>-348165060000</v>
      </c>
      <c r="J246" s="16">
        <v>-582994990000</v>
      </c>
      <c r="K246" s="16" t="s">
        <v>1196</v>
      </c>
      <c r="L246" s="17">
        <f t="shared" si="15"/>
        <v>28</v>
      </c>
      <c r="M246" s="17">
        <f t="shared" si="16"/>
        <v>0</v>
      </c>
      <c r="N246" s="18">
        <f t="shared" si="17"/>
        <v>1</v>
      </c>
      <c r="O246" s="28"/>
      <c r="P246" s="8"/>
      <c r="Q246" s="8"/>
      <c r="R246" s="8"/>
      <c r="S246" s="28"/>
      <c r="T246" s="28"/>
      <c r="U246" s="8"/>
      <c r="V246" s="8"/>
      <c r="W246" s="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8"/>
      <c r="AJ246" s="8"/>
      <c r="AK246" s="8"/>
      <c r="AL246" s="8"/>
      <c r="AM246" s="8"/>
      <c r="AN246" s="28"/>
      <c r="AO246" s="8"/>
      <c r="AP246" s="8"/>
      <c r="AQ246" s="28"/>
      <c r="AR246" s="28"/>
      <c r="AS246" s="28"/>
    </row>
    <row r="247" spans="1:45" ht="15.75" thickBot="1" x14ac:dyDescent="0.3">
      <c r="A247" t="s">
        <v>311</v>
      </c>
      <c r="C247" s="46" t="s">
        <v>638</v>
      </c>
      <c r="D247" t="s">
        <v>639</v>
      </c>
      <c r="E247" t="s">
        <v>24</v>
      </c>
      <c r="F247" t="s">
        <v>25</v>
      </c>
      <c r="G247" t="s">
        <v>166</v>
      </c>
      <c r="H247"/>
      <c r="I247" s="16">
        <v>-348184850000</v>
      </c>
      <c r="J247" s="16">
        <v>-583019920000</v>
      </c>
      <c r="K247" s="16" t="s">
        <v>1192</v>
      </c>
      <c r="L247" s="17">
        <f t="shared" si="15"/>
        <v>28</v>
      </c>
      <c r="M247" s="17">
        <f t="shared" si="16"/>
        <v>0</v>
      </c>
      <c r="N247" s="18">
        <f t="shared" si="17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.75" thickBot="1" x14ac:dyDescent="0.3">
      <c r="A248" t="s">
        <v>311</v>
      </c>
      <c r="C248" s="46" t="s">
        <v>640</v>
      </c>
      <c r="D248" t="s">
        <v>641</v>
      </c>
      <c r="E248" t="s">
        <v>24</v>
      </c>
      <c r="F248" t="s">
        <v>25</v>
      </c>
      <c r="G248" t="s">
        <v>186</v>
      </c>
      <c r="H248" t="s">
        <v>642</v>
      </c>
      <c r="I248" s="16">
        <v>-348155560000</v>
      </c>
      <c r="J248" s="16">
        <v>-582959460000</v>
      </c>
      <c r="K248" s="16" t="s">
        <v>1193</v>
      </c>
      <c r="L248" s="17">
        <f t="shared" si="15"/>
        <v>27</v>
      </c>
      <c r="M248" s="17">
        <f t="shared" si="16"/>
        <v>1</v>
      </c>
      <c r="N248" s="18">
        <f t="shared" si="17"/>
        <v>0.9642857142857143</v>
      </c>
      <c r="O248" s="28"/>
      <c r="P248" s="8"/>
      <c r="Q248" s="8"/>
      <c r="R248" s="8"/>
      <c r="S248" s="28" t="s">
        <v>941</v>
      </c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.75" thickBot="1" x14ac:dyDescent="0.3">
      <c r="A249" t="s">
        <v>311</v>
      </c>
      <c r="C249" s="46" t="s">
        <v>643</v>
      </c>
      <c r="D249" t="s">
        <v>644</v>
      </c>
      <c r="E249" t="s">
        <v>113</v>
      </c>
      <c r="F249" t="s">
        <v>36</v>
      </c>
      <c r="G249"/>
      <c r="H249" t="s">
        <v>524</v>
      </c>
      <c r="I249" s="16">
        <v>-348174220000</v>
      </c>
      <c r="J249" s="16">
        <v>-582945170000</v>
      </c>
      <c r="K249" s="16" t="s">
        <v>1197</v>
      </c>
      <c r="L249" s="17">
        <f t="shared" si="15"/>
        <v>17</v>
      </c>
      <c r="M249" s="17">
        <f t="shared" si="16"/>
        <v>11</v>
      </c>
      <c r="N249" s="18">
        <f t="shared" si="17"/>
        <v>0.6071428571428571</v>
      </c>
      <c r="O249" s="28" t="s">
        <v>941</v>
      </c>
      <c r="P249" s="8" t="s">
        <v>941</v>
      </c>
      <c r="Q249" s="8" t="s">
        <v>941</v>
      </c>
      <c r="R249" s="8" t="s">
        <v>941</v>
      </c>
      <c r="S249" s="28" t="s">
        <v>941</v>
      </c>
      <c r="T249" s="28" t="s">
        <v>941</v>
      </c>
      <c r="U249" s="8" t="s">
        <v>941</v>
      </c>
      <c r="V249" s="8" t="s">
        <v>941</v>
      </c>
      <c r="W249" s="8" t="s">
        <v>941</v>
      </c>
      <c r="X249" s="28" t="s">
        <v>941</v>
      </c>
      <c r="Y249" s="28" t="s">
        <v>941</v>
      </c>
      <c r="Z249" s="28"/>
      <c r="AA249" s="28"/>
      <c r="AB249" s="28"/>
      <c r="AC249" s="28"/>
      <c r="AD249" s="28"/>
      <c r="AE249" s="28"/>
      <c r="AF249" s="28"/>
      <c r="AG249" s="28"/>
      <c r="AH249" s="28"/>
      <c r="AI249" s="25"/>
      <c r="AJ249" s="2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.75" thickBot="1" x14ac:dyDescent="0.3">
      <c r="A250" t="s">
        <v>311</v>
      </c>
      <c r="C250" s="46" t="s">
        <v>645</v>
      </c>
      <c r="D250" t="s">
        <v>644</v>
      </c>
      <c r="E250" t="s">
        <v>113</v>
      </c>
      <c r="F250" t="s">
        <v>36</v>
      </c>
      <c r="G250"/>
      <c r="H250" t="s">
        <v>524</v>
      </c>
      <c r="I250" s="16">
        <v>-348174220000</v>
      </c>
      <c r="J250" s="16">
        <v>-582945170000</v>
      </c>
      <c r="K250" s="16" t="s">
        <v>1198</v>
      </c>
      <c r="L250" s="17">
        <f t="shared" si="15"/>
        <v>17</v>
      </c>
      <c r="M250" s="17">
        <f t="shared" si="16"/>
        <v>11</v>
      </c>
      <c r="N250" s="18">
        <f t="shared" si="17"/>
        <v>0.6071428571428571</v>
      </c>
      <c r="O250" s="28" t="s">
        <v>941</v>
      </c>
      <c r="P250" s="8" t="s">
        <v>941</v>
      </c>
      <c r="Q250" s="8" t="s">
        <v>941</v>
      </c>
      <c r="R250" s="8" t="s">
        <v>941</v>
      </c>
      <c r="S250" s="28" t="s">
        <v>941</v>
      </c>
      <c r="T250" s="28" t="s">
        <v>941</v>
      </c>
      <c r="U250" s="8" t="s">
        <v>941</v>
      </c>
      <c r="V250" s="8" t="s">
        <v>941</v>
      </c>
      <c r="W250" s="8" t="s">
        <v>941</v>
      </c>
      <c r="X250" s="28" t="s">
        <v>941</v>
      </c>
      <c r="Y250" s="28" t="s">
        <v>941</v>
      </c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2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.75" thickBot="1" x14ac:dyDescent="0.3">
      <c r="A251" t="s">
        <v>311</v>
      </c>
      <c r="C251" s="46" t="s">
        <v>646</v>
      </c>
      <c r="D251" t="s">
        <v>647</v>
      </c>
      <c r="E251" t="s">
        <v>113</v>
      </c>
      <c r="F251" t="s">
        <v>36</v>
      </c>
      <c r="G251"/>
      <c r="H251" t="s">
        <v>287</v>
      </c>
      <c r="I251" s="16">
        <v>-348145600000</v>
      </c>
      <c r="J251" s="16">
        <v>-582924490000</v>
      </c>
      <c r="K251" s="16" t="s">
        <v>1199</v>
      </c>
      <c r="L251" s="17">
        <f t="shared" si="15"/>
        <v>17</v>
      </c>
      <c r="M251" s="17">
        <f t="shared" si="16"/>
        <v>11</v>
      </c>
      <c r="N251" s="18">
        <f t="shared" si="17"/>
        <v>0.6071428571428571</v>
      </c>
      <c r="O251" s="28" t="s">
        <v>941</v>
      </c>
      <c r="P251" s="8" t="s">
        <v>941</v>
      </c>
      <c r="Q251" s="8" t="s">
        <v>941</v>
      </c>
      <c r="R251" s="8" t="s">
        <v>941</v>
      </c>
      <c r="S251" s="28" t="s">
        <v>941</v>
      </c>
      <c r="T251" s="28" t="s">
        <v>941</v>
      </c>
      <c r="U251" s="8" t="s">
        <v>941</v>
      </c>
      <c r="V251" s="8" t="s">
        <v>941</v>
      </c>
      <c r="W251" s="8" t="s">
        <v>941</v>
      </c>
      <c r="X251" s="28" t="s">
        <v>941</v>
      </c>
      <c r="Y251" s="28" t="s">
        <v>941</v>
      </c>
      <c r="Z251" s="28"/>
      <c r="AA251" s="28"/>
      <c r="AB251" s="28"/>
      <c r="AC251" s="28"/>
      <c r="AD251" s="28"/>
      <c r="AE251" s="28"/>
      <c r="AF251" s="28"/>
      <c r="AG251" s="28"/>
      <c r="AH251" s="28"/>
      <c r="AI251" s="8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.75" thickBot="1" x14ac:dyDescent="0.3">
      <c r="A252" t="s">
        <v>311</v>
      </c>
      <c r="C252" s="46" t="s">
        <v>648</v>
      </c>
      <c r="D252" t="s">
        <v>647</v>
      </c>
      <c r="E252" t="s">
        <v>113</v>
      </c>
      <c r="F252" t="s">
        <v>36</v>
      </c>
      <c r="G252"/>
      <c r="H252" t="s">
        <v>287</v>
      </c>
      <c r="I252" s="16">
        <v>-348145600000</v>
      </c>
      <c r="J252" s="16">
        <v>-582924490000</v>
      </c>
      <c r="K252" s="16" t="s">
        <v>1200</v>
      </c>
      <c r="L252" s="17">
        <f t="shared" si="15"/>
        <v>17</v>
      </c>
      <c r="M252" s="17">
        <f t="shared" si="16"/>
        <v>11</v>
      </c>
      <c r="N252" s="18">
        <f t="shared" si="17"/>
        <v>0.6071428571428571</v>
      </c>
      <c r="O252" s="28" t="s">
        <v>941</v>
      </c>
      <c r="P252" s="8" t="s">
        <v>941</v>
      </c>
      <c r="Q252" s="8" t="s">
        <v>941</v>
      </c>
      <c r="R252" s="8" t="s">
        <v>941</v>
      </c>
      <c r="S252" s="28" t="s">
        <v>941</v>
      </c>
      <c r="T252" s="28" t="s">
        <v>941</v>
      </c>
      <c r="U252" s="8" t="s">
        <v>941</v>
      </c>
      <c r="V252" s="8" t="s">
        <v>941</v>
      </c>
      <c r="W252" s="8" t="s">
        <v>941</v>
      </c>
      <c r="X252" s="28" t="s">
        <v>941</v>
      </c>
      <c r="Y252" s="28" t="s">
        <v>941</v>
      </c>
      <c r="Z252" s="28"/>
      <c r="AA252" s="28"/>
      <c r="AB252" s="28"/>
      <c r="AC252" s="28"/>
      <c r="AD252" s="28"/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.75" thickBot="1" x14ac:dyDescent="0.3">
      <c r="A253" t="s">
        <v>649</v>
      </c>
      <c r="C253" s="46" t="s">
        <v>650</v>
      </c>
      <c r="D253" t="s">
        <v>651</v>
      </c>
      <c r="E253" t="s">
        <v>24</v>
      </c>
      <c r="F253" t="s">
        <v>25</v>
      </c>
      <c r="G253" t="s">
        <v>652</v>
      </c>
      <c r="H253" t="s">
        <v>653</v>
      </c>
      <c r="I253" s="16">
        <v>-348007570000</v>
      </c>
      <c r="J253" s="16">
        <v>-582391960000</v>
      </c>
      <c r="K253" s="16" t="s">
        <v>1201</v>
      </c>
      <c r="L253" s="17">
        <f t="shared" si="15"/>
        <v>28</v>
      </c>
      <c r="M253" s="17">
        <f t="shared" si="16"/>
        <v>0</v>
      </c>
      <c r="N253" s="18">
        <f t="shared" si="17"/>
        <v>1</v>
      </c>
      <c r="O253" s="28"/>
      <c r="P253" s="8"/>
      <c r="Q253" s="8"/>
      <c r="R253" s="8"/>
      <c r="S253" s="28"/>
      <c r="T253" s="28"/>
      <c r="U253" s="8"/>
      <c r="V253" s="8"/>
      <c r="W253" s="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8"/>
      <c r="AJ253" s="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.75" thickBot="1" x14ac:dyDescent="0.3">
      <c r="C254" s="46" t="s">
        <v>654</v>
      </c>
      <c r="D254" t="s">
        <v>655</v>
      </c>
      <c r="E254" t="s">
        <v>24</v>
      </c>
      <c r="F254" t="s">
        <v>25</v>
      </c>
      <c r="G254"/>
      <c r="H254"/>
      <c r="I254" s="16">
        <v>-348178990000</v>
      </c>
      <c r="J254" s="16">
        <v>-582605300000</v>
      </c>
      <c r="K254" s="16" t="s">
        <v>1204</v>
      </c>
      <c r="L254" s="17">
        <f t="shared" si="15"/>
        <v>28</v>
      </c>
      <c r="M254" s="17">
        <f t="shared" si="16"/>
        <v>0</v>
      </c>
      <c r="N254" s="18">
        <f t="shared" si="17"/>
        <v>1</v>
      </c>
      <c r="O254" s="28"/>
      <c r="P254" s="8"/>
      <c r="Q254" s="8"/>
      <c r="R254" s="8"/>
      <c r="S254" s="28"/>
      <c r="T254" s="28"/>
      <c r="U254" s="8"/>
      <c r="V254" s="8"/>
      <c r="W254" s="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8"/>
      <c r="AJ254" s="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.75" thickBot="1" x14ac:dyDescent="0.3">
      <c r="A255" t="s">
        <v>656</v>
      </c>
      <c r="C255" s="46" t="s">
        <v>657</v>
      </c>
      <c r="D255" t="s">
        <v>658</v>
      </c>
      <c r="E255" t="s">
        <v>73</v>
      </c>
      <c r="F255" t="s">
        <v>25</v>
      </c>
      <c r="G255" t="s">
        <v>659</v>
      </c>
      <c r="H255" t="s">
        <v>660</v>
      </c>
      <c r="I255" s="16">
        <v>-348119330000</v>
      </c>
      <c r="J255" s="16">
        <v>-582583640000</v>
      </c>
      <c r="K255" s="16" t="s">
        <v>1205</v>
      </c>
      <c r="L255" s="17">
        <f t="shared" si="15"/>
        <v>28</v>
      </c>
      <c r="M255" s="17">
        <f t="shared" si="16"/>
        <v>0</v>
      </c>
      <c r="N255" s="18">
        <f t="shared" si="17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.75" thickBot="1" x14ac:dyDescent="0.3">
      <c r="A256" t="s">
        <v>656</v>
      </c>
      <c r="C256" s="46" t="s">
        <v>661</v>
      </c>
      <c r="D256" t="s">
        <v>662</v>
      </c>
      <c r="E256" t="s">
        <v>19</v>
      </c>
      <c r="F256" t="s">
        <v>36</v>
      </c>
      <c r="G256"/>
      <c r="H256" t="s">
        <v>342</v>
      </c>
      <c r="I256" s="16">
        <v>-348167840000</v>
      </c>
      <c r="J256" s="16">
        <v>-582534370000</v>
      </c>
      <c r="K256" s="16" t="s">
        <v>1207</v>
      </c>
      <c r="L256" s="17">
        <f t="shared" si="15"/>
        <v>28</v>
      </c>
      <c r="M256" s="17">
        <f t="shared" si="16"/>
        <v>0</v>
      </c>
      <c r="N256" s="18">
        <f t="shared" si="17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.75" thickBot="1" x14ac:dyDescent="0.3">
      <c r="A257" t="s">
        <v>656</v>
      </c>
      <c r="C257" s="46" t="s">
        <v>663</v>
      </c>
      <c r="D257" t="s">
        <v>664</v>
      </c>
      <c r="E257" t="s">
        <v>19</v>
      </c>
      <c r="F257" t="s">
        <v>36</v>
      </c>
      <c r="G257"/>
      <c r="H257" t="s">
        <v>342</v>
      </c>
      <c r="I257" s="16">
        <v>-348194100000</v>
      </c>
      <c r="J257" s="16">
        <v>-582514340000</v>
      </c>
      <c r="K257" s="16" t="s">
        <v>1208</v>
      </c>
      <c r="L257" s="17">
        <f t="shared" si="15"/>
        <v>28</v>
      </c>
      <c r="M257" s="17">
        <f t="shared" si="16"/>
        <v>0</v>
      </c>
      <c r="N257" s="18">
        <f t="shared" si="17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.75" thickBot="1" x14ac:dyDescent="0.3">
      <c r="A258" t="s">
        <v>656</v>
      </c>
      <c r="C258" s="46" t="s">
        <v>665</v>
      </c>
      <c r="D258" t="s">
        <v>666</v>
      </c>
      <c r="E258" t="s">
        <v>19</v>
      </c>
      <c r="F258" t="s">
        <v>25</v>
      </c>
      <c r="G258" t="s">
        <v>186</v>
      </c>
      <c r="H258"/>
      <c r="I258" s="16">
        <v>-348119410000</v>
      </c>
      <c r="J258" s="16">
        <v>-582582760000</v>
      </c>
      <c r="K258" s="16" t="s">
        <v>1202</v>
      </c>
      <c r="L258" s="17">
        <f t="shared" si="15"/>
        <v>28</v>
      </c>
      <c r="M258" s="17">
        <f t="shared" si="16"/>
        <v>0</v>
      </c>
      <c r="N258" s="18">
        <f t="shared" si="17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.75" thickBot="1" x14ac:dyDescent="0.3">
      <c r="A259" t="s">
        <v>656</v>
      </c>
      <c r="B259" s="60">
        <v>44629</v>
      </c>
      <c r="C259" s="62" t="s">
        <v>667</v>
      </c>
      <c r="D259" t="s">
        <v>668</v>
      </c>
      <c r="E259" t="s">
        <v>24</v>
      </c>
      <c r="F259" t="s">
        <v>25</v>
      </c>
      <c r="G259" t="s">
        <v>186</v>
      </c>
      <c r="H259"/>
      <c r="I259" s="16">
        <v>-348150360000</v>
      </c>
      <c r="J259" s="16">
        <v>-582549730000</v>
      </c>
      <c r="K259" s="16" t="s">
        <v>1203</v>
      </c>
      <c r="L259" s="17">
        <f t="shared" si="15"/>
        <v>18</v>
      </c>
      <c r="M259" s="17">
        <f t="shared" si="16"/>
        <v>10</v>
      </c>
      <c r="N259" s="18">
        <f t="shared" si="17"/>
        <v>0.6428571428571429</v>
      </c>
      <c r="O259" s="28" t="s">
        <v>941</v>
      </c>
      <c r="P259" s="8" t="s">
        <v>941</v>
      </c>
      <c r="Q259" s="8" t="s">
        <v>941</v>
      </c>
      <c r="R259" s="8" t="s">
        <v>941</v>
      </c>
      <c r="S259" s="28" t="s">
        <v>941</v>
      </c>
      <c r="T259" s="28" t="s">
        <v>941</v>
      </c>
      <c r="U259" s="8" t="s">
        <v>941</v>
      </c>
      <c r="V259" s="8" t="s">
        <v>941</v>
      </c>
      <c r="W259" s="8" t="s">
        <v>941</v>
      </c>
      <c r="X259" s="28" t="s">
        <v>941</v>
      </c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2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.75" thickBot="1" x14ac:dyDescent="0.3">
      <c r="A260" t="s">
        <v>656</v>
      </c>
      <c r="C260" s="46" t="s">
        <v>669</v>
      </c>
      <c r="D260" t="s">
        <v>670</v>
      </c>
      <c r="E260" t="s">
        <v>19</v>
      </c>
      <c r="F260" t="s">
        <v>947</v>
      </c>
      <c r="G260"/>
      <c r="H260" t="s">
        <v>671</v>
      </c>
      <c r="I260" s="16">
        <v>-348150250000</v>
      </c>
      <c r="J260" s="16">
        <v>-582640890000</v>
      </c>
      <c r="K260" s="16" t="s">
        <v>1206</v>
      </c>
      <c r="L260" s="17">
        <f t="shared" si="15"/>
        <v>28</v>
      </c>
      <c r="M260" s="17">
        <f t="shared" si="16"/>
        <v>0</v>
      </c>
      <c r="N260" s="18">
        <f t="shared" si="17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.75" thickBot="1" x14ac:dyDescent="0.3">
      <c r="A261" t="s">
        <v>259</v>
      </c>
      <c r="C261" s="46" t="s">
        <v>672</v>
      </c>
      <c r="D261" t="s">
        <v>673</v>
      </c>
      <c r="E261" t="s">
        <v>113</v>
      </c>
      <c r="F261" t="s">
        <v>36</v>
      </c>
      <c r="G261"/>
      <c r="H261" t="s">
        <v>674</v>
      </c>
      <c r="I261" s="16">
        <v>-348003780000</v>
      </c>
      <c r="J261" s="16">
        <v>-582918660000</v>
      </c>
      <c r="K261" s="16" t="s">
        <v>1209</v>
      </c>
      <c r="L261" s="17">
        <f t="shared" ref="L261:L324" si="18">COUNTIF(O261:AP261,"")</f>
        <v>27</v>
      </c>
      <c r="M261" s="17">
        <f t="shared" ref="M261:M324" si="19">COUNTIF(O261:AP261,"APAGADO")</f>
        <v>1</v>
      </c>
      <c r="N261" s="18">
        <f t="shared" ref="N261:N324" si="20">(L261)/(M261+L261)</f>
        <v>0.9642857142857143</v>
      </c>
      <c r="O261" s="28"/>
      <c r="P261" s="8"/>
      <c r="Q261" s="8"/>
      <c r="R261" s="8"/>
      <c r="S261" s="28"/>
      <c r="T261" s="28"/>
      <c r="U261" s="8"/>
      <c r="V261" s="8"/>
      <c r="W261" s="8" t="s">
        <v>941</v>
      </c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.75" thickBot="1" x14ac:dyDescent="0.3">
      <c r="A262" t="s">
        <v>259</v>
      </c>
      <c r="C262" s="46" t="s">
        <v>675</v>
      </c>
      <c r="D262" t="s">
        <v>673</v>
      </c>
      <c r="E262" t="s">
        <v>113</v>
      </c>
      <c r="F262" t="s">
        <v>36</v>
      </c>
      <c r="G262"/>
      <c r="H262" t="s">
        <v>674</v>
      </c>
      <c r="I262" s="16">
        <v>-348003590000</v>
      </c>
      <c r="J262" s="16">
        <v>-582918370000</v>
      </c>
      <c r="K262" s="16" t="s">
        <v>1210</v>
      </c>
      <c r="L262" s="17">
        <f t="shared" si="18"/>
        <v>27</v>
      </c>
      <c r="M262" s="17">
        <f t="shared" si="19"/>
        <v>1</v>
      </c>
      <c r="N262" s="18">
        <f t="shared" si="20"/>
        <v>0.9642857142857143</v>
      </c>
      <c r="O262" s="28"/>
      <c r="P262" s="8"/>
      <c r="Q262" s="8"/>
      <c r="R262" s="8"/>
      <c r="S262" s="28"/>
      <c r="T262" s="28"/>
      <c r="U262" s="8"/>
      <c r="V262" s="8"/>
      <c r="W262" s="8" t="s">
        <v>941</v>
      </c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.75" thickBot="1" x14ac:dyDescent="0.3">
      <c r="A263" t="s">
        <v>259</v>
      </c>
      <c r="C263" s="46" t="s">
        <v>676</v>
      </c>
      <c r="D263" t="s">
        <v>677</v>
      </c>
      <c r="E263" t="s">
        <v>113</v>
      </c>
      <c r="F263" t="s">
        <v>36</v>
      </c>
      <c r="G263"/>
      <c r="H263" t="s">
        <v>271</v>
      </c>
      <c r="I263" s="16">
        <v>-348013110000</v>
      </c>
      <c r="J263" s="16">
        <v>-582936040000</v>
      </c>
      <c r="K263" s="16" t="s">
        <v>1211</v>
      </c>
      <c r="L263" s="17">
        <f t="shared" si="18"/>
        <v>20</v>
      </c>
      <c r="M263" s="17">
        <f t="shared" si="19"/>
        <v>8</v>
      </c>
      <c r="N263" s="18">
        <f t="shared" si="20"/>
        <v>0.7142857142857143</v>
      </c>
      <c r="O263" s="28"/>
      <c r="P263" s="8" t="s">
        <v>941</v>
      </c>
      <c r="Q263" s="8" t="s">
        <v>941</v>
      </c>
      <c r="R263" s="8" t="s">
        <v>941</v>
      </c>
      <c r="S263" s="28" t="s">
        <v>941</v>
      </c>
      <c r="T263" s="28" t="s">
        <v>941</v>
      </c>
      <c r="U263" s="8" t="s">
        <v>941</v>
      </c>
      <c r="V263" s="8" t="s">
        <v>941</v>
      </c>
      <c r="W263" s="8" t="s">
        <v>941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.75" thickBot="1" x14ac:dyDescent="0.3">
      <c r="A264" t="s">
        <v>259</v>
      </c>
      <c r="C264" s="46" t="s">
        <v>678</v>
      </c>
      <c r="D264" t="s">
        <v>677</v>
      </c>
      <c r="E264" t="s">
        <v>113</v>
      </c>
      <c r="F264" t="s">
        <v>36</v>
      </c>
      <c r="G264"/>
      <c r="H264" t="s">
        <v>674</v>
      </c>
      <c r="I264" s="16">
        <v>-348013110000</v>
      </c>
      <c r="J264" s="16">
        <v>-582936040000</v>
      </c>
      <c r="K264" s="16" t="s">
        <v>1212</v>
      </c>
      <c r="L264" s="17">
        <f t="shared" si="18"/>
        <v>20</v>
      </c>
      <c r="M264" s="17">
        <f t="shared" si="19"/>
        <v>8</v>
      </c>
      <c r="N264" s="18">
        <f t="shared" si="20"/>
        <v>0.7142857142857143</v>
      </c>
      <c r="O264" s="28"/>
      <c r="P264" s="8" t="s">
        <v>941</v>
      </c>
      <c r="Q264" s="8" t="s">
        <v>941</v>
      </c>
      <c r="R264" s="8" t="s">
        <v>941</v>
      </c>
      <c r="S264" s="28" t="s">
        <v>941</v>
      </c>
      <c r="T264" s="28" t="s">
        <v>941</v>
      </c>
      <c r="U264" s="8" t="s">
        <v>941</v>
      </c>
      <c r="V264" s="8" t="s">
        <v>941</v>
      </c>
      <c r="W264" s="8" t="s">
        <v>941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.75" thickBot="1" x14ac:dyDescent="0.3">
      <c r="A265" t="s">
        <v>679</v>
      </c>
      <c r="C265" s="46" t="s">
        <v>680</v>
      </c>
      <c r="D265" t="s">
        <v>681</v>
      </c>
      <c r="E265" t="s">
        <v>19</v>
      </c>
      <c r="F265" t="s">
        <v>25</v>
      </c>
      <c r="G265"/>
      <c r="H265" t="s">
        <v>635</v>
      </c>
      <c r="I265" s="16">
        <v>-348253350000</v>
      </c>
      <c r="J265" s="16">
        <v>-582845700000</v>
      </c>
      <c r="K265" s="16" t="s">
        <v>1219</v>
      </c>
      <c r="L265" s="17">
        <f t="shared" si="18"/>
        <v>28</v>
      </c>
      <c r="M265" s="17">
        <f t="shared" si="19"/>
        <v>0</v>
      </c>
      <c r="N265" s="18">
        <f t="shared" si="20"/>
        <v>1</v>
      </c>
      <c r="O265" s="28"/>
      <c r="P265" s="8"/>
      <c r="Q265" s="8"/>
      <c r="R265" s="8"/>
      <c r="S265" s="28"/>
      <c r="T265" s="28"/>
      <c r="U265" s="8"/>
      <c r="V265" s="8"/>
      <c r="W265" s="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.75" thickBot="1" x14ac:dyDescent="0.3">
      <c r="A266" t="s">
        <v>679</v>
      </c>
      <c r="C266" s="46" t="s">
        <v>682</v>
      </c>
      <c r="D266" t="s">
        <v>683</v>
      </c>
      <c r="E266" t="s">
        <v>24</v>
      </c>
      <c r="F266" t="s">
        <v>36</v>
      </c>
      <c r="G266" t="s">
        <v>684</v>
      </c>
      <c r="H266"/>
      <c r="I266" s="16">
        <v>-348241790000</v>
      </c>
      <c r="J266" s="16">
        <v>-582823410000</v>
      </c>
      <c r="K266" s="16" t="s">
        <v>1220</v>
      </c>
      <c r="L266" s="17">
        <f t="shared" si="18"/>
        <v>28</v>
      </c>
      <c r="M266" s="17">
        <f t="shared" si="19"/>
        <v>0</v>
      </c>
      <c r="N266" s="18">
        <f t="shared" si="20"/>
        <v>1</v>
      </c>
      <c r="O266" s="28"/>
      <c r="P266" s="8"/>
      <c r="Q266" s="8"/>
      <c r="R266" s="8"/>
      <c r="S266" s="28"/>
      <c r="T266" s="28"/>
      <c r="U266" s="8"/>
      <c r="V266" s="8"/>
      <c r="W266" s="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.75" thickBot="1" x14ac:dyDescent="0.3">
      <c r="A267" t="s">
        <v>679</v>
      </c>
      <c r="C267" s="46" t="s">
        <v>685</v>
      </c>
      <c r="D267" t="s">
        <v>686</v>
      </c>
      <c r="E267" t="s">
        <v>24</v>
      </c>
      <c r="F267" t="s">
        <v>36</v>
      </c>
      <c r="G267" t="s">
        <v>684</v>
      </c>
      <c r="H267"/>
      <c r="I267" s="16">
        <v>-348222800000</v>
      </c>
      <c r="J267" s="16">
        <v>-582835650000</v>
      </c>
      <c r="K267" s="16" t="s">
        <v>1221</v>
      </c>
      <c r="L267" s="17">
        <f t="shared" si="18"/>
        <v>28</v>
      </c>
      <c r="M267" s="17">
        <f t="shared" si="19"/>
        <v>0</v>
      </c>
      <c r="N267" s="18">
        <f t="shared" si="20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.75" thickBot="1" x14ac:dyDescent="0.3">
      <c r="A268" t="s">
        <v>679</v>
      </c>
      <c r="C268" s="46" t="s">
        <v>687</v>
      </c>
      <c r="D268" t="s">
        <v>688</v>
      </c>
      <c r="E268" t="s">
        <v>24</v>
      </c>
      <c r="F268" t="s">
        <v>36</v>
      </c>
      <c r="G268"/>
      <c r="H268"/>
      <c r="I268" s="16">
        <v>-348233110000</v>
      </c>
      <c r="J268" s="16">
        <v>-582829730000</v>
      </c>
      <c r="K268" s="16" t="s">
        <v>1222</v>
      </c>
      <c r="L268" s="17">
        <f t="shared" si="18"/>
        <v>28</v>
      </c>
      <c r="M268" s="17">
        <f t="shared" si="19"/>
        <v>0</v>
      </c>
      <c r="N268" s="18">
        <f t="shared" si="20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.75" thickBot="1" x14ac:dyDescent="0.3">
      <c r="A269" t="s">
        <v>679</v>
      </c>
      <c r="C269" s="46" t="s">
        <v>689</v>
      </c>
      <c r="D269" t="s">
        <v>690</v>
      </c>
      <c r="E269" t="s">
        <v>19</v>
      </c>
      <c r="F269" t="s">
        <v>25</v>
      </c>
      <c r="G269"/>
      <c r="H269" t="s">
        <v>691</v>
      </c>
      <c r="I269" s="16">
        <v>-348290430000</v>
      </c>
      <c r="J269" s="16">
        <v>-582797810000</v>
      </c>
      <c r="K269" s="16" t="s">
        <v>1195</v>
      </c>
      <c r="L269" s="17">
        <f t="shared" si="18"/>
        <v>28</v>
      </c>
      <c r="M269" s="17">
        <f t="shared" si="19"/>
        <v>0</v>
      </c>
      <c r="N269" s="18">
        <f t="shared" si="20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.75" thickBot="1" x14ac:dyDescent="0.3">
      <c r="A270" t="s">
        <v>679</v>
      </c>
      <c r="B270" s="60">
        <v>44629</v>
      </c>
      <c r="C270" s="62" t="s">
        <v>692</v>
      </c>
      <c r="D270" t="s">
        <v>693</v>
      </c>
      <c r="E270" t="s">
        <v>19</v>
      </c>
      <c r="F270" t="s">
        <v>25</v>
      </c>
      <c r="G270"/>
      <c r="H270" t="s">
        <v>694</v>
      </c>
      <c r="I270" s="16">
        <v>-348289520000</v>
      </c>
      <c r="J270" s="16">
        <v>-582878780000</v>
      </c>
      <c r="K270" s="16" t="s">
        <v>1223</v>
      </c>
      <c r="L270" s="17">
        <f t="shared" si="18"/>
        <v>28</v>
      </c>
      <c r="M270" s="17">
        <f t="shared" si="19"/>
        <v>0</v>
      </c>
      <c r="N270" s="18">
        <f t="shared" si="20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.75" thickBot="1" x14ac:dyDescent="0.3">
      <c r="A271" t="s">
        <v>679</v>
      </c>
      <c r="C271" s="46" t="s">
        <v>695</v>
      </c>
      <c r="D271" t="s">
        <v>696</v>
      </c>
      <c r="E271" t="s">
        <v>113</v>
      </c>
      <c r="F271" t="s">
        <v>36</v>
      </c>
      <c r="G271"/>
      <c r="H271" t="s">
        <v>697</v>
      </c>
      <c r="I271" s="16">
        <v>-348214110000</v>
      </c>
      <c r="J271" s="16">
        <v>-582806410000</v>
      </c>
      <c r="K271" s="16" t="s">
        <v>1227</v>
      </c>
      <c r="L271" s="17">
        <f t="shared" si="18"/>
        <v>18</v>
      </c>
      <c r="M271" s="17">
        <f t="shared" si="19"/>
        <v>10</v>
      </c>
      <c r="N271" s="18">
        <f t="shared" si="20"/>
        <v>0.6428571428571429</v>
      </c>
      <c r="O271" s="28" t="s">
        <v>941</v>
      </c>
      <c r="P271" s="8" t="s">
        <v>941</v>
      </c>
      <c r="Q271" s="8" t="s">
        <v>941</v>
      </c>
      <c r="R271" s="8" t="s">
        <v>941</v>
      </c>
      <c r="S271" s="28" t="s">
        <v>941</v>
      </c>
      <c r="T271" s="28" t="s">
        <v>941</v>
      </c>
      <c r="U271" s="8"/>
      <c r="V271" s="8" t="s">
        <v>941</v>
      </c>
      <c r="W271" s="8" t="s">
        <v>941</v>
      </c>
      <c r="X271" s="28" t="s">
        <v>941</v>
      </c>
      <c r="Y271" s="28" t="s">
        <v>941</v>
      </c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2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.75" thickBot="1" x14ac:dyDescent="0.3">
      <c r="A272" t="s">
        <v>679</v>
      </c>
      <c r="C272" s="46" t="s">
        <v>698</v>
      </c>
      <c r="D272" t="s">
        <v>696</v>
      </c>
      <c r="E272" t="s">
        <v>113</v>
      </c>
      <c r="F272" t="s">
        <v>36</v>
      </c>
      <c r="G272"/>
      <c r="H272" t="s">
        <v>697</v>
      </c>
      <c r="I272" s="16">
        <v>-348214480000</v>
      </c>
      <c r="J272" s="16">
        <v>-582806290000</v>
      </c>
      <c r="K272" s="16" t="s">
        <v>1228</v>
      </c>
      <c r="L272" s="17">
        <f t="shared" si="18"/>
        <v>18</v>
      </c>
      <c r="M272" s="17">
        <f t="shared" si="19"/>
        <v>10</v>
      </c>
      <c r="N272" s="18">
        <f t="shared" si="20"/>
        <v>0.6428571428571429</v>
      </c>
      <c r="O272" s="28" t="s">
        <v>941</v>
      </c>
      <c r="P272" s="8" t="s">
        <v>941</v>
      </c>
      <c r="Q272" s="8" t="s">
        <v>941</v>
      </c>
      <c r="R272" s="8" t="s">
        <v>941</v>
      </c>
      <c r="S272" s="28" t="s">
        <v>941</v>
      </c>
      <c r="T272" s="28" t="s">
        <v>941</v>
      </c>
      <c r="U272" s="8"/>
      <c r="V272" s="8" t="s">
        <v>941</v>
      </c>
      <c r="W272" s="8" t="s">
        <v>941</v>
      </c>
      <c r="X272" s="28" t="s">
        <v>941</v>
      </c>
      <c r="Y272" s="28" t="s">
        <v>941</v>
      </c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2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.75" thickBot="1" x14ac:dyDescent="0.3">
      <c r="A273" t="s">
        <v>679</v>
      </c>
      <c r="C273" s="46" t="s">
        <v>699</v>
      </c>
      <c r="D273" t="s">
        <v>925</v>
      </c>
      <c r="E273" t="s">
        <v>24</v>
      </c>
      <c r="F273" t="s">
        <v>25</v>
      </c>
      <c r="G273" t="s">
        <v>365</v>
      </c>
      <c r="H273"/>
      <c r="I273" s="16">
        <v>-348304140000</v>
      </c>
      <c r="J273" s="16">
        <v>-582906680000</v>
      </c>
      <c r="K273" s="16" t="s">
        <v>1215</v>
      </c>
      <c r="L273" s="17">
        <f t="shared" si="18"/>
        <v>28</v>
      </c>
      <c r="M273" s="17">
        <f t="shared" si="19"/>
        <v>0</v>
      </c>
      <c r="N273" s="18">
        <f t="shared" si="20"/>
        <v>1</v>
      </c>
      <c r="O273" s="28"/>
      <c r="P273" s="8"/>
      <c r="Q273" s="8"/>
      <c r="R273" s="8"/>
      <c r="S273" s="28"/>
      <c r="T273" s="28"/>
      <c r="U273" s="8"/>
      <c r="V273" s="8"/>
      <c r="W273" s="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8"/>
      <c r="AJ273" s="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.75" thickBot="1" x14ac:dyDescent="0.3">
      <c r="A274" t="s">
        <v>540</v>
      </c>
      <c r="C274" s="46" t="s">
        <v>700</v>
      </c>
      <c r="D274" t="s">
        <v>701</v>
      </c>
      <c r="E274" t="s">
        <v>24</v>
      </c>
      <c r="F274" t="s">
        <v>25</v>
      </c>
      <c r="G274" t="s">
        <v>162</v>
      </c>
      <c r="H274"/>
      <c r="I274" s="16">
        <v>-348364740000</v>
      </c>
      <c r="J274" s="16">
        <v>-583002200000</v>
      </c>
      <c r="K274" s="16" t="s">
        <v>1216</v>
      </c>
      <c r="L274" s="17">
        <f t="shared" si="18"/>
        <v>28</v>
      </c>
      <c r="M274" s="17">
        <f t="shared" si="19"/>
        <v>0</v>
      </c>
      <c r="N274" s="18">
        <f t="shared" si="20"/>
        <v>1</v>
      </c>
      <c r="O274" s="28"/>
      <c r="P274" s="8"/>
      <c r="Q274" s="8"/>
      <c r="R274" s="8"/>
      <c r="S274" s="28"/>
      <c r="T274" s="28"/>
      <c r="U274" s="8"/>
      <c r="V274" s="8"/>
      <c r="W274" s="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8"/>
      <c r="AJ274" s="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.75" thickBot="1" x14ac:dyDescent="0.3">
      <c r="A275" t="s">
        <v>679</v>
      </c>
      <c r="C275" s="46" t="s">
        <v>702</v>
      </c>
      <c r="D275" t="s">
        <v>703</v>
      </c>
      <c r="E275" t="s">
        <v>24</v>
      </c>
      <c r="F275" t="s">
        <v>25</v>
      </c>
      <c r="G275" t="s">
        <v>704</v>
      </c>
      <c r="H275"/>
      <c r="I275" s="16">
        <v>-348289220000</v>
      </c>
      <c r="J275" s="16">
        <v>-582776430000</v>
      </c>
      <c r="K275" s="16" t="s">
        <v>1217</v>
      </c>
      <c r="L275" s="17">
        <f t="shared" si="18"/>
        <v>28</v>
      </c>
      <c r="M275" s="17">
        <f t="shared" si="19"/>
        <v>0</v>
      </c>
      <c r="N275" s="18">
        <f t="shared" si="20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.75" thickBot="1" x14ac:dyDescent="0.3">
      <c r="A276" t="s">
        <v>679</v>
      </c>
      <c r="C276" s="46" t="s">
        <v>705</v>
      </c>
      <c r="D276" t="s">
        <v>706</v>
      </c>
      <c r="E276" t="s">
        <v>24</v>
      </c>
      <c r="F276" t="s">
        <v>25</v>
      </c>
      <c r="G276" t="s">
        <v>707</v>
      </c>
      <c r="H276"/>
      <c r="I276" s="16">
        <v>-348208590000</v>
      </c>
      <c r="J276" s="16">
        <v>-582810870000</v>
      </c>
      <c r="K276" s="16" t="s">
        <v>1218</v>
      </c>
      <c r="L276" s="17">
        <f t="shared" si="18"/>
        <v>25</v>
      </c>
      <c r="M276" s="17">
        <f t="shared" si="19"/>
        <v>3</v>
      </c>
      <c r="N276" s="18">
        <f t="shared" si="20"/>
        <v>0.8928571428571429</v>
      </c>
      <c r="O276" s="28"/>
      <c r="P276" s="8" t="s">
        <v>941</v>
      </c>
      <c r="Q276" s="8" t="s">
        <v>941</v>
      </c>
      <c r="R276" s="8" t="s">
        <v>941</v>
      </c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.75" thickBot="1" x14ac:dyDescent="0.3">
      <c r="A277" t="s">
        <v>679</v>
      </c>
      <c r="C277" s="46" t="s">
        <v>708</v>
      </c>
      <c r="D277" t="s">
        <v>709</v>
      </c>
      <c r="E277" t="s">
        <v>19</v>
      </c>
      <c r="F277" t="s">
        <v>25</v>
      </c>
      <c r="G277"/>
      <c r="H277" t="s">
        <v>710</v>
      </c>
      <c r="I277" s="16">
        <v>-348280830000</v>
      </c>
      <c r="J277" s="16">
        <v>-582861650000</v>
      </c>
      <c r="K277" s="16" t="s">
        <v>1213</v>
      </c>
      <c r="L277" s="17">
        <f t="shared" si="18"/>
        <v>24</v>
      </c>
      <c r="M277" s="17">
        <f t="shared" si="19"/>
        <v>4</v>
      </c>
      <c r="N277" s="18">
        <f t="shared" si="20"/>
        <v>0.8571428571428571</v>
      </c>
      <c r="O277" s="28" t="s">
        <v>941</v>
      </c>
      <c r="P277" s="8" t="s">
        <v>941</v>
      </c>
      <c r="Q277" s="8" t="s">
        <v>941</v>
      </c>
      <c r="R277" s="8" t="s">
        <v>941</v>
      </c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2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.75" thickBot="1" x14ac:dyDescent="0.3">
      <c r="A278" t="s">
        <v>679</v>
      </c>
      <c r="C278" s="46" t="s">
        <v>711</v>
      </c>
      <c r="D278" t="s">
        <v>712</v>
      </c>
      <c r="E278" t="s">
        <v>19</v>
      </c>
      <c r="F278" t="s">
        <v>25</v>
      </c>
      <c r="G278"/>
      <c r="H278" t="s">
        <v>710</v>
      </c>
      <c r="I278" s="16">
        <v>-348340000000</v>
      </c>
      <c r="J278" s="16">
        <v>-582878750000</v>
      </c>
      <c r="K278" s="16" t="s">
        <v>1214</v>
      </c>
      <c r="L278" s="17">
        <f t="shared" si="18"/>
        <v>28</v>
      </c>
      <c r="M278" s="17">
        <f t="shared" si="19"/>
        <v>0</v>
      </c>
      <c r="N278" s="18">
        <f t="shared" si="20"/>
        <v>1</v>
      </c>
      <c r="O278" s="28"/>
      <c r="P278" s="8"/>
      <c r="Q278" s="8"/>
      <c r="R278" s="8"/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.75" thickBot="1" x14ac:dyDescent="0.3">
      <c r="A279" t="s">
        <v>540</v>
      </c>
      <c r="C279" s="46" t="s">
        <v>713</v>
      </c>
      <c r="D279" t="s">
        <v>714</v>
      </c>
      <c r="E279" t="s">
        <v>113</v>
      </c>
      <c r="F279" t="s">
        <v>20</v>
      </c>
      <c r="G279"/>
      <c r="H279" t="s">
        <v>271</v>
      </c>
      <c r="I279" s="16">
        <v>-348335600000</v>
      </c>
      <c r="J279" s="16">
        <v>-582946050000</v>
      </c>
      <c r="K279" s="16" t="s">
        <v>1224</v>
      </c>
      <c r="L279" s="17">
        <f t="shared" si="18"/>
        <v>24</v>
      </c>
      <c r="M279" s="17">
        <f t="shared" si="19"/>
        <v>4</v>
      </c>
      <c r="N279" s="18">
        <f t="shared" si="20"/>
        <v>0.8571428571428571</v>
      </c>
      <c r="O279" s="28"/>
      <c r="P279" s="8"/>
      <c r="Q279" s="8"/>
      <c r="R279" s="8"/>
      <c r="S279" s="28"/>
      <c r="T279" s="28"/>
      <c r="U279" s="8"/>
      <c r="V279" s="8" t="s">
        <v>941</v>
      </c>
      <c r="W279" s="8" t="s">
        <v>941</v>
      </c>
      <c r="X279" s="28" t="s">
        <v>941</v>
      </c>
      <c r="Y279" s="28" t="s">
        <v>941</v>
      </c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.75" thickBot="1" x14ac:dyDescent="0.3">
      <c r="A280" t="s">
        <v>540</v>
      </c>
      <c r="C280" s="46" t="s">
        <v>715</v>
      </c>
      <c r="D280" t="s">
        <v>714</v>
      </c>
      <c r="E280" t="s">
        <v>113</v>
      </c>
      <c r="F280" t="s">
        <v>20</v>
      </c>
      <c r="G280"/>
      <c r="H280" t="s">
        <v>271</v>
      </c>
      <c r="I280" s="16">
        <v>-348335740000</v>
      </c>
      <c r="J280" s="16">
        <v>-582946270000</v>
      </c>
      <c r="K280" s="16" t="s">
        <v>1225</v>
      </c>
      <c r="L280" s="17">
        <f t="shared" si="18"/>
        <v>19</v>
      </c>
      <c r="M280" s="17">
        <f t="shared" si="19"/>
        <v>9</v>
      </c>
      <c r="N280" s="18">
        <f t="shared" si="20"/>
        <v>0.6785714285714286</v>
      </c>
      <c r="O280" s="28" t="s">
        <v>941</v>
      </c>
      <c r="P280" s="8" t="s">
        <v>941</v>
      </c>
      <c r="Q280" s="8" t="s">
        <v>941</v>
      </c>
      <c r="R280" s="8" t="s">
        <v>941</v>
      </c>
      <c r="S280" s="28"/>
      <c r="T280" s="28"/>
      <c r="U280" s="8" t="s">
        <v>941</v>
      </c>
      <c r="V280" s="8" t="s">
        <v>941</v>
      </c>
      <c r="W280" s="8" t="s">
        <v>941</v>
      </c>
      <c r="X280" s="28" t="s">
        <v>941</v>
      </c>
      <c r="Y280" s="28" t="s">
        <v>941</v>
      </c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2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.75" thickBot="1" x14ac:dyDescent="0.3">
      <c r="A281" t="s">
        <v>679</v>
      </c>
      <c r="C281" s="46" t="s">
        <v>716</v>
      </c>
      <c r="D281" t="s">
        <v>717</v>
      </c>
      <c r="E281" t="s">
        <v>19</v>
      </c>
      <c r="F281" t="s">
        <v>36</v>
      </c>
      <c r="G281"/>
      <c r="H281" t="s">
        <v>718</v>
      </c>
      <c r="I281" s="16">
        <v>-348275750000</v>
      </c>
      <c r="J281" s="16">
        <v>-582788330000</v>
      </c>
      <c r="K281" s="16" t="s">
        <v>1226</v>
      </c>
      <c r="L281" s="17">
        <f t="shared" si="18"/>
        <v>28</v>
      </c>
      <c r="M281" s="17">
        <f t="shared" si="19"/>
        <v>0</v>
      </c>
      <c r="N281" s="18">
        <f t="shared" si="20"/>
        <v>1</v>
      </c>
      <c r="O281" s="28"/>
      <c r="P281" s="8"/>
      <c r="Q281" s="8"/>
      <c r="R281" s="8"/>
      <c r="S281" s="28"/>
      <c r="T281" s="28"/>
      <c r="U281" s="8"/>
      <c r="V281" s="8"/>
      <c r="W281" s="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.75" thickBot="1" x14ac:dyDescent="0.3">
      <c r="A282" t="s">
        <v>679</v>
      </c>
      <c r="C282" s="46" t="s">
        <v>719</v>
      </c>
      <c r="D282" t="s">
        <v>720</v>
      </c>
      <c r="E282" t="s">
        <v>113</v>
      </c>
      <c r="F282" t="s">
        <v>36</v>
      </c>
      <c r="G282" t="s">
        <v>631</v>
      </c>
      <c r="H282" t="s">
        <v>721</v>
      </c>
      <c r="I282" s="16">
        <v>-348258430000</v>
      </c>
      <c r="J282" s="16">
        <v>-582890260000</v>
      </c>
      <c r="K282" s="16" t="s">
        <v>1229</v>
      </c>
      <c r="L282" s="17">
        <f t="shared" si="18"/>
        <v>28</v>
      </c>
      <c r="M282" s="17">
        <f t="shared" si="19"/>
        <v>0</v>
      </c>
      <c r="N282" s="18">
        <f t="shared" si="20"/>
        <v>1</v>
      </c>
      <c r="O282" s="28"/>
      <c r="P282" s="8"/>
      <c r="Q282" s="8"/>
      <c r="R282" s="8"/>
      <c r="S282" s="28"/>
      <c r="T282" s="28"/>
      <c r="U282" s="8"/>
      <c r="V282" s="8"/>
      <c r="W282" s="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8"/>
      <c r="AJ282" s="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.75" thickBot="1" x14ac:dyDescent="0.3">
      <c r="A283" t="s">
        <v>679</v>
      </c>
      <c r="C283" s="46" t="s">
        <v>722</v>
      </c>
      <c r="D283" t="s">
        <v>720</v>
      </c>
      <c r="E283" t="s">
        <v>113</v>
      </c>
      <c r="F283" t="s">
        <v>36</v>
      </c>
      <c r="G283" t="s">
        <v>631</v>
      </c>
      <c r="H283" t="s">
        <v>721</v>
      </c>
      <c r="I283" s="16">
        <v>-348258430000</v>
      </c>
      <c r="J283" s="16">
        <v>-582889510000</v>
      </c>
      <c r="K283" s="16" t="s">
        <v>1230</v>
      </c>
      <c r="L283" s="17">
        <f t="shared" si="18"/>
        <v>28</v>
      </c>
      <c r="M283" s="17">
        <f t="shared" si="19"/>
        <v>0</v>
      </c>
      <c r="N283" s="18">
        <f t="shared" si="20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.75" thickBot="1" x14ac:dyDescent="0.3">
      <c r="A284" t="s">
        <v>551</v>
      </c>
      <c r="C284" s="46" t="s">
        <v>723</v>
      </c>
      <c r="D284" t="s">
        <v>724</v>
      </c>
      <c r="E284" t="s">
        <v>113</v>
      </c>
      <c r="F284" t="s">
        <v>36</v>
      </c>
      <c r="G284"/>
      <c r="H284" t="s">
        <v>674</v>
      </c>
      <c r="I284" s="16">
        <v>-348182670000</v>
      </c>
      <c r="J284" s="16">
        <v>-582049970000</v>
      </c>
      <c r="K284" s="16" t="s">
        <v>1231</v>
      </c>
      <c r="L284" s="17">
        <f t="shared" si="18"/>
        <v>28</v>
      </c>
      <c r="M284" s="17">
        <f t="shared" si="19"/>
        <v>0</v>
      </c>
      <c r="N284" s="18">
        <f t="shared" si="20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.75" thickBot="1" x14ac:dyDescent="0.3">
      <c r="A285" t="s">
        <v>551</v>
      </c>
      <c r="C285" s="46" t="s">
        <v>725</v>
      </c>
      <c r="D285" t="s">
        <v>724</v>
      </c>
      <c r="E285" t="s">
        <v>113</v>
      </c>
      <c r="F285" t="s">
        <v>36</v>
      </c>
      <c r="G285"/>
      <c r="H285" t="s">
        <v>674</v>
      </c>
      <c r="I285" s="16">
        <v>-348182670000</v>
      </c>
      <c r="J285" s="16">
        <v>-582049970000</v>
      </c>
      <c r="K285" s="16" t="s">
        <v>1232</v>
      </c>
      <c r="L285" s="17">
        <f t="shared" si="18"/>
        <v>28</v>
      </c>
      <c r="M285" s="17">
        <f t="shared" si="19"/>
        <v>0</v>
      </c>
      <c r="N285" s="18">
        <f t="shared" si="20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.75" thickBot="1" x14ac:dyDescent="0.3">
      <c r="A286" t="s">
        <v>726</v>
      </c>
      <c r="C286" s="46" t="s">
        <v>727</v>
      </c>
      <c r="D286" t="s">
        <v>728</v>
      </c>
      <c r="E286" t="s">
        <v>24</v>
      </c>
      <c r="F286" t="s">
        <v>947</v>
      </c>
      <c r="G286" t="s">
        <v>729</v>
      </c>
      <c r="H286"/>
      <c r="I286" s="16">
        <v>-347888010000</v>
      </c>
      <c r="J286" s="16">
        <v>-582597900000</v>
      </c>
      <c r="K286" s="16" t="s">
        <v>1233</v>
      </c>
      <c r="L286" s="17">
        <f t="shared" si="18"/>
        <v>27</v>
      </c>
      <c r="M286" s="17">
        <f t="shared" si="19"/>
        <v>1</v>
      </c>
      <c r="N286" s="18">
        <f t="shared" si="20"/>
        <v>0.9642857142857143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 t="s">
        <v>941</v>
      </c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6.899999999999999" customHeight="1" thickBot="1" x14ac:dyDescent="0.3">
      <c r="A287" t="s">
        <v>726</v>
      </c>
      <c r="C287" s="46" t="s">
        <v>730</v>
      </c>
      <c r="D287" t="s">
        <v>731</v>
      </c>
      <c r="E287" t="s">
        <v>24</v>
      </c>
      <c r="F287" t="s">
        <v>36</v>
      </c>
      <c r="G287" t="s">
        <v>368</v>
      </c>
      <c r="H287"/>
      <c r="I287" s="16">
        <v>-347926510000</v>
      </c>
      <c r="J287" s="16">
        <v>-582499030000</v>
      </c>
      <c r="K287" s="16" t="s">
        <v>1234</v>
      </c>
      <c r="L287" s="17">
        <f t="shared" si="18"/>
        <v>28</v>
      </c>
      <c r="M287" s="17">
        <f t="shared" si="19"/>
        <v>0</v>
      </c>
      <c r="N287" s="18">
        <f t="shared" si="20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.75" thickBot="1" x14ac:dyDescent="0.3">
      <c r="A288" t="s">
        <v>732</v>
      </c>
      <c r="C288" s="46" t="s">
        <v>733</v>
      </c>
      <c r="D288" t="s">
        <v>734</v>
      </c>
      <c r="E288" t="s">
        <v>24</v>
      </c>
      <c r="F288" t="s">
        <v>36</v>
      </c>
      <c r="G288" t="s">
        <v>368</v>
      </c>
      <c r="H288"/>
      <c r="I288" s="16">
        <v>-347955320000</v>
      </c>
      <c r="J288" s="16">
        <v>-582553260000</v>
      </c>
      <c r="K288" s="16" t="s">
        <v>1235</v>
      </c>
      <c r="L288" s="17">
        <f t="shared" si="18"/>
        <v>28</v>
      </c>
      <c r="M288" s="17">
        <f t="shared" si="19"/>
        <v>0</v>
      </c>
      <c r="N288" s="18">
        <f t="shared" si="20"/>
        <v>1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5.75" thickBot="1" x14ac:dyDescent="0.3">
      <c r="A289" t="s">
        <v>726</v>
      </c>
      <c r="C289" s="46" t="s">
        <v>735</v>
      </c>
      <c r="D289" t="s">
        <v>736</v>
      </c>
      <c r="E289" t="s">
        <v>19</v>
      </c>
      <c r="F289" t="s">
        <v>36</v>
      </c>
      <c r="G289" t="s">
        <v>737</v>
      </c>
      <c r="H289" t="s">
        <v>738</v>
      </c>
      <c r="I289" s="16">
        <v>-347933300000</v>
      </c>
      <c r="J289" s="16">
        <v>-582534600000</v>
      </c>
      <c r="K289" s="16" t="s">
        <v>1236</v>
      </c>
      <c r="L289" s="17">
        <f t="shared" si="18"/>
        <v>28</v>
      </c>
      <c r="M289" s="17">
        <f t="shared" si="19"/>
        <v>0</v>
      </c>
      <c r="N289" s="18">
        <f t="shared" si="20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.75" thickBot="1" x14ac:dyDescent="0.3">
      <c r="A290" t="s">
        <v>726</v>
      </c>
      <c r="C290" s="46" t="s">
        <v>739</v>
      </c>
      <c r="D290" t="s">
        <v>740</v>
      </c>
      <c r="E290" t="s">
        <v>24</v>
      </c>
      <c r="F290" t="s">
        <v>36</v>
      </c>
      <c r="G290" t="s">
        <v>368</v>
      </c>
      <c r="H290"/>
      <c r="I290" s="16">
        <v>-347941580000</v>
      </c>
      <c r="J290" s="16">
        <v>-582528380000</v>
      </c>
      <c r="K290" s="16" t="s">
        <v>1237</v>
      </c>
      <c r="L290" s="17">
        <f t="shared" si="18"/>
        <v>28</v>
      </c>
      <c r="M290" s="17">
        <f t="shared" si="19"/>
        <v>0</v>
      </c>
      <c r="N290" s="18">
        <f t="shared" si="20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.75" thickBot="1" x14ac:dyDescent="0.3">
      <c r="A291" t="s">
        <v>726</v>
      </c>
      <c r="C291" s="46" t="s">
        <v>741</v>
      </c>
      <c r="D291" t="s">
        <v>742</v>
      </c>
      <c r="E291" t="s">
        <v>19</v>
      </c>
      <c r="F291" t="s">
        <v>36</v>
      </c>
      <c r="G291" t="s">
        <v>737</v>
      </c>
      <c r="H291" t="s">
        <v>743</v>
      </c>
      <c r="I291" s="16">
        <v>-347928980000</v>
      </c>
      <c r="J291" s="16">
        <v>-582523980000</v>
      </c>
      <c r="K291" s="16" t="s">
        <v>1238</v>
      </c>
      <c r="L291" s="17">
        <f t="shared" si="18"/>
        <v>28</v>
      </c>
      <c r="M291" s="17">
        <f t="shared" si="19"/>
        <v>0</v>
      </c>
      <c r="N291" s="18">
        <f t="shared" si="20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.75" thickBot="1" x14ac:dyDescent="0.3">
      <c r="A292" t="s">
        <v>726</v>
      </c>
      <c r="C292" s="46" t="s">
        <v>744</v>
      </c>
      <c r="D292" t="s">
        <v>745</v>
      </c>
      <c r="E292" t="s">
        <v>24</v>
      </c>
      <c r="F292" t="s">
        <v>36</v>
      </c>
      <c r="G292" t="s">
        <v>368</v>
      </c>
      <c r="H292"/>
      <c r="I292" s="16">
        <v>-347936470000</v>
      </c>
      <c r="J292" s="16">
        <v>-582518290000</v>
      </c>
      <c r="K292" s="16" t="s">
        <v>1239</v>
      </c>
      <c r="L292" s="17">
        <f t="shared" si="18"/>
        <v>28</v>
      </c>
      <c r="M292" s="17">
        <f t="shared" si="19"/>
        <v>0</v>
      </c>
      <c r="N292" s="18">
        <f t="shared" si="20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.75" thickBot="1" x14ac:dyDescent="0.3">
      <c r="A293" t="s">
        <v>726</v>
      </c>
      <c r="C293" s="46" t="s">
        <v>746</v>
      </c>
      <c r="D293" t="s">
        <v>747</v>
      </c>
      <c r="E293" t="s">
        <v>24</v>
      </c>
      <c r="F293" t="s">
        <v>947</v>
      </c>
      <c r="G293" t="s">
        <v>737</v>
      </c>
      <c r="H293"/>
      <c r="I293" s="16">
        <v>-347917260000</v>
      </c>
      <c r="J293" s="16">
        <v>-582524730000</v>
      </c>
      <c r="K293" s="16" t="s">
        <v>1240</v>
      </c>
      <c r="L293" s="17">
        <f t="shared" si="18"/>
        <v>28</v>
      </c>
      <c r="M293" s="17">
        <f t="shared" si="19"/>
        <v>0</v>
      </c>
      <c r="N293" s="18">
        <f t="shared" si="20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.75" thickBot="1" x14ac:dyDescent="0.3">
      <c r="A294" t="s">
        <v>413</v>
      </c>
      <c r="C294" s="46" t="s">
        <v>748</v>
      </c>
      <c r="D294" t="s">
        <v>749</v>
      </c>
      <c r="E294" t="s">
        <v>24</v>
      </c>
      <c r="F294" t="s">
        <v>947</v>
      </c>
      <c r="G294" t="s">
        <v>162</v>
      </c>
      <c r="H294"/>
      <c r="I294" s="16">
        <v>-347867610000</v>
      </c>
      <c r="J294" s="16">
        <v>-582563190000</v>
      </c>
      <c r="K294" s="16" t="s">
        <v>1241</v>
      </c>
      <c r="L294" s="17">
        <f t="shared" si="18"/>
        <v>27</v>
      </c>
      <c r="M294" s="17">
        <f t="shared" si="19"/>
        <v>1</v>
      </c>
      <c r="N294" s="18">
        <f t="shared" si="20"/>
        <v>0.9642857142857143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 t="s">
        <v>941</v>
      </c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.75" thickBot="1" x14ac:dyDescent="0.3">
      <c r="A295" t="s">
        <v>359</v>
      </c>
      <c r="C295" s="46" t="s">
        <v>750</v>
      </c>
      <c r="D295" t="s">
        <v>751</v>
      </c>
      <c r="E295" t="s">
        <v>24</v>
      </c>
      <c r="F295" t="s">
        <v>25</v>
      </c>
      <c r="G295" t="s">
        <v>752</v>
      </c>
      <c r="H295"/>
      <c r="I295" s="16">
        <v>-348145260000</v>
      </c>
      <c r="J295" s="16">
        <v>-583009670000</v>
      </c>
      <c r="K295" s="16" t="s">
        <v>1242</v>
      </c>
      <c r="L295" s="17">
        <f t="shared" si="18"/>
        <v>24</v>
      </c>
      <c r="M295" s="17">
        <f t="shared" si="19"/>
        <v>4</v>
      </c>
      <c r="N295" s="18">
        <f t="shared" si="20"/>
        <v>0.8571428571428571</v>
      </c>
      <c r="O295" s="28"/>
      <c r="P295" s="8"/>
      <c r="Q295" s="8"/>
      <c r="R295" s="8"/>
      <c r="S295" s="28"/>
      <c r="T295" s="28" t="s">
        <v>941</v>
      </c>
      <c r="U295" s="8"/>
      <c r="V295" s="8" t="s">
        <v>941</v>
      </c>
      <c r="W295" s="8" t="s">
        <v>941</v>
      </c>
      <c r="X295" s="28" t="s">
        <v>941</v>
      </c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.75" thickBot="1" x14ac:dyDescent="0.3">
      <c r="A296" t="s">
        <v>359</v>
      </c>
      <c r="C296" s="46" t="s">
        <v>753</v>
      </c>
      <c r="D296" t="s">
        <v>754</v>
      </c>
      <c r="E296" t="s">
        <v>19</v>
      </c>
      <c r="F296" t="s">
        <v>25</v>
      </c>
      <c r="G296"/>
      <c r="H296" t="s">
        <v>33</v>
      </c>
      <c r="I296" s="16">
        <v>-348102780000</v>
      </c>
      <c r="J296" s="16">
        <v>-582968990000</v>
      </c>
      <c r="K296" s="16" t="s">
        <v>1243</v>
      </c>
      <c r="L296" s="17">
        <f t="shared" si="18"/>
        <v>28</v>
      </c>
      <c r="M296" s="17">
        <f t="shared" si="19"/>
        <v>0</v>
      </c>
      <c r="N296" s="18">
        <f t="shared" si="20"/>
        <v>1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.75" thickBot="1" x14ac:dyDescent="0.3">
      <c r="A297" t="s">
        <v>359</v>
      </c>
      <c r="C297" s="46" t="s">
        <v>755</v>
      </c>
      <c r="D297" t="s">
        <v>756</v>
      </c>
      <c r="E297" t="s">
        <v>113</v>
      </c>
      <c r="F297" t="s">
        <v>20</v>
      </c>
      <c r="G297"/>
      <c r="H297" t="s">
        <v>271</v>
      </c>
      <c r="I297" s="16">
        <v>-348125630000</v>
      </c>
      <c r="J297" s="16">
        <v>-582971310000</v>
      </c>
      <c r="K297" s="16" t="s">
        <v>1244</v>
      </c>
      <c r="L297" s="17">
        <f t="shared" si="18"/>
        <v>28</v>
      </c>
      <c r="M297" s="17">
        <f t="shared" si="19"/>
        <v>0</v>
      </c>
      <c r="N297" s="18">
        <f t="shared" si="20"/>
        <v>1</v>
      </c>
      <c r="O297" s="28"/>
      <c r="P297" s="8"/>
      <c r="Q297" s="8"/>
      <c r="R297" s="8"/>
      <c r="S297" s="28"/>
      <c r="T297" s="28"/>
      <c r="U297" s="8"/>
      <c r="V297" s="8"/>
      <c r="W297" s="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.75" thickBot="1" x14ac:dyDescent="0.3">
      <c r="A298" t="s">
        <v>359</v>
      </c>
      <c r="C298" s="46" t="s">
        <v>757</v>
      </c>
      <c r="D298" t="s">
        <v>756</v>
      </c>
      <c r="E298" t="s">
        <v>113</v>
      </c>
      <c r="F298" t="s">
        <v>20</v>
      </c>
      <c r="G298"/>
      <c r="H298" t="s">
        <v>271</v>
      </c>
      <c r="I298" s="16">
        <v>-348125630000</v>
      </c>
      <c r="J298" s="16">
        <v>-582971310000</v>
      </c>
      <c r="K298" s="16" t="s">
        <v>1245</v>
      </c>
      <c r="L298" s="17">
        <f t="shared" si="18"/>
        <v>28</v>
      </c>
      <c r="M298" s="17">
        <f t="shared" si="19"/>
        <v>0</v>
      </c>
      <c r="N298" s="18">
        <f t="shared" si="20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.75" thickBot="1" x14ac:dyDescent="0.3">
      <c r="A299" t="s">
        <v>359</v>
      </c>
      <c r="C299" s="46" t="s">
        <v>758</v>
      </c>
      <c r="D299" t="s">
        <v>759</v>
      </c>
      <c r="E299" t="s">
        <v>113</v>
      </c>
      <c r="F299" t="s">
        <v>20</v>
      </c>
      <c r="G299"/>
      <c r="H299" t="s">
        <v>271</v>
      </c>
      <c r="I299" s="16">
        <v>-348125690000</v>
      </c>
      <c r="J299" s="16">
        <v>-582982090000</v>
      </c>
      <c r="K299" s="16" t="s">
        <v>1246</v>
      </c>
      <c r="L299" s="17">
        <f t="shared" si="18"/>
        <v>28</v>
      </c>
      <c r="M299" s="17">
        <f t="shared" si="19"/>
        <v>0</v>
      </c>
      <c r="N299" s="18">
        <f t="shared" si="20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.75" thickBot="1" x14ac:dyDescent="0.3">
      <c r="A300" t="s">
        <v>359</v>
      </c>
      <c r="C300" s="46" t="s">
        <v>760</v>
      </c>
      <c r="D300" t="s">
        <v>759</v>
      </c>
      <c r="E300" t="s">
        <v>113</v>
      </c>
      <c r="F300" t="s">
        <v>20</v>
      </c>
      <c r="G300"/>
      <c r="H300" t="s">
        <v>271</v>
      </c>
      <c r="I300" s="16">
        <v>-348126020000</v>
      </c>
      <c r="J300" s="16">
        <v>-582981720000</v>
      </c>
      <c r="K300" s="16" t="s">
        <v>1247</v>
      </c>
      <c r="L300" s="17">
        <f t="shared" si="18"/>
        <v>28</v>
      </c>
      <c r="M300" s="17">
        <f t="shared" si="19"/>
        <v>0</v>
      </c>
      <c r="N300" s="18">
        <f t="shared" si="20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.75" thickBot="1" x14ac:dyDescent="0.3">
      <c r="A301" t="s">
        <v>359</v>
      </c>
      <c r="C301" s="46" t="s">
        <v>761</v>
      </c>
      <c r="D301" t="s">
        <v>762</v>
      </c>
      <c r="E301" t="s">
        <v>19</v>
      </c>
      <c r="F301" t="s">
        <v>36</v>
      </c>
      <c r="G301"/>
      <c r="H301" t="s">
        <v>249</v>
      </c>
      <c r="I301" s="16">
        <v>-348088620000</v>
      </c>
      <c r="J301" s="16">
        <v>-583035370000</v>
      </c>
      <c r="K301" s="16" t="s">
        <v>1248</v>
      </c>
      <c r="L301" s="17">
        <f t="shared" si="18"/>
        <v>28</v>
      </c>
      <c r="M301" s="17">
        <f t="shared" si="19"/>
        <v>0</v>
      </c>
      <c r="N301" s="18">
        <f t="shared" si="20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.75" thickBot="1" x14ac:dyDescent="0.3">
      <c r="A302" t="s">
        <v>359</v>
      </c>
      <c r="C302" s="46" t="s">
        <v>763</v>
      </c>
      <c r="D302" t="s">
        <v>764</v>
      </c>
      <c r="E302" t="s">
        <v>113</v>
      </c>
      <c r="F302" t="s">
        <v>36</v>
      </c>
      <c r="G302"/>
      <c r="H302" t="s">
        <v>765</v>
      </c>
      <c r="I302" s="16">
        <v>-348105760000</v>
      </c>
      <c r="J302" s="16">
        <v>-583061370000</v>
      </c>
      <c r="K302" s="16" t="s">
        <v>1249</v>
      </c>
      <c r="L302" s="17">
        <f t="shared" si="18"/>
        <v>27</v>
      </c>
      <c r="M302" s="17">
        <f t="shared" si="19"/>
        <v>1</v>
      </c>
      <c r="N302" s="18">
        <f t="shared" si="20"/>
        <v>0.9642857142857143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 t="s">
        <v>941</v>
      </c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.75" thickBot="1" x14ac:dyDescent="0.3">
      <c r="A303" t="s">
        <v>359</v>
      </c>
      <c r="C303" s="46" t="s">
        <v>766</v>
      </c>
      <c r="D303" t="s">
        <v>764</v>
      </c>
      <c r="E303" t="s">
        <v>113</v>
      </c>
      <c r="F303" t="s">
        <v>36</v>
      </c>
      <c r="G303"/>
      <c r="H303" t="s">
        <v>765</v>
      </c>
      <c r="I303" s="16">
        <v>-348105760000</v>
      </c>
      <c r="J303" s="16">
        <v>-583061370000</v>
      </c>
      <c r="K303" s="16" t="s">
        <v>1250</v>
      </c>
      <c r="L303" s="17">
        <f t="shared" si="18"/>
        <v>27</v>
      </c>
      <c r="M303" s="17">
        <f t="shared" si="19"/>
        <v>1</v>
      </c>
      <c r="N303" s="18">
        <f t="shared" si="20"/>
        <v>0.9642857142857143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 t="s">
        <v>941</v>
      </c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.75" thickBot="1" x14ac:dyDescent="0.3">
      <c r="A304" t="s">
        <v>359</v>
      </c>
      <c r="C304" s="46" t="s">
        <v>767</v>
      </c>
      <c r="D304" t="s">
        <v>768</v>
      </c>
      <c r="E304" t="s">
        <v>113</v>
      </c>
      <c r="F304" t="s">
        <v>36</v>
      </c>
      <c r="G304"/>
      <c r="H304" t="s">
        <v>769</v>
      </c>
      <c r="I304" s="16">
        <v>-348100750000</v>
      </c>
      <c r="J304" s="16">
        <v>-583065270000</v>
      </c>
      <c r="K304" s="16" t="s">
        <v>1251</v>
      </c>
      <c r="L304" s="17">
        <f t="shared" si="18"/>
        <v>27</v>
      </c>
      <c r="M304" s="17">
        <f t="shared" si="19"/>
        <v>1</v>
      </c>
      <c r="N304" s="18">
        <f t="shared" si="20"/>
        <v>0.9642857142857143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941</v>
      </c>
      <c r="Z304" s="28"/>
      <c r="AA304" s="28"/>
      <c r="AB304" s="28"/>
      <c r="AC304" s="28"/>
      <c r="AD304" s="28"/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.75" thickBot="1" x14ac:dyDescent="0.3">
      <c r="A305" t="s">
        <v>359</v>
      </c>
      <c r="C305" s="46" t="s">
        <v>770</v>
      </c>
      <c r="D305" t="s">
        <v>768</v>
      </c>
      <c r="E305" t="s">
        <v>113</v>
      </c>
      <c r="F305" t="s">
        <v>36</v>
      </c>
      <c r="G305"/>
      <c r="H305" t="s">
        <v>769</v>
      </c>
      <c r="I305" s="16">
        <v>-348100750000</v>
      </c>
      <c r="J305" s="16">
        <v>-583065270000</v>
      </c>
      <c r="K305" s="16" t="s">
        <v>1252</v>
      </c>
      <c r="L305" s="17">
        <f t="shared" si="18"/>
        <v>27</v>
      </c>
      <c r="M305" s="17">
        <f t="shared" si="19"/>
        <v>1</v>
      </c>
      <c r="N305" s="18">
        <f t="shared" si="20"/>
        <v>0.9642857142857143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941</v>
      </c>
      <c r="Z305" s="28"/>
      <c r="AA305" s="28"/>
      <c r="AB305" s="28"/>
      <c r="AC305" s="28"/>
      <c r="AD305" s="28"/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.75" thickBot="1" x14ac:dyDescent="0.3">
      <c r="C306" s="46" t="s">
        <v>771</v>
      </c>
      <c r="D306" t="s">
        <v>772</v>
      </c>
      <c r="E306" t="s">
        <v>19</v>
      </c>
      <c r="F306" t="s">
        <v>947</v>
      </c>
      <c r="G306" t="s">
        <v>186</v>
      </c>
      <c r="H306" t="s">
        <v>773</v>
      </c>
      <c r="I306" s="16">
        <v>-348153800000</v>
      </c>
      <c r="J306" s="16">
        <v>-582706170000</v>
      </c>
      <c r="K306" s="16" t="s">
        <v>1264</v>
      </c>
      <c r="L306" s="17">
        <f t="shared" si="18"/>
        <v>25</v>
      </c>
      <c r="M306" s="17">
        <f t="shared" si="19"/>
        <v>3</v>
      </c>
      <c r="N306" s="18">
        <f t="shared" si="20"/>
        <v>0.8928571428571429</v>
      </c>
      <c r="O306" s="28" t="s">
        <v>941</v>
      </c>
      <c r="P306" s="8" t="s">
        <v>941</v>
      </c>
      <c r="Q306" s="8"/>
      <c r="R306" s="8"/>
      <c r="S306" s="28" t="s">
        <v>941</v>
      </c>
      <c r="T306" s="28"/>
      <c r="U306" s="8"/>
      <c r="V306" s="8"/>
      <c r="W306" s="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8"/>
      <c r="AJ306" s="2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.75" thickBot="1" x14ac:dyDescent="0.3">
      <c r="A307" t="s">
        <v>774</v>
      </c>
      <c r="C307" s="46" t="s">
        <v>775</v>
      </c>
      <c r="D307" t="s">
        <v>776</v>
      </c>
      <c r="E307" t="s">
        <v>24</v>
      </c>
      <c r="F307" t="s">
        <v>947</v>
      </c>
      <c r="G307" t="s">
        <v>186</v>
      </c>
      <c r="H307" t="s">
        <v>777</v>
      </c>
      <c r="I307" s="16">
        <v>-348171860000</v>
      </c>
      <c r="J307" s="16">
        <v>-582741990000</v>
      </c>
      <c r="K307" s="16" t="s">
        <v>1265</v>
      </c>
      <c r="L307" s="17">
        <f t="shared" si="18"/>
        <v>28</v>
      </c>
      <c r="M307" s="17">
        <f t="shared" si="19"/>
        <v>0</v>
      </c>
      <c r="N307" s="18">
        <f t="shared" si="20"/>
        <v>1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.75" thickBot="1" x14ac:dyDescent="0.3">
      <c r="C308" s="46" t="s">
        <v>778</v>
      </c>
      <c r="D308" t="s">
        <v>779</v>
      </c>
      <c r="E308" t="s">
        <v>19</v>
      </c>
      <c r="F308" t="s">
        <v>947</v>
      </c>
      <c r="G308" t="s">
        <v>780</v>
      </c>
      <c r="H308"/>
      <c r="I308" s="16">
        <v>-348129440000</v>
      </c>
      <c r="J308" s="16">
        <v>-582759900000</v>
      </c>
      <c r="K308" s="16" t="s">
        <v>1267</v>
      </c>
      <c r="L308" s="17">
        <f t="shared" si="18"/>
        <v>28</v>
      </c>
      <c r="M308" s="17">
        <f t="shared" si="19"/>
        <v>0</v>
      </c>
      <c r="N308" s="18">
        <f t="shared" si="20"/>
        <v>1</v>
      </c>
      <c r="O308" s="28"/>
      <c r="P308" s="8"/>
      <c r="Q308" s="8"/>
      <c r="R308" s="8"/>
      <c r="S308" s="28"/>
      <c r="T308" s="28"/>
      <c r="U308" s="8"/>
      <c r="V308" s="8"/>
      <c r="W308" s="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8"/>
      <c r="AJ308" s="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.75" thickBot="1" x14ac:dyDescent="0.3">
      <c r="A309" t="s">
        <v>781</v>
      </c>
      <c r="C309" s="46" t="s">
        <v>782</v>
      </c>
      <c r="D309" t="s">
        <v>783</v>
      </c>
      <c r="E309" t="s">
        <v>19</v>
      </c>
      <c r="F309" t="s">
        <v>947</v>
      </c>
      <c r="G309"/>
      <c r="H309" t="s">
        <v>784</v>
      </c>
      <c r="I309" s="16">
        <v>-348174960000</v>
      </c>
      <c r="J309" s="16">
        <v>-582687670000</v>
      </c>
      <c r="K309" s="16" t="s">
        <v>1268</v>
      </c>
      <c r="L309" s="17">
        <f t="shared" si="18"/>
        <v>28</v>
      </c>
      <c r="M309" s="17">
        <f t="shared" si="19"/>
        <v>0</v>
      </c>
      <c r="N309" s="18">
        <f t="shared" si="20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.75" thickBot="1" x14ac:dyDescent="0.3">
      <c r="A310" t="s">
        <v>781</v>
      </c>
      <c r="C310" s="46" t="s">
        <v>785</v>
      </c>
      <c r="D310" t="s">
        <v>930</v>
      </c>
      <c r="E310" t="s">
        <v>19</v>
      </c>
      <c r="F310" t="s">
        <v>947</v>
      </c>
      <c r="G310"/>
      <c r="H310" t="s">
        <v>30</v>
      </c>
      <c r="I310" s="16">
        <v>-348206040000</v>
      </c>
      <c r="J310" s="16">
        <v>-582725050000</v>
      </c>
      <c r="K310" s="16" t="s">
        <v>1269</v>
      </c>
      <c r="L310" s="17">
        <f t="shared" si="18"/>
        <v>28</v>
      </c>
      <c r="M310" s="17">
        <f t="shared" si="19"/>
        <v>0</v>
      </c>
      <c r="N310" s="18">
        <f t="shared" si="20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.75" thickBot="1" x14ac:dyDescent="0.3">
      <c r="A311" t="s">
        <v>774</v>
      </c>
      <c r="C311" s="46" t="s">
        <v>786</v>
      </c>
      <c r="D311" t="s">
        <v>787</v>
      </c>
      <c r="E311" t="s">
        <v>19</v>
      </c>
      <c r="F311" t="s">
        <v>947</v>
      </c>
      <c r="G311"/>
      <c r="H311" t="s">
        <v>694</v>
      </c>
      <c r="I311" s="16">
        <v>-348117590000</v>
      </c>
      <c r="J311" s="16">
        <v>-582727020000</v>
      </c>
      <c r="K311" s="16" t="s">
        <v>1270</v>
      </c>
      <c r="L311" s="17">
        <f t="shared" si="18"/>
        <v>28</v>
      </c>
      <c r="M311" s="17">
        <f t="shared" si="19"/>
        <v>0</v>
      </c>
      <c r="N311" s="18">
        <f t="shared" si="20"/>
        <v>1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.75" thickBot="1" x14ac:dyDescent="0.3">
      <c r="A312" t="s">
        <v>774</v>
      </c>
      <c r="C312" s="46" t="s">
        <v>788</v>
      </c>
      <c r="D312" t="s">
        <v>789</v>
      </c>
      <c r="E312" t="s">
        <v>19</v>
      </c>
      <c r="F312" t="s">
        <v>25</v>
      </c>
      <c r="G312"/>
      <c r="H312" t="s">
        <v>694</v>
      </c>
      <c r="I312" s="16">
        <v>-348137760000</v>
      </c>
      <c r="J312" s="16">
        <v>-582704960000</v>
      </c>
      <c r="K312" s="16" t="s">
        <v>1271</v>
      </c>
      <c r="L312" s="17">
        <f t="shared" si="18"/>
        <v>28</v>
      </c>
      <c r="M312" s="17">
        <f t="shared" si="19"/>
        <v>0</v>
      </c>
      <c r="N312" s="18">
        <f t="shared" si="20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.75" thickBot="1" x14ac:dyDescent="0.3">
      <c r="A313" t="s">
        <v>781</v>
      </c>
      <c r="C313" s="46" t="s">
        <v>790</v>
      </c>
      <c r="D313" t="s">
        <v>791</v>
      </c>
      <c r="E313" t="s">
        <v>73</v>
      </c>
      <c r="F313" t="s">
        <v>25</v>
      </c>
      <c r="G313"/>
      <c r="H313" t="s">
        <v>308</v>
      </c>
      <c r="I313" s="16">
        <v>-348227100000</v>
      </c>
      <c r="J313" s="16">
        <v>-582764200000</v>
      </c>
      <c r="K313" s="16" t="s">
        <v>1272</v>
      </c>
      <c r="L313" s="17">
        <f t="shared" si="18"/>
        <v>28</v>
      </c>
      <c r="M313" s="17">
        <f t="shared" si="19"/>
        <v>0</v>
      </c>
      <c r="N313" s="18">
        <f t="shared" si="20"/>
        <v>1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.75" thickBot="1" x14ac:dyDescent="0.3">
      <c r="A314" t="s">
        <v>781</v>
      </c>
      <c r="C314" s="46" t="s">
        <v>792</v>
      </c>
      <c r="D314" t="s">
        <v>929</v>
      </c>
      <c r="E314" t="s">
        <v>24</v>
      </c>
      <c r="F314" t="s">
        <v>36</v>
      </c>
      <c r="G314" t="s">
        <v>793</v>
      </c>
      <c r="H314"/>
      <c r="I314" s="16">
        <v>-348197840000</v>
      </c>
      <c r="J314" s="16">
        <v>-582731040000</v>
      </c>
      <c r="K314" s="16" t="s">
        <v>1253</v>
      </c>
      <c r="L314" s="17">
        <f t="shared" si="18"/>
        <v>28</v>
      </c>
      <c r="M314" s="17">
        <f t="shared" si="19"/>
        <v>0</v>
      </c>
      <c r="N314" s="18">
        <f t="shared" si="20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.75" thickBot="1" x14ac:dyDescent="0.3">
      <c r="A315" t="s">
        <v>774</v>
      </c>
      <c r="C315" s="46" t="s">
        <v>794</v>
      </c>
      <c r="D315" t="s">
        <v>928</v>
      </c>
      <c r="E315" t="s">
        <v>24</v>
      </c>
      <c r="F315" t="s">
        <v>36</v>
      </c>
      <c r="G315" t="s">
        <v>186</v>
      </c>
      <c r="H315"/>
      <c r="I315" s="16">
        <v>-348187010000</v>
      </c>
      <c r="J315" s="16">
        <v>-582769880000</v>
      </c>
      <c r="K315" s="16" t="s">
        <v>1254</v>
      </c>
      <c r="L315" s="17">
        <f t="shared" si="18"/>
        <v>28</v>
      </c>
      <c r="M315" s="17">
        <f t="shared" si="19"/>
        <v>0</v>
      </c>
      <c r="N315" s="18">
        <f t="shared" si="20"/>
        <v>1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.75" thickBot="1" x14ac:dyDescent="0.3">
      <c r="A316" t="s">
        <v>774</v>
      </c>
      <c r="C316" s="46" t="s">
        <v>795</v>
      </c>
      <c r="D316" t="s">
        <v>796</v>
      </c>
      <c r="E316" t="s">
        <v>24</v>
      </c>
      <c r="F316" t="s">
        <v>36</v>
      </c>
      <c r="G316" t="s">
        <v>797</v>
      </c>
      <c r="H316"/>
      <c r="I316" s="16">
        <v>-348117420000</v>
      </c>
      <c r="J316" s="16">
        <v>-582744990000</v>
      </c>
      <c r="K316" s="16" t="s">
        <v>1255</v>
      </c>
      <c r="L316" s="17">
        <f t="shared" si="18"/>
        <v>28</v>
      </c>
      <c r="M316" s="17">
        <f t="shared" si="19"/>
        <v>0</v>
      </c>
      <c r="N316" s="18">
        <f t="shared" si="20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.75" thickBot="1" x14ac:dyDescent="0.3">
      <c r="A317" t="s">
        <v>774</v>
      </c>
      <c r="C317" s="46" t="s">
        <v>798</v>
      </c>
      <c r="D317" t="s">
        <v>799</v>
      </c>
      <c r="E317" t="s">
        <v>24</v>
      </c>
      <c r="F317" t="s">
        <v>36</v>
      </c>
      <c r="G317" t="s">
        <v>800</v>
      </c>
      <c r="H317"/>
      <c r="I317" s="16">
        <v>-348115920000</v>
      </c>
      <c r="J317" s="16">
        <v>-582697890000</v>
      </c>
      <c r="K317" s="16" t="s">
        <v>1256</v>
      </c>
      <c r="L317" s="17">
        <f t="shared" si="18"/>
        <v>28</v>
      </c>
      <c r="M317" s="17">
        <f t="shared" si="19"/>
        <v>0</v>
      </c>
      <c r="N317" s="18">
        <f t="shared" si="20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.75" thickBot="1" x14ac:dyDescent="0.3">
      <c r="A318" t="s">
        <v>774</v>
      </c>
      <c r="C318" s="46" t="s">
        <v>801</v>
      </c>
      <c r="D318" t="s">
        <v>802</v>
      </c>
      <c r="E318" t="s">
        <v>24</v>
      </c>
      <c r="F318" t="s">
        <v>25</v>
      </c>
      <c r="G318" t="s">
        <v>803</v>
      </c>
      <c r="H318"/>
      <c r="I318" s="16">
        <v>-348115310000</v>
      </c>
      <c r="J318" s="16">
        <v>-582685340000</v>
      </c>
      <c r="K318" s="16" t="s">
        <v>1257</v>
      </c>
      <c r="L318" s="17">
        <f t="shared" si="18"/>
        <v>28</v>
      </c>
      <c r="M318" s="17">
        <f t="shared" si="19"/>
        <v>0</v>
      </c>
      <c r="N318" s="18">
        <f t="shared" si="20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.75" thickBot="1" x14ac:dyDescent="0.3">
      <c r="A319" t="s">
        <v>774</v>
      </c>
      <c r="C319" s="46" t="s">
        <v>804</v>
      </c>
      <c r="D319" t="s">
        <v>926</v>
      </c>
      <c r="E319" t="s">
        <v>24</v>
      </c>
      <c r="F319" t="s">
        <v>36</v>
      </c>
      <c r="G319" t="s">
        <v>65</v>
      </c>
      <c r="H319"/>
      <c r="I319" s="16">
        <v>-348150260000</v>
      </c>
      <c r="J319" s="16">
        <v>-582775060000</v>
      </c>
      <c r="K319" s="16" t="s">
        <v>1258</v>
      </c>
      <c r="L319" s="17">
        <f t="shared" si="18"/>
        <v>18</v>
      </c>
      <c r="M319" s="17">
        <f t="shared" si="19"/>
        <v>10</v>
      </c>
      <c r="N319" s="18">
        <f t="shared" si="20"/>
        <v>0.6428571428571429</v>
      </c>
      <c r="O319" s="28" t="s">
        <v>941</v>
      </c>
      <c r="P319" s="8" t="s">
        <v>941</v>
      </c>
      <c r="Q319" s="8" t="s">
        <v>941</v>
      </c>
      <c r="R319" s="8" t="s">
        <v>941</v>
      </c>
      <c r="S319" s="28" t="s">
        <v>941</v>
      </c>
      <c r="T319" s="28" t="s">
        <v>941</v>
      </c>
      <c r="U319" s="8" t="s">
        <v>941</v>
      </c>
      <c r="V319" s="8" t="s">
        <v>941</v>
      </c>
      <c r="W319" s="8" t="s">
        <v>941</v>
      </c>
      <c r="X319" s="28" t="s">
        <v>941</v>
      </c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2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.75" thickBot="1" x14ac:dyDescent="0.3">
      <c r="A320" t="s">
        <v>774</v>
      </c>
      <c r="C320" s="46" t="s">
        <v>805</v>
      </c>
      <c r="D320" t="s">
        <v>927</v>
      </c>
      <c r="E320" t="s">
        <v>19</v>
      </c>
      <c r="F320" t="s">
        <v>947</v>
      </c>
      <c r="G320" t="s">
        <v>806</v>
      </c>
      <c r="H320"/>
      <c r="I320" s="16">
        <v>-348119360000</v>
      </c>
      <c r="J320" s="16">
        <v>-582777500000</v>
      </c>
      <c r="K320" s="16" t="s">
        <v>1259</v>
      </c>
      <c r="L320" s="17">
        <f t="shared" si="18"/>
        <v>18</v>
      </c>
      <c r="M320" s="17">
        <f t="shared" si="19"/>
        <v>10</v>
      </c>
      <c r="N320" s="18">
        <f t="shared" si="20"/>
        <v>0.6428571428571429</v>
      </c>
      <c r="O320" s="28" t="s">
        <v>941</v>
      </c>
      <c r="P320" s="8" t="s">
        <v>941</v>
      </c>
      <c r="Q320" s="8" t="s">
        <v>941</v>
      </c>
      <c r="R320" s="8" t="s">
        <v>941</v>
      </c>
      <c r="S320" s="28" t="s">
        <v>941</v>
      </c>
      <c r="T320" s="28" t="s">
        <v>941</v>
      </c>
      <c r="U320" s="8" t="s">
        <v>941</v>
      </c>
      <c r="V320" s="8" t="s">
        <v>941</v>
      </c>
      <c r="W320" s="8" t="s">
        <v>941</v>
      </c>
      <c r="X320" s="28" t="s">
        <v>941</v>
      </c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2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.75" thickBot="1" x14ac:dyDescent="0.3">
      <c r="A321" t="s">
        <v>781</v>
      </c>
      <c r="C321" s="46" t="s">
        <v>807</v>
      </c>
      <c r="D321" t="s">
        <v>808</v>
      </c>
      <c r="E321" t="s">
        <v>24</v>
      </c>
      <c r="F321" t="s">
        <v>36</v>
      </c>
      <c r="G321" t="s">
        <v>162</v>
      </c>
      <c r="H321"/>
      <c r="I321" s="16">
        <v>-348165160000</v>
      </c>
      <c r="J321" s="16">
        <v>-582725140000</v>
      </c>
      <c r="K321" s="16" t="s">
        <v>1260</v>
      </c>
      <c r="L321" s="17">
        <f t="shared" si="18"/>
        <v>28</v>
      </c>
      <c r="M321" s="17">
        <f t="shared" si="19"/>
        <v>0</v>
      </c>
      <c r="N321" s="18">
        <f t="shared" si="20"/>
        <v>1</v>
      </c>
      <c r="O321" s="28"/>
      <c r="P321" s="8"/>
      <c r="Q321" s="8"/>
      <c r="R321" s="8"/>
      <c r="S321" s="28"/>
      <c r="T321" s="28"/>
      <c r="U321" s="8"/>
      <c r="V321" s="8"/>
      <c r="W321" s="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8"/>
      <c r="AJ321" s="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.75" thickBot="1" x14ac:dyDescent="0.3">
      <c r="A322" t="s">
        <v>781</v>
      </c>
      <c r="C322" s="46" t="s">
        <v>809</v>
      </c>
      <c r="D322" t="s">
        <v>810</v>
      </c>
      <c r="E322" t="s">
        <v>24</v>
      </c>
      <c r="F322" t="s">
        <v>36</v>
      </c>
      <c r="G322" t="s">
        <v>162</v>
      </c>
      <c r="H322" t="s">
        <v>811</v>
      </c>
      <c r="I322" s="16">
        <v>-348159830000</v>
      </c>
      <c r="J322" s="16">
        <v>-582660100000</v>
      </c>
      <c r="K322" s="16" t="s">
        <v>1261</v>
      </c>
      <c r="L322" s="17">
        <f t="shared" si="18"/>
        <v>28</v>
      </c>
      <c r="M322" s="17">
        <f t="shared" si="19"/>
        <v>0</v>
      </c>
      <c r="N322" s="18">
        <f t="shared" si="20"/>
        <v>1</v>
      </c>
      <c r="O322" s="28"/>
      <c r="P322" s="8"/>
      <c r="Q322" s="8"/>
      <c r="R322" s="8"/>
      <c r="S322" s="28"/>
      <c r="T322" s="28"/>
      <c r="U322" s="8"/>
      <c r="V322" s="8"/>
      <c r="W322" s="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8"/>
      <c r="AJ322" s="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.75" thickBot="1" x14ac:dyDescent="0.3">
      <c r="A323" t="s">
        <v>774</v>
      </c>
      <c r="C323" s="46" t="s">
        <v>812</v>
      </c>
      <c r="D323" t="s">
        <v>813</v>
      </c>
      <c r="E323" t="s">
        <v>24</v>
      </c>
      <c r="F323" t="s">
        <v>36</v>
      </c>
      <c r="G323" t="s">
        <v>162</v>
      </c>
      <c r="H323"/>
      <c r="I323" s="16">
        <v>-348139270000</v>
      </c>
      <c r="J323" s="16">
        <v>-582743600000</v>
      </c>
      <c r="K323" s="16" t="s">
        <v>1262</v>
      </c>
      <c r="L323" s="17">
        <f t="shared" si="18"/>
        <v>28</v>
      </c>
      <c r="M323" s="17">
        <f t="shared" si="19"/>
        <v>0</v>
      </c>
      <c r="N323" s="18">
        <f t="shared" si="20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.75" thickBot="1" x14ac:dyDescent="0.3">
      <c r="A324" t="s">
        <v>781</v>
      </c>
      <c r="C324" s="46" t="s">
        <v>814</v>
      </c>
      <c r="D324" t="s">
        <v>815</v>
      </c>
      <c r="E324" t="s">
        <v>24</v>
      </c>
      <c r="F324" t="s">
        <v>36</v>
      </c>
      <c r="G324" t="s">
        <v>793</v>
      </c>
      <c r="H324"/>
      <c r="I324" s="16">
        <v>-348191940000</v>
      </c>
      <c r="J324" s="16">
        <v>-582720740000</v>
      </c>
      <c r="K324" s="16" t="s">
        <v>1263</v>
      </c>
      <c r="L324" s="17">
        <f t="shared" si="18"/>
        <v>28</v>
      </c>
      <c r="M324" s="17">
        <f t="shared" si="19"/>
        <v>0</v>
      </c>
      <c r="N324" s="18">
        <f t="shared" si="20"/>
        <v>1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.75" thickBot="1" x14ac:dyDescent="0.3">
      <c r="C325" s="46" t="s">
        <v>816</v>
      </c>
      <c r="D325" t="s">
        <v>817</v>
      </c>
      <c r="E325" t="s">
        <v>19</v>
      </c>
      <c r="F325" t="s">
        <v>36</v>
      </c>
      <c r="G325" t="s">
        <v>818</v>
      </c>
      <c r="H325" t="s">
        <v>819</v>
      </c>
      <c r="I325" s="16">
        <v>-348187470000</v>
      </c>
      <c r="J325" s="16">
        <v>-582709000000</v>
      </c>
      <c r="K325" s="16" t="s">
        <v>1266</v>
      </c>
      <c r="L325" s="17">
        <f t="shared" ref="L325:L368" si="21">COUNTIF(O325:AP325,"")</f>
        <v>28</v>
      </c>
      <c r="M325" s="17">
        <f t="shared" ref="M325:M368" si="22">COUNTIF(O325:AP325,"APAGADO")</f>
        <v>0</v>
      </c>
      <c r="N325" s="18">
        <f t="shared" ref="N325:N368" si="23">(L325)/(M325+L325)</f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.75" thickBot="1" x14ac:dyDescent="0.3">
      <c r="A326" t="s">
        <v>774</v>
      </c>
      <c r="C326" s="46" t="s">
        <v>820</v>
      </c>
      <c r="D326" t="s">
        <v>821</v>
      </c>
      <c r="E326" t="s">
        <v>113</v>
      </c>
      <c r="F326" t="s">
        <v>36</v>
      </c>
      <c r="G326"/>
      <c r="H326" t="s">
        <v>249</v>
      </c>
      <c r="I326" s="16">
        <v>-348138590000</v>
      </c>
      <c r="J326" s="16">
        <v>-582734640000</v>
      </c>
      <c r="K326" s="16" t="s">
        <v>1273</v>
      </c>
      <c r="L326" s="17">
        <f t="shared" si="21"/>
        <v>28</v>
      </c>
      <c r="M326" s="17">
        <f t="shared" si="22"/>
        <v>0</v>
      </c>
      <c r="N326" s="18">
        <f t="shared" si="23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.75" thickBot="1" x14ac:dyDescent="0.3">
      <c r="A327" t="s">
        <v>774</v>
      </c>
      <c r="C327" s="46" t="s">
        <v>822</v>
      </c>
      <c r="D327" t="s">
        <v>821</v>
      </c>
      <c r="E327" t="s">
        <v>113</v>
      </c>
      <c r="F327" t="s">
        <v>36</v>
      </c>
      <c r="G327"/>
      <c r="H327" t="s">
        <v>249</v>
      </c>
      <c r="I327" s="16">
        <v>-348138540000</v>
      </c>
      <c r="J327" s="16">
        <v>-582734290000</v>
      </c>
      <c r="K327" s="16" t="s">
        <v>1274</v>
      </c>
      <c r="L327" s="17">
        <f t="shared" si="21"/>
        <v>28</v>
      </c>
      <c r="M327" s="17">
        <f t="shared" si="22"/>
        <v>0</v>
      </c>
      <c r="N327" s="18">
        <f t="shared" si="23"/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.75" thickBot="1" x14ac:dyDescent="0.3">
      <c r="A328" t="s">
        <v>774</v>
      </c>
      <c r="C328" s="46" t="s">
        <v>823</v>
      </c>
      <c r="D328" t="s">
        <v>824</v>
      </c>
      <c r="E328" t="s">
        <v>113</v>
      </c>
      <c r="F328" t="s">
        <v>36</v>
      </c>
      <c r="G328"/>
      <c r="H328" t="s">
        <v>301</v>
      </c>
      <c r="I328" s="16">
        <v>-348114320000</v>
      </c>
      <c r="J328" s="16">
        <v>-582778570000</v>
      </c>
      <c r="K328" s="16" t="s">
        <v>1029</v>
      </c>
      <c r="L328" s="17">
        <f t="shared" si="21"/>
        <v>19</v>
      </c>
      <c r="M328" s="17">
        <f t="shared" si="22"/>
        <v>9</v>
      </c>
      <c r="N328" s="18">
        <f t="shared" si="23"/>
        <v>0.6785714285714286</v>
      </c>
      <c r="O328" s="28"/>
      <c r="P328" s="8" t="s">
        <v>941</v>
      </c>
      <c r="Q328" s="8" t="s">
        <v>941</v>
      </c>
      <c r="R328" s="8" t="s">
        <v>941</v>
      </c>
      <c r="S328" s="28" t="s">
        <v>941</v>
      </c>
      <c r="T328" s="28" t="s">
        <v>941</v>
      </c>
      <c r="U328" s="8" t="s">
        <v>941</v>
      </c>
      <c r="V328" s="8" t="s">
        <v>941</v>
      </c>
      <c r="W328" s="8" t="s">
        <v>941</v>
      </c>
      <c r="X328" s="28" t="s">
        <v>941</v>
      </c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.75" thickBot="1" x14ac:dyDescent="0.3">
      <c r="A329" t="s">
        <v>774</v>
      </c>
      <c r="C329" s="46" t="s">
        <v>825</v>
      </c>
      <c r="D329" t="s">
        <v>824</v>
      </c>
      <c r="E329" t="s">
        <v>113</v>
      </c>
      <c r="F329" t="s">
        <v>36</v>
      </c>
      <c r="G329"/>
      <c r="H329" t="s">
        <v>301</v>
      </c>
      <c r="I329" s="16">
        <v>-348114300000</v>
      </c>
      <c r="J329" s="16">
        <v>-582778730000</v>
      </c>
      <c r="K329" s="16" t="s">
        <v>1275</v>
      </c>
      <c r="L329" s="17">
        <f t="shared" si="21"/>
        <v>19</v>
      </c>
      <c r="M329" s="17">
        <f t="shared" si="22"/>
        <v>9</v>
      </c>
      <c r="N329" s="18">
        <f t="shared" si="23"/>
        <v>0.6785714285714286</v>
      </c>
      <c r="O329" s="28"/>
      <c r="P329" s="8" t="s">
        <v>941</v>
      </c>
      <c r="Q329" s="8" t="s">
        <v>941</v>
      </c>
      <c r="R329" s="8" t="s">
        <v>941</v>
      </c>
      <c r="S329" s="28" t="s">
        <v>941</v>
      </c>
      <c r="T329" s="28" t="s">
        <v>941</v>
      </c>
      <c r="U329" s="8" t="s">
        <v>941</v>
      </c>
      <c r="V329" s="8" t="s">
        <v>941</v>
      </c>
      <c r="W329" s="8" t="s">
        <v>941</v>
      </c>
      <c r="X329" s="28" t="s">
        <v>941</v>
      </c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.75" thickBot="1" x14ac:dyDescent="0.3">
      <c r="A330" t="s">
        <v>621</v>
      </c>
      <c r="C330" s="46" t="s">
        <v>826</v>
      </c>
      <c r="D330" t="s">
        <v>827</v>
      </c>
      <c r="E330" t="s">
        <v>24</v>
      </c>
      <c r="F330" t="s">
        <v>36</v>
      </c>
      <c r="G330" t="s">
        <v>828</v>
      </c>
      <c r="H330" t="s">
        <v>829</v>
      </c>
      <c r="I330" s="16">
        <v>-347781830000</v>
      </c>
      <c r="J330" s="16">
        <v>-582883670000</v>
      </c>
      <c r="K330" s="16" t="s">
        <v>1282</v>
      </c>
      <c r="L330" s="17">
        <f t="shared" si="21"/>
        <v>28</v>
      </c>
      <c r="M330" s="17">
        <f t="shared" si="22"/>
        <v>0</v>
      </c>
      <c r="N330" s="18">
        <f t="shared" si="23"/>
        <v>1</v>
      </c>
      <c r="O330" s="28"/>
      <c r="P330" s="8"/>
      <c r="Q330" s="8"/>
      <c r="R330" s="8"/>
      <c r="S330" s="28"/>
      <c r="T330" s="28"/>
      <c r="U330" s="8"/>
      <c r="V330" s="8"/>
      <c r="W330" s="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.75" thickBot="1" x14ac:dyDescent="0.3">
      <c r="A331" t="s">
        <v>621</v>
      </c>
      <c r="C331" s="46" t="s">
        <v>830</v>
      </c>
      <c r="D331" t="s">
        <v>831</v>
      </c>
      <c r="E331" t="s">
        <v>24</v>
      </c>
      <c r="F331" t="s">
        <v>36</v>
      </c>
      <c r="G331" t="s">
        <v>603</v>
      </c>
      <c r="H331"/>
      <c r="I331" s="16">
        <v>-347743850000</v>
      </c>
      <c r="J331" s="16">
        <v>-582816550000</v>
      </c>
      <c r="K331" s="16" t="s">
        <v>1278</v>
      </c>
      <c r="L331" s="17">
        <f t="shared" si="21"/>
        <v>20</v>
      </c>
      <c r="M331" s="17">
        <f t="shared" si="22"/>
        <v>8</v>
      </c>
      <c r="N331" s="18">
        <f t="shared" si="23"/>
        <v>0.7142857142857143</v>
      </c>
      <c r="O331" s="28" t="s">
        <v>941</v>
      </c>
      <c r="P331" s="8" t="s">
        <v>941</v>
      </c>
      <c r="Q331" s="8" t="s">
        <v>941</v>
      </c>
      <c r="R331" s="8" t="s">
        <v>941</v>
      </c>
      <c r="S331" s="28" t="s">
        <v>941</v>
      </c>
      <c r="T331" s="28" t="s">
        <v>941</v>
      </c>
      <c r="U331" s="8" t="s">
        <v>941</v>
      </c>
      <c r="V331" s="8" t="s">
        <v>941</v>
      </c>
      <c r="W331" s="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8"/>
      <c r="AJ331" s="2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.75" thickBot="1" x14ac:dyDescent="0.3">
      <c r="A332" t="s">
        <v>458</v>
      </c>
      <c r="C332" s="46" t="s">
        <v>832</v>
      </c>
      <c r="D332" t="s">
        <v>833</v>
      </c>
      <c r="E332" t="s">
        <v>24</v>
      </c>
      <c r="F332" t="s">
        <v>36</v>
      </c>
      <c r="G332" t="s">
        <v>186</v>
      </c>
      <c r="H332"/>
      <c r="I332" s="16">
        <v>-347773100000</v>
      </c>
      <c r="J332" s="16">
        <v>-582804110000</v>
      </c>
      <c r="K332" s="16" t="s">
        <v>1279</v>
      </c>
      <c r="L332" s="17">
        <f t="shared" si="21"/>
        <v>28</v>
      </c>
      <c r="M332" s="17">
        <f t="shared" si="22"/>
        <v>0</v>
      </c>
      <c r="N332" s="18">
        <f t="shared" si="23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.75" thickBot="1" x14ac:dyDescent="0.3">
      <c r="A333" t="s">
        <v>621</v>
      </c>
      <c r="C333" s="46" t="s">
        <v>834</v>
      </c>
      <c r="D333" t="s">
        <v>835</v>
      </c>
      <c r="E333" t="s">
        <v>113</v>
      </c>
      <c r="F333" t="s">
        <v>36</v>
      </c>
      <c r="G333"/>
      <c r="H333" t="s">
        <v>249</v>
      </c>
      <c r="I333" s="16">
        <v>-347807260000</v>
      </c>
      <c r="J333" s="16">
        <v>-582820830000</v>
      </c>
      <c r="K333" s="16" t="s">
        <v>1276</v>
      </c>
      <c r="L333" s="17">
        <f t="shared" si="21"/>
        <v>28</v>
      </c>
      <c r="M333" s="17">
        <f t="shared" si="22"/>
        <v>0</v>
      </c>
      <c r="N333" s="18">
        <f t="shared" si="23"/>
        <v>1</v>
      </c>
      <c r="O333" s="28"/>
      <c r="P333" s="8"/>
      <c r="Q333" s="8"/>
      <c r="R333" s="8"/>
      <c r="S333" s="28"/>
      <c r="T333" s="28"/>
      <c r="U333" s="8"/>
      <c r="V333" s="8"/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.75" thickBot="1" x14ac:dyDescent="0.3">
      <c r="A334" t="s">
        <v>621</v>
      </c>
      <c r="C334" s="46" t="s">
        <v>836</v>
      </c>
      <c r="D334" t="s">
        <v>835</v>
      </c>
      <c r="E334" t="s">
        <v>113</v>
      </c>
      <c r="F334" t="s">
        <v>36</v>
      </c>
      <c r="G334"/>
      <c r="H334" t="s">
        <v>249</v>
      </c>
      <c r="I334" s="16">
        <v>-347807260000</v>
      </c>
      <c r="J334" s="16">
        <v>-582820830000</v>
      </c>
      <c r="K334" s="16" t="s">
        <v>1277</v>
      </c>
      <c r="L334" s="17">
        <f t="shared" si="21"/>
        <v>28</v>
      </c>
      <c r="M334" s="17">
        <f t="shared" si="22"/>
        <v>0</v>
      </c>
      <c r="N334" s="18">
        <f t="shared" si="23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.75" thickBot="1" x14ac:dyDescent="0.3">
      <c r="A335" t="s">
        <v>621</v>
      </c>
      <c r="C335" s="46" t="s">
        <v>837</v>
      </c>
      <c r="D335" t="s">
        <v>838</v>
      </c>
      <c r="E335" t="s">
        <v>113</v>
      </c>
      <c r="F335" t="s">
        <v>36</v>
      </c>
      <c r="G335" t="s">
        <v>839</v>
      </c>
      <c r="H335" t="s">
        <v>829</v>
      </c>
      <c r="I335" s="16">
        <v>-347798010000</v>
      </c>
      <c r="J335" s="16">
        <v>-582870530000</v>
      </c>
      <c r="K335" s="16" t="s">
        <v>1280</v>
      </c>
      <c r="L335" s="17">
        <f t="shared" si="21"/>
        <v>28</v>
      </c>
      <c r="M335" s="17">
        <f t="shared" si="22"/>
        <v>0</v>
      </c>
      <c r="N335" s="18">
        <f t="shared" si="23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.75" thickBot="1" x14ac:dyDescent="0.3">
      <c r="A336" t="s">
        <v>621</v>
      </c>
      <c r="C336" s="46" t="s">
        <v>840</v>
      </c>
      <c r="D336" t="s">
        <v>838</v>
      </c>
      <c r="E336" t="s">
        <v>113</v>
      </c>
      <c r="F336" t="s">
        <v>36</v>
      </c>
      <c r="G336" t="s">
        <v>839</v>
      </c>
      <c r="H336" t="s">
        <v>829</v>
      </c>
      <c r="I336" s="16">
        <v>-347797690000</v>
      </c>
      <c r="J336" s="16">
        <v>-582869910000</v>
      </c>
      <c r="K336" s="16" t="s">
        <v>1281</v>
      </c>
      <c r="L336" s="17">
        <f t="shared" si="21"/>
        <v>28</v>
      </c>
      <c r="M336" s="17">
        <f t="shared" si="22"/>
        <v>0</v>
      </c>
      <c r="N336" s="18">
        <f t="shared" si="23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.75" thickBot="1" x14ac:dyDescent="0.3">
      <c r="A337" t="s">
        <v>621</v>
      </c>
      <c r="C337" s="46" t="s">
        <v>841</v>
      </c>
      <c r="D337" t="s">
        <v>842</v>
      </c>
      <c r="E337" t="s">
        <v>19</v>
      </c>
      <c r="F337" t="s">
        <v>36</v>
      </c>
      <c r="G337"/>
      <c r="H337" t="s">
        <v>256</v>
      </c>
      <c r="I337" s="16">
        <v>-347753360000</v>
      </c>
      <c r="J337" s="16">
        <v>-582834130000</v>
      </c>
      <c r="K337" s="16" t="s">
        <v>1283</v>
      </c>
      <c r="L337" s="17">
        <f t="shared" si="21"/>
        <v>28</v>
      </c>
      <c r="M337" s="17">
        <f t="shared" si="22"/>
        <v>0</v>
      </c>
      <c r="N337" s="18">
        <f t="shared" si="23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.75" thickBot="1" x14ac:dyDescent="0.3">
      <c r="A338" t="s">
        <v>732</v>
      </c>
      <c r="C338" s="46" t="s">
        <v>843</v>
      </c>
      <c r="D338" t="s">
        <v>844</v>
      </c>
      <c r="E338" t="s">
        <v>24</v>
      </c>
      <c r="F338" t="s">
        <v>36</v>
      </c>
      <c r="G338" t="s">
        <v>368</v>
      </c>
      <c r="H338"/>
      <c r="I338" s="16">
        <v>-347957790000</v>
      </c>
      <c r="J338" s="16">
        <v>-582557990000</v>
      </c>
      <c r="K338" s="16" t="s">
        <v>1284</v>
      </c>
      <c r="L338" s="17">
        <f t="shared" si="21"/>
        <v>28</v>
      </c>
      <c r="M338" s="17">
        <f t="shared" si="22"/>
        <v>0</v>
      </c>
      <c r="N338" s="18">
        <f t="shared" si="23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.75" thickBot="1" x14ac:dyDescent="0.3">
      <c r="A339" t="s">
        <v>732</v>
      </c>
      <c r="C339" s="46" t="s">
        <v>845</v>
      </c>
      <c r="D339" t="s">
        <v>846</v>
      </c>
      <c r="E339" t="s">
        <v>24</v>
      </c>
      <c r="F339" t="s">
        <v>25</v>
      </c>
      <c r="G339" t="s">
        <v>65</v>
      </c>
      <c r="H339" t="s">
        <v>847</v>
      </c>
      <c r="I339" s="16">
        <v>-347986250000</v>
      </c>
      <c r="J339" s="16">
        <v>-582551820000</v>
      </c>
      <c r="K339" s="16" t="s">
        <v>1285</v>
      </c>
      <c r="L339" s="17">
        <f t="shared" si="21"/>
        <v>28</v>
      </c>
      <c r="M339" s="17">
        <f t="shared" si="22"/>
        <v>0</v>
      </c>
      <c r="N339" s="18">
        <f t="shared" si="23"/>
        <v>1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.75" thickBot="1" x14ac:dyDescent="0.3">
      <c r="A340" t="s">
        <v>732</v>
      </c>
      <c r="C340" s="46" t="s">
        <v>848</v>
      </c>
      <c r="D340" t="s">
        <v>849</v>
      </c>
      <c r="E340" t="s">
        <v>24</v>
      </c>
      <c r="F340" t="s">
        <v>25</v>
      </c>
      <c r="G340" t="s">
        <v>162</v>
      </c>
      <c r="H340"/>
      <c r="I340" s="16">
        <v>-348016910000</v>
      </c>
      <c r="J340" s="16">
        <v>-582610020000</v>
      </c>
      <c r="K340" s="16" t="s">
        <v>1286</v>
      </c>
      <c r="L340" s="17">
        <f t="shared" si="21"/>
        <v>28</v>
      </c>
      <c r="M340" s="17">
        <f t="shared" si="22"/>
        <v>0</v>
      </c>
      <c r="N340" s="18">
        <f t="shared" si="23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.75" thickBot="1" x14ac:dyDescent="0.3">
      <c r="A341" t="s">
        <v>732</v>
      </c>
      <c r="C341" s="46" t="s">
        <v>850</v>
      </c>
      <c r="D341" t="s">
        <v>851</v>
      </c>
      <c r="E341" t="s">
        <v>24</v>
      </c>
      <c r="F341" t="s">
        <v>947</v>
      </c>
      <c r="G341" t="s">
        <v>65</v>
      </c>
      <c r="H341"/>
      <c r="I341" s="16">
        <v>-347937530000</v>
      </c>
      <c r="J341" s="16">
        <v>-582478490000</v>
      </c>
      <c r="K341" s="16" t="s">
        <v>1287</v>
      </c>
      <c r="L341" s="17">
        <f t="shared" si="21"/>
        <v>28</v>
      </c>
      <c r="M341" s="17">
        <f t="shared" si="22"/>
        <v>0</v>
      </c>
      <c r="N341" s="18">
        <f t="shared" si="23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.75" thickBot="1" x14ac:dyDescent="0.3">
      <c r="A342" t="s">
        <v>726</v>
      </c>
      <c r="C342" s="46" t="s">
        <v>852</v>
      </c>
      <c r="D342" t="s">
        <v>853</v>
      </c>
      <c r="E342" t="s">
        <v>24</v>
      </c>
      <c r="F342" t="s">
        <v>25</v>
      </c>
      <c r="G342" t="s">
        <v>854</v>
      </c>
      <c r="H342"/>
      <c r="I342" s="16">
        <v>-347994440000</v>
      </c>
      <c r="J342" s="16">
        <v>-582627080000</v>
      </c>
      <c r="K342" s="16" t="s">
        <v>1288</v>
      </c>
      <c r="L342" s="17">
        <f t="shared" si="21"/>
        <v>28</v>
      </c>
      <c r="M342" s="17">
        <f t="shared" si="22"/>
        <v>0</v>
      </c>
      <c r="N342" s="18">
        <f t="shared" si="23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.75" thickBot="1" x14ac:dyDescent="0.3">
      <c r="A343" t="s">
        <v>855</v>
      </c>
      <c r="C343" s="46" t="s">
        <v>856</v>
      </c>
      <c r="D343" t="s">
        <v>857</v>
      </c>
      <c r="E343" t="s">
        <v>19</v>
      </c>
      <c r="F343" t="s">
        <v>36</v>
      </c>
      <c r="G343"/>
      <c r="H343" t="s">
        <v>342</v>
      </c>
      <c r="I343" s="16">
        <v>-348374820000</v>
      </c>
      <c r="J343" s="16">
        <v>-582378510000</v>
      </c>
      <c r="K343" s="16" t="s">
        <v>1289</v>
      </c>
      <c r="L343" s="17">
        <f t="shared" si="21"/>
        <v>28</v>
      </c>
      <c r="M343" s="17">
        <f t="shared" si="22"/>
        <v>0</v>
      </c>
      <c r="N343" s="18">
        <f t="shared" si="23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.75" thickBot="1" x14ac:dyDescent="0.3">
      <c r="A344" t="s">
        <v>855</v>
      </c>
      <c r="C344" s="46" t="s">
        <v>858</v>
      </c>
      <c r="D344" t="s">
        <v>859</v>
      </c>
      <c r="E344" t="s">
        <v>19</v>
      </c>
      <c r="F344" t="s">
        <v>36</v>
      </c>
      <c r="G344"/>
      <c r="H344" t="s">
        <v>342</v>
      </c>
      <c r="I344" s="16">
        <v>-348349880000</v>
      </c>
      <c r="J344" s="16">
        <v>-582351700000</v>
      </c>
      <c r="K344" s="16" t="s">
        <v>1290</v>
      </c>
      <c r="L344" s="17">
        <f t="shared" si="21"/>
        <v>28</v>
      </c>
      <c r="M344" s="17">
        <f t="shared" si="22"/>
        <v>0</v>
      </c>
      <c r="N344" s="18">
        <f t="shared" si="23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.75" thickBot="1" x14ac:dyDescent="0.3">
      <c r="A345" t="s">
        <v>855</v>
      </c>
      <c r="B345" s="60">
        <v>44629</v>
      </c>
      <c r="C345" s="62" t="s">
        <v>860</v>
      </c>
      <c r="D345" t="s">
        <v>861</v>
      </c>
      <c r="E345" t="s">
        <v>113</v>
      </c>
      <c r="F345" t="s">
        <v>36</v>
      </c>
      <c r="G345"/>
      <c r="H345" t="s">
        <v>249</v>
      </c>
      <c r="I345" s="16">
        <v>-348382350000</v>
      </c>
      <c r="J345" s="16">
        <v>-582372950000</v>
      </c>
      <c r="K345" s="16" t="s">
        <v>1291</v>
      </c>
      <c r="L345" s="17">
        <f t="shared" si="21"/>
        <v>17</v>
      </c>
      <c r="M345" s="17">
        <f t="shared" si="22"/>
        <v>11</v>
      </c>
      <c r="N345" s="18">
        <f t="shared" si="23"/>
        <v>0.6071428571428571</v>
      </c>
      <c r="O345" s="28" t="s">
        <v>941</v>
      </c>
      <c r="P345" s="8" t="s">
        <v>941</v>
      </c>
      <c r="Q345" s="8" t="s">
        <v>941</v>
      </c>
      <c r="R345" s="8" t="s">
        <v>941</v>
      </c>
      <c r="S345" s="28" t="s">
        <v>941</v>
      </c>
      <c r="T345" s="28" t="s">
        <v>941</v>
      </c>
      <c r="U345" s="8" t="s">
        <v>941</v>
      </c>
      <c r="V345" s="8" t="s">
        <v>941</v>
      </c>
      <c r="W345" s="8" t="s">
        <v>941</v>
      </c>
      <c r="X345" s="28" t="s">
        <v>941</v>
      </c>
      <c r="Y345" s="28" t="s">
        <v>941</v>
      </c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2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.75" thickBot="1" x14ac:dyDescent="0.3">
      <c r="A346" t="s">
        <v>855</v>
      </c>
      <c r="B346" s="60">
        <v>44629</v>
      </c>
      <c r="C346" s="62" t="s">
        <v>862</v>
      </c>
      <c r="D346" t="s">
        <v>861</v>
      </c>
      <c r="E346" t="s">
        <v>113</v>
      </c>
      <c r="F346" t="s">
        <v>36</v>
      </c>
      <c r="G346"/>
      <c r="H346" t="s">
        <v>249</v>
      </c>
      <c r="I346" s="16">
        <v>-348382440000</v>
      </c>
      <c r="J346" s="16">
        <v>-582373030000</v>
      </c>
      <c r="K346" s="16" t="s">
        <v>1292</v>
      </c>
      <c r="L346" s="17">
        <f t="shared" si="21"/>
        <v>17</v>
      </c>
      <c r="M346" s="17">
        <f t="shared" si="22"/>
        <v>11</v>
      </c>
      <c r="N346" s="18">
        <f t="shared" si="23"/>
        <v>0.6071428571428571</v>
      </c>
      <c r="O346" s="28" t="s">
        <v>941</v>
      </c>
      <c r="P346" s="8" t="s">
        <v>941</v>
      </c>
      <c r="Q346" s="8" t="s">
        <v>941</v>
      </c>
      <c r="R346" s="8" t="s">
        <v>941</v>
      </c>
      <c r="S346" s="28" t="s">
        <v>941</v>
      </c>
      <c r="T346" s="28" t="s">
        <v>941</v>
      </c>
      <c r="U346" s="8" t="s">
        <v>941</v>
      </c>
      <c r="V346" s="8" t="s">
        <v>941</v>
      </c>
      <c r="W346" s="8" t="s">
        <v>941</v>
      </c>
      <c r="X346" s="28" t="s">
        <v>941</v>
      </c>
      <c r="Y346" s="28" t="s">
        <v>941</v>
      </c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2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.75" thickBot="1" x14ac:dyDescent="0.3">
      <c r="A347" t="s">
        <v>863</v>
      </c>
      <c r="B347" s="60">
        <v>44629</v>
      </c>
      <c r="C347" s="62" t="s">
        <v>864</v>
      </c>
      <c r="D347" t="s">
        <v>865</v>
      </c>
      <c r="E347" t="s">
        <v>113</v>
      </c>
      <c r="F347" t="s">
        <v>36</v>
      </c>
      <c r="G347"/>
      <c r="H347" t="s">
        <v>866</v>
      </c>
      <c r="I347" s="16">
        <v>-348173980000</v>
      </c>
      <c r="J347" s="16">
        <v>-582515460000</v>
      </c>
      <c r="K347" s="16" t="s">
        <v>1293</v>
      </c>
      <c r="L347" s="17">
        <f t="shared" si="21"/>
        <v>17</v>
      </c>
      <c r="M347" s="17">
        <f t="shared" si="22"/>
        <v>11</v>
      </c>
      <c r="N347" s="18">
        <f t="shared" si="23"/>
        <v>0.6071428571428571</v>
      </c>
      <c r="O347" s="28" t="s">
        <v>941</v>
      </c>
      <c r="P347" s="8" t="s">
        <v>941</v>
      </c>
      <c r="Q347" s="8" t="s">
        <v>941</v>
      </c>
      <c r="R347" s="8" t="s">
        <v>941</v>
      </c>
      <c r="S347" s="28" t="s">
        <v>941</v>
      </c>
      <c r="T347" s="28" t="s">
        <v>941</v>
      </c>
      <c r="U347" s="8" t="s">
        <v>941</v>
      </c>
      <c r="V347" s="8" t="s">
        <v>941</v>
      </c>
      <c r="W347" s="8" t="s">
        <v>941</v>
      </c>
      <c r="X347" s="28" t="s">
        <v>941</v>
      </c>
      <c r="Y347" s="28" t="s">
        <v>941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.75" thickBot="1" x14ac:dyDescent="0.3">
      <c r="A348" t="s">
        <v>863</v>
      </c>
      <c r="C348" s="46" t="s">
        <v>867</v>
      </c>
      <c r="D348" t="s">
        <v>868</v>
      </c>
      <c r="E348" t="s">
        <v>19</v>
      </c>
      <c r="F348" t="s">
        <v>36</v>
      </c>
      <c r="G348"/>
      <c r="H348" t="s">
        <v>249</v>
      </c>
      <c r="I348" s="16">
        <v>-348108560000</v>
      </c>
      <c r="J348" s="16">
        <v>-582592810000</v>
      </c>
      <c r="K348" s="16" t="s">
        <v>1294</v>
      </c>
      <c r="L348" s="17">
        <f t="shared" si="21"/>
        <v>21</v>
      </c>
      <c r="M348" s="17">
        <f t="shared" si="22"/>
        <v>7</v>
      </c>
      <c r="N348" s="18">
        <f t="shared" si="23"/>
        <v>0.75</v>
      </c>
      <c r="O348" s="28" t="s">
        <v>941</v>
      </c>
      <c r="P348" s="8" t="s">
        <v>941</v>
      </c>
      <c r="Q348" s="8" t="s">
        <v>941</v>
      </c>
      <c r="R348" s="8" t="s">
        <v>941</v>
      </c>
      <c r="S348" s="28"/>
      <c r="T348" s="28" t="s">
        <v>941</v>
      </c>
      <c r="U348" s="8" t="s">
        <v>941</v>
      </c>
      <c r="V348" s="8" t="s">
        <v>941</v>
      </c>
      <c r="W348" s="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.75" thickBot="1" x14ac:dyDescent="0.3">
      <c r="A349" t="s">
        <v>863</v>
      </c>
      <c r="B349" s="60">
        <v>44629</v>
      </c>
      <c r="C349" s="62" t="s">
        <v>869</v>
      </c>
      <c r="D349" t="s">
        <v>870</v>
      </c>
      <c r="E349" t="s">
        <v>113</v>
      </c>
      <c r="F349" t="s">
        <v>36</v>
      </c>
      <c r="G349"/>
      <c r="H349" t="s">
        <v>871</v>
      </c>
      <c r="I349" s="16">
        <v>-348173990000</v>
      </c>
      <c r="J349" s="16">
        <v>-582515250000</v>
      </c>
      <c r="K349" s="16" t="s">
        <v>1295</v>
      </c>
      <c r="L349" s="17">
        <f t="shared" si="21"/>
        <v>17</v>
      </c>
      <c r="M349" s="17">
        <f t="shared" si="22"/>
        <v>11</v>
      </c>
      <c r="N349" s="18">
        <f t="shared" si="23"/>
        <v>0.6071428571428571</v>
      </c>
      <c r="O349" s="28" t="s">
        <v>941</v>
      </c>
      <c r="P349" s="8" t="s">
        <v>941</v>
      </c>
      <c r="Q349" s="8" t="s">
        <v>941</v>
      </c>
      <c r="R349" s="8" t="s">
        <v>941</v>
      </c>
      <c r="S349" s="28" t="s">
        <v>941</v>
      </c>
      <c r="T349" s="28" t="s">
        <v>941</v>
      </c>
      <c r="U349" s="8" t="s">
        <v>941</v>
      </c>
      <c r="V349" s="8" t="s">
        <v>941</v>
      </c>
      <c r="W349" s="8" t="s">
        <v>941</v>
      </c>
      <c r="X349" s="28" t="s">
        <v>941</v>
      </c>
      <c r="Y349" s="28" t="s">
        <v>941</v>
      </c>
      <c r="Z349" s="28"/>
      <c r="AA349" s="28"/>
      <c r="AB349" s="28"/>
      <c r="AC349" s="28"/>
      <c r="AD349" s="28"/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.75" thickBot="1" x14ac:dyDescent="0.3">
      <c r="A350" t="s">
        <v>863</v>
      </c>
      <c r="C350" s="46" t="s">
        <v>872</v>
      </c>
      <c r="D350" t="s">
        <v>873</v>
      </c>
      <c r="E350" t="s">
        <v>19</v>
      </c>
      <c r="F350" t="s">
        <v>36</v>
      </c>
      <c r="G350"/>
      <c r="H350" t="s">
        <v>871</v>
      </c>
      <c r="I350" s="16">
        <v>-348116860000</v>
      </c>
      <c r="J350" s="16">
        <v>-582556310000</v>
      </c>
      <c r="K350" s="16" t="s">
        <v>1296</v>
      </c>
      <c r="L350" s="17">
        <f t="shared" si="21"/>
        <v>28</v>
      </c>
      <c r="M350" s="17">
        <f t="shared" si="22"/>
        <v>0</v>
      </c>
      <c r="N350" s="18">
        <f t="shared" si="23"/>
        <v>1</v>
      </c>
      <c r="O350" s="28"/>
      <c r="P350" s="8"/>
      <c r="Q350" s="8"/>
      <c r="R350" s="8"/>
      <c r="S350" s="28"/>
      <c r="T350" s="28"/>
      <c r="U350" s="8"/>
      <c r="V350" s="8"/>
      <c r="W350" s="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8"/>
      <c r="AJ350" s="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.75" thickBot="1" x14ac:dyDescent="0.3">
      <c r="A351" t="s">
        <v>863</v>
      </c>
      <c r="C351" s="46" t="s">
        <v>874</v>
      </c>
      <c r="D351" t="s">
        <v>875</v>
      </c>
      <c r="E351" t="s">
        <v>19</v>
      </c>
      <c r="F351" t="s">
        <v>36</v>
      </c>
      <c r="G351"/>
      <c r="H351" t="s">
        <v>871</v>
      </c>
      <c r="I351" s="16">
        <v>-348113810000</v>
      </c>
      <c r="J351" s="16">
        <v>-582573240000</v>
      </c>
      <c r="K351" s="16" t="s">
        <v>1297</v>
      </c>
      <c r="L351" s="17">
        <f t="shared" si="21"/>
        <v>28</v>
      </c>
      <c r="M351" s="17">
        <f t="shared" si="22"/>
        <v>0</v>
      </c>
      <c r="N351" s="18">
        <f t="shared" si="23"/>
        <v>1</v>
      </c>
      <c r="O351" s="28"/>
      <c r="P351" s="8"/>
      <c r="Q351" s="8"/>
      <c r="R351" s="8"/>
      <c r="S351" s="28"/>
      <c r="T351" s="28"/>
      <c r="U351" s="8"/>
      <c r="V351" s="8"/>
      <c r="W351" s="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.75" thickBot="1" x14ac:dyDescent="0.3">
      <c r="A352" t="s">
        <v>272</v>
      </c>
      <c r="C352" s="46" t="s">
        <v>876</v>
      </c>
      <c r="D352" t="s">
        <v>931</v>
      </c>
      <c r="E352" t="s">
        <v>24</v>
      </c>
      <c r="F352" t="s">
        <v>25</v>
      </c>
      <c r="G352" t="s">
        <v>707</v>
      </c>
      <c r="H352"/>
      <c r="I352" s="16">
        <v>-348336200000</v>
      </c>
      <c r="J352" s="16">
        <v>-582709260000</v>
      </c>
      <c r="K352" s="16" t="s">
        <v>1298</v>
      </c>
      <c r="L352" s="17">
        <f t="shared" si="21"/>
        <v>28</v>
      </c>
      <c r="M352" s="17">
        <f t="shared" si="22"/>
        <v>0</v>
      </c>
      <c r="N352" s="18">
        <f t="shared" si="23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.75" thickBot="1" x14ac:dyDescent="0.3">
      <c r="C353" s="46" t="s">
        <v>877</v>
      </c>
      <c r="D353" t="s">
        <v>932</v>
      </c>
      <c r="E353" t="s">
        <v>19</v>
      </c>
      <c r="F353"/>
      <c r="G353" t="s">
        <v>878</v>
      </c>
      <c r="H353" t="s">
        <v>879</v>
      </c>
      <c r="I353" s="16">
        <v>-348339360000</v>
      </c>
      <c r="J353" s="16">
        <v>-582778770000</v>
      </c>
      <c r="K353" s="16"/>
      <c r="L353" s="17">
        <f t="shared" si="21"/>
        <v>26</v>
      </c>
      <c r="M353" s="17">
        <f t="shared" si="22"/>
        <v>2</v>
      </c>
      <c r="N353" s="18">
        <f t="shared" si="23"/>
        <v>0.9285714285714286</v>
      </c>
      <c r="O353" s="28"/>
      <c r="P353" s="8"/>
      <c r="Q353" s="8"/>
      <c r="R353" s="8"/>
      <c r="S353" s="28" t="s">
        <v>941</v>
      </c>
      <c r="T353" s="28" t="s">
        <v>941</v>
      </c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.75" thickBot="1" x14ac:dyDescent="0.3">
      <c r="A354" t="s">
        <v>272</v>
      </c>
      <c r="C354" s="46" t="s">
        <v>880</v>
      </c>
      <c r="D354" t="s">
        <v>933</v>
      </c>
      <c r="E354" t="s">
        <v>113</v>
      </c>
      <c r="F354" t="s">
        <v>36</v>
      </c>
      <c r="G354"/>
      <c r="H354" t="s">
        <v>881</v>
      </c>
      <c r="I354" s="16">
        <v>-348368690000</v>
      </c>
      <c r="J354" s="16">
        <v>-582780410000</v>
      </c>
      <c r="K354" s="16" t="s">
        <v>1299</v>
      </c>
      <c r="L354" s="17">
        <f t="shared" si="21"/>
        <v>28</v>
      </c>
      <c r="M354" s="17">
        <f t="shared" si="22"/>
        <v>0</v>
      </c>
      <c r="N354" s="18">
        <f t="shared" si="23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.75" thickBot="1" x14ac:dyDescent="0.3">
      <c r="A355" t="s">
        <v>272</v>
      </c>
      <c r="C355" s="46" t="s">
        <v>882</v>
      </c>
      <c r="D355" t="s">
        <v>933</v>
      </c>
      <c r="E355" t="s">
        <v>113</v>
      </c>
      <c r="F355" t="s">
        <v>36</v>
      </c>
      <c r="G355"/>
      <c r="H355" t="s">
        <v>883</v>
      </c>
      <c r="I355" s="16">
        <v>-348367000000</v>
      </c>
      <c r="J355" s="16">
        <v>-582781300000</v>
      </c>
      <c r="K355" s="16" t="s">
        <v>1300</v>
      </c>
      <c r="L355" s="17">
        <f t="shared" si="21"/>
        <v>28</v>
      </c>
      <c r="M355" s="17">
        <f t="shared" si="22"/>
        <v>0</v>
      </c>
      <c r="N355" s="18">
        <f t="shared" si="23"/>
        <v>1</v>
      </c>
      <c r="O355" s="28"/>
      <c r="P355" s="8"/>
      <c r="Q355" s="8"/>
      <c r="R355" s="8"/>
      <c r="S355" s="28"/>
      <c r="T355" s="28"/>
      <c r="U355" s="8"/>
      <c r="V355" s="8"/>
      <c r="W355" s="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.75" thickBot="1" x14ac:dyDescent="0.3">
      <c r="A356" t="s">
        <v>272</v>
      </c>
      <c r="C356" s="46" t="s">
        <v>884</v>
      </c>
      <c r="D356" t="s">
        <v>934</v>
      </c>
      <c r="E356" t="s">
        <v>19</v>
      </c>
      <c r="F356" t="s">
        <v>36</v>
      </c>
      <c r="G356"/>
      <c r="H356" t="s">
        <v>885</v>
      </c>
      <c r="I356" s="16">
        <v>-348375310000</v>
      </c>
      <c r="J356" s="16">
        <v>-582782110000</v>
      </c>
      <c r="K356" s="16" t="s">
        <v>1301</v>
      </c>
      <c r="L356" s="17">
        <f t="shared" si="21"/>
        <v>28</v>
      </c>
      <c r="M356" s="17">
        <f t="shared" si="22"/>
        <v>0</v>
      </c>
      <c r="N356" s="18">
        <f t="shared" si="23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.75" thickBot="1" x14ac:dyDescent="0.3">
      <c r="A357" t="s">
        <v>886</v>
      </c>
      <c r="C357" s="46" t="s">
        <v>887</v>
      </c>
      <c r="D357" t="s">
        <v>888</v>
      </c>
      <c r="E357" t="s">
        <v>113</v>
      </c>
      <c r="F357" t="s">
        <v>36</v>
      </c>
      <c r="G357"/>
      <c r="H357" t="s">
        <v>889</v>
      </c>
      <c r="I357" s="16">
        <v>-348344030000</v>
      </c>
      <c r="J357" s="16">
        <v>-582802100000</v>
      </c>
      <c r="K357" s="16" t="s">
        <v>1302</v>
      </c>
      <c r="L357" s="17">
        <f t="shared" si="21"/>
        <v>28</v>
      </c>
      <c r="M357" s="17">
        <f t="shared" si="22"/>
        <v>0</v>
      </c>
      <c r="N357" s="18">
        <f t="shared" si="23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.75" thickBot="1" x14ac:dyDescent="0.3">
      <c r="A358" t="s">
        <v>886</v>
      </c>
      <c r="C358" s="46" t="s">
        <v>890</v>
      </c>
      <c r="D358" t="s">
        <v>888</v>
      </c>
      <c r="E358" t="s">
        <v>113</v>
      </c>
      <c r="F358" t="s">
        <v>36</v>
      </c>
      <c r="G358"/>
      <c r="H358" t="s">
        <v>889</v>
      </c>
      <c r="I358" s="16">
        <v>-348343990000</v>
      </c>
      <c r="J358" s="16">
        <v>-582802050000</v>
      </c>
      <c r="K358" s="16" t="s">
        <v>1303</v>
      </c>
      <c r="L358" s="17">
        <f t="shared" si="21"/>
        <v>28</v>
      </c>
      <c r="M358" s="17">
        <f t="shared" si="22"/>
        <v>0</v>
      </c>
      <c r="N358" s="18">
        <f t="shared" si="23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.75" thickBot="1" x14ac:dyDescent="0.3">
      <c r="A359" t="s">
        <v>886</v>
      </c>
      <c r="C359" s="46" t="s">
        <v>891</v>
      </c>
      <c r="D359" t="s">
        <v>892</v>
      </c>
      <c r="E359" t="s">
        <v>113</v>
      </c>
      <c r="F359" t="s">
        <v>36</v>
      </c>
      <c r="G359"/>
      <c r="H359" t="s">
        <v>889</v>
      </c>
      <c r="I359" s="16">
        <v>-348350290000</v>
      </c>
      <c r="J359" s="16">
        <v>-582814190000</v>
      </c>
      <c r="K359" s="16" t="s">
        <v>1304</v>
      </c>
      <c r="L359" s="17">
        <f t="shared" si="21"/>
        <v>28</v>
      </c>
      <c r="M359" s="17">
        <f t="shared" si="22"/>
        <v>0</v>
      </c>
      <c r="N359" s="18">
        <f t="shared" si="23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.75" thickBot="1" x14ac:dyDescent="0.3">
      <c r="A360" t="s">
        <v>886</v>
      </c>
      <c r="C360" s="46" t="s">
        <v>893</v>
      </c>
      <c r="D360" t="s">
        <v>892</v>
      </c>
      <c r="E360" t="s">
        <v>113</v>
      </c>
      <c r="F360" t="s">
        <v>36</v>
      </c>
      <c r="G360"/>
      <c r="H360" t="s">
        <v>889</v>
      </c>
      <c r="I360" s="16">
        <v>-348350240000</v>
      </c>
      <c r="J360" s="16">
        <v>-582814080000</v>
      </c>
      <c r="K360" s="16" t="s">
        <v>1305</v>
      </c>
      <c r="L360" s="17">
        <f t="shared" si="21"/>
        <v>28</v>
      </c>
      <c r="M360" s="17">
        <f t="shared" si="22"/>
        <v>0</v>
      </c>
      <c r="N360" s="18">
        <f t="shared" si="23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.75" thickBot="1" x14ac:dyDescent="0.3">
      <c r="A361" t="s">
        <v>894</v>
      </c>
      <c r="C361" s="46" t="s">
        <v>895</v>
      </c>
      <c r="D361" t="s">
        <v>896</v>
      </c>
      <c r="E361" t="s">
        <v>19</v>
      </c>
      <c r="F361" t="s">
        <v>36</v>
      </c>
      <c r="G361"/>
      <c r="H361" t="s">
        <v>342</v>
      </c>
      <c r="I361" s="16">
        <v>-348331020000</v>
      </c>
      <c r="J361" s="16">
        <v>-582411500000</v>
      </c>
      <c r="K361" s="16" t="s">
        <v>1306</v>
      </c>
      <c r="L361" s="17">
        <f t="shared" si="21"/>
        <v>28</v>
      </c>
      <c r="M361" s="17">
        <f t="shared" si="22"/>
        <v>0</v>
      </c>
      <c r="N361" s="18">
        <f t="shared" si="23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.75" thickBot="1" x14ac:dyDescent="0.3">
      <c r="A362" t="s">
        <v>897</v>
      </c>
      <c r="C362" s="46" t="s">
        <v>898</v>
      </c>
      <c r="D362" t="s">
        <v>899</v>
      </c>
      <c r="E362" t="s">
        <v>19</v>
      </c>
      <c r="F362" t="s">
        <v>25</v>
      </c>
      <c r="G362"/>
      <c r="H362" t="s">
        <v>691</v>
      </c>
      <c r="I362" s="16">
        <v>-348140350000</v>
      </c>
      <c r="J362" s="16">
        <v>-582788310000</v>
      </c>
      <c r="K362" s="16" t="s">
        <v>1307</v>
      </c>
      <c r="L362" s="17">
        <f t="shared" si="21"/>
        <v>23</v>
      </c>
      <c r="M362" s="17">
        <f t="shared" si="22"/>
        <v>5</v>
      </c>
      <c r="N362" s="18">
        <f t="shared" si="23"/>
        <v>0.8214285714285714</v>
      </c>
      <c r="O362" s="28"/>
      <c r="P362" s="8"/>
      <c r="Q362" s="8"/>
      <c r="R362" s="8"/>
      <c r="S362" s="28"/>
      <c r="T362" s="28"/>
      <c r="U362" s="8" t="s">
        <v>941</v>
      </c>
      <c r="V362" s="8" t="s">
        <v>941</v>
      </c>
      <c r="W362" s="8" t="s">
        <v>941</v>
      </c>
      <c r="X362" s="28" t="s">
        <v>941</v>
      </c>
      <c r="Y362" s="28" t="s">
        <v>941</v>
      </c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.75" thickBot="1" x14ac:dyDescent="0.3">
      <c r="A363" t="s">
        <v>897</v>
      </c>
      <c r="C363" s="46" t="s">
        <v>900</v>
      </c>
      <c r="D363" t="s">
        <v>901</v>
      </c>
      <c r="E363" t="s">
        <v>19</v>
      </c>
      <c r="F363" t="s">
        <v>25</v>
      </c>
      <c r="G363"/>
      <c r="H363" t="s">
        <v>902</v>
      </c>
      <c r="I363" s="16">
        <v>-348118850000</v>
      </c>
      <c r="J363" s="16">
        <v>-582790580000</v>
      </c>
      <c r="K363" s="16" t="s">
        <v>1308</v>
      </c>
      <c r="L363" s="17">
        <f t="shared" si="21"/>
        <v>28</v>
      </c>
      <c r="M363" s="17">
        <f t="shared" si="22"/>
        <v>0</v>
      </c>
      <c r="N363" s="18">
        <f t="shared" si="23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.75" thickBot="1" x14ac:dyDescent="0.3">
      <c r="A364" t="s">
        <v>897</v>
      </c>
      <c r="C364" s="46" t="s">
        <v>903</v>
      </c>
      <c r="D364" t="s">
        <v>904</v>
      </c>
      <c r="E364" t="s">
        <v>19</v>
      </c>
      <c r="F364" t="s">
        <v>25</v>
      </c>
      <c r="G364"/>
      <c r="H364" t="s">
        <v>33</v>
      </c>
      <c r="I364" s="16">
        <v>-348151300000</v>
      </c>
      <c r="J364" s="16">
        <v>-582798970000</v>
      </c>
      <c r="K364" s="16" t="s">
        <v>1309</v>
      </c>
      <c r="L364" s="17">
        <f t="shared" si="21"/>
        <v>28</v>
      </c>
      <c r="M364" s="17">
        <f t="shared" si="22"/>
        <v>0</v>
      </c>
      <c r="N364" s="18">
        <f t="shared" si="23"/>
        <v>1</v>
      </c>
      <c r="O364" s="28"/>
      <c r="P364" s="8"/>
      <c r="Q364" s="8"/>
      <c r="R364" s="8"/>
      <c r="S364" s="28"/>
      <c r="T364" s="28"/>
      <c r="U364" s="8"/>
      <c r="V364" s="8"/>
      <c r="W364" s="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.75" thickBot="1" x14ac:dyDescent="0.3">
      <c r="C365" s="46" t="s">
        <v>905</v>
      </c>
      <c r="D365" t="s">
        <v>906</v>
      </c>
      <c r="E365" t="s">
        <v>24</v>
      </c>
      <c r="F365" t="s">
        <v>25</v>
      </c>
      <c r="G365"/>
      <c r="H365"/>
      <c r="I365" s="16">
        <v>-348017000000</v>
      </c>
      <c r="J365" s="16">
        <v>-582624610000</v>
      </c>
      <c r="K365" s="16" t="s">
        <v>1313</v>
      </c>
      <c r="L365" s="17">
        <f t="shared" si="21"/>
        <v>28</v>
      </c>
      <c r="M365" s="17">
        <f t="shared" si="22"/>
        <v>0</v>
      </c>
      <c r="N365" s="18">
        <f t="shared" si="23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.75" thickBot="1" x14ac:dyDescent="0.3">
      <c r="A366" t="s">
        <v>907</v>
      </c>
      <c r="C366" s="46" t="s">
        <v>908</v>
      </c>
      <c r="D366" t="s">
        <v>909</v>
      </c>
      <c r="E366" t="s">
        <v>24</v>
      </c>
      <c r="F366" t="s">
        <v>25</v>
      </c>
      <c r="G366" t="s">
        <v>797</v>
      </c>
      <c r="H366"/>
      <c r="I366" s="16">
        <v>-348108520000</v>
      </c>
      <c r="J366" s="16">
        <v>-582564000000</v>
      </c>
      <c r="K366" s="16" t="s">
        <v>1310</v>
      </c>
      <c r="L366" s="17">
        <f t="shared" si="21"/>
        <v>28</v>
      </c>
      <c r="M366" s="17">
        <f t="shared" si="22"/>
        <v>0</v>
      </c>
      <c r="N366" s="18">
        <f t="shared" si="23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.75" thickBot="1" x14ac:dyDescent="0.3">
      <c r="A367" t="s">
        <v>482</v>
      </c>
      <c r="B367" s="60">
        <v>44629</v>
      </c>
      <c r="C367" s="62" t="s">
        <v>910</v>
      </c>
      <c r="D367" t="s">
        <v>911</v>
      </c>
      <c r="E367" t="s">
        <v>24</v>
      </c>
      <c r="F367" t="s">
        <v>25</v>
      </c>
      <c r="G367" t="s">
        <v>797</v>
      </c>
      <c r="H367"/>
      <c r="I367" s="16">
        <v>-348105440000</v>
      </c>
      <c r="J367" s="16">
        <v>-582580200000</v>
      </c>
      <c r="K367" s="16" t="s">
        <v>1311</v>
      </c>
      <c r="L367" s="17">
        <f t="shared" si="21"/>
        <v>17</v>
      </c>
      <c r="M367" s="17">
        <f t="shared" si="22"/>
        <v>11</v>
      </c>
      <c r="N367" s="18">
        <f t="shared" si="23"/>
        <v>0.6071428571428571</v>
      </c>
      <c r="O367" s="28" t="s">
        <v>941</v>
      </c>
      <c r="P367" s="8" t="s">
        <v>941</v>
      </c>
      <c r="Q367" s="8" t="s">
        <v>941</v>
      </c>
      <c r="R367" s="8" t="s">
        <v>941</v>
      </c>
      <c r="S367" s="28" t="s">
        <v>941</v>
      </c>
      <c r="T367" s="28" t="s">
        <v>941</v>
      </c>
      <c r="U367" s="8" t="s">
        <v>941</v>
      </c>
      <c r="V367" s="8" t="s">
        <v>941</v>
      </c>
      <c r="W367" s="8" t="s">
        <v>941</v>
      </c>
      <c r="X367" s="28" t="s">
        <v>941</v>
      </c>
      <c r="Y367" s="28" t="s">
        <v>941</v>
      </c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2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.75" thickBot="1" x14ac:dyDescent="0.3">
      <c r="C368" s="46" t="s">
        <v>912</v>
      </c>
      <c r="D368" t="s">
        <v>913</v>
      </c>
      <c r="E368" t="s">
        <v>19</v>
      </c>
      <c r="F368" t="s">
        <v>25</v>
      </c>
      <c r="G368"/>
      <c r="H368" t="s">
        <v>914</v>
      </c>
      <c r="I368" s="16">
        <v>-348006770000</v>
      </c>
      <c r="J368" s="16">
        <v>-582652130000</v>
      </c>
      <c r="K368" s="16" t="s">
        <v>1312</v>
      </c>
      <c r="L368" s="17">
        <f t="shared" si="21"/>
        <v>28</v>
      </c>
      <c r="M368" s="17">
        <f t="shared" si="22"/>
        <v>0</v>
      </c>
      <c r="N368" s="18">
        <f t="shared" si="23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</row>
    <row r="369" spans="1:45" ht="15.75" thickBot="1" x14ac:dyDescent="0.3">
      <c r="A369" t="s">
        <v>1320</v>
      </c>
      <c r="C369" s="46" t="s">
        <v>1316</v>
      </c>
      <c r="D369" t="s">
        <v>1318</v>
      </c>
      <c r="E369" s="46" t="s">
        <v>113</v>
      </c>
      <c r="F369" s="46" t="s">
        <v>36</v>
      </c>
      <c r="G369" s="9"/>
      <c r="H369" s="9" t="s">
        <v>1323</v>
      </c>
      <c r="I369" s="9"/>
      <c r="J369" s="9"/>
      <c r="K369" s="29" t="s">
        <v>1321</v>
      </c>
      <c r="L369" s="17">
        <f t="shared" ref="L369:L370" si="24">COUNTIF(O369:AP369,"")</f>
        <v>28</v>
      </c>
      <c r="M369" s="17">
        <f t="shared" ref="M369:M370" si="25">COUNTIF(O369:AP369,"APAGADO")</f>
        <v>0</v>
      </c>
      <c r="N369" s="18">
        <f t="shared" ref="N369:N370" si="26">(L369)/(M369+L369)</f>
        <v>1</v>
      </c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</row>
    <row r="370" spans="1:45" ht="15.75" thickBot="1" x14ac:dyDescent="0.3">
      <c r="A370" t="s">
        <v>1320</v>
      </c>
      <c r="C370" s="46" t="s">
        <v>1317</v>
      </c>
      <c r="D370" t="s">
        <v>1319</v>
      </c>
      <c r="E370" s="46" t="s">
        <v>113</v>
      </c>
      <c r="F370" s="46" t="s">
        <v>36</v>
      </c>
      <c r="G370" s="9" t="s">
        <v>1323</v>
      </c>
      <c r="H370" s="9"/>
      <c r="I370" s="9"/>
      <c r="J370" s="9"/>
      <c r="K370" s="29" t="s">
        <v>1322</v>
      </c>
      <c r="L370" s="17">
        <f t="shared" si="24"/>
        <v>28</v>
      </c>
      <c r="M370" s="17">
        <f t="shared" si="25"/>
        <v>0</v>
      </c>
      <c r="N370" s="18">
        <f t="shared" si="26"/>
        <v>1</v>
      </c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x14ac:dyDescent="0.25">
      <c r="E371" s="9"/>
      <c r="F371" s="9"/>
      <c r="G371" s="9"/>
      <c r="H371" s="9"/>
      <c r="I371" s="9"/>
      <c r="J371" s="9"/>
      <c r="K371" s="29"/>
      <c r="N371" s="21"/>
      <c r="O371" s="2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29"/>
      <c r="AC371" s="29"/>
      <c r="AD371" s="29"/>
      <c r="AE371" s="29"/>
      <c r="AF371" s="29"/>
      <c r="AG371" s="29"/>
      <c r="AH371" s="29"/>
      <c r="AI371" s="9"/>
      <c r="AJ371" s="9"/>
      <c r="AK371" s="9"/>
      <c r="AL371" s="9"/>
      <c r="AM371" s="9"/>
      <c r="AN371" s="9"/>
      <c r="AO371" s="9"/>
      <c r="AP371" s="9"/>
      <c r="AQ371" s="29"/>
      <c r="AR371" s="29"/>
      <c r="AS371" s="29"/>
    </row>
    <row r="372" spans="1:45" x14ac:dyDescent="0.25">
      <c r="E372" s="9"/>
      <c r="F372" s="9"/>
      <c r="G372" s="9"/>
      <c r="H372" s="9"/>
      <c r="I372" s="9"/>
      <c r="J372" s="9"/>
      <c r="K372" s="29"/>
      <c r="N372" s="2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29"/>
      <c r="AC372" s="29"/>
      <c r="AD372" s="29"/>
      <c r="AE372" s="29"/>
      <c r="AF372" s="29"/>
      <c r="AG372" s="29"/>
      <c r="AH372" s="29"/>
      <c r="AI372" s="9"/>
      <c r="AJ372" s="9"/>
      <c r="AK372" s="9"/>
      <c r="AL372" s="9"/>
      <c r="AM372" s="9"/>
      <c r="AN372" s="9"/>
      <c r="AO372" s="9"/>
      <c r="AP372" s="9"/>
      <c r="AQ372" s="29"/>
      <c r="AR372" s="29"/>
      <c r="AS372" s="29"/>
    </row>
    <row r="373" spans="1:45" x14ac:dyDescent="0.25">
      <c r="E373" s="9"/>
      <c r="F373" s="9"/>
      <c r="G373" s="9"/>
      <c r="H373" s="9"/>
      <c r="I373" s="9"/>
      <c r="J373" s="9"/>
      <c r="K373" s="29"/>
      <c r="N373" s="2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25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25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25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25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25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25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25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25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25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25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25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25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25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25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25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25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25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25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25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25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25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25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25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25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25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25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25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25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25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25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25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25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25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25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25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25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25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25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25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25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25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25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25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25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25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25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25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25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25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25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25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25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25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25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25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25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25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25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25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25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25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25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25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25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25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25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25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25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25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25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25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25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25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25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25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25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25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25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25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25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25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25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25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25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25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25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25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25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25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25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25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25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25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25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25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25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25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25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25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25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25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25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25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25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25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25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25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25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25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25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25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25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25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25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25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25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25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25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25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25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25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25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25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25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25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25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25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25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25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25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25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25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25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25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25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25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25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25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25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25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25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25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25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25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25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25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25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25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25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25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25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25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25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25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25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25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25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25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25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25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25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25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25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25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25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25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25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25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25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25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25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25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25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25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25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25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25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25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25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25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25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25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25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25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25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25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25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25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25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25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25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25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25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25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25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25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25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25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25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25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25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25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25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25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25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25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25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25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25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25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25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25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25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25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25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25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25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25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25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25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25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25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25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25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25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25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25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25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25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25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25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25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25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25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25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25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25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25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25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25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25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25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25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25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25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25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25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25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25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25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25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25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25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25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25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25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25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25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25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25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25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25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25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25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25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25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25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25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25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25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25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25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25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25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25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25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25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25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25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25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25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25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25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25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25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25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25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25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25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25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25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25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25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25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25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25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25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</row>
    <row r="671" spans="5:45" x14ac:dyDescent="0.25">
      <c r="E671" s="9"/>
      <c r="F671" s="9"/>
      <c r="G671" s="9"/>
      <c r="H671" s="9"/>
      <c r="I671" s="9"/>
      <c r="J671" s="9"/>
      <c r="K671" s="29"/>
      <c r="N671" s="21"/>
    </row>
    <row r="672" spans="5:45" x14ac:dyDescent="0.25">
      <c r="E672" s="9"/>
      <c r="F672" s="9"/>
      <c r="G672" s="9"/>
      <c r="H672" s="9"/>
      <c r="I672" s="9"/>
      <c r="J672" s="9"/>
      <c r="K672" s="29"/>
      <c r="N672" s="21"/>
    </row>
    <row r="673" spans="5:14" x14ac:dyDescent="0.25">
      <c r="E673" s="9"/>
      <c r="F673" s="9"/>
      <c r="G673" s="9"/>
      <c r="H673" s="9"/>
      <c r="I673" s="9"/>
      <c r="J673" s="9"/>
      <c r="K673" s="29"/>
      <c r="N673" s="21"/>
    </row>
    <row r="674" spans="5:14" x14ac:dyDescent="0.25">
      <c r="N674" s="21"/>
    </row>
  </sheetData>
  <conditionalFormatting sqref="V96:X370 N4:N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E1:K3 E282:K332 E236:K236 E243:K279 E5:K32 E36:K91 E94:K230 E335:K362 E367:K1048576">
    <cfRule type="containsText" dxfId="871" priority="1732" operator="containsText" text="Radio">
      <formula>NOT(ISERROR(SEARCH("Radio",E1)))</formula>
    </cfRule>
  </conditionalFormatting>
  <conditionalFormatting sqref="AA371:AA1048576 V96:X1048576">
    <cfRule type="notContainsText" dxfId="870" priority="1728" operator="notContains" text="Caida">
      <formula>ISERROR(SEARCH("Caida",V96))</formula>
    </cfRule>
    <cfRule type="containsText" dxfId="869" priority="1729" operator="containsText" text="Caida">
      <formula>NOT(ISERROR(SEARCH("Caida",V96)))</formula>
    </cfRule>
  </conditionalFormatting>
  <conditionalFormatting sqref="E280:K280">
    <cfRule type="containsText" dxfId="868" priority="1701" operator="containsText" text="Radio">
      <formula>NOT(ISERROR(SEARCH("Radio",E280)))</formula>
    </cfRule>
  </conditionalFormatting>
  <conditionalFormatting sqref="E281:K281">
    <cfRule type="containsText" dxfId="867" priority="1676" operator="containsText" text="Radio">
      <formula>NOT(ISERROR(SEARCH("Radio",E281)))</formula>
    </cfRule>
  </conditionalFormatting>
  <conditionalFormatting sqref="E4:K4">
    <cfRule type="containsText" dxfId="866" priority="1651" operator="containsText" text="Radio">
      <formula>NOT(ISERROR(SEARCH("Radio",E4)))</formula>
    </cfRule>
  </conditionalFormatting>
  <conditionalFormatting sqref="E231:K231">
    <cfRule type="containsText" dxfId="865" priority="1650" operator="containsText" text="Radio">
      <formula>NOT(ISERROR(SEARCH("Radio",E231)))</formula>
    </cfRule>
  </conditionalFormatting>
  <conditionalFormatting sqref="E232:K232">
    <cfRule type="containsText" dxfId="864" priority="1625" operator="containsText" text="Radio">
      <formula>NOT(ISERROR(SEARCH("Radio",E232)))</formula>
    </cfRule>
  </conditionalFormatting>
  <conditionalFormatting sqref="E233:K233">
    <cfRule type="containsText" dxfId="863" priority="1600" operator="containsText" text="Radio">
      <formula>NOT(ISERROR(SEARCH("Radio",E233)))</formula>
    </cfRule>
  </conditionalFormatting>
  <conditionalFormatting sqref="E234:K234">
    <cfRule type="containsText" dxfId="862" priority="1575" operator="containsText" text="Radio">
      <formula>NOT(ISERROR(SEARCH("Radio",E234)))</formula>
    </cfRule>
  </conditionalFormatting>
  <conditionalFormatting sqref="E235:K235">
    <cfRule type="containsText" dxfId="861" priority="1550" operator="containsText" text="Radio">
      <formula>NOT(ISERROR(SEARCH("Radio",E235)))</formula>
    </cfRule>
  </conditionalFormatting>
  <conditionalFormatting sqref="E333:K333">
    <cfRule type="containsText" dxfId="860" priority="1501" operator="containsText" text="Radio">
      <formula>NOT(ISERROR(SEARCH("Radio",E333)))</formula>
    </cfRule>
  </conditionalFormatting>
  <conditionalFormatting sqref="E334:K334">
    <cfRule type="containsText" dxfId="859" priority="1476" operator="containsText" text="Radio">
      <formula>NOT(ISERROR(SEARCH("Radio",E334)))</formula>
    </cfRule>
  </conditionalFormatting>
  <conditionalFormatting sqref="E237:K237">
    <cfRule type="containsText" dxfId="858" priority="1451" operator="containsText" text="Radio">
      <formula>NOT(ISERROR(SEARCH("Radio",E237)))</formula>
    </cfRule>
  </conditionalFormatting>
  <conditionalFormatting sqref="E238:K238">
    <cfRule type="containsText" dxfId="857" priority="1426" operator="containsText" text="Radio">
      <formula>NOT(ISERROR(SEARCH("Radio",E238)))</formula>
    </cfRule>
  </conditionalFormatting>
  <conditionalFormatting sqref="E33:K35">
    <cfRule type="containsText" dxfId="856" priority="1401" operator="containsText" text="Radio">
      <formula>NOT(ISERROR(SEARCH("Radio",E33)))</formula>
    </cfRule>
  </conditionalFormatting>
  <conditionalFormatting sqref="E239:K239">
    <cfRule type="containsText" dxfId="855" priority="1376" operator="containsText" text="Radio">
      <formula>NOT(ISERROR(SEARCH("Radio",E239)))</formula>
    </cfRule>
  </conditionalFormatting>
  <conditionalFormatting sqref="E240:K240">
    <cfRule type="containsText" dxfId="854" priority="1351" operator="containsText" text="Radio">
      <formula>NOT(ISERROR(SEARCH("Radio",E240)))</formula>
    </cfRule>
  </conditionalFormatting>
  <conditionalFormatting sqref="E241:K241">
    <cfRule type="containsText" dxfId="853" priority="1326" operator="containsText" text="Radio">
      <formula>NOT(ISERROR(SEARCH("Radio",E241)))</formula>
    </cfRule>
  </conditionalFormatting>
  <conditionalFormatting sqref="E242:K242">
    <cfRule type="containsText" dxfId="852" priority="1301" operator="containsText" text="Radio">
      <formula>NOT(ISERROR(SEARCH("Radio",E242)))</formula>
    </cfRule>
  </conditionalFormatting>
  <conditionalFormatting sqref="P6:P92 P236:P279 P96:P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P6:P92 P236:P279 P96:P230">
    <cfRule type="notContainsText" dxfId="849" priority="1224" operator="notContains" text="Caida">
      <formula>ISERROR(SEARCH("Caida",P6))</formula>
    </cfRule>
    <cfRule type="containsText" dxfId="848" priority="1225" operator="containsText" text="Caida">
      <formula>NOT(ISERROR(SEARCH("Caida",P6)))</formula>
    </cfRule>
  </conditionalFormatting>
  <conditionalFormatting sqref="P335:P364 P282:P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P335:P364 P282:P332 P371:P1048576">
    <cfRule type="notContainsText" dxfId="845" priority="1220" operator="notContains" text="Caida">
      <formula>ISERROR(SEARCH("Caida",P282))</formula>
    </cfRule>
    <cfRule type="containsText" dxfId="844" priority="1221" operator="containsText" text="Caida">
      <formula>NOT(ISERROR(SEARCH("Caida",P282)))</formula>
    </cfRule>
  </conditionalFormatting>
  <conditionalFormatting sqref="O372:O1048576">
    <cfRule type="notContainsText" dxfId="843" priority="1269" operator="notContains" text="Caida">
      <formula>ISERROR(SEARCH("Caida",O372))</formula>
    </cfRule>
    <cfRule type="containsText" dxfId="842" priority="1270" operator="containsText" text="Caida">
      <formula>NOT(ISERROR(SEARCH("Caida",O372)))</formula>
    </cfRule>
  </conditionalFormatting>
  <conditionalFormatting sqref="P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P334">
    <cfRule type="notContainsText" dxfId="839" priority="1179" operator="notContains" text="Caida">
      <formula>ISERROR(SEARCH("Caida",P334))</formula>
    </cfRule>
    <cfRule type="containsText" dxfId="838" priority="1180" operator="containsText" text="Caida">
      <formula>NOT(ISERROR(SEARCH("Caida",P334)))</formula>
    </cfRule>
  </conditionalFormatting>
  <conditionalFormatting sqref="P22">
    <cfRule type="containsText" dxfId="837" priority="1219" operator="containsText" text="Instaladas en Funcionamiento Caida">
      <formula>NOT(ISERROR(SEARCH("Instaladas en Funcionamiento Caida",P22)))</formula>
    </cfRule>
  </conditionalFormatting>
  <conditionalFormatting sqref="P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P280">
    <cfRule type="notContainsText" dxfId="834" priority="1215" operator="notContains" text="Caida">
      <formula>ISERROR(SEARCH("Caida",P280))</formula>
    </cfRule>
    <cfRule type="containsText" dxfId="833" priority="1216" operator="containsText" text="Caida">
      <formula>NOT(ISERROR(SEARCH("Caida",P280)))</formula>
    </cfRule>
  </conditionalFormatting>
  <conditionalFormatting sqref="P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P281">
    <cfRule type="notContainsText" dxfId="830" priority="1211" operator="notContains" text="Caida">
      <formula>ISERROR(SEARCH("Caida",P281))</formula>
    </cfRule>
    <cfRule type="containsText" dxfId="829" priority="1212" operator="containsText" text="Caida">
      <formula>NOT(ISERROR(SEARCH("Caida",P281)))</formula>
    </cfRule>
  </conditionalFormatting>
  <conditionalFormatting sqref="P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P5">
    <cfRule type="notContainsText" dxfId="826" priority="1207" operator="notContains" text="Caida">
      <formula>ISERROR(SEARCH("Caida",P5))</formula>
    </cfRule>
    <cfRule type="containsText" dxfId="825" priority="1208" operator="containsText" text="Caida">
      <formula>NOT(ISERROR(SEARCH("Caida",P5)))</formula>
    </cfRule>
  </conditionalFormatting>
  <conditionalFormatting sqref="P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P231">
    <cfRule type="notContainsText" dxfId="822" priority="1203" operator="notContains" text="Caida">
      <formula>ISERROR(SEARCH("Caida",P231))</formula>
    </cfRule>
    <cfRule type="containsText" dxfId="821" priority="1204" operator="containsText" text="Caida">
      <formula>NOT(ISERROR(SEARCH("Caida",P231)))</formula>
    </cfRule>
  </conditionalFormatting>
  <conditionalFormatting sqref="P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P232">
    <cfRule type="notContainsText" dxfId="818" priority="1199" operator="notContains" text="Caida">
      <formula>ISERROR(SEARCH("Caida",P232))</formula>
    </cfRule>
    <cfRule type="containsText" dxfId="817" priority="1200" operator="containsText" text="Caida">
      <formula>NOT(ISERROR(SEARCH("Caida",P232)))</formula>
    </cfRule>
  </conditionalFormatting>
  <conditionalFormatting sqref="P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P233">
    <cfRule type="notContainsText" dxfId="814" priority="1195" operator="notContains" text="Caida">
      <formula>ISERROR(SEARCH("Caida",P233))</formula>
    </cfRule>
    <cfRule type="containsText" dxfId="813" priority="1196" operator="containsText" text="Caida">
      <formula>NOT(ISERROR(SEARCH("Caida",P233)))</formula>
    </cfRule>
  </conditionalFormatting>
  <conditionalFormatting sqref="P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P234">
    <cfRule type="notContainsText" dxfId="810" priority="1191" operator="notContains" text="Caida">
      <formula>ISERROR(SEARCH("Caida",P234))</formula>
    </cfRule>
    <cfRule type="containsText" dxfId="809" priority="1192" operator="containsText" text="Caida">
      <formula>NOT(ISERROR(SEARCH("Caida",P234)))</formula>
    </cfRule>
  </conditionalFormatting>
  <conditionalFormatting sqref="P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P235">
    <cfRule type="notContainsText" dxfId="806" priority="1187" operator="notContains" text="Caida">
      <formula>ISERROR(SEARCH("Caida",P235))</formula>
    </cfRule>
    <cfRule type="containsText" dxfId="805" priority="1188" operator="containsText" text="Caida">
      <formula>NOT(ISERROR(SEARCH("Caida",P235)))</formula>
    </cfRule>
  </conditionalFormatting>
  <conditionalFormatting sqref="P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P333">
    <cfRule type="notContainsText" dxfId="802" priority="1183" operator="notContains" text="Caida">
      <formula>ISERROR(SEARCH("Caida",P333))</formula>
    </cfRule>
    <cfRule type="containsText" dxfId="801" priority="1184" operator="containsText" text="Caida">
      <formula>NOT(ISERROR(SEARCH("Caida",P333)))</formula>
    </cfRule>
  </conditionalFormatting>
  <conditionalFormatting sqref="Q236:Q279 Q6:Q92 Q96:Q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Q236:Q279 Q6:Q92 Q96:Q230">
    <cfRule type="notContainsText" dxfId="798" priority="1175" operator="notContains" text="Caida">
      <formula>ISERROR(SEARCH("Caida",Q6))</formula>
    </cfRule>
    <cfRule type="containsText" dxfId="797" priority="1176" operator="containsText" text="Caida">
      <formula>NOT(ISERROR(SEARCH("Caida",Q6)))</formula>
    </cfRule>
  </conditionalFormatting>
  <conditionalFormatting sqref="Q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Q334">
    <cfRule type="notContainsText" dxfId="794" priority="1130" operator="notContains" text="Caida">
      <formula>ISERROR(SEARCH("Caida",Q334))</formula>
    </cfRule>
    <cfRule type="containsText" dxfId="793" priority="1131" operator="containsText" text="Caida">
      <formula>NOT(ISERROR(SEARCH("Caida",Q334)))</formula>
    </cfRule>
  </conditionalFormatting>
  <conditionalFormatting sqref="Q335:Q364 Q282:Q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Q335:Q364 Q282:Q332 Q371:Q1048576">
    <cfRule type="notContainsText" dxfId="790" priority="1171" operator="notContains" text="Caida">
      <formula>ISERROR(SEARCH("Caida",Q282))</formula>
    </cfRule>
    <cfRule type="containsText" dxfId="789" priority="1172" operator="containsText" text="Caida">
      <formula>NOT(ISERROR(SEARCH("Caida",Q282)))</formula>
    </cfRule>
  </conditionalFormatting>
  <conditionalFormatting sqref="Q22">
    <cfRule type="containsText" dxfId="788" priority="1170" operator="containsText" text="Instaladas en Funcionamiento Caida">
      <formula>NOT(ISERROR(SEARCH("Instaladas en Funcionamiento Caida",Q22)))</formula>
    </cfRule>
  </conditionalFormatting>
  <conditionalFormatting sqref="Q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Q280">
    <cfRule type="notContainsText" dxfId="785" priority="1166" operator="notContains" text="Caida">
      <formula>ISERROR(SEARCH("Caida",Q280))</formula>
    </cfRule>
    <cfRule type="containsText" dxfId="784" priority="1167" operator="containsText" text="Caida">
      <formula>NOT(ISERROR(SEARCH("Caida",Q280)))</formula>
    </cfRule>
  </conditionalFormatting>
  <conditionalFormatting sqref="Q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Q281">
    <cfRule type="notContainsText" dxfId="781" priority="1162" operator="notContains" text="Caida">
      <formula>ISERROR(SEARCH("Caida",Q281))</formula>
    </cfRule>
    <cfRule type="containsText" dxfId="780" priority="1163" operator="containsText" text="Caida">
      <formula>NOT(ISERROR(SEARCH("Caida",Q281)))</formula>
    </cfRule>
  </conditionalFormatting>
  <conditionalFormatting sqref="Q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Q5">
    <cfRule type="notContainsText" dxfId="777" priority="1158" operator="notContains" text="Caida">
      <formula>ISERROR(SEARCH("Caida",Q5))</formula>
    </cfRule>
    <cfRule type="containsText" dxfId="776" priority="1159" operator="containsText" text="Caida">
      <formula>NOT(ISERROR(SEARCH("Caida",Q5)))</formula>
    </cfRule>
  </conditionalFormatting>
  <conditionalFormatting sqref="Q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Q231">
    <cfRule type="notContainsText" dxfId="773" priority="1154" operator="notContains" text="Caida">
      <formula>ISERROR(SEARCH("Caida",Q231))</formula>
    </cfRule>
    <cfRule type="containsText" dxfId="772" priority="1155" operator="containsText" text="Caida">
      <formula>NOT(ISERROR(SEARCH("Caida",Q231)))</formula>
    </cfRule>
  </conditionalFormatting>
  <conditionalFormatting sqref="Q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Q232">
    <cfRule type="notContainsText" dxfId="769" priority="1150" operator="notContains" text="Caida">
      <formula>ISERROR(SEARCH("Caida",Q232))</formula>
    </cfRule>
    <cfRule type="containsText" dxfId="768" priority="1151" operator="containsText" text="Caida">
      <formula>NOT(ISERROR(SEARCH("Caida",Q232)))</formula>
    </cfRule>
  </conditionalFormatting>
  <conditionalFormatting sqref="Q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Q233">
    <cfRule type="notContainsText" dxfId="765" priority="1146" operator="notContains" text="Caida">
      <formula>ISERROR(SEARCH("Caida",Q233))</formula>
    </cfRule>
    <cfRule type="containsText" dxfId="764" priority="1147" operator="containsText" text="Caida">
      <formula>NOT(ISERROR(SEARCH("Caida",Q233)))</formula>
    </cfRule>
  </conditionalFormatting>
  <conditionalFormatting sqref="Q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Q234">
    <cfRule type="notContainsText" dxfId="761" priority="1142" operator="notContains" text="Caida">
      <formula>ISERROR(SEARCH("Caida",Q234))</formula>
    </cfRule>
    <cfRule type="containsText" dxfId="760" priority="1143" operator="containsText" text="Caida">
      <formula>NOT(ISERROR(SEARCH("Caida",Q234)))</formula>
    </cfRule>
  </conditionalFormatting>
  <conditionalFormatting sqref="Q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Q235">
    <cfRule type="notContainsText" dxfId="757" priority="1138" operator="notContains" text="Caida">
      <formula>ISERROR(SEARCH("Caida",Q235))</formula>
    </cfRule>
    <cfRule type="containsText" dxfId="756" priority="1139" operator="containsText" text="Caida">
      <formula>NOT(ISERROR(SEARCH("Caida",Q235)))</formula>
    </cfRule>
  </conditionalFormatting>
  <conditionalFormatting sqref="Q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Q333">
    <cfRule type="notContainsText" dxfId="753" priority="1134" operator="notContains" text="Caida">
      <formula>ISERROR(SEARCH("Caida",Q333))</formula>
    </cfRule>
    <cfRule type="containsText" dxfId="752" priority="1135" operator="containsText" text="Caida">
      <formula>NOT(ISERROR(SEARCH("Caida",Q333)))</formula>
    </cfRule>
  </conditionalFormatting>
  <conditionalFormatting sqref="R6:R92 R236:R279 R96:R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R6:R92 R236:R279 R96:R230">
    <cfRule type="notContainsText" dxfId="749" priority="1126" operator="notContains" text="Caida">
      <formula>ISERROR(SEARCH("Caida",R6))</formula>
    </cfRule>
    <cfRule type="containsText" dxfId="748" priority="1127" operator="containsText" text="Caida">
      <formula>NOT(ISERROR(SEARCH("Caida",R6)))</formula>
    </cfRule>
  </conditionalFormatting>
  <conditionalFormatting sqref="R334:T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R334:T334">
    <cfRule type="notContainsText" dxfId="745" priority="1081" operator="notContains" text="Caida">
      <formula>ISERROR(SEARCH("Caida",R334))</formula>
    </cfRule>
    <cfRule type="containsText" dxfId="744" priority="1082" operator="containsText" text="Caida">
      <formula>NOT(ISERROR(SEARCH("Caida",R334)))</formula>
    </cfRule>
  </conditionalFormatting>
  <conditionalFormatting sqref="R335:R364 R282:R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R335:R364 R282:R332 R371:R1048576">
    <cfRule type="notContainsText" dxfId="741" priority="1122" operator="notContains" text="Caida">
      <formula>ISERROR(SEARCH("Caida",R282))</formula>
    </cfRule>
    <cfRule type="containsText" dxfId="740" priority="1123" operator="containsText" text="Caida">
      <formula>NOT(ISERROR(SEARCH("Caida",R282)))</formula>
    </cfRule>
  </conditionalFormatting>
  <conditionalFormatting sqref="R22:T22">
    <cfRule type="containsText" dxfId="739" priority="1121" operator="containsText" text="Instaladas en Funcionamiento Caida">
      <formula>NOT(ISERROR(SEARCH("Instaladas en Funcionamiento Caida",R22)))</formula>
    </cfRule>
  </conditionalFormatting>
  <conditionalFormatting sqref="R280:T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R280:T280">
    <cfRule type="notContainsText" dxfId="736" priority="1117" operator="notContains" text="Caida">
      <formula>ISERROR(SEARCH("Caida",R280))</formula>
    </cfRule>
    <cfRule type="containsText" dxfId="735" priority="1118" operator="containsText" text="Caida">
      <formula>NOT(ISERROR(SEARCH("Caida",R280)))</formula>
    </cfRule>
  </conditionalFormatting>
  <conditionalFormatting sqref="R281:T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R281:T281">
    <cfRule type="notContainsText" dxfId="732" priority="1113" operator="notContains" text="Caida">
      <formula>ISERROR(SEARCH("Caida",R281))</formula>
    </cfRule>
    <cfRule type="containsText" dxfId="731" priority="1114" operator="containsText" text="Caida">
      <formula>NOT(ISERROR(SEARCH("Caida",R281)))</formula>
    </cfRule>
  </conditionalFormatting>
  <conditionalFormatting sqref="R5:T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R5:T5">
    <cfRule type="notContainsText" dxfId="728" priority="1109" operator="notContains" text="Caida">
      <formula>ISERROR(SEARCH("Caida",R5))</formula>
    </cfRule>
    <cfRule type="containsText" dxfId="727" priority="1110" operator="containsText" text="Caida">
      <formula>NOT(ISERROR(SEARCH("Caida",R5)))</formula>
    </cfRule>
  </conditionalFormatting>
  <conditionalFormatting sqref="R231:T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R231:T231">
    <cfRule type="notContainsText" dxfId="724" priority="1105" operator="notContains" text="Caida">
      <formula>ISERROR(SEARCH("Caida",R231))</formula>
    </cfRule>
    <cfRule type="containsText" dxfId="723" priority="1106" operator="containsText" text="Caida">
      <formula>NOT(ISERROR(SEARCH("Caida",R231)))</formula>
    </cfRule>
  </conditionalFormatting>
  <conditionalFormatting sqref="R232:T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R232:T232">
    <cfRule type="notContainsText" dxfId="720" priority="1101" operator="notContains" text="Caida">
      <formula>ISERROR(SEARCH("Caida",R232))</formula>
    </cfRule>
    <cfRule type="containsText" dxfId="719" priority="1102" operator="containsText" text="Caida">
      <formula>NOT(ISERROR(SEARCH("Caida",R232)))</formula>
    </cfRule>
  </conditionalFormatting>
  <conditionalFormatting sqref="R233:T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R233:T233">
    <cfRule type="notContainsText" dxfId="716" priority="1097" operator="notContains" text="Caida">
      <formula>ISERROR(SEARCH("Caida",R233))</formula>
    </cfRule>
    <cfRule type="containsText" dxfId="715" priority="1098" operator="containsText" text="Caida">
      <formula>NOT(ISERROR(SEARCH("Caida",R233)))</formula>
    </cfRule>
  </conditionalFormatting>
  <conditionalFormatting sqref="R234:T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R234:T234">
    <cfRule type="notContainsText" dxfId="712" priority="1093" operator="notContains" text="Caida">
      <formula>ISERROR(SEARCH("Caida",R234))</formula>
    </cfRule>
    <cfRule type="containsText" dxfId="711" priority="1094" operator="containsText" text="Caida">
      <formula>NOT(ISERROR(SEARCH("Caida",R234)))</formula>
    </cfRule>
  </conditionalFormatting>
  <conditionalFormatting sqref="R235:T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R235:T235">
    <cfRule type="notContainsText" dxfId="708" priority="1089" operator="notContains" text="Caida">
      <formula>ISERROR(SEARCH("Caida",R235))</formula>
    </cfRule>
    <cfRule type="containsText" dxfId="707" priority="1090" operator="containsText" text="Caida">
      <formula>NOT(ISERROR(SEARCH("Caida",R235)))</formula>
    </cfRule>
  </conditionalFormatting>
  <conditionalFormatting sqref="R333:T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R333:T333">
    <cfRule type="notContainsText" dxfId="704" priority="1085" operator="notContains" text="Caida">
      <formula>ISERROR(SEARCH("Caida",R333))</formula>
    </cfRule>
    <cfRule type="containsText" dxfId="703" priority="1086" operator="containsText" text="Caida">
      <formula>NOT(ISERROR(SEARCH("Caida",R333)))</formula>
    </cfRule>
  </conditionalFormatting>
  <conditionalFormatting sqref="S371:S1048576">
    <cfRule type="notContainsText" dxfId="702" priority="1073" operator="notContains" text="Caida">
      <formula>ISERROR(SEARCH("Caida",S371))</formula>
    </cfRule>
    <cfRule type="containsText" dxfId="701" priority="1074" operator="containsText" text="Caida">
      <formula>NOT(ISERROR(SEARCH("Caida",S371)))</formula>
    </cfRule>
  </conditionalFormatting>
  <conditionalFormatting sqref="T371:T1048576">
    <cfRule type="notContainsText" dxfId="700" priority="1024" operator="notContains" text="Caida">
      <formula>ISERROR(SEARCH("Caida",T371))</formula>
    </cfRule>
    <cfRule type="containsText" dxfId="699" priority="1025" operator="containsText" text="Caida">
      <formula>NOT(ISERROR(SEARCH("Caida",T371)))</formula>
    </cfRule>
  </conditionalFormatting>
  <conditionalFormatting sqref="E92:K93">
    <cfRule type="containsText" dxfId="698" priority="980" operator="containsText" text="Radio">
      <formula>NOT(ISERROR(SEARCH("Radio",E92)))</formula>
    </cfRule>
  </conditionalFormatting>
  <conditionalFormatting sqref="P93:P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P93:P95">
    <cfRule type="notContainsText" dxfId="695" priority="948" operator="notContains" text="Caida">
      <formula>ISERROR(SEARCH("Caida",P93))</formula>
    </cfRule>
    <cfRule type="containsText" dxfId="694" priority="949" operator="containsText" text="Caida">
      <formula>NOT(ISERROR(SEARCH("Caida",P93)))</formula>
    </cfRule>
  </conditionalFormatting>
  <conditionalFormatting sqref="Q93:Q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Q93:Q95">
    <cfRule type="notContainsText" dxfId="691" priority="944" operator="notContains" text="Caida">
      <formula>ISERROR(SEARCH("Caida",Q93))</formula>
    </cfRule>
    <cfRule type="containsText" dxfId="690" priority="945" operator="containsText" text="Caida">
      <formula>NOT(ISERROR(SEARCH("Caida",Q93)))</formula>
    </cfRule>
  </conditionalFormatting>
  <conditionalFormatting sqref="R93:R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R93:R95">
    <cfRule type="notContainsText" dxfId="687" priority="940" operator="notContains" text="Caida">
      <formula>ISERROR(SEARCH("Caida",R93))</formula>
    </cfRule>
    <cfRule type="containsText" dxfId="686" priority="941" operator="containsText" text="Caida">
      <formula>NOT(ISERROR(SEARCH("Caida",R93)))</formula>
    </cfRule>
  </conditionalFormatting>
  <conditionalFormatting sqref="E363:K363">
    <cfRule type="containsText" dxfId="685" priority="929" operator="containsText" text="Radio">
      <formula>NOT(ISERROR(SEARCH("Radio",E363)))</formula>
    </cfRule>
  </conditionalFormatting>
  <conditionalFormatting sqref="P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P365">
    <cfRule type="notContainsText" dxfId="682" priority="909" operator="notContains" text="Caida">
      <formula>ISERROR(SEARCH("Caida",P365))</formula>
    </cfRule>
    <cfRule type="containsText" dxfId="681" priority="910" operator="containsText" text="Caida">
      <formula>NOT(ISERROR(SEARCH("Caida",P365)))</formula>
    </cfRule>
  </conditionalFormatting>
  <conditionalFormatting sqref="Q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Q365">
    <cfRule type="notContainsText" dxfId="678" priority="905" operator="notContains" text="Caida">
      <formula>ISERROR(SEARCH("Caida",Q365))</formula>
    </cfRule>
    <cfRule type="containsText" dxfId="677" priority="906" operator="containsText" text="Caida">
      <formula>NOT(ISERROR(SEARCH("Caida",Q365)))</formula>
    </cfRule>
  </conditionalFormatting>
  <conditionalFormatting sqref="R365:T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R365:T365">
    <cfRule type="notContainsText" dxfId="674" priority="901" operator="notContains" text="Caida">
      <formula>ISERROR(SEARCH("Caida",R365))</formula>
    </cfRule>
    <cfRule type="containsText" dxfId="673" priority="902" operator="containsText" text="Caida">
      <formula>NOT(ISERROR(SEARCH("Caida",R365)))</formula>
    </cfRule>
  </conditionalFormatting>
  <conditionalFormatting sqref="E364:K364">
    <cfRule type="containsText" dxfId="672" priority="890" operator="containsText" text="Radio">
      <formula>NOT(ISERROR(SEARCH("Radio",E364)))</formula>
    </cfRule>
  </conditionalFormatting>
  <conditionalFormatting sqref="P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P366">
    <cfRule type="notContainsText" dxfId="669" priority="870" operator="notContains" text="Caida">
      <formula>ISERROR(SEARCH("Caida",P366))</formula>
    </cfRule>
    <cfRule type="containsText" dxfId="668" priority="871" operator="containsText" text="Caida">
      <formula>NOT(ISERROR(SEARCH("Caida",P366)))</formula>
    </cfRule>
  </conditionalFormatting>
  <conditionalFormatting sqref="Q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Q366">
    <cfRule type="notContainsText" dxfId="665" priority="866" operator="notContains" text="Caida">
      <formula>ISERROR(SEARCH("Caida",Q366))</formula>
    </cfRule>
    <cfRule type="containsText" dxfId="664" priority="867" operator="containsText" text="Caida">
      <formula>NOT(ISERROR(SEARCH("Caida",Q366)))</formula>
    </cfRule>
  </conditionalFormatting>
  <conditionalFormatting sqref="R366:T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R366:T366">
    <cfRule type="notContainsText" dxfId="661" priority="862" operator="notContains" text="Caida">
      <formula>ISERROR(SEARCH("Caida",R366))</formula>
    </cfRule>
    <cfRule type="containsText" dxfId="660" priority="863" operator="containsText" text="Caida">
      <formula>NOT(ISERROR(SEARCH("Caida",R366)))</formula>
    </cfRule>
  </conditionalFormatting>
  <conditionalFormatting sqref="E365:K365">
    <cfRule type="containsText" dxfId="659" priority="851" operator="containsText" text="Radio">
      <formula>NOT(ISERROR(SEARCH("Radio",E365)))</formula>
    </cfRule>
  </conditionalFormatting>
  <conditionalFormatting sqref="P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P367">
    <cfRule type="notContainsText" dxfId="656" priority="831" operator="notContains" text="Caida">
      <formula>ISERROR(SEARCH("Caida",P367))</formula>
    </cfRule>
    <cfRule type="containsText" dxfId="655" priority="832" operator="containsText" text="Caida">
      <formula>NOT(ISERROR(SEARCH("Caida",P367)))</formula>
    </cfRule>
  </conditionalFormatting>
  <conditionalFormatting sqref="Q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Q367">
    <cfRule type="notContainsText" dxfId="652" priority="827" operator="notContains" text="Caida">
      <formula>ISERROR(SEARCH("Caida",Q367))</formula>
    </cfRule>
    <cfRule type="containsText" dxfId="651" priority="828" operator="containsText" text="Caida">
      <formula>NOT(ISERROR(SEARCH("Caida",Q367)))</formula>
    </cfRule>
  </conditionalFormatting>
  <conditionalFormatting sqref="R367:T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R367:T367">
    <cfRule type="notContainsText" dxfId="648" priority="823" operator="notContains" text="Caida">
      <formula>ISERROR(SEARCH("Caida",R367))</formula>
    </cfRule>
    <cfRule type="containsText" dxfId="647" priority="824" operator="containsText" text="Caida">
      <formula>NOT(ISERROR(SEARCH("Caida",R367)))</formula>
    </cfRule>
  </conditionalFormatting>
  <conditionalFormatting sqref="E366:K366">
    <cfRule type="containsText" dxfId="646" priority="812" operator="containsText" text="Radio">
      <formula>NOT(ISERROR(SEARCH("Radio",E366)))</formula>
    </cfRule>
  </conditionalFormatting>
  <conditionalFormatting sqref="U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U231">
    <cfRule type="notContainsText" dxfId="643" priority="751" operator="notContains" text="Caida">
      <formula>ISERROR(SEARCH("Caida",U231))</formula>
    </cfRule>
    <cfRule type="containsText" dxfId="642" priority="752" operator="containsText" text="Caida">
      <formula>NOT(ISERROR(SEARCH("Caida",U231)))</formula>
    </cfRule>
  </conditionalFormatting>
  <conditionalFormatting sqref="U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U232">
    <cfRule type="notContainsText" dxfId="639" priority="747" operator="notContains" text="Caida">
      <formula>ISERROR(SEARCH("Caida",U232))</formula>
    </cfRule>
    <cfRule type="containsText" dxfId="638" priority="748" operator="containsText" text="Caida">
      <formula>NOT(ISERROR(SEARCH("Caida",U232)))</formula>
    </cfRule>
  </conditionalFormatting>
  <conditionalFormatting sqref="P368:P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P368:P370">
    <cfRule type="notContainsText" dxfId="635" priority="792" operator="notContains" text="Caida">
      <formula>ISERROR(SEARCH("Caida",P368))</formula>
    </cfRule>
    <cfRule type="containsText" dxfId="634" priority="793" operator="containsText" text="Caida">
      <formula>NOT(ISERROR(SEARCH("Caida",P368)))</formula>
    </cfRule>
  </conditionalFormatting>
  <conditionalFormatting sqref="Q368:Q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Q368:Q370">
    <cfRule type="notContainsText" dxfId="631" priority="788" operator="notContains" text="Caida">
      <formula>ISERROR(SEARCH("Caida",Q368))</formula>
    </cfRule>
    <cfRule type="containsText" dxfId="630" priority="789" operator="containsText" text="Caida">
      <formula>NOT(ISERROR(SEARCH("Caida",Q368)))</formula>
    </cfRule>
  </conditionalFormatting>
  <conditionalFormatting sqref="R368:T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R368:T368">
    <cfRule type="notContainsText" dxfId="627" priority="784" operator="notContains" text="Caida">
      <formula>ISERROR(SEARCH("Caida",R368))</formula>
    </cfRule>
    <cfRule type="containsText" dxfId="626" priority="785" operator="containsText" text="Caida">
      <formula>NOT(ISERROR(SEARCH("Caida",R368)))</formula>
    </cfRule>
  </conditionalFormatting>
  <conditionalFormatting sqref="U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U366">
    <cfRule type="notContainsText" dxfId="623" priority="715" operator="notContains" text="Caida">
      <formula>ISERROR(SEARCH("Caida",U366))</formula>
    </cfRule>
    <cfRule type="containsText" dxfId="622" priority="716" operator="containsText" text="Caida">
      <formula>NOT(ISERROR(SEARCH("Caida",U366)))</formula>
    </cfRule>
  </conditionalFormatting>
  <conditionalFormatting sqref="U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U367">
    <cfRule type="notContainsText" dxfId="619" priority="711" operator="notContains" text="Caida">
      <formula>ISERROR(SEARCH("Caida",U367))</formula>
    </cfRule>
    <cfRule type="containsText" dxfId="618" priority="712" operator="containsText" text="Caida">
      <formula>NOT(ISERROR(SEARCH("Caida",U367)))</formula>
    </cfRule>
  </conditionalFormatting>
  <conditionalFormatting sqref="U368:U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U368:U370">
    <cfRule type="notContainsText" dxfId="615" priority="707" operator="notContains" text="Caida">
      <formula>ISERROR(SEARCH("Caida",U368))</formula>
    </cfRule>
    <cfRule type="containsText" dxfId="614" priority="708" operator="containsText" text="Caida">
      <formula>NOT(ISERROR(SEARCH("Caida",U368)))</formula>
    </cfRule>
  </conditionalFormatting>
  <conditionalFormatting sqref="U236:U279 U6:U92 U96:U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U236:U279 U6:U92 U96:U230">
    <cfRule type="notContainsText" dxfId="611" priority="772" operator="notContains" text="Caida">
      <formula>ISERROR(SEARCH("Caida",U6))</formula>
    </cfRule>
    <cfRule type="containsText" dxfId="610" priority="773" operator="containsText" text="Caida">
      <formula>NOT(ISERROR(SEARCH("Caida",U6)))</formula>
    </cfRule>
  </conditionalFormatting>
  <conditionalFormatting sqref="U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U334">
    <cfRule type="notContainsText" dxfId="607" priority="727" operator="notContains" text="Caida">
      <formula>ISERROR(SEARCH("Caida",U334))</formula>
    </cfRule>
    <cfRule type="containsText" dxfId="606" priority="728" operator="containsText" text="Caida">
      <formula>NOT(ISERROR(SEARCH("Caida",U334)))</formula>
    </cfRule>
  </conditionalFormatting>
  <conditionalFormatting sqref="U335:U364 U282:U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U335:U364 U282:U332 U371:U1048576">
    <cfRule type="notContainsText" dxfId="603" priority="768" operator="notContains" text="Caida">
      <formula>ISERROR(SEARCH("Caida",U282))</formula>
    </cfRule>
    <cfRule type="containsText" dxfId="602" priority="769" operator="containsText" text="Caida">
      <formula>NOT(ISERROR(SEARCH("Caida",U282)))</formula>
    </cfRule>
  </conditionalFormatting>
  <conditionalFormatting sqref="U22">
    <cfRule type="containsText" dxfId="601" priority="767" operator="containsText" text="Instaladas en Funcionamiento Caida">
      <formula>NOT(ISERROR(SEARCH("Instaladas en Funcionamiento Caida",U22)))</formula>
    </cfRule>
  </conditionalFormatting>
  <conditionalFormatting sqref="U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U280">
    <cfRule type="notContainsText" dxfId="598" priority="763" operator="notContains" text="Caida">
      <formula>ISERROR(SEARCH("Caida",U280))</formula>
    </cfRule>
    <cfRule type="containsText" dxfId="597" priority="764" operator="containsText" text="Caida">
      <formula>NOT(ISERROR(SEARCH("Caida",U280)))</formula>
    </cfRule>
  </conditionalFormatting>
  <conditionalFormatting sqref="U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U281">
    <cfRule type="notContainsText" dxfId="594" priority="759" operator="notContains" text="Caida">
      <formula>ISERROR(SEARCH("Caida",U281))</formula>
    </cfRule>
    <cfRule type="containsText" dxfId="593" priority="760" operator="containsText" text="Caida">
      <formula>NOT(ISERROR(SEARCH("Caida",U281)))</formula>
    </cfRule>
  </conditionalFormatting>
  <conditionalFormatting sqref="U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U5">
    <cfRule type="notContainsText" dxfId="590" priority="755" operator="notContains" text="Caida">
      <formula>ISERROR(SEARCH("Caida",U5))</formula>
    </cfRule>
    <cfRule type="containsText" dxfId="589" priority="756" operator="containsText" text="Caida">
      <formula>NOT(ISERROR(SEARCH("Caida",U5)))</formula>
    </cfRule>
  </conditionalFormatting>
  <conditionalFormatting sqref="U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U233">
    <cfRule type="notContainsText" dxfId="586" priority="743" operator="notContains" text="Caida">
      <formula>ISERROR(SEARCH("Caida",U233))</formula>
    </cfRule>
    <cfRule type="containsText" dxfId="585" priority="744" operator="containsText" text="Caida">
      <formula>NOT(ISERROR(SEARCH("Caida",U233)))</formula>
    </cfRule>
  </conditionalFormatting>
  <conditionalFormatting sqref="U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U234">
    <cfRule type="notContainsText" dxfId="582" priority="739" operator="notContains" text="Caida">
      <formula>ISERROR(SEARCH("Caida",U234))</formula>
    </cfRule>
    <cfRule type="containsText" dxfId="581" priority="740" operator="containsText" text="Caida">
      <formula>NOT(ISERROR(SEARCH("Caida",U234)))</formula>
    </cfRule>
  </conditionalFormatting>
  <conditionalFormatting sqref="U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U235">
    <cfRule type="notContainsText" dxfId="578" priority="735" operator="notContains" text="Caida">
      <formula>ISERROR(SEARCH("Caida",U235))</formula>
    </cfRule>
    <cfRule type="containsText" dxfId="577" priority="736" operator="containsText" text="Caida">
      <formula>NOT(ISERROR(SEARCH("Caida",U235)))</formula>
    </cfRule>
  </conditionalFormatting>
  <conditionalFormatting sqref="U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U333">
    <cfRule type="notContainsText" dxfId="574" priority="731" operator="notContains" text="Caida">
      <formula>ISERROR(SEARCH("Caida",U333))</formula>
    </cfRule>
    <cfRule type="containsText" dxfId="573" priority="732" operator="containsText" text="Caida">
      <formula>NOT(ISERROR(SEARCH("Caida",U333)))</formula>
    </cfRule>
  </conditionalFormatting>
  <conditionalFormatting sqref="U93:U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U93:U95">
    <cfRule type="notContainsText" dxfId="570" priority="723" operator="notContains" text="Caida">
      <formula>ISERROR(SEARCH("Caida",U93))</formula>
    </cfRule>
    <cfRule type="containsText" dxfId="569" priority="724" operator="containsText" text="Caida">
      <formula>NOT(ISERROR(SEARCH("Caida",U93)))</formula>
    </cfRule>
  </conditionalFormatting>
  <conditionalFormatting sqref="U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U365">
    <cfRule type="notContainsText" dxfId="566" priority="719" operator="notContains" text="Caida">
      <formula>ISERROR(SEARCH("Caida",U365))</formula>
    </cfRule>
    <cfRule type="containsText" dxfId="565" priority="720" operator="containsText" text="Caida">
      <formula>NOT(ISERROR(SEARCH("Caida",U365)))</formula>
    </cfRule>
  </conditionalFormatting>
  <conditionalFormatting sqref="V6:X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V6:X92">
    <cfRule type="notContainsText" dxfId="562" priority="703" operator="notContains" text="Caida">
      <formula>ISERROR(SEARCH("Caida",V6))</formula>
    </cfRule>
    <cfRule type="containsText" dxfId="561" priority="704" operator="containsText" text="Caida">
      <formula>NOT(ISERROR(SEARCH("Caida",V6)))</formula>
    </cfRule>
  </conditionalFormatting>
  <conditionalFormatting sqref="V22:AH22">
    <cfRule type="containsText" dxfId="560" priority="702" operator="containsText" text="Instaladas en Funcionamiento Caida">
      <formula>NOT(ISERROR(SEARCH("Instaladas en Funcionamiento Caida",V22)))</formula>
    </cfRule>
  </conditionalFormatting>
  <conditionalFormatting sqref="V5:AH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V5:AH5">
    <cfRule type="notContainsText" dxfId="557" priority="698" operator="notContains" text="Caida">
      <formula>ISERROR(SEARCH("Caida",V5))</formula>
    </cfRule>
    <cfRule type="containsText" dxfId="556" priority="699" operator="containsText" text="Caida">
      <formula>NOT(ISERROR(SEARCH("Caida",V5)))</formula>
    </cfRule>
  </conditionalFormatting>
  <conditionalFormatting sqref="V93:X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V93:X95">
    <cfRule type="notContainsText" dxfId="553" priority="694" operator="notContains" text="Caida">
      <formula>ISERROR(SEARCH("Caida",V93))</formula>
    </cfRule>
    <cfRule type="containsText" dxfId="552" priority="695" operator="containsText" text="Caida">
      <formula>NOT(ISERROR(SEARCH("Caida",V93)))</formula>
    </cfRule>
  </conditionalFormatting>
  <conditionalFormatting sqref="Z371:Z1048576">
    <cfRule type="notContainsText" dxfId="551" priority="686" operator="notContains" text="Caida">
      <formula>ISERROR(SEARCH("Caida",Z371))</formula>
    </cfRule>
    <cfRule type="containsText" dxfId="550" priority="687" operator="containsText" text="Caida">
      <formula>NOT(ISERROR(SEARCH("Caida",Z371)))</formula>
    </cfRule>
  </conditionalFormatting>
  <conditionalFormatting sqref="Y371:Y1048576">
    <cfRule type="notContainsText" dxfId="549" priority="617" operator="notContains" text="Caida">
      <formula>ISERROR(SEARCH("Caida",Y371))</formula>
    </cfRule>
    <cfRule type="containsText" dxfId="548" priority="618" operator="containsText" text="Caida">
      <formula>NOT(ISERROR(SEARCH("Caida",Y371)))</formula>
    </cfRule>
  </conditionalFormatting>
  <conditionalFormatting sqref="E1:E1048576">
    <cfRule type="containsText" dxfId="547" priority="554" operator="containsText" text="fija">
      <formula>NOT(ISERROR(SEARCH("fija",E1)))</formula>
    </cfRule>
    <cfRule type="containsText" dxfId="546" priority="555" operator="containsText" text="domo">
      <formula>NOT(ISERROR(SEARCH("domo",E1)))</formula>
    </cfRule>
  </conditionalFormatting>
  <conditionalFormatting sqref="AI95:AI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I95:AI1048576">
    <cfRule type="notContainsText" dxfId="543" priority="550" operator="notContains" text="Caida">
      <formula>ISERROR(SEARCH("Caida",AI95))</formula>
    </cfRule>
    <cfRule type="containsText" dxfId="542" priority="551" operator="containsText" text="Caida">
      <formula>NOT(ISERROR(SEARCH("Caida",AI95)))</formula>
    </cfRule>
  </conditionalFormatting>
  <conditionalFormatting sqref="AI6:AI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I6:AI92">
    <cfRule type="notContainsText" dxfId="539" priority="546" operator="notContains" text="Caida">
      <formula>ISERROR(SEARCH("Caida",AI6))</formula>
    </cfRule>
    <cfRule type="containsText" dxfId="538" priority="547" operator="containsText" text="Caida">
      <formula>NOT(ISERROR(SEARCH("Caida",AI6)))</formula>
    </cfRule>
  </conditionalFormatting>
  <conditionalFormatting sqref="AI22">
    <cfRule type="containsText" dxfId="537" priority="545" operator="containsText" text="Instaladas en Funcionamiento Caida">
      <formula>NOT(ISERROR(SEARCH("Instaladas en Funcionamiento Caida",AI22)))</formula>
    </cfRule>
  </conditionalFormatting>
  <conditionalFormatting sqref="AI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I5">
    <cfRule type="notContainsText" dxfId="534" priority="541" operator="notContains" text="Caida">
      <formula>ISERROR(SEARCH("Caida",AI5))</formula>
    </cfRule>
    <cfRule type="containsText" dxfId="533" priority="542" operator="containsText" text="Caida">
      <formula>NOT(ISERROR(SEARCH("Caida",AI5)))</formula>
    </cfRule>
  </conditionalFormatting>
  <conditionalFormatting sqref="AI93:AI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I93:AI94">
    <cfRule type="notContainsText" dxfId="530" priority="537" operator="notContains" text="Caida">
      <formula>ISERROR(SEARCH("Caida",AI93))</formula>
    </cfRule>
    <cfRule type="containsText" dxfId="529" priority="538" operator="containsText" text="Caida">
      <formula>NOT(ISERROR(SEARCH("Caida",AI93)))</formula>
    </cfRule>
  </conditionalFormatting>
  <conditionalFormatting sqref="AI1 AI5:AI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J95:AP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J95:AP1048576">
    <cfRule type="notContainsText" dxfId="524" priority="532" operator="notContains" text="Caida">
      <formula>ISERROR(SEARCH("Caida",AJ95))</formula>
    </cfRule>
    <cfRule type="containsText" dxfId="523" priority="533" operator="containsText" text="Caida">
      <formula>NOT(ISERROR(SEARCH("Caida",AJ95)))</formula>
    </cfRule>
  </conditionalFormatting>
  <conditionalFormatting sqref="AJ6:AP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J6:AP92">
    <cfRule type="notContainsText" dxfId="520" priority="528" operator="notContains" text="Caida">
      <formula>ISERROR(SEARCH("Caida",AJ6))</formula>
    </cfRule>
    <cfRule type="containsText" dxfId="519" priority="529" operator="containsText" text="Caida">
      <formula>NOT(ISERROR(SEARCH("Caida",AJ6)))</formula>
    </cfRule>
  </conditionalFormatting>
  <conditionalFormatting sqref="AJ22:AS22">
    <cfRule type="containsText" dxfId="518" priority="527" operator="containsText" text="Instaladas en Funcionamiento Caida">
      <formula>NOT(ISERROR(SEARCH("Instaladas en Funcionamiento Caida",AJ22)))</formula>
    </cfRule>
  </conditionalFormatting>
  <conditionalFormatting sqref="AJ5:AS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J5:AS5">
    <cfRule type="notContainsText" dxfId="515" priority="523" operator="notContains" text="Caida">
      <formula>ISERROR(SEARCH("Caida",AJ5))</formula>
    </cfRule>
    <cfRule type="containsText" dxfId="514" priority="524" operator="containsText" text="Caida">
      <formula>NOT(ISERROR(SEARCH("Caida",AJ5)))</formula>
    </cfRule>
  </conditionalFormatting>
  <conditionalFormatting sqref="AJ93:AP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J93:AP94">
    <cfRule type="notContainsText" dxfId="511" priority="519" operator="notContains" text="Caida">
      <formula>ISERROR(SEARCH("Caida",AJ93))</formula>
    </cfRule>
    <cfRule type="containsText" dxfId="510" priority="520" operator="containsText" text="Caida">
      <formula>NOT(ISERROR(SEARCH("Caida",AJ93)))</formula>
    </cfRule>
  </conditionalFormatting>
  <conditionalFormatting sqref="AJ5:AS1048576 AJ1:AS1">
    <cfRule type="cellIs" dxfId="509" priority="518" operator="equal">
      <formula>"APAGADO"</formula>
    </cfRule>
  </conditionalFormatting>
  <conditionalFormatting sqref="AI249">
    <cfRule type="cellIs" dxfId="508" priority="517" operator="equal">
      <formula>"APAGADO"</formula>
    </cfRule>
  </conditionalFormatting>
  <conditionalFormatting sqref="Y96:Y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Y96:Y370">
    <cfRule type="notContainsText" dxfId="505" priority="512" operator="notContains" text="Caida">
      <formula>ISERROR(SEARCH("Caida",Y96))</formula>
    </cfRule>
    <cfRule type="containsText" dxfId="504" priority="513" operator="containsText" text="Caida">
      <formula>NOT(ISERROR(SEARCH("Caida",Y96)))</formula>
    </cfRule>
  </conditionalFormatting>
  <conditionalFormatting sqref="Y6:Y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Y6:Y92">
    <cfRule type="notContainsText" dxfId="501" priority="508" operator="notContains" text="Caida">
      <formula>ISERROR(SEARCH("Caida",Y6))</formula>
    </cfRule>
    <cfRule type="containsText" dxfId="500" priority="509" operator="containsText" text="Caida">
      <formula>NOT(ISERROR(SEARCH("Caida",Y6)))</formula>
    </cfRule>
  </conditionalFormatting>
  <conditionalFormatting sqref="Y93:Y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Y93:Y95">
    <cfRule type="notContainsText" dxfId="497" priority="504" operator="notContains" text="Caida">
      <formula>ISERROR(SEARCH("Caida",Y93))</formula>
    </cfRule>
    <cfRule type="containsText" dxfId="496" priority="505" operator="containsText" text="Caida">
      <formula>NOT(ISERROR(SEARCH("Caida",Y93)))</formula>
    </cfRule>
  </conditionalFormatting>
  <conditionalFormatting sqref="S6:S92 S236:S279 S96:S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S6:S92 S236:S279 S96:S230">
    <cfRule type="notContainsText" dxfId="493" priority="500" operator="notContains" text="Caida">
      <formula>ISERROR(SEARCH("Caida",S6))</formula>
    </cfRule>
    <cfRule type="containsText" dxfId="492" priority="501" operator="containsText" text="Caida">
      <formula>NOT(ISERROR(SEARCH("Caida",S6)))</formula>
    </cfRule>
  </conditionalFormatting>
  <conditionalFormatting sqref="S335:S364 S282:S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S335:S364 S282:S332">
    <cfRule type="notContainsText" dxfId="489" priority="496" operator="notContains" text="Caida">
      <formula>ISERROR(SEARCH("Caida",S282))</formula>
    </cfRule>
    <cfRule type="containsText" dxfId="488" priority="497" operator="containsText" text="Caida">
      <formula>NOT(ISERROR(SEARCH("Caida",S282)))</formula>
    </cfRule>
  </conditionalFormatting>
  <conditionalFormatting sqref="S93:S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S93:S95">
    <cfRule type="notContainsText" dxfId="485" priority="492" operator="notContains" text="Caida">
      <formula>ISERROR(SEARCH("Caida",S93))</formula>
    </cfRule>
    <cfRule type="containsText" dxfId="484" priority="493" operator="containsText" text="Caida">
      <formula>NOT(ISERROR(SEARCH("Caida",S93)))</formula>
    </cfRule>
  </conditionalFormatting>
  <conditionalFormatting sqref="T6:T92 T236:T279 T96:T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T6:T92 T236:T279 T96:T230">
    <cfRule type="notContainsText" dxfId="481" priority="488" operator="notContains" text="Caida">
      <formula>ISERROR(SEARCH("Caida",T6))</formula>
    </cfRule>
    <cfRule type="containsText" dxfId="480" priority="489" operator="containsText" text="Caida">
      <formula>NOT(ISERROR(SEARCH("Caida",T6)))</formula>
    </cfRule>
  </conditionalFormatting>
  <conditionalFormatting sqref="T335:T364 T282:T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T335:T364 T282:T332">
    <cfRule type="notContainsText" dxfId="477" priority="484" operator="notContains" text="Caida">
      <formula>ISERROR(SEARCH("Caida",T282))</formula>
    </cfRule>
    <cfRule type="containsText" dxfId="476" priority="485" operator="containsText" text="Caida">
      <formula>NOT(ISERROR(SEARCH("Caida",T282)))</formula>
    </cfRule>
  </conditionalFormatting>
  <conditionalFormatting sqref="T93:T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T93:T95">
    <cfRule type="notContainsText" dxfId="473" priority="480" operator="notContains" text="Caida">
      <formula>ISERROR(SEARCH("Caida",T93))</formula>
    </cfRule>
    <cfRule type="containsText" dxfId="472" priority="481" operator="containsText" text="Caida">
      <formula>NOT(ISERROR(SEARCH("Caida",T93)))</formula>
    </cfRule>
  </conditionalFormatting>
  <conditionalFormatting sqref="Z96:Z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Z96:Z370">
    <cfRule type="notContainsText" dxfId="469" priority="476" operator="notContains" text="Caida">
      <formula>ISERROR(SEARCH("Caida",Z96))</formula>
    </cfRule>
    <cfRule type="containsText" dxfId="468" priority="477" operator="containsText" text="Caida">
      <formula>NOT(ISERROR(SEARCH("Caida",Z96)))</formula>
    </cfRule>
  </conditionalFormatting>
  <conditionalFormatting sqref="Z6:Z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Z6:Z92">
    <cfRule type="notContainsText" dxfId="465" priority="472" operator="notContains" text="Caida">
      <formula>ISERROR(SEARCH("Caida",Z6))</formula>
    </cfRule>
    <cfRule type="containsText" dxfId="464" priority="473" operator="containsText" text="Caida">
      <formula>NOT(ISERROR(SEARCH("Caida",Z6)))</formula>
    </cfRule>
  </conditionalFormatting>
  <conditionalFormatting sqref="Z93:Z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Z93:Z95">
    <cfRule type="notContainsText" dxfId="461" priority="468" operator="notContains" text="Caida">
      <formula>ISERROR(SEARCH("Caida",Z93))</formula>
    </cfRule>
    <cfRule type="containsText" dxfId="460" priority="469" operator="containsText" text="Caida">
      <formula>NOT(ISERROR(SEARCH("Caida",Z93)))</formula>
    </cfRule>
  </conditionalFormatting>
  <conditionalFormatting sqref="AA96:AA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AA96:AA370">
    <cfRule type="notContainsText" dxfId="457" priority="464" operator="notContains" text="Caida">
      <formula>ISERROR(SEARCH("Caida",AA96))</formula>
    </cfRule>
    <cfRule type="containsText" dxfId="456" priority="465" operator="containsText" text="Caida">
      <formula>NOT(ISERROR(SEARCH("Caida",AA96)))</formula>
    </cfRule>
  </conditionalFormatting>
  <conditionalFormatting sqref="AA6:AA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AA6:AA92">
    <cfRule type="notContainsText" dxfId="453" priority="460" operator="notContains" text="Caida">
      <formula>ISERROR(SEARCH("Caida",AA6))</formula>
    </cfRule>
    <cfRule type="containsText" dxfId="452" priority="461" operator="containsText" text="Caida">
      <formula>NOT(ISERROR(SEARCH("Caida",AA6)))</formula>
    </cfRule>
  </conditionalFormatting>
  <conditionalFormatting sqref="AA93:AA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AA93:AA95">
    <cfRule type="notContainsText" dxfId="449" priority="456" operator="notContains" text="Caida">
      <formula>ISERROR(SEARCH("Caida",AA93))</formula>
    </cfRule>
    <cfRule type="containsText" dxfId="448" priority="457" operator="containsText" text="Caida">
      <formula>NOT(ISERROR(SEARCH("Caida",AA93)))</formula>
    </cfRule>
  </conditionalFormatting>
  <conditionalFormatting sqref="AB371:AB1048576">
    <cfRule type="notContainsText" dxfId="447" priority="454" operator="notContains" text="Caida">
      <formula>ISERROR(SEARCH("Caida",AB371))</formula>
    </cfRule>
    <cfRule type="containsText" dxfId="446" priority="455" operator="containsText" text="Caida">
      <formula>NOT(ISERROR(SEARCH("Caida",AB371)))</formula>
    </cfRule>
  </conditionalFormatting>
  <conditionalFormatting sqref="AB96:AB107 AB109:AB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B96:AB107 AB109:AB370">
    <cfRule type="notContainsText" dxfId="443" priority="450" operator="notContains" text="Caida">
      <formula>ISERROR(SEARCH("Caida",AB96))</formula>
    </cfRule>
    <cfRule type="containsText" dxfId="442" priority="451" operator="containsText" text="Caida">
      <formula>NOT(ISERROR(SEARCH("Caida",AB96)))</formula>
    </cfRule>
  </conditionalFormatting>
  <conditionalFormatting sqref="AB6:AB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B6:AB92">
    <cfRule type="notContainsText" dxfId="439" priority="446" operator="notContains" text="Caida">
      <formula>ISERROR(SEARCH("Caida",AB6))</formula>
    </cfRule>
    <cfRule type="containsText" dxfId="438" priority="447" operator="containsText" text="Caida">
      <formula>NOT(ISERROR(SEARCH("Caida",AB6)))</formula>
    </cfRule>
  </conditionalFormatting>
  <conditionalFormatting sqref="AB93:AB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B93:AB95">
    <cfRule type="notContainsText" dxfId="435" priority="442" operator="notContains" text="Caida">
      <formula>ISERROR(SEARCH("Caida",AB93))</formula>
    </cfRule>
    <cfRule type="containsText" dxfId="434" priority="443" operator="containsText" text="Caida">
      <formula>NOT(ISERROR(SEARCH("Caida",AB93)))</formula>
    </cfRule>
  </conditionalFormatting>
  <conditionalFormatting sqref="AB108:AE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B108:AE108">
    <cfRule type="notContainsText" dxfId="431" priority="438" operator="notContains" text="Caida">
      <formula>ISERROR(SEARCH("Caida",AB108))</formula>
    </cfRule>
    <cfRule type="containsText" dxfId="430" priority="439" operator="containsText" text="Caida">
      <formula>NOT(ISERROR(SEARCH("Caida",AB108)))</formula>
    </cfRule>
  </conditionalFormatting>
  <conditionalFormatting sqref="AC371:AH1048576">
    <cfRule type="notContainsText" dxfId="429" priority="422" operator="notContains" text="Caida">
      <formula>ISERROR(SEARCH("Caida",AC371))</formula>
    </cfRule>
    <cfRule type="containsText" dxfId="428" priority="423" operator="containsText" text="Caida">
      <formula>NOT(ISERROR(SEARCH("Caida",AC371)))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notContainsText" dxfId="425" priority="418" operator="notContains" text="Caida">
      <formula>ISERROR(SEARCH("Caida",AC96))</formula>
    </cfRule>
    <cfRule type="containsText" dxfId="424" priority="419" operator="containsText" text="Caida">
      <formula>NOT(ISERROR(SEARCH("Caida",AC96)))</formula>
    </cfRule>
  </conditionalFormatting>
  <conditionalFormatting sqref="AC6:AH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C6:AH92">
    <cfRule type="notContainsText" dxfId="421" priority="414" operator="notContains" text="Caida">
      <formula>ISERROR(SEARCH("Caida",AC6))</formula>
    </cfRule>
    <cfRule type="containsText" dxfId="420" priority="415" operator="containsText" text="Caida">
      <formula>NOT(ISERROR(SEARCH("Caida",AC6)))</formula>
    </cfRule>
  </conditionalFormatting>
  <conditionalFormatting sqref="AC93:AH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C93:AH95">
    <cfRule type="notContainsText" dxfId="417" priority="410" operator="notContains" text="Caida">
      <formula>ISERROR(SEARCH("Caida",AC93))</formula>
    </cfRule>
    <cfRule type="containsText" dxfId="416" priority="411" operator="containsText" text="Caida">
      <formula>NOT(ISERROR(SEARCH("Caida",AC93)))</formula>
    </cfRule>
  </conditionalFormatting>
  <conditionalFormatting sqref="F1:F1048576">
    <cfRule type="cellIs" dxfId="415" priority="409" operator="equal">
      <formula>"PTP A FO"</formula>
    </cfRule>
  </conditionalFormatting>
  <conditionalFormatting sqref="AF106:AH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F106:AH106">
    <cfRule type="notContainsText" dxfId="412" priority="405" operator="notContains" text="Caida">
      <formula>ISERROR(SEARCH("Caida",AF106))</formula>
    </cfRule>
    <cfRule type="containsText" dxfId="411" priority="406" operator="containsText" text="Caida">
      <formula>NOT(ISERROR(SEARCH("Caida",AF106)))</formula>
    </cfRule>
  </conditionalFormatting>
  <conditionalFormatting sqref="AF107:AH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F107:AH107">
    <cfRule type="notContainsText" dxfId="408" priority="401" operator="notContains" text="Caida">
      <formula>ISERROR(SEARCH("Caida",AF107))</formula>
    </cfRule>
    <cfRule type="containsText" dxfId="407" priority="402" operator="containsText" text="Caida">
      <formula>NOT(ISERROR(SEARCH("Caida",AF107)))</formula>
    </cfRule>
  </conditionalFormatting>
  <conditionalFormatting sqref="AF108:AH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F108:AH108">
    <cfRule type="notContainsText" dxfId="404" priority="397" operator="notContains" text="Caida">
      <formula>ISERROR(SEARCH("Caida",AF108))</formula>
    </cfRule>
    <cfRule type="containsText" dxfId="403" priority="398" operator="containsText" text="Caida">
      <formula>NOT(ISERROR(SEARCH("Caida",AF108)))</formula>
    </cfRule>
  </conditionalFormatting>
  <conditionalFormatting sqref="AF109:AH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F109:AH109">
    <cfRule type="notContainsText" dxfId="400" priority="393" operator="notContains" text="Caida">
      <formula>ISERROR(SEARCH("Caida",AF109))</formula>
    </cfRule>
    <cfRule type="containsText" dxfId="399" priority="394" operator="containsText" text="Caida">
      <formula>NOT(ISERROR(SEARCH("Caida",AF109)))</formula>
    </cfRule>
  </conditionalFormatting>
  <conditionalFormatting sqref="AF115:AH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F115:AH115">
    <cfRule type="notContainsText" dxfId="396" priority="389" operator="notContains" text="Caida">
      <formula>ISERROR(SEARCH("Caida",AF115))</formula>
    </cfRule>
    <cfRule type="containsText" dxfId="395" priority="390" operator="containsText" text="Caida">
      <formula>NOT(ISERROR(SEARCH("Caida",AF115)))</formula>
    </cfRule>
  </conditionalFormatting>
  <conditionalFormatting sqref="AF116:AH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F116:AH116">
    <cfRule type="notContainsText" dxfId="392" priority="385" operator="notContains" text="Caida">
      <formula>ISERROR(SEARCH("Caida",AF116))</formula>
    </cfRule>
    <cfRule type="containsText" dxfId="391" priority="386" operator="containsText" text="Caida">
      <formula>NOT(ISERROR(SEARCH("Caida",AF116)))</formula>
    </cfRule>
  </conditionalFormatting>
  <conditionalFormatting sqref="AF120:AH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F120:AH120">
    <cfRule type="notContainsText" dxfId="388" priority="381" operator="notContains" text="Caida">
      <formula>ISERROR(SEARCH("Caida",AF120))</formula>
    </cfRule>
    <cfRule type="containsText" dxfId="387" priority="382" operator="containsText" text="Caida">
      <formula>NOT(ISERROR(SEARCH("Caida",AF120)))</formula>
    </cfRule>
  </conditionalFormatting>
  <conditionalFormatting sqref="AF121:AH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F121:AH121">
    <cfRule type="notContainsText" dxfId="384" priority="377" operator="notContains" text="Caida">
      <formula>ISERROR(SEARCH("Caida",AF121))</formula>
    </cfRule>
    <cfRule type="containsText" dxfId="383" priority="378" operator="containsText" text="Caida">
      <formula>NOT(ISERROR(SEARCH("Caida",AF121)))</formula>
    </cfRule>
  </conditionalFormatting>
  <conditionalFormatting sqref="AF122:AH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F122:AH122">
    <cfRule type="notContainsText" dxfId="380" priority="373" operator="notContains" text="Caida">
      <formula>ISERROR(SEARCH("Caida",AF122))</formula>
    </cfRule>
    <cfRule type="containsText" dxfId="379" priority="374" operator="containsText" text="Caida">
      <formula>NOT(ISERROR(SEARCH("Caida",AF122)))</formula>
    </cfRule>
  </conditionalFormatting>
  <conditionalFormatting sqref="AF123:AH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F123:AH123">
    <cfRule type="notContainsText" dxfId="376" priority="369" operator="notContains" text="Caida">
      <formula>ISERROR(SEARCH("Caida",AF123))</formula>
    </cfRule>
    <cfRule type="containsText" dxfId="375" priority="370" operator="containsText" text="Caida">
      <formula>NOT(ISERROR(SEARCH("Caida",AF123)))</formula>
    </cfRule>
  </conditionalFormatting>
  <conditionalFormatting sqref="AF133:AH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F133:AH133">
    <cfRule type="notContainsText" dxfId="372" priority="365" operator="notContains" text="Caida">
      <formula>ISERROR(SEARCH("Caida",AF133))</formula>
    </cfRule>
    <cfRule type="containsText" dxfId="371" priority="366" operator="containsText" text="Caida">
      <formula>NOT(ISERROR(SEARCH("Caida",AF133)))</formula>
    </cfRule>
  </conditionalFormatting>
  <conditionalFormatting sqref="AF137:AH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F137:AH137">
    <cfRule type="notContainsText" dxfId="368" priority="361" operator="notContains" text="Caida">
      <formula>ISERROR(SEARCH("Caida",AF137))</formula>
    </cfRule>
    <cfRule type="containsText" dxfId="367" priority="362" operator="containsText" text="Caida">
      <formula>NOT(ISERROR(SEARCH("Caida",AF137)))</formula>
    </cfRule>
  </conditionalFormatting>
  <conditionalFormatting sqref="AF149:AH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F149:AH149">
    <cfRule type="notContainsText" dxfId="364" priority="357" operator="notContains" text="Caida">
      <formula>ISERROR(SEARCH("Caida",AF149))</formula>
    </cfRule>
    <cfRule type="containsText" dxfId="363" priority="358" operator="containsText" text="Caida">
      <formula>NOT(ISERROR(SEARCH("Caida",AF149)))</formula>
    </cfRule>
  </conditionalFormatting>
  <conditionalFormatting sqref="AF150:AH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F150:AH150">
    <cfRule type="notContainsText" dxfId="360" priority="353" operator="notContains" text="Caida">
      <formula>ISERROR(SEARCH("Caida",AF150))</formula>
    </cfRule>
    <cfRule type="containsText" dxfId="359" priority="354" operator="containsText" text="Caida">
      <formula>NOT(ISERROR(SEARCH("Caida",AF150)))</formula>
    </cfRule>
  </conditionalFormatting>
  <conditionalFormatting sqref="AF151:AH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F151:AH151">
    <cfRule type="notContainsText" dxfId="356" priority="349" operator="notContains" text="Caida">
      <formula>ISERROR(SEARCH("Caida",AF151))</formula>
    </cfRule>
    <cfRule type="containsText" dxfId="355" priority="350" operator="containsText" text="Caida">
      <formula>NOT(ISERROR(SEARCH("Caida",AF151)))</formula>
    </cfRule>
  </conditionalFormatting>
  <conditionalFormatting sqref="AF159:AH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F159:AH159">
    <cfRule type="notContainsText" dxfId="352" priority="345" operator="notContains" text="Caida">
      <formula>ISERROR(SEARCH("Caida",AF159))</formula>
    </cfRule>
    <cfRule type="containsText" dxfId="351" priority="346" operator="containsText" text="Caida">
      <formula>NOT(ISERROR(SEARCH("Caida",AF159)))</formula>
    </cfRule>
  </conditionalFormatting>
  <conditionalFormatting sqref="AF169:AH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F169:AH169">
    <cfRule type="notContainsText" dxfId="348" priority="341" operator="notContains" text="Caida">
      <formula>ISERROR(SEARCH("Caida",AF169))</formula>
    </cfRule>
    <cfRule type="containsText" dxfId="347" priority="342" operator="containsText" text="Caida">
      <formula>NOT(ISERROR(SEARCH("Caida",AF169)))</formula>
    </cfRule>
  </conditionalFormatting>
  <conditionalFormatting sqref="AF171:AH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F171:AH171">
    <cfRule type="notContainsText" dxfId="344" priority="337" operator="notContains" text="Caida">
      <formula>ISERROR(SEARCH("Caida",AF171))</formula>
    </cfRule>
    <cfRule type="containsText" dxfId="343" priority="338" operator="containsText" text="Caida">
      <formula>NOT(ISERROR(SEARCH("Caida",AF171)))</formula>
    </cfRule>
  </conditionalFormatting>
  <conditionalFormatting sqref="AF173:AH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F173:AH173">
    <cfRule type="notContainsText" dxfId="340" priority="333" operator="notContains" text="Caida">
      <formula>ISERROR(SEARCH("Caida",AF173))</formula>
    </cfRule>
    <cfRule type="containsText" dxfId="339" priority="334" operator="containsText" text="Caida">
      <formula>NOT(ISERROR(SEARCH("Caida",AF173)))</formula>
    </cfRule>
  </conditionalFormatting>
  <conditionalFormatting sqref="AF193:AH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F193:AH193">
    <cfRule type="notContainsText" dxfId="336" priority="329" operator="notContains" text="Caida">
      <formula>ISERROR(SEARCH("Caida",AF193))</formula>
    </cfRule>
    <cfRule type="containsText" dxfId="335" priority="330" operator="containsText" text="Caida">
      <formula>NOT(ISERROR(SEARCH("Caida",AF193)))</formula>
    </cfRule>
  </conditionalFormatting>
  <conditionalFormatting sqref="AF194:AH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F194:AH194">
    <cfRule type="notContainsText" dxfId="332" priority="325" operator="notContains" text="Caida">
      <formula>ISERROR(SEARCH("Caida",AF194))</formula>
    </cfRule>
    <cfRule type="containsText" dxfId="331" priority="326" operator="containsText" text="Caida">
      <formula>NOT(ISERROR(SEARCH("Caida",AF194)))</formula>
    </cfRule>
  </conditionalFormatting>
  <conditionalFormatting sqref="AF230:AH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F230:AH230">
    <cfRule type="notContainsText" dxfId="328" priority="321" operator="notContains" text="Caida">
      <formula>ISERROR(SEARCH("Caida",AF230))</formula>
    </cfRule>
    <cfRule type="containsText" dxfId="327" priority="322" operator="containsText" text="Caida">
      <formula>NOT(ISERROR(SEARCH("Caida",AF230)))</formula>
    </cfRule>
  </conditionalFormatting>
  <conditionalFormatting sqref="AF238:AH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F238:AH238">
    <cfRule type="notContainsText" dxfId="324" priority="317" operator="notContains" text="Caida">
      <formula>ISERROR(SEARCH("Caida",AF238))</formula>
    </cfRule>
    <cfRule type="containsText" dxfId="323" priority="318" operator="containsText" text="Caida">
      <formula>NOT(ISERROR(SEARCH("Caida",AF238)))</formula>
    </cfRule>
  </conditionalFormatting>
  <conditionalFormatting sqref="AF239:AH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F239:AH239">
    <cfRule type="notContainsText" dxfId="320" priority="313" operator="notContains" text="Caida">
      <formula>ISERROR(SEARCH("Caida",AF239))</formula>
    </cfRule>
    <cfRule type="containsText" dxfId="319" priority="314" operator="containsText" text="Caida">
      <formula>NOT(ISERROR(SEARCH("Caida",AF239)))</formula>
    </cfRule>
  </conditionalFormatting>
  <conditionalFormatting sqref="AF240:AH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F240:AH240">
    <cfRule type="notContainsText" dxfId="316" priority="309" operator="notContains" text="Caida">
      <formula>ISERROR(SEARCH("Caida",AF240))</formula>
    </cfRule>
    <cfRule type="containsText" dxfId="315" priority="310" operator="containsText" text="Caida">
      <formula>NOT(ISERROR(SEARCH("Caida",AF240)))</formula>
    </cfRule>
  </conditionalFormatting>
  <conditionalFormatting sqref="AF249:AH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F249:AH249">
    <cfRule type="notContainsText" dxfId="312" priority="305" operator="notContains" text="Caida">
      <formula>ISERROR(SEARCH("Caida",AF249))</formula>
    </cfRule>
    <cfRule type="containsText" dxfId="311" priority="306" operator="containsText" text="Caida">
      <formula>NOT(ISERROR(SEARCH("Caida",AF249)))</formula>
    </cfRule>
  </conditionalFormatting>
  <conditionalFormatting sqref="AF250:AH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F250:AH250">
    <cfRule type="notContainsText" dxfId="308" priority="301" operator="notContains" text="Caida">
      <formula>ISERROR(SEARCH("Caida",AF250))</formula>
    </cfRule>
    <cfRule type="containsText" dxfId="307" priority="302" operator="containsText" text="Caida">
      <formula>NOT(ISERROR(SEARCH("Caida",AF250)))</formula>
    </cfRule>
  </conditionalFormatting>
  <conditionalFormatting sqref="AF251:AH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F251:AH251">
    <cfRule type="notContainsText" dxfId="304" priority="297" operator="notContains" text="Caida">
      <formula>ISERROR(SEARCH("Caida",AF251))</formula>
    </cfRule>
    <cfRule type="containsText" dxfId="303" priority="298" operator="containsText" text="Caida">
      <formula>NOT(ISERROR(SEARCH("Caida",AF251)))</formula>
    </cfRule>
  </conditionalFormatting>
  <conditionalFormatting sqref="AF252:AH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F252:AH252">
    <cfRule type="notContainsText" dxfId="300" priority="293" operator="notContains" text="Caida">
      <formula>ISERROR(SEARCH("Caida",AF252))</formula>
    </cfRule>
    <cfRule type="containsText" dxfId="299" priority="294" operator="containsText" text="Caida">
      <formula>NOT(ISERROR(SEARCH("Caida",AF252)))</formula>
    </cfRule>
  </conditionalFormatting>
  <conditionalFormatting sqref="AF259:AH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F259:AH259">
    <cfRule type="notContainsText" dxfId="296" priority="289" operator="notContains" text="Caida">
      <formula>ISERROR(SEARCH("Caida",AF259))</formula>
    </cfRule>
    <cfRule type="containsText" dxfId="295" priority="290" operator="containsText" text="Caida">
      <formula>NOT(ISERROR(SEARCH("Caida",AF259)))</formula>
    </cfRule>
  </conditionalFormatting>
  <conditionalFormatting sqref="AF271:AH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F271:AH271">
    <cfRule type="notContainsText" dxfId="292" priority="285" operator="notContains" text="Caida">
      <formula>ISERROR(SEARCH("Caida",AF271))</formula>
    </cfRule>
    <cfRule type="containsText" dxfId="291" priority="286" operator="containsText" text="Caida">
      <formula>NOT(ISERROR(SEARCH("Caida",AF271)))</formula>
    </cfRule>
  </conditionalFormatting>
  <conditionalFormatting sqref="AF272:AH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F272:AH272">
    <cfRule type="notContainsText" dxfId="288" priority="281" operator="notContains" text="Caida">
      <formula>ISERROR(SEARCH("Caida",AF272))</formula>
    </cfRule>
    <cfRule type="containsText" dxfId="287" priority="282" operator="containsText" text="Caida">
      <formula>NOT(ISERROR(SEARCH("Caida",AF272)))</formula>
    </cfRule>
  </conditionalFormatting>
  <conditionalFormatting sqref="AF291:AH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F291:AH291">
    <cfRule type="notContainsText" dxfId="284" priority="277" operator="notContains" text="Caida">
      <formula>ISERROR(SEARCH("Caida",AF291))</formula>
    </cfRule>
    <cfRule type="containsText" dxfId="283" priority="278" operator="containsText" text="Caida">
      <formula>NOT(ISERROR(SEARCH("Caida",AF291)))</formula>
    </cfRule>
  </conditionalFormatting>
  <conditionalFormatting sqref="AF319:AH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F319:AH319">
    <cfRule type="notContainsText" dxfId="280" priority="273" operator="notContains" text="Caida">
      <formula>ISERROR(SEARCH("Caida",AF319))</formula>
    </cfRule>
    <cfRule type="containsText" dxfId="279" priority="274" operator="containsText" text="Caida">
      <formula>NOT(ISERROR(SEARCH("Caida",AF319)))</formula>
    </cfRule>
  </conditionalFormatting>
  <conditionalFormatting sqref="AF320:AH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F320:AH320">
    <cfRule type="notContainsText" dxfId="276" priority="269" operator="notContains" text="Caida">
      <formula>ISERROR(SEARCH("Caida",AF320))</formula>
    </cfRule>
    <cfRule type="containsText" dxfId="275" priority="270" operator="containsText" text="Caida">
      <formula>NOT(ISERROR(SEARCH("Caida",AF320)))</formula>
    </cfRule>
  </conditionalFormatting>
  <conditionalFormatting sqref="AF331:AH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F331:AH331">
    <cfRule type="notContainsText" dxfId="272" priority="265" operator="notContains" text="Caida">
      <formula>ISERROR(SEARCH("Caida",AF331))</formula>
    </cfRule>
    <cfRule type="containsText" dxfId="271" priority="266" operator="containsText" text="Caida">
      <formula>NOT(ISERROR(SEARCH("Caida",AF331)))</formula>
    </cfRule>
  </conditionalFormatting>
  <conditionalFormatting sqref="AF345:AH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F345:AH345">
    <cfRule type="notContainsText" dxfId="268" priority="261" operator="notContains" text="Caida">
      <formula>ISERROR(SEARCH("Caida",AF345))</formula>
    </cfRule>
    <cfRule type="containsText" dxfId="267" priority="262" operator="containsText" text="Caida">
      <formula>NOT(ISERROR(SEARCH("Caida",AF345)))</formula>
    </cfRule>
  </conditionalFormatting>
  <conditionalFormatting sqref="AF346:AH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F346:AH346">
    <cfRule type="notContainsText" dxfId="264" priority="257" operator="notContains" text="Caida">
      <formula>ISERROR(SEARCH("Caida",AF346))</formula>
    </cfRule>
    <cfRule type="containsText" dxfId="263" priority="258" operator="containsText" text="Caida">
      <formula>NOT(ISERROR(SEARCH("Caida",AF346)))</formula>
    </cfRule>
  </conditionalFormatting>
  <conditionalFormatting sqref="AF347:AH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F347:AH347">
    <cfRule type="notContainsText" dxfId="260" priority="253" operator="notContains" text="Caida">
      <formula>ISERROR(SEARCH("Caida",AF347))</formula>
    </cfRule>
    <cfRule type="containsText" dxfId="259" priority="254" operator="containsText" text="Caida">
      <formula>NOT(ISERROR(SEARCH("Caida",AF347)))</formula>
    </cfRule>
  </conditionalFormatting>
  <conditionalFormatting sqref="AF348:AH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F348:AH348">
    <cfRule type="notContainsText" dxfId="256" priority="249" operator="notContains" text="Caida">
      <formula>ISERROR(SEARCH("Caida",AF348))</formula>
    </cfRule>
    <cfRule type="containsText" dxfId="255" priority="250" operator="containsText" text="Caida">
      <formula>NOT(ISERROR(SEARCH("Caida",AF348)))</formula>
    </cfRule>
  </conditionalFormatting>
  <conditionalFormatting sqref="AF349:AH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F349:AH349">
    <cfRule type="notContainsText" dxfId="252" priority="245" operator="notContains" text="Caida">
      <formula>ISERROR(SEARCH("Caida",AF349))</formula>
    </cfRule>
    <cfRule type="containsText" dxfId="251" priority="246" operator="containsText" text="Caida">
      <formula>NOT(ISERROR(SEARCH("Caida",AF349)))</formula>
    </cfRule>
  </conditionalFormatting>
  <conditionalFormatting sqref="AF367:AH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F367:AH367">
    <cfRule type="notContainsText" dxfId="248" priority="241" operator="notContains" text="Caida">
      <formula>ISERROR(SEARCH("Caida",AF367))</formula>
    </cfRule>
    <cfRule type="containsText" dxfId="247" priority="242" operator="containsText" text="Caida">
      <formula>NOT(ISERROR(SEARCH("Caida",AF367)))</formula>
    </cfRule>
  </conditionalFormatting>
  <conditionalFormatting sqref="AF197:AH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F197:AH197">
    <cfRule type="notContainsText" dxfId="244" priority="237" operator="notContains" text="Caida">
      <formula>ISERROR(SEARCH("Caida",AF197))</formula>
    </cfRule>
    <cfRule type="containsText" dxfId="243" priority="238" operator="containsText" text="Caida">
      <formula>NOT(ISERROR(SEARCH("Caida",AF197)))</formula>
    </cfRule>
  </conditionalFormatting>
  <conditionalFormatting sqref="AF198:AH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F198:AH198">
    <cfRule type="notContainsText" dxfId="240" priority="233" operator="notContains" text="Caida">
      <formula>ISERROR(SEARCH("Caida",AF198))</formula>
    </cfRule>
    <cfRule type="containsText" dxfId="239" priority="234" operator="containsText" text="Caida">
      <formula>NOT(ISERROR(SEARCH("Caida",AF198)))</formula>
    </cfRule>
  </conditionalFormatting>
  <conditionalFormatting sqref="AF206:AH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F206:AH206">
    <cfRule type="notContainsText" dxfId="236" priority="229" operator="notContains" text="Caida">
      <formula>ISERROR(SEARCH("Caida",AF206))</formula>
    </cfRule>
    <cfRule type="containsText" dxfId="235" priority="230" operator="containsText" text="Caida">
      <formula>NOT(ISERROR(SEARCH("Caida",AF206)))</formula>
    </cfRule>
  </conditionalFormatting>
  <conditionalFormatting sqref="AF204:AH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F204:AH204">
    <cfRule type="notContainsText" dxfId="232" priority="225" operator="notContains" text="Caida">
      <formula>ISERROR(SEARCH("Caida",AF204))</formula>
    </cfRule>
    <cfRule type="containsText" dxfId="231" priority="226" operator="containsText" text="Caida">
      <formula>NOT(ISERROR(SEARCH("Caida",AF204)))</formula>
    </cfRule>
  </conditionalFormatting>
  <conditionalFormatting sqref="AJ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J115">
    <cfRule type="notContainsText" dxfId="228" priority="221" operator="notContains" text="Caida">
      <formula>ISERROR(SEARCH("Caida",AJ115))</formula>
    </cfRule>
    <cfRule type="containsText" dxfId="227" priority="222" operator="containsText" text="Caida">
      <formula>NOT(ISERROR(SEARCH("Caida",AJ115)))</formula>
    </cfRule>
  </conditionalFormatting>
  <conditionalFormatting sqref="AJ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J116">
    <cfRule type="notContainsText" dxfId="224" priority="217" operator="notContains" text="Caida">
      <formula>ISERROR(SEARCH("Caida",AJ116))</formula>
    </cfRule>
    <cfRule type="containsText" dxfId="223" priority="218" operator="containsText" text="Caida">
      <formula>NOT(ISERROR(SEARCH("Caida",AJ116)))</formula>
    </cfRule>
  </conditionalFormatting>
  <conditionalFormatting sqref="AJ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J120">
    <cfRule type="notContainsText" dxfId="220" priority="213" operator="notContains" text="Caida">
      <formula>ISERROR(SEARCH("Caida",AJ120))</formula>
    </cfRule>
    <cfRule type="containsText" dxfId="219" priority="214" operator="containsText" text="Caida">
      <formula>NOT(ISERROR(SEARCH("Caida",AJ120)))</formula>
    </cfRule>
  </conditionalFormatting>
  <conditionalFormatting sqref="AJ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J121">
    <cfRule type="notContainsText" dxfId="216" priority="209" operator="notContains" text="Caida">
      <formula>ISERROR(SEARCH("Caida",AJ121))</formula>
    </cfRule>
    <cfRule type="containsText" dxfId="215" priority="210" operator="containsText" text="Caida">
      <formula>NOT(ISERROR(SEARCH("Caida",AJ121)))</formula>
    </cfRule>
  </conditionalFormatting>
  <conditionalFormatting sqref="AJ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J133">
    <cfRule type="notContainsText" dxfId="212" priority="205" operator="notContains" text="Caida">
      <formula>ISERROR(SEARCH("Caida",AJ133))</formula>
    </cfRule>
    <cfRule type="containsText" dxfId="211" priority="206" operator="containsText" text="Caida">
      <formula>NOT(ISERROR(SEARCH("Caida",AJ133)))</formula>
    </cfRule>
  </conditionalFormatting>
  <conditionalFormatting sqref="AJ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J137">
    <cfRule type="notContainsText" dxfId="208" priority="201" operator="notContains" text="Caida">
      <formula>ISERROR(SEARCH("Caida",AJ137))</formula>
    </cfRule>
    <cfRule type="containsText" dxfId="207" priority="202" operator="containsText" text="Caida">
      <formula>NOT(ISERROR(SEARCH("Caida",AJ137)))</formula>
    </cfRule>
  </conditionalFormatting>
  <conditionalFormatting sqref="AJ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J149">
    <cfRule type="notContainsText" dxfId="204" priority="197" operator="notContains" text="Caida">
      <formula>ISERROR(SEARCH("Caida",AJ149))</formula>
    </cfRule>
    <cfRule type="containsText" dxfId="203" priority="198" operator="containsText" text="Caida">
      <formula>NOT(ISERROR(SEARCH("Caida",AJ149)))</formula>
    </cfRule>
  </conditionalFormatting>
  <conditionalFormatting sqref="AJ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J150">
    <cfRule type="notContainsText" dxfId="200" priority="193" operator="notContains" text="Caida">
      <formula>ISERROR(SEARCH("Caida",AJ150))</formula>
    </cfRule>
    <cfRule type="containsText" dxfId="199" priority="194" operator="containsText" text="Caida">
      <formula>NOT(ISERROR(SEARCH("Caida",AJ150)))</formula>
    </cfRule>
  </conditionalFormatting>
  <conditionalFormatting sqref="AJ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J151">
    <cfRule type="notContainsText" dxfId="196" priority="189" operator="notContains" text="Caida">
      <formula>ISERROR(SEARCH("Caida",AJ151))</formula>
    </cfRule>
    <cfRule type="containsText" dxfId="195" priority="190" operator="containsText" text="Caida">
      <formula>NOT(ISERROR(SEARCH("Caida",AJ151)))</formula>
    </cfRule>
  </conditionalFormatting>
  <conditionalFormatting sqref="AJ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J159">
    <cfRule type="notContainsText" dxfId="192" priority="185" operator="notContains" text="Caida">
      <formula>ISERROR(SEARCH("Caida",AJ159))</formula>
    </cfRule>
    <cfRule type="containsText" dxfId="191" priority="186" operator="containsText" text="Caida">
      <formula>NOT(ISERROR(SEARCH("Caida",AJ159)))</formula>
    </cfRule>
  </conditionalFormatting>
  <conditionalFormatting sqref="AJ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J169">
    <cfRule type="notContainsText" dxfId="188" priority="181" operator="notContains" text="Caida">
      <formula>ISERROR(SEARCH("Caida",AJ169))</formula>
    </cfRule>
    <cfRule type="containsText" dxfId="187" priority="182" operator="containsText" text="Caida">
      <formula>NOT(ISERROR(SEARCH("Caida",AJ169)))</formula>
    </cfRule>
  </conditionalFormatting>
  <conditionalFormatting sqref="AJ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J171">
    <cfRule type="notContainsText" dxfId="184" priority="177" operator="notContains" text="Caida">
      <formula>ISERROR(SEARCH("Caida",AJ171))</formula>
    </cfRule>
    <cfRule type="containsText" dxfId="183" priority="178" operator="containsText" text="Caida">
      <formula>NOT(ISERROR(SEARCH("Caida",AJ171)))</formula>
    </cfRule>
  </conditionalFormatting>
  <conditionalFormatting sqref="AJ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J173">
    <cfRule type="notContainsText" dxfId="180" priority="173" operator="notContains" text="Caida">
      <formula>ISERROR(SEARCH("Caida",AJ173))</formula>
    </cfRule>
    <cfRule type="containsText" dxfId="179" priority="174" operator="containsText" text="Caida">
      <formula>NOT(ISERROR(SEARCH("Caida",AJ173)))</formula>
    </cfRule>
  </conditionalFormatting>
  <conditionalFormatting sqref="AJ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J174">
    <cfRule type="notContainsText" dxfId="176" priority="169" operator="notContains" text="Caida">
      <formula>ISERROR(SEARCH("Caida",AJ174))</formula>
    </cfRule>
    <cfRule type="containsText" dxfId="175" priority="170" operator="containsText" text="Caida">
      <formula>NOT(ISERROR(SEARCH("Caida",AJ174)))</formula>
    </cfRule>
  </conditionalFormatting>
  <conditionalFormatting sqref="AJ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J191">
    <cfRule type="notContainsText" dxfId="172" priority="165" operator="notContains" text="Caida">
      <formula>ISERROR(SEARCH("Caida",AJ191))</formula>
    </cfRule>
    <cfRule type="containsText" dxfId="171" priority="166" operator="containsText" text="Caida">
      <formula>NOT(ISERROR(SEARCH("Caida",AJ191)))</formula>
    </cfRule>
  </conditionalFormatting>
  <conditionalFormatting sqref="AJ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J192">
    <cfRule type="notContainsText" dxfId="168" priority="161" operator="notContains" text="Caida">
      <formula>ISERROR(SEARCH("Caida",AJ192))</formula>
    </cfRule>
    <cfRule type="containsText" dxfId="167" priority="162" operator="containsText" text="Caida">
      <formula>NOT(ISERROR(SEARCH("Caida",AJ192)))</formula>
    </cfRule>
  </conditionalFormatting>
  <conditionalFormatting sqref="AJ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J193">
    <cfRule type="notContainsText" dxfId="164" priority="157" operator="notContains" text="Caida">
      <formula>ISERROR(SEARCH("Caida",AJ193))</formula>
    </cfRule>
    <cfRule type="containsText" dxfId="163" priority="158" operator="containsText" text="Caida">
      <formula>NOT(ISERROR(SEARCH("Caida",AJ193)))</formula>
    </cfRule>
  </conditionalFormatting>
  <conditionalFormatting sqref="AJ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J194">
    <cfRule type="notContainsText" dxfId="160" priority="153" operator="notContains" text="Caida">
      <formula>ISERROR(SEARCH("Caida",AJ194))</formula>
    </cfRule>
    <cfRule type="containsText" dxfId="159" priority="154" operator="containsText" text="Caida">
      <formula>NOT(ISERROR(SEARCH("Caida",AJ194)))</formula>
    </cfRule>
  </conditionalFormatting>
  <conditionalFormatting sqref="AJ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J224">
    <cfRule type="notContainsText" dxfId="156" priority="149" operator="notContains" text="Caida">
      <formula>ISERROR(SEARCH("Caida",AJ224))</formula>
    </cfRule>
    <cfRule type="containsText" dxfId="155" priority="150" operator="containsText" text="Caida">
      <formula>NOT(ISERROR(SEARCH("Caida",AJ224)))</formula>
    </cfRule>
  </conditionalFormatting>
  <conditionalFormatting sqref="AJ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J230">
    <cfRule type="notContainsText" dxfId="152" priority="145" operator="notContains" text="Caida">
      <formula>ISERROR(SEARCH("Caida",AJ230))</formula>
    </cfRule>
    <cfRule type="containsText" dxfId="151" priority="146" operator="containsText" text="Caida">
      <formula>NOT(ISERROR(SEARCH("Caida",AJ230)))</formula>
    </cfRule>
  </conditionalFormatting>
  <conditionalFormatting sqref="AJ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J238">
    <cfRule type="notContainsText" dxfId="148" priority="141" operator="notContains" text="Caida">
      <formula>ISERROR(SEARCH("Caida",AJ238))</formula>
    </cfRule>
    <cfRule type="containsText" dxfId="147" priority="142" operator="containsText" text="Caida">
      <formula>NOT(ISERROR(SEARCH("Caida",AJ238)))</formula>
    </cfRule>
  </conditionalFormatting>
  <conditionalFormatting sqref="AJ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J239">
    <cfRule type="notContainsText" dxfId="144" priority="137" operator="notContains" text="Caida">
      <formula>ISERROR(SEARCH("Caida",AJ239))</formula>
    </cfRule>
    <cfRule type="containsText" dxfId="143" priority="138" operator="containsText" text="Caida">
      <formula>NOT(ISERROR(SEARCH("Caida",AJ239)))</formula>
    </cfRule>
  </conditionalFormatting>
  <conditionalFormatting sqref="AJ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J240">
    <cfRule type="notContainsText" dxfId="140" priority="133" operator="notContains" text="Caida">
      <formula>ISERROR(SEARCH("Caida",AJ240))</formula>
    </cfRule>
    <cfRule type="containsText" dxfId="139" priority="134" operator="containsText" text="Caida">
      <formula>NOT(ISERROR(SEARCH("Caida",AJ240)))</formula>
    </cfRule>
  </conditionalFormatting>
  <conditionalFormatting sqref="AJ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J249">
    <cfRule type="notContainsText" dxfId="136" priority="129" operator="notContains" text="Caida">
      <formula>ISERROR(SEARCH("Caida",AJ249))</formula>
    </cfRule>
    <cfRule type="containsText" dxfId="135" priority="130" operator="containsText" text="Caida">
      <formula>NOT(ISERROR(SEARCH("Caida",AJ249)))</formula>
    </cfRule>
  </conditionalFormatting>
  <conditionalFormatting sqref="AJ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J250">
    <cfRule type="notContainsText" dxfId="132" priority="125" operator="notContains" text="Caida">
      <formula>ISERROR(SEARCH("Caida",AJ250))</formula>
    </cfRule>
    <cfRule type="containsText" dxfId="131" priority="126" operator="containsText" text="Caida">
      <formula>NOT(ISERROR(SEARCH("Caida",AJ250)))</formula>
    </cfRule>
  </conditionalFormatting>
  <conditionalFormatting sqref="AJ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J251">
    <cfRule type="notContainsText" dxfId="128" priority="121" operator="notContains" text="Caida">
      <formula>ISERROR(SEARCH("Caida",AJ251))</formula>
    </cfRule>
    <cfRule type="containsText" dxfId="127" priority="122" operator="containsText" text="Caida">
      <formula>NOT(ISERROR(SEARCH("Caida",AJ251)))</formula>
    </cfRule>
  </conditionalFormatting>
  <conditionalFormatting sqref="AJ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J252">
    <cfRule type="notContainsText" dxfId="124" priority="117" operator="notContains" text="Caida">
      <formula>ISERROR(SEARCH("Caida",AJ252))</formula>
    </cfRule>
    <cfRule type="containsText" dxfId="123" priority="118" operator="containsText" text="Caida">
      <formula>NOT(ISERROR(SEARCH("Caida",AJ252)))</formula>
    </cfRule>
  </conditionalFormatting>
  <conditionalFormatting sqref="AJ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J259">
    <cfRule type="notContainsText" dxfId="120" priority="113" operator="notContains" text="Caida">
      <formula>ISERROR(SEARCH("Caida",AJ259))</formula>
    </cfRule>
    <cfRule type="containsText" dxfId="119" priority="114" operator="containsText" text="Caida">
      <formula>NOT(ISERROR(SEARCH("Caida",AJ259)))</formula>
    </cfRule>
  </conditionalFormatting>
  <conditionalFormatting sqref="AJ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J271">
    <cfRule type="notContainsText" dxfId="116" priority="109" operator="notContains" text="Caida">
      <formula>ISERROR(SEARCH("Caida",AJ271))</formula>
    </cfRule>
    <cfRule type="containsText" dxfId="115" priority="110" operator="containsText" text="Caida">
      <formula>NOT(ISERROR(SEARCH("Caida",AJ271)))</formula>
    </cfRule>
  </conditionalFormatting>
  <conditionalFormatting sqref="AJ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J272">
    <cfRule type="notContainsText" dxfId="112" priority="105" operator="notContains" text="Caida">
      <formula>ISERROR(SEARCH("Caida",AJ272))</formula>
    </cfRule>
    <cfRule type="containsText" dxfId="111" priority="106" operator="containsText" text="Caida">
      <formula>NOT(ISERROR(SEARCH("Caida",AJ272)))</formula>
    </cfRule>
  </conditionalFormatting>
  <conditionalFormatting sqref="AJ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J280">
    <cfRule type="notContainsText" dxfId="108" priority="101" operator="notContains" text="Caida">
      <formula>ISERROR(SEARCH("Caida",AJ280))</formula>
    </cfRule>
    <cfRule type="containsText" dxfId="107" priority="102" operator="containsText" text="Caida">
      <formula>NOT(ISERROR(SEARCH("Caida",AJ280)))</formula>
    </cfRule>
  </conditionalFormatting>
  <conditionalFormatting sqref="AJ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J319">
    <cfRule type="notContainsText" dxfId="104" priority="97" operator="notContains" text="Caida">
      <formula>ISERROR(SEARCH("Caida",AJ319))</formula>
    </cfRule>
    <cfRule type="containsText" dxfId="103" priority="98" operator="containsText" text="Caida">
      <formula>NOT(ISERROR(SEARCH("Caida",AJ319)))</formula>
    </cfRule>
  </conditionalFormatting>
  <conditionalFormatting sqref="AJ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J320">
    <cfRule type="notContainsText" dxfId="100" priority="93" operator="notContains" text="Caida">
      <formula>ISERROR(SEARCH("Caida",AJ320))</formula>
    </cfRule>
    <cfRule type="containsText" dxfId="99" priority="94" operator="containsText" text="Caida">
      <formula>NOT(ISERROR(SEARCH("Caida",AJ320)))</formula>
    </cfRule>
  </conditionalFormatting>
  <conditionalFormatting sqref="AJ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J306">
    <cfRule type="notContainsText" dxfId="96" priority="89" operator="notContains" text="Caida">
      <formula>ISERROR(SEARCH("Caida",AJ306))</formula>
    </cfRule>
    <cfRule type="containsText" dxfId="95" priority="90" operator="containsText" text="Caida">
      <formula>NOT(ISERROR(SEARCH("Caida",AJ306)))</formula>
    </cfRule>
  </conditionalFormatting>
  <conditionalFormatting sqref="AJ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J331">
    <cfRule type="notContainsText" dxfId="92" priority="85" operator="notContains" text="Caida">
      <formula>ISERROR(SEARCH("Caida",AJ331))</formula>
    </cfRule>
    <cfRule type="containsText" dxfId="91" priority="86" operator="containsText" text="Caida">
      <formula>NOT(ISERROR(SEARCH("Caida",AJ331)))</formula>
    </cfRule>
  </conditionalFormatting>
  <conditionalFormatting sqref="AJ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J345">
    <cfRule type="notContainsText" dxfId="88" priority="81" operator="notContains" text="Caida">
      <formula>ISERROR(SEARCH("Caida",AJ345))</formula>
    </cfRule>
    <cfRule type="containsText" dxfId="87" priority="82" operator="containsText" text="Caida">
      <formula>NOT(ISERROR(SEARCH("Caida",AJ345)))</formula>
    </cfRule>
  </conditionalFormatting>
  <conditionalFormatting sqref="AJ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J346">
    <cfRule type="notContainsText" dxfId="84" priority="77" operator="notContains" text="Caida">
      <formula>ISERROR(SEARCH("Caida",AJ346))</formula>
    </cfRule>
    <cfRule type="containsText" dxfId="83" priority="78" operator="containsText" text="Caida">
      <formula>NOT(ISERROR(SEARCH("Caida",AJ346)))</formula>
    </cfRule>
  </conditionalFormatting>
  <conditionalFormatting sqref="AJ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J347">
    <cfRule type="notContainsText" dxfId="80" priority="73" operator="notContains" text="Caida">
      <formula>ISERROR(SEARCH("Caida",AJ347))</formula>
    </cfRule>
    <cfRule type="containsText" dxfId="79" priority="74" operator="containsText" text="Caida">
      <formula>NOT(ISERROR(SEARCH("Caida",AJ347)))</formula>
    </cfRule>
  </conditionalFormatting>
  <conditionalFormatting sqref="AJ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J348">
    <cfRule type="notContainsText" dxfId="76" priority="69" operator="notContains" text="Caida">
      <formula>ISERROR(SEARCH("Caida",AJ348))</formula>
    </cfRule>
    <cfRule type="containsText" dxfId="75" priority="70" operator="containsText" text="Caida">
      <formula>NOT(ISERROR(SEARCH("Caida",AJ348)))</formula>
    </cfRule>
  </conditionalFormatting>
  <conditionalFormatting sqref="AJ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J349">
    <cfRule type="notContainsText" dxfId="72" priority="65" operator="notContains" text="Caida">
      <formula>ISERROR(SEARCH("Caida",AJ349))</formula>
    </cfRule>
    <cfRule type="containsText" dxfId="71" priority="66" operator="containsText" text="Caida">
      <formula>NOT(ISERROR(SEARCH("Caida",AJ349)))</formula>
    </cfRule>
  </conditionalFormatting>
  <conditionalFormatting sqref="AJ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J367">
    <cfRule type="notContainsText" dxfId="68" priority="61" operator="notContains" text="Caida">
      <formula>ISERROR(SEARCH("Caida",AJ367))</formula>
    </cfRule>
    <cfRule type="containsText" dxfId="67" priority="62" operator="containsText" text="Caida">
      <formula>NOT(ISERROR(SEARCH("Caida",AJ367)))</formula>
    </cfRule>
  </conditionalFormatting>
  <conditionalFormatting sqref="AJ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J204">
    <cfRule type="notContainsText" dxfId="64" priority="57" operator="notContains" text="Caida">
      <formula>ISERROR(SEARCH("Caida",AJ204))</formula>
    </cfRule>
    <cfRule type="containsText" dxfId="63" priority="58" operator="containsText" text="Caida">
      <formula>NOT(ISERROR(SEARCH("Caida",AJ204)))</formula>
    </cfRule>
  </conditionalFormatting>
  <conditionalFormatting sqref="AJ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J197">
    <cfRule type="notContainsText" dxfId="60" priority="53" operator="notContains" text="Caida">
      <formula>ISERROR(SEARCH("Caida",AJ197))</formula>
    </cfRule>
    <cfRule type="containsText" dxfId="59" priority="54" operator="containsText" text="Caida">
      <formula>NOT(ISERROR(SEARCH("Caida",AJ197)))</formula>
    </cfRule>
  </conditionalFormatting>
  <conditionalFormatting sqref="AJ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J206">
    <cfRule type="notContainsText" dxfId="56" priority="49" operator="notContains" text="Caida">
      <formula>ISERROR(SEARCH("Caida",AJ206))</formula>
    </cfRule>
    <cfRule type="containsText" dxfId="55" priority="50" operator="containsText" text="Caida">
      <formula>NOT(ISERROR(SEARCH("Caida",AJ206)))</formula>
    </cfRule>
  </conditionalFormatting>
  <conditionalFormatting sqref="AJ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J5">
    <cfRule type="notContainsText" dxfId="52" priority="45" operator="notContains" text="Caida">
      <formula>ISERROR(SEARCH("Caida",AJ5))</formula>
    </cfRule>
    <cfRule type="containsText" dxfId="51" priority="46" operator="containsText" text="Caida">
      <formula>NOT(ISERROR(SEARCH("Caida",AJ5)))</formula>
    </cfRule>
  </conditionalFormatting>
  <conditionalFormatting sqref="AJ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J277">
    <cfRule type="notContainsText" dxfId="48" priority="41" operator="notContains" text="Caida">
      <formula>ISERROR(SEARCH("Caida",AJ277))</formula>
    </cfRule>
    <cfRule type="containsText" dxfId="47" priority="42" operator="containsText" text="Caida">
      <formula>NOT(ISERROR(SEARCH("Caida",AJ277)))</formula>
    </cfRule>
  </conditionalFormatting>
  <conditionalFormatting sqref="O5:AP367">
    <cfRule type="cellIs" dxfId="46" priority="40" operator="equal">
      <formula>"APAGADO"</formula>
    </cfRule>
  </conditionalFormatting>
  <conditionalFormatting sqref="R369:T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R369:T370">
    <cfRule type="notContainsText" dxfId="43" priority="36" operator="notContains" text="Caida">
      <formula>ISERROR(SEARCH("Caida",R369))</formula>
    </cfRule>
    <cfRule type="containsText" dxfId="42" priority="37" operator="containsText" text="Caida">
      <formula>NOT(ISERROR(SEARCH("Caida",R369)))</formula>
    </cfRule>
  </conditionalFormatting>
  <conditionalFormatting sqref="AC369:AH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C369:AH370">
    <cfRule type="notContainsText" dxfId="39" priority="32" operator="notContains" text="Caida">
      <formula>ISERROR(SEARCH("Caida",AC369))</formula>
    </cfRule>
    <cfRule type="containsText" dxfId="38" priority="33" operator="containsText" text="Caida">
      <formula>NOT(ISERROR(SEARCH("Caida",AC369)))</formula>
    </cfRule>
  </conditionalFormatting>
  <conditionalFormatting sqref="O95:O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O95:O371">
    <cfRule type="notContainsText" dxfId="35" priority="28" operator="notContains" text="Caida">
      <formula>ISERROR(SEARCH("Caida",O95))</formula>
    </cfRule>
    <cfRule type="containsText" dxfId="34" priority="29" operator="containsText" text="Caida">
      <formula>NOT(ISERROR(SEARCH("Caida",O95)))</formula>
    </cfRule>
  </conditionalFormatting>
  <conditionalFormatting sqref="O6:O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O6:O92">
    <cfRule type="notContainsText" dxfId="31" priority="24" operator="notContains" text="Caida">
      <formula>ISERROR(SEARCH("Caida",O6))</formula>
    </cfRule>
    <cfRule type="containsText" dxfId="30" priority="25" operator="containsText" text="Caida">
      <formula>NOT(ISERROR(SEARCH("Caida",O6)))</formula>
    </cfRule>
  </conditionalFormatting>
  <conditionalFormatting sqref="O22">
    <cfRule type="containsText" dxfId="29" priority="23" operator="containsText" text="Instaladas en Funcionamiento Caida">
      <formula>NOT(ISERROR(SEARCH("Instaladas en Funcionamiento Caida",O22)))</formula>
    </cfRule>
  </conditionalFormatting>
  <conditionalFormatting sqref="O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O5">
    <cfRule type="notContainsText" dxfId="26" priority="19" operator="notContains" text="Caida">
      <formula>ISERROR(SEARCH("Caida",O5))</formula>
    </cfRule>
    <cfRule type="containsText" dxfId="25" priority="20" operator="containsText" text="Caida">
      <formula>NOT(ISERROR(SEARCH("Caida",O5)))</formula>
    </cfRule>
  </conditionalFormatting>
  <conditionalFormatting sqref="O93:O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O93:O94">
    <cfRule type="notContainsText" dxfId="22" priority="15" operator="notContains" text="Caida">
      <formula>ISERROR(SEARCH("Caida",O93))</formula>
    </cfRule>
    <cfRule type="containsText" dxfId="21" priority="16" operator="containsText" text="Caida">
      <formula>NOT(ISERROR(SEARCH("Caida",O93)))</formula>
    </cfRule>
  </conditionalFormatting>
  <conditionalFormatting sqref="O5:O371">
    <cfRule type="cellIs" dxfId="20" priority="14" operator="equal">
      <formula>"APAGADO"</formula>
    </cfRule>
  </conditionalFormatting>
  <conditionalFormatting sqref="AQ95:AS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Q95:AS1048576">
    <cfRule type="notContainsText" dxfId="17" priority="10" operator="notContains" text="Caida">
      <formula>ISERROR(SEARCH("Caida",AQ95))</formula>
    </cfRule>
    <cfRule type="containsText" dxfId="16" priority="11" operator="containsText" text="Caida">
      <formula>NOT(ISERROR(SEARCH("Caida",AQ95)))</formula>
    </cfRule>
  </conditionalFormatting>
  <conditionalFormatting sqref="AQ6:AS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Q6:AS92">
    <cfRule type="notContainsText" dxfId="13" priority="6" operator="notContains" text="Caida">
      <formula>ISERROR(SEARCH("Caida",AQ6))</formula>
    </cfRule>
    <cfRule type="containsText" dxfId="12" priority="7" operator="containsText" text="Caida">
      <formula>NOT(ISERROR(SEARCH("Caida",AQ6)))</formula>
    </cfRule>
  </conditionalFormatting>
  <conditionalFormatting sqref="AQ93:AS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Q93:AS94">
    <cfRule type="notContainsText" dxfId="9" priority="2" operator="notContains" text="Caida">
      <formula>ISERROR(SEARCH("Caida",AQ93))</formula>
    </cfRule>
    <cfRule type="containsText" dxfId="8" priority="3" operator="containsText" text="Caida">
      <formula>NOT(ISERROR(SEARCH("Caida",AQ93)))</formula>
    </cfRule>
  </conditionalFormatting>
  <conditionalFormatting sqref="AQ5:AS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1314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Pte.PerÃ³n e/Pringles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>
        <f>'RESUMEN TOTAL'!A160</f>
        <v>0</v>
      </c>
      <c r="B157" t="str">
        <f>'RESUMEN TOTAL'!C160</f>
        <v>LRO09</v>
      </c>
      <c r="C157" t="str">
        <f>'RESUMEN TOTAL'!D160</f>
        <v>Las AmÃ©ricas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SAN JORGE</v>
      </c>
      <c r="B242" t="str">
        <f>'RESUMEN TOTAL'!C245</f>
        <v>SJO 03</v>
      </c>
      <c r="C242" t="str">
        <f>'RESUMEN TOTAL'!D245</f>
        <v>517 Y 580</v>
      </c>
      <c r="D242" t="str">
        <f>'RESUMEN TOTAL'!E245</f>
        <v>DOMO</v>
      </c>
      <c r="E242" t="str">
        <f>'RESUMEN TOTAL'!F245</f>
        <v>Radio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SAN JORGE</v>
      </c>
      <c r="B243" t="str">
        <f>'RESUMEN TOTAL'!C246</f>
        <v>SJO 04</v>
      </c>
      <c r="C243" t="str">
        <f>'RESUMEN TOTAL'!D246</f>
        <v>552 Y 519</v>
      </c>
      <c r="D243" t="str">
        <f>'RESUMEN TOTAL'!E246</f>
        <v>DOMO</v>
      </c>
      <c r="E243" t="str">
        <f>'RESUMEN TOTAL'!F246</f>
        <v>Radio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SJO01</v>
      </c>
      <c r="C244" t="str">
        <f>'RESUMEN TOTAL'!D247</f>
        <v>Calle 554 y 527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SJO02</v>
      </c>
      <c r="C245" t="str">
        <f>'RESUMEN TOTAL'!D248</f>
        <v>Calle 554 y 511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 t="str">
        <f>'RESUMEN TOTAL'!S248</f>
        <v>APAGADO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SJO05 (fija 1)</v>
      </c>
      <c r="C246" t="str">
        <f>'RESUMEN TOTAL'!D249</f>
        <v>511 Y 560</v>
      </c>
      <c r="D246" t="str">
        <f>'RESUMEN TOTAL'!E249</f>
        <v>Fija</v>
      </c>
      <c r="E246" t="str">
        <f>'RESUMEN TOTAL'!F249</f>
        <v>Fibra Optica</v>
      </c>
      <c r="F246" t="str">
        <f>'RESUMEN TOTAL'!O249</f>
        <v>APAGADO</v>
      </c>
      <c r="G246" t="str">
        <f>'RESUMEN TOTAL'!P249</f>
        <v>APAGADO</v>
      </c>
      <c r="H246" t="str">
        <f>'RESUMEN TOTAL'!Q249</f>
        <v>APAGADO</v>
      </c>
      <c r="I246" t="str">
        <f>'RESUMEN TOTAL'!R249</f>
        <v>APAGADO</v>
      </c>
      <c r="J246" t="str">
        <f>'RESUMEN TOTAL'!S249</f>
        <v>APAGADO</v>
      </c>
      <c r="K246" t="str">
        <f>'RESUMEN TOTAL'!T249</f>
        <v>APAGADO</v>
      </c>
      <c r="L246" t="str">
        <f>'RESUMEN TOTAL'!U249</f>
        <v>APAGADO</v>
      </c>
      <c r="M246" t="str">
        <f>'RESUMEN TOTAL'!V249</f>
        <v>APAGADO</v>
      </c>
      <c r="N246" t="str">
        <f>'RESUMEN TOTAL'!W249</f>
        <v>APAGADO</v>
      </c>
      <c r="O246" t="str">
        <f>'RESUMEN TOTAL'!X249</f>
        <v>APAGADO</v>
      </c>
      <c r="P246" t="str">
        <f>'RESUMEN TOTAL'!Y249</f>
        <v>APAGADO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SJO06 (fija 2)</v>
      </c>
      <c r="C247" t="str">
        <f>'RESUMEN TOTAL'!D250</f>
        <v>511 Y 560</v>
      </c>
      <c r="D247" t="str">
        <f>'RESUMEN TOTAL'!E250</f>
        <v>Fija</v>
      </c>
      <c r="E247" t="str">
        <f>'RESUMEN TOTAL'!F250</f>
        <v>Fibra Optica</v>
      </c>
      <c r="F247" t="str">
        <f>'RESUMEN TOTAL'!O250</f>
        <v>APAGADO</v>
      </c>
      <c r="G247" t="str">
        <f>'RESUMEN TOTAL'!P250</f>
        <v>APAGADO</v>
      </c>
      <c r="H247" t="str">
        <f>'RESUMEN TOTAL'!Q250</f>
        <v>APAGADO</v>
      </c>
      <c r="I247" t="str">
        <f>'RESUMEN TOTAL'!R250</f>
        <v>APAGADO</v>
      </c>
      <c r="J247" t="str">
        <f>'RESUMEN TOTAL'!S250</f>
        <v>APAGADO</v>
      </c>
      <c r="K247" t="str">
        <f>'RESUMEN TOTAL'!T250</f>
        <v>APAGADO</v>
      </c>
      <c r="L247" t="str">
        <f>'RESUMEN TOTAL'!U250</f>
        <v>APAGADO</v>
      </c>
      <c r="M247" t="str">
        <f>'RESUMEN TOTAL'!V250</f>
        <v>APAGADO</v>
      </c>
      <c r="N247" t="str">
        <f>'RESUMEN TOTAL'!W250</f>
        <v>APAGADO</v>
      </c>
      <c r="O247" t="str">
        <f>'RESUMEN TOTAL'!X250</f>
        <v>APAGADO</v>
      </c>
      <c r="P247" t="str">
        <f>'RESUMEN TOTAL'!Y250</f>
        <v>APAGADO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SJO07 (fija 1)</v>
      </c>
      <c r="C248" t="str">
        <f>'RESUMEN TOTAL'!D251</f>
        <v>503 Y 556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SJO08 (fija 2)</v>
      </c>
      <c r="C249" t="str">
        <f>'RESUMEN TOTAL'!D252</f>
        <v>503 Y 556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SANTO TOMAS</v>
      </c>
      <c r="B250" t="str">
        <f>'RESUMEN TOTAL'!C253</f>
        <v>SJU01</v>
      </c>
      <c r="C250" t="str">
        <f>'RESUMEN TOTAL'!D253</f>
        <v>Ruta 36 y Pte.Peron</v>
      </c>
      <c r="D250" t="str">
        <f>'RESUMEN TOTAL'!E253</f>
        <v>Domo</v>
      </c>
      <c r="E250" t="str">
        <f>'RESUMEN TOTAL'!F253</f>
        <v>Radio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>
        <f>'RESUMEN TOTAL'!A254</f>
        <v>0</v>
      </c>
      <c r="B251" t="str">
        <f>'RESUMEN TOTAL'!C254</f>
        <v>SMA 03</v>
      </c>
      <c r="C251" t="str">
        <f>'RESUMEN TOTAL'!D254</f>
        <v>ROSARIO Y SAN NICOLAS</v>
      </c>
      <c r="D251" t="str">
        <f>'RESUMEN TOTAL'!E254</f>
        <v>Domo</v>
      </c>
      <c r="E251" t="str">
        <f>'RESUMEN TOTAL'!F254</f>
        <v>Radio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VILLA GENERAL SAN MARTIN</v>
      </c>
      <c r="B252" t="str">
        <f>'RESUMEN TOTAL'!C255</f>
        <v>SMA 04</v>
      </c>
      <c r="C252" t="str">
        <f>'RESUMEN TOTAL'!D255</f>
        <v>HUDSON Y MONTEVIDEO</v>
      </c>
      <c r="D252" t="str">
        <f>'RESUMEN TOTAL'!E255</f>
        <v>FIJA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 t="str">
        <f>'RESUMEN TOTAL'!A256</f>
        <v>VILLA GENERAL SAN MARTIN</v>
      </c>
      <c r="B253" t="str">
        <f>'RESUMEN TOTAL'!C256</f>
        <v>SMA 06</v>
      </c>
      <c r="C253" t="str">
        <f>'RESUMEN TOTAL'!D256</f>
        <v>AV. HUDSON Y RIO IGUAZU</v>
      </c>
      <c r="D253" t="str">
        <f>'RESUMEN TOTAL'!E256</f>
        <v>DOMO</v>
      </c>
      <c r="E253" t="str">
        <f>'RESUMEN TOTAL'!F256</f>
        <v>Fibra Optica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07</v>
      </c>
      <c r="C254" t="str">
        <f>'RESUMEN TOTAL'!D257</f>
        <v>AV. HUDSON Y RIO TURBIO</v>
      </c>
      <c r="D254" t="str">
        <f>'RESUMEN TOTAL'!E257</f>
        <v>DOMO</v>
      </c>
      <c r="E254" t="str">
        <f>'RESUMEN TOTAL'!F257</f>
        <v>Fibra Optica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SMA01</v>
      </c>
      <c r="C255" t="str">
        <f>'RESUMEN TOTAL'!D258</f>
        <v>Hudson y Montevideo</v>
      </c>
      <c r="D255" t="str">
        <f>'RESUMEN TOTAL'!E258</f>
        <v>DOMO</v>
      </c>
      <c r="E255" t="str">
        <f>'RESUMEN TOTAL'!F258</f>
        <v>Radio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SMA02</v>
      </c>
      <c r="C256" t="str">
        <f>'RESUMEN TOTAL'!D259</f>
        <v>Hudson y San Nicolas</v>
      </c>
      <c r="D256" t="str">
        <f>'RESUMEN TOTAL'!E259</f>
        <v>Domo</v>
      </c>
      <c r="E256" t="str">
        <f>'RESUMEN TOTAL'!F259</f>
        <v>Radio</v>
      </c>
      <c r="F256" t="str">
        <f>'RESUMEN TOTAL'!O259</f>
        <v>APAGADO</v>
      </c>
      <c r="G256" t="str">
        <f>'RESUMEN TOTAL'!P259</f>
        <v>APAGADO</v>
      </c>
      <c r="H256" t="str">
        <f>'RESUMEN TOTAL'!Q259</f>
        <v>APAGADO</v>
      </c>
      <c r="I256" t="str">
        <f>'RESUMEN TOTAL'!R259</f>
        <v>APAGADO</v>
      </c>
      <c r="J256" t="str">
        <f>'RESUMEN TOTAL'!S259</f>
        <v>APAGADO</v>
      </c>
      <c r="K256" t="str">
        <f>'RESUMEN TOTAL'!T259</f>
        <v>APAGADO</v>
      </c>
      <c r="L256" t="str">
        <f>'RESUMEN TOTAL'!U259</f>
        <v>APAGADO</v>
      </c>
      <c r="M256" t="str">
        <f>'RESUMEN TOTAL'!V259</f>
        <v>APAGADO</v>
      </c>
      <c r="N256" t="str">
        <f>'RESUMEN TOTAL'!W259</f>
        <v>APAGADO</v>
      </c>
      <c r="O256" t="str">
        <f>'RESUMEN TOTAL'!X259</f>
        <v>APAGADO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SMA05</v>
      </c>
      <c r="C257" t="str">
        <f>'RESUMEN TOTAL'!D260</f>
        <v>MONTEVIDEO Y VILLEGAS</v>
      </c>
      <c r="D257" t="str">
        <f>'RESUMEN TOTAL'!E260</f>
        <v>DOMO</v>
      </c>
      <c r="E257" t="str">
        <f>'RESUMEN TOTAL'!F260</f>
        <v>PTP A FO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SAN NICOLAS</v>
      </c>
      <c r="B258" t="str">
        <f>'RESUMEN TOTAL'!C261</f>
        <v>SNI01 (fija 1)</v>
      </c>
      <c r="C258" t="str">
        <f>'RESUMEN TOTAL'!D261</f>
        <v>SARRATEA E/ EEUU DE A. Y AGRELO</v>
      </c>
      <c r="D258" t="str">
        <f>'RESUMEN TOTAL'!E261</f>
        <v>Fija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 t="str">
        <f>'RESUMEN TOTAL'!W261</f>
        <v>APAGADO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SAN NICOLAS</v>
      </c>
      <c r="B259" t="str">
        <f>'RESUMEN TOTAL'!C262</f>
        <v>SNI02 (fija 2)</v>
      </c>
      <c r="C259" t="str">
        <f>'RESUMEN TOTAL'!D262</f>
        <v>SARRATEA E/ EEUU DE A. Y AGRELO</v>
      </c>
      <c r="D259" t="str">
        <f>'RESUMEN TOTAL'!E262</f>
        <v>Fija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 t="str">
        <f>'RESUMEN TOTAL'!W262</f>
        <v>APAGADO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SNI03 (fija 1)</v>
      </c>
      <c r="C260" t="str">
        <f>'RESUMEN TOTAL'!D263</f>
        <v>SARRATEA Y LOS TREBOLES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 t="str">
        <f>'RESUMEN TOTAL'!U263</f>
        <v>APAGADO</v>
      </c>
      <c r="M260" t="str">
        <f>'RESUMEN TOTAL'!V263</f>
        <v>APAGADO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SNI04 (fija 2)</v>
      </c>
      <c r="C261" t="str">
        <f>'RESUMEN TOTAL'!D264</f>
        <v>SARRATEA Y LOS TREBOLES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 t="str">
        <f>'RESUMEN TOTAL'!U264</f>
        <v>APAGADO</v>
      </c>
      <c r="M261" t="str">
        <f>'RESUMEN TOTAL'!V264</f>
        <v>APAGADO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SANTA ROSA</v>
      </c>
      <c r="B262" t="str">
        <f>'RESUMEN TOTAL'!C265</f>
        <v>SRO 05</v>
      </c>
      <c r="C262" t="str">
        <f>'RESUMEN TOTAL'!D265</f>
        <v>CAFFERATA Y BONN</v>
      </c>
      <c r="D262" t="str">
        <f>'RESUMEN TOTAL'!E265</f>
        <v>DOMO</v>
      </c>
      <c r="E262" t="str">
        <f>'RESUMEN TOTAL'!F265</f>
        <v>Radio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SANTA ROSA</v>
      </c>
      <c r="B263" t="str">
        <f>'RESUMEN TOTAL'!C266</f>
        <v>SRO 06</v>
      </c>
      <c r="C263" t="str">
        <f>'RESUMEN TOTAL'!D266</f>
        <v>Novak y Bonn</v>
      </c>
      <c r="D263" t="str">
        <f>'RESUMEN TOTAL'!E266</f>
        <v>Domo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07</v>
      </c>
      <c r="C264" t="str">
        <f>'RESUMEN TOTAL'!D267</f>
        <v>NOVAK Y BELGICA</v>
      </c>
      <c r="D264" t="str">
        <f>'RESUMEN TOTAL'!E267</f>
        <v>Domo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08</v>
      </c>
      <c r="C265" t="str">
        <f>'RESUMEN TOTAL'!D268</f>
        <v>NOVAK E/ DESSY Y BELGICA (POLIDEPORTIVO LA PATRIADA)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09</v>
      </c>
      <c r="C266" t="str">
        <f>'RESUMEN TOTAL'!D269</f>
        <v>BUCAREST E/ ALEMANIA Y CAFFERATA</v>
      </c>
      <c r="D266" t="str">
        <f>'RESUMEN TOTAL'!E269</f>
        <v>DOMO</v>
      </c>
      <c r="E266" t="str">
        <f>'RESUMEN TOTAL'!F269</f>
        <v>Radio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10</v>
      </c>
      <c r="C267" t="str">
        <f>'RESUMEN TOTAL'!D270</f>
        <v>DINAMARCA Y MILAN</v>
      </c>
      <c r="D267" t="str">
        <f>'RESUMEN TOTAL'!E270</f>
        <v>DOMO</v>
      </c>
      <c r="E267" t="str">
        <f>'RESUMEN TOTAL'!F270</f>
        <v>Radio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16 (fija 1)</v>
      </c>
      <c r="C268" t="str">
        <f>'RESUMEN TOTAL'!D271</f>
        <v>ANDORRA E/ BELGICA Y SAN MARINO</v>
      </c>
      <c r="D268" t="str">
        <f>'RESUMEN TOTAL'!E271</f>
        <v>Fija</v>
      </c>
      <c r="E268" t="str">
        <f>'RESUMEN TOTAL'!F271</f>
        <v>Fibra Optica</v>
      </c>
      <c r="F268" t="str">
        <f>'RESUMEN TOTAL'!O271</f>
        <v>APAGADO</v>
      </c>
      <c r="G268" t="str">
        <f>'RESUMEN TOTAL'!P271</f>
        <v>APAGADO</v>
      </c>
      <c r="H268" t="str">
        <f>'RESUMEN TOTAL'!Q271</f>
        <v>APAGADO</v>
      </c>
      <c r="I268" t="str">
        <f>'RESUMEN TOTAL'!R271</f>
        <v>APAGADO</v>
      </c>
      <c r="J268" t="str">
        <f>'RESUMEN TOTAL'!S271</f>
        <v>APAGADO</v>
      </c>
      <c r="K268" t="str">
        <f>'RESUMEN TOTAL'!T271</f>
        <v>APAGADO</v>
      </c>
      <c r="L268">
        <f>'RESUMEN TOTAL'!U271</f>
        <v>0</v>
      </c>
      <c r="M268" t="str">
        <f>'RESUMEN TOTAL'!V271</f>
        <v>APAGADO</v>
      </c>
      <c r="N268" t="str">
        <f>'RESUMEN TOTAL'!W271</f>
        <v>APAGADO</v>
      </c>
      <c r="O268" t="str">
        <f>'RESUMEN TOTAL'!X271</f>
        <v>APAGADO</v>
      </c>
      <c r="P268" t="str">
        <f>'RESUMEN TOTAL'!Y271</f>
        <v>APAGADO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17 (fija 2)</v>
      </c>
      <c r="C269" t="str">
        <f>'RESUMEN TOTAL'!D272</f>
        <v>ANDORRA E/ BELGICA Y SAN MARINO</v>
      </c>
      <c r="D269" t="str">
        <f>'RESUMEN TOTAL'!E272</f>
        <v>Fija</v>
      </c>
      <c r="E269" t="str">
        <f>'RESUMEN TOTAL'!F272</f>
        <v>Fibra Optica</v>
      </c>
      <c r="F269" t="str">
        <f>'RESUMEN TOTAL'!O272</f>
        <v>APAGADO</v>
      </c>
      <c r="G269" t="str">
        <f>'RESUMEN TOTAL'!P272</f>
        <v>APAGADO</v>
      </c>
      <c r="H269" t="str">
        <f>'RESUMEN TOTAL'!Q272</f>
        <v>APAGADO</v>
      </c>
      <c r="I269" t="str">
        <f>'RESUMEN TOTAL'!R272</f>
        <v>APAGADO</v>
      </c>
      <c r="J269" t="str">
        <f>'RESUMEN TOTAL'!S272</f>
        <v>APAGADO</v>
      </c>
      <c r="K269" t="str">
        <f>'RESUMEN TOTAL'!T272</f>
        <v>APAGADO</v>
      </c>
      <c r="L269">
        <f>'RESUMEN TOTAL'!U272</f>
        <v>0</v>
      </c>
      <c r="M269" t="str">
        <f>'RESUMEN TOTAL'!V272</f>
        <v>APAGADO</v>
      </c>
      <c r="N269" t="str">
        <f>'RESUMEN TOTAL'!W272</f>
        <v>APAGADO</v>
      </c>
      <c r="O269" t="str">
        <f>'RESUMEN TOTAL'!X272</f>
        <v>APAGADO</v>
      </c>
      <c r="P269" t="str">
        <f>'RESUMEN TOTAL'!Y272</f>
        <v>APAGADO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SRO01</v>
      </c>
      <c r="C270" t="str">
        <f>'RESUMEN TOTAL'!D273</f>
        <v>Yugoslavia y Milani</v>
      </c>
      <c r="D270" t="str">
        <f>'RESUMEN TOTAL'!E273</f>
        <v>Domo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ZONA RURAL SANTA ROSA</v>
      </c>
      <c r="B271" t="str">
        <f>'RESUMEN TOTAL'!C274</f>
        <v>SRO02</v>
      </c>
      <c r="C271" t="str">
        <f>'RESUMEN TOTAL'!D274</f>
        <v>Bruselas y Calle 448</v>
      </c>
      <c r="D271" t="str">
        <f>'RESUMEN TOTAL'!E274</f>
        <v>Domo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SRO03</v>
      </c>
      <c r="C272" t="str">
        <f>'RESUMEN TOTAL'!D275</f>
        <v>Eva Peron y Paysandu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SANTA ROSA</v>
      </c>
      <c r="B273" t="str">
        <f>'RESUMEN TOTAL'!C276</f>
        <v>SRO04</v>
      </c>
      <c r="C273" t="str">
        <f>'RESUMEN TOTAL'!D276</f>
        <v>Belgica y Andorra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 t="str">
        <f>'RESUMEN TOTAL'!P276</f>
        <v>APAGADO</v>
      </c>
      <c r="H273" t="str">
        <f>'RESUMEN TOTAL'!Q276</f>
        <v>APAGADO</v>
      </c>
      <c r="I273" t="str">
        <f>'RESUMEN TOTAL'!R276</f>
        <v>APAGADO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SRO11</v>
      </c>
      <c r="C274" t="str">
        <f>'RESUMEN TOTAL'!D277</f>
        <v>MILAN Y MALLORCA</v>
      </c>
      <c r="D274" t="str">
        <f>'RESUMEN TOTAL'!E277</f>
        <v>DOMO</v>
      </c>
      <c r="E274" t="str">
        <f>'RESUMEN TOTAL'!F277</f>
        <v>Radio</v>
      </c>
      <c r="F274" t="str">
        <f>'RESUMEN TOTAL'!O277</f>
        <v>APAGADO</v>
      </c>
      <c r="G274" t="str">
        <f>'RESUMEN TOTAL'!P277</f>
        <v>APAGADO</v>
      </c>
      <c r="H274" t="str">
        <f>'RESUMEN TOTAL'!Q277</f>
        <v>APAGADO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SRO12</v>
      </c>
      <c r="C275" t="str">
        <f>'RESUMEN TOTAL'!D278</f>
        <v>YUGOSLAVIA Y PAYSANDU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ZONA RURAL SANTA ROSA</v>
      </c>
      <c r="B276" t="str">
        <f>'RESUMEN TOTAL'!C279</f>
        <v>SRO13 (fija 1)</v>
      </c>
      <c r="C276" t="str">
        <f>'RESUMEN TOTAL'!D279</f>
        <v>BRUSELAS E/ GRECIA Y CHECOSLOVAQUIA</v>
      </c>
      <c r="D276" t="str">
        <f>'RESUMEN TOTAL'!E279</f>
        <v>Fija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 t="str">
        <f>'RESUMEN TOTAL'!V279</f>
        <v>APAGADO</v>
      </c>
      <c r="N276" t="str">
        <f>'RESUMEN TOTAL'!W279</f>
        <v>APAGADO</v>
      </c>
      <c r="O276" t="str">
        <f>'RESUMEN TOTAL'!X279</f>
        <v>APAGADO</v>
      </c>
      <c r="P276" t="str">
        <f>'RESUMEN TOTAL'!Y279</f>
        <v>APAGADO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25">
      <c r="A277" t="str">
        <f>'RESUMEN TOTAL'!A280</f>
        <v>ZONA RURAL SANTA ROSA</v>
      </c>
      <c r="B277" t="str">
        <f>'RESUMEN TOTAL'!C280</f>
        <v>SRO14 (fija 2)</v>
      </c>
      <c r="C277" t="str">
        <f>'RESUMEN TOTAL'!D280</f>
        <v>BRUSELAS E/ GRECIA Y CHECOSLOVAQUIA</v>
      </c>
      <c r="D277" t="str">
        <f>'RESUMEN TOTAL'!E280</f>
        <v>Fija</v>
      </c>
      <c r="E277" t="str">
        <f>'RESUMEN TOTAL'!F280</f>
        <v>RADIO</v>
      </c>
      <c r="F277" t="str">
        <f>'RESUMEN TOTAL'!O280</f>
        <v>APAGADO</v>
      </c>
      <c r="G277" t="str">
        <f>'RESUMEN TOTAL'!P280</f>
        <v>APAGADO</v>
      </c>
      <c r="H277" t="str">
        <f>'RESUMEN TOTAL'!Q280</f>
        <v>APAGADO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 t="str">
        <f>'RESUMEN TOTAL'!U280</f>
        <v>APAGADO</v>
      </c>
      <c r="M277" t="str">
        <f>'RESUMEN TOTAL'!V280</f>
        <v>APAGADO</v>
      </c>
      <c r="N277" t="str">
        <f>'RESUMEN TOTAL'!W280</f>
        <v>APAGADO</v>
      </c>
      <c r="O277" t="str">
        <f>'RESUMEN TOTAL'!X280</f>
        <v>APAGADO</v>
      </c>
      <c r="P277" t="str">
        <f>'RESUMEN TOTAL'!Y280</f>
        <v>APAGADO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SANTA ROSA</v>
      </c>
      <c r="B278" t="str">
        <f>'RESUMEN TOTAL'!C281</f>
        <v>SRO15</v>
      </c>
      <c r="C278" t="str">
        <f>'RESUMEN TOTAL'!D281</f>
        <v>NOVAK Y TIRANA (614)</v>
      </c>
      <c r="D278" t="str">
        <f>'RESUMEN TOTAL'!E281</f>
        <v>DOMO</v>
      </c>
      <c r="E278" t="str">
        <f>'RESUMEN TOTAL'!F281</f>
        <v>Fibra Optica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25">
      <c r="A279" t="str">
        <f>'RESUMEN TOTAL'!A282</f>
        <v>SANTA ROSA</v>
      </c>
      <c r="B279" t="str">
        <f>'RESUMEN TOTAL'!C282</f>
        <v>SRO18 (fija 1)</v>
      </c>
      <c r="C279" t="str">
        <f>'RESUMEN TOTAL'!D282</f>
        <v>GRAN CANARIA Y BUDAPEST</v>
      </c>
      <c r="D279" t="str">
        <f>'RESUMEN TOTAL'!E282</f>
        <v>Fija</v>
      </c>
      <c r="E279" t="str">
        <f>'RESUMEN TOTAL'!F282</f>
        <v>Fibra Optica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SRO19 (fija 2)</v>
      </c>
      <c r="C280" t="str">
        <f>'RESUMEN TOTAL'!D283</f>
        <v>GRAN CANARIA Y BUDAPEST</v>
      </c>
      <c r="D280" t="str">
        <f>'RESUMEN TOTAL'!E283</f>
        <v>Fija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 RUDECINDO</v>
      </c>
      <c r="B281" t="str">
        <f>'RESUMEN TOTAL'!C284</f>
        <v>SRU01 (fija 1)</v>
      </c>
      <c r="C281" t="str">
        <f>'RESUMEN TOTAL'!D284</f>
        <v>HERNANDARIAS Y AMBATO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25">
      <c r="A282" t="str">
        <f>'RESUMEN TOTAL'!A285</f>
        <v>SAN RUDECINDO</v>
      </c>
      <c r="B282" t="str">
        <f>'RESUMEN TOTAL'!C285</f>
        <v>SRU02 (fija 2)</v>
      </c>
      <c r="C282" t="str">
        <f>'RESUMEN TOTAL'!D285</f>
        <v>HERNANDARIAS Y AMBATO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25">
      <c r="A283" t="str">
        <f>'RESUMEN TOTAL'!A286</f>
        <v>VILLA ANGELICA</v>
      </c>
      <c r="B283" t="str">
        <f>'RESUMEN TOTAL'!C286</f>
        <v>VANG01</v>
      </c>
      <c r="C283" t="str">
        <f>'RESUMEN TOTAL'!D286</f>
        <v>Senzabello y Necochea</v>
      </c>
      <c r="D283" t="str">
        <f>'RESUMEN TOTAL'!E286</f>
        <v>Domo</v>
      </c>
      <c r="E283" t="str">
        <f>'RESUMEN TOTAL'!F286</f>
        <v>PTP A FO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 t="str">
        <f>'RESUMEN TOTAL'!Y286</f>
        <v>APAGADO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VILLA ANGELICA</v>
      </c>
      <c r="B284" t="str">
        <f>'RESUMEN TOTAL'!C287</f>
        <v>VANG02</v>
      </c>
      <c r="C284" t="str">
        <f>'RESUMEN TOTAL'!D287</f>
        <v>Thevenet y Ruta 36</v>
      </c>
      <c r="D284" t="str">
        <f>'RESUMEN TOTAL'!E287</f>
        <v>Domo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DEL PLATA</v>
      </c>
      <c r="B285" t="str">
        <f>'RESUMEN TOTAL'!C288</f>
        <v>VANG03</v>
      </c>
      <c r="C285" t="str">
        <f>'RESUMEN TOTAL'!D288</f>
        <v>Thevenet 1950</v>
      </c>
      <c r="D285" t="str">
        <f>'RESUMEN TOTAL'!E288</f>
        <v>Domo</v>
      </c>
      <c r="E285" t="str">
        <f>'RESUMEN TOTAL'!F288</f>
        <v>Fibra Optica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VANG04</v>
      </c>
      <c r="C286" t="str">
        <f>'RESUMEN TOTAL'!D289</f>
        <v>Storni e/Thevenet y Calle 158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ANGELICA</v>
      </c>
      <c r="B287" t="str">
        <f>'RESUMEN TOTAL'!C290</f>
        <v>VANG05</v>
      </c>
      <c r="C287" t="str">
        <f>'RESUMEN TOTAL'!D290</f>
        <v>Storni y Thevenet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VANG06</v>
      </c>
      <c r="C288" t="str">
        <f>'RESUMEN TOTAL'!D291</f>
        <v>Arenales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VANG07</v>
      </c>
      <c r="C289" t="str">
        <f>'RESUMEN TOTAL'!D292</f>
        <v>Arenales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VANG08</v>
      </c>
      <c r="C290" t="str">
        <f>'RESUMEN TOTAL'!D293</f>
        <v>Calle 158 al 2200</v>
      </c>
      <c r="D290" t="str">
        <f>'RESUMEN TOTAL'!E293</f>
        <v>Domo</v>
      </c>
      <c r="E290" t="str">
        <f>'RESUMEN TOTAL'!F293</f>
        <v>PTP A FO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25">
      <c r="A291" t="str">
        <f>'RESUMEN TOTAL'!A294</f>
        <v>PRESIDENTE SARMIENTO</v>
      </c>
      <c r="B291" t="str">
        <f>'RESUMEN TOTAL'!C294</f>
        <v>VANG09</v>
      </c>
      <c r="C291" t="str">
        <f>'RESUMEN TOTAL'!D294</f>
        <v>Ruta 36 y Senzabello</v>
      </c>
      <c r="D291" t="str">
        <f>'RESUMEN TOTAL'!E294</f>
        <v>Domo</v>
      </c>
      <c r="E291" t="str">
        <f>'RESUMEN TOTAL'!F294</f>
        <v>PTP A FO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 t="str">
        <f>'RESUMEN TOTAL'!Y294</f>
        <v>APAGADO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25">
      <c r="A292" t="str">
        <f>'RESUMEN TOTAL'!A295</f>
        <v>VILLA ARGENTINA</v>
      </c>
      <c r="B292" t="str">
        <f>'RESUMEN TOTAL'!C295</f>
        <v>VAR 01</v>
      </c>
      <c r="C292" t="str">
        <f>'RESUMEN TOTAL'!D295</f>
        <v>Calle 519 y 546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 t="str">
        <f>'RESUMEN TOTAL'!T295</f>
        <v>APAGADO</v>
      </c>
      <c r="L292">
        <f>'RESUMEN TOTAL'!U295</f>
        <v>0</v>
      </c>
      <c r="M292" t="str">
        <f>'RESUMEN TOTAL'!V295</f>
        <v>APAGADO</v>
      </c>
      <c r="N292" t="str">
        <f>'RESUMEN TOTAL'!W295</f>
        <v>APAGADO</v>
      </c>
      <c r="O292" t="str">
        <f>'RESUMEN TOTAL'!X295</f>
        <v>APAGADO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25">
      <c r="A293" t="str">
        <f>'RESUMEN TOTAL'!A296</f>
        <v>VILLA ARGENTINA</v>
      </c>
      <c r="B293" t="str">
        <f>'RESUMEN TOTAL'!C296</f>
        <v>VAR 02</v>
      </c>
      <c r="C293" t="str">
        <f>'RESUMEN TOTAL'!D296</f>
        <v>DIAGONAL LOS TILOS Y 542</v>
      </c>
      <c r="D293" t="str">
        <f>'RESUMEN TOTAL'!E296</f>
        <v>DOMO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VAR03 (fija 1)</v>
      </c>
      <c r="C294" t="str">
        <f>'RESUMEN TOTAL'!D297</f>
        <v>509 y 546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VAR04 (fija 2)</v>
      </c>
      <c r="C295" t="str">
        <f>'RESUMEN TOTAL'!D298</f>
        <v>509 y 546</v>
      </c>
      <c r="D295" t="str">
        <f>'RESUMEN TOTAL'!E298</f>
        <v>Fija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VAR05 (fija 1)</v>
      </c>
      <c r="C296" t="str">
        <f>'RESUMEN TOTAL'!D299</f>
        <v>511 E/ 544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VAR06 (fija 2)</v>
      </c>
      <c r="C297" t="str">
        <f>'RESUMEN TOTAL'!D300</f>
        <v>511 E/ 544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VAR07</v>
      </c>
      <c r="C298" t="str">
        <f>'RESUMEN TOTAL'!D301</f>
        <v>DIAG. LOS TILOS Y 517</v>
      </c>
      <c r="D298" t="str">
        <f>'RESUMEN TOTAL'!E301</f>
        <v>DOMO</v>
      </c>
      <c r="E298" t="str">
        <f>'RESUMEN TOTAL'!F301</f>
        <v>Fibra Optica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VAR08 (fija 1)</v>
      </c>
      <c r="C299" t="str">
        <f>'RESUMEN TOTAL'!D302</f>
        <v>534 Y 523</v>
      </c>
      <c r="D299" t="str">
        <f>'RESUMEN TOTAL'!E302</f>
        <v>Fija</v>
      </c>
      <c r="E299" t="str">
        <f>'RESUMEN TOTAL'!F302</f>
        <v>Fibra Optica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VAR09 (fija 2)</v>
      </c>
      <c r="C300" t="str">
        <f>'RESUMEN TOTAL'!D303</f>
        <v>534 Y 523</v>
      </c>
      <c r="D300" t="str">
        <f>'RESUMEN TOTAL'!E303</f>
        <v>Fija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 t="str">
        <f>'RESUMEN TOTAL'!Y303</f>
        <v>APAGADO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VAR10 (fija 1)</v>
      </c>
      <c r="C301" t="str">
        <f>'RESUMEN TOTAL'!D304</f>
        <v>532 A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VAR11 (fija 2)</v>
      </c>
      <c r="C302" t="str">
        <f>'RESUMEN TOTAL'!D305</f>
        <v>532 A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>
        <f>'RESUMEN TOTAL'!A306</f>
        <v>0</v>
      </c>
      <c r="B303" t="str">
        <f>'RESUMEN TOTAL'!C306</f>
        <v>VAT 12</v>
      </c>
      <c r="C303" t="str">
        <f>'RESUMEN TOTAL'!D306</f>
        <v>12 DE OCTUBRE Y CHACO</v>
      </c>
      <c r="D303" t="str">
        <f>'RESUMEN TOTAL'!E306</f>
        <v>DOMO</v>
      </c>
      <c r="E303" t="str">
        <f>'RESUMEN TOTAL'!F306</f>
        <v>PTP A FO</v>
      </c>
      <c r="F303" t="str">
        <f>'RESUMEN TOTAL'!O306</f>
        <v>APAGADO</v>
      </c>
      <c r="G303" t="str">
        <f>'RESUMEN TOTAL'!P306</f>
        <v>APAGADO</v>
      </c>
      <c r="H303">
        <f>'RESUMEN TOTAL'!Q306</f>
        <v>0</v>
      </c>
      <c r="I303">
        <f>'RESUMEN TOTAL'!R306</f>
        <v>0</v>
      </c>
      <c r="J303" t="str">
        <f>'RESUMEN TOTAL'!S306</f>
        <v>APAGADO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VATTEONE CENTRO</v>
      </c>
      <c r="B304" t="str">
        <f>'RESUMEN TOTAL'!C307</f>
        <v>VAT 13</v>
      </c>
      <c r="C304" t="str">
        <f>'RESUMEN TOTAL'!D307</f>
        <v>Av.12 de Octubre y Belgrano</v>
      </c>
      <c r="D304" t="str">
        <f>'RESUMEN TOTAL'!E307</f>
        <v>Domo</v>
      </c>
      <c r="E304" t="str">
        <f>'RESUMEN TOTAL'!F307</f>
        <v>PTP A FO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15</v>
      </c>
      <c r="C305" t="str">
        <f>'RESUMEN TOTAL'!D308</f>
        <v>CORRIENTES Y VICENTE LOPEZ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</v>
      </c>
      <c r="B306" t="str">
        <f>'RESUMEN TOTAL'!C309</f>
        <v>VAT 16</v>
      </c>
      <c r="C306" t="str">
        <f>'RESUMEN TOTAL'!D309</f>
        <v>MONTEVIDEO Y CHACO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 t="str">
        <f>'RESUMEN TOTAL'!A310</f>
        <v>VILLA VATTEONE</v>
      </c>
      <c r="B307" t="str">
        <f>'RESUMEN TOTAL'!C310</f>
        <v>VAT 17</v>
      </c>
      <c r="C307" t="str">
        <f>'RESUMEN TOTAL'!D310</f>
        <v>CHAÑAR Y URUGUAY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 CENTRO</v>
      </c>
      <c r="B308" t="str">
        <f>'RESUMEN TOTAL'!C311</f>
        <v>VAT 18</v>
      </c>
      <c r="C308" t="str">
        <f>'RESUMEN TOTAL'!D311</f>
        <v>LAVALLE Y FONROUGE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 CENTRO</v>
      </c>
      <c r="B309" t="str">
        <f>'RESUMEN TOTAL'!C312</f>
        <v>VAT 19</v>
      </c>
      <c r="C309" t="str">
        <f>'RESUMEN TOTAL'!D312</f>
        <v>QUINTANA Y FONROUGE ( TUCUMAN )</v>
      </c>
      <c r="D309" t="str">
        <f>'RESUMEN TOTAL'!E312</f>
        <v>DOMO</v>
      </c>
      <c r="E309" t="str">
        <f>'RESUMEN TOTAL'!F312</f>
        <v>Radio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</v>
      </c>
      <c r="B310" t="str">
        <f>'RESUMEN TOTAL'!C313</f>
        <v>VAT 20</v>
      </c>
      <c r="C310" t="str">
        <f>'RESUMEN TOTAL'!D313</f>
        <v>URUGUAY Y PILCOMAYO</v>
      </c>
      <c r="D310" t="str">
        <f>'RESUMEN TOTAL'!E313</f>
        <v>FIJA</v>
      </c>
      <c r="E310" t="str">
        <f>'RESUMEN TOTAL'!F313</f>
        <v>Radio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</v>
      </c>
      <c r="B311" t="str">
        <f>'RESUMEN TOTAL'!C314</f>
        <v>VAT01</v>
      </c>
      <c r="C311" t="str">
        <f>'RESUMEN TOTAL'!D314</f>
        <v>Montevideo y El Chañar</v>
      </c>
      <c r="D311" t="str">
        <f>'RESUMEN TOTAL'!E314</f>
        <v>Domo</v>
      </c>
      <c r="E311" t="str">
        <f>'RESUMEN TOTAL'!F314</f>
        <v>Fibra Optica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 CENTRO</v>
      </c>
      <c r="B312" t="str">
        <f>'RESUMEN TOTAL'!C315</f>
        <v>VAT02</v>
      </c>
      <c r="C312" t="str">
        <f>'RESUMEN TOTAL'!D315</f>
        <v>Eva Peron y 12 de Octubre</v>
      </c>
      <c r="D312" t="str">
        <f>'RESUMEN TOTAL'!E315</f>
        <v>Domo</v>
      </c>
      <c r="E312" t="str">
        <f>'RESUMEN TOTAL'!F315</f>
        <v>Fibra Optica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 CENTRO</v>
      </c>
      <c r="B313" t="str">
        <f>'RESUMEN TOTAL'!C316</f>
        <v>VAT03</v>
      </c>
      <c r="C313" t="str">
        <f>'RESUMEN TOTAL'!D316</f>
        <v>Lavalle y Belgrano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VAT04</v>
      </c>
      <c r="C314" t="str">
        <f>'RESUMEN TOTAL'!D317</f>
        <v>Lavalle y Entre Rios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VAT05</v>
      </c>
      <c r="C315" t="str">
        <f>'RESUMEN TOTAL'!D318</f>
        <v>Lavalle y Colombia</v>
      </c>
      <c r="D315" t="str">
        <f>'RESUMEN TOTAL'!E318</f>
        <v>Domo</v>
      </c>
      <c r="E315" t="str">
        <f>'RESUMEN TOTAL'!F318</f>
        <v>Radio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VAT06</v>
      </c>
      <c r="C316" t="str">
        <f>'RESUMEN TOTAL'!D319</f>
        <v>Eva Peron y Pueyrredon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 t="str">
        <f>'RESUMEN TOTAL'!T319</f>
        <v>APAGADO</v>
      </c>
      <c r="L316" t="str">
        <f>'RESUMEN TOTAL'!U319</f>
        <v>APAGADO</v>
      </c>
      <c r="M316" t="str">
        <f>'RESUMEN TOTAL'!V319</f>
        <v>APAGADO</v>
      </c>
      <c r="N316" t="str">
        <f>'RESUMEN TOTAL'!W319</f>
        <v>APAGADO</v>
      </c>
      <c r="O316" t="str">
        <f>'RESUMEN TOTAL'!X319</f>
        <v>APAGADO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VAT07</v>
      </c>
      <c r="C317" t="str">
        <f>'RESUMEN TOTAL'!D320</f>
        <v>Eva Peron y Lavalle</v>
      </c>
      <c r="D317" t="str">
        <f>'RESUMEN TOTAL'!E320</f>
        <v>DOMO</v>
      </c>
      <c r="E317" t="str">
        <f>'RESUMEN TOTAL'!F320</f>
        <v>PTP A FO</v>
      </c>
      <c r="F317" t="str">
        <f>'RESUMEN TOTAL'!O320</f>
        <v>APAGADO</v>
      </c>
      <c r="G317" t="str">
        <f>'RESUMEN TOTAL'!P320</f>
        <v>APAGADO</v>
      </c>
      <c r="H317" t="str">
        <f>'RESUMEN TOTAL'!Q320</f>
        <v>APAGADO</v>
      </c>
      <c r="I317" t="str">
        <f>'RESUMEN TOTAL'!R320</f>
        <v>APAGADO</v>
      </c>
      <c r="J317" t="str">
        <f>'RESUMEN TOTAL'!S320</f>
        <v>APAGADO</v>
      </c>
      <c r="K317" t="str">
        <f>'RESUMEN TOTAL'!T320</f>
        <v>APAGADO</v>
      </c>
      <c r="L317" t="str">
        <f>'RESUMEN TOTAL'!U320</f>
        <v>APAGADO</v>
      </c>
      <c r="M317" t="str">
        <f>'RESUMEN TOTAL'!V320</f>
        <v>APAGADO</v>
      </c>
      <c r="N317" t="str">
        <f>'RESUMEN TOTAL'!W320</f>
        <v>APAGADO</v>
      </c>
      <c r="O317" t="str">
        <f>'RESUMEN TOTAL'!X320</f>
        <v>APAGADO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</v>
      </c>
      <c r="B318" t="str">
        <f>'RESUMEN TOTAL'!C321</f>
        <v>VAT08</v>
      </c>
      <c r="C318" t="str">
        <f>'RESUMEN TOTAL'!D321</f>
        <v>12 de Octubre y Florida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</v>
      </c>
      <c r="B319" t="str">
        <f>'RESUMEN TOTAL'!C322</f>
        <v>VAT09</v>
      </c>
      <c r="C319" t="str">
        <f>'RESUMEN TOTAL'!D322</f>
        <v>Montevideo y Alsina</v>
      </c>
      <c r="D319" t="str">
        <f>'RESUMEN TOTAL'!E322</f>
        <v>Domo</v>
      </c>
      <c r="E319" t="str">
        <f>'RESUMEN TOTAL'!F322</f>
        <v>Fibra Optica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 CENTRO</v>
      </c>
      <c r="B320" t="str">
        <f>'RESUMEN TOTAL'!C323</f>
        <v>VAT10</v>
      </c>
      <c r="C320" t="str">
        <f>'RESUMEN TOTAL'!D323</f>
        <v>Belgrano y Quintana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VAT11</v>
      </c>
      <c r="C321" t="str">
        <f>'RESUMEN TOTAL'!D324</f>
        <v>Mainini y Montevideo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>
        <f>'RESUMEN TOTAL'!A325</f>
        <v>0</v>
      </c>
      <c r="B322" t="str">
        <f>'RESUMEN TOTAL'!C325</f>
        <v>VAT14</v>
      </c>
      <c r="C322" t="str">
        <f>'RESUMEN TOTAL'!D325</f>
        <v>FLORIDA Y MONTEVIDEO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 CENTRO</v>
      </c>
      <c r="B323" t="str">
        <f>'RESUMEN TOTAL'!C326</f>
        <v>VAT21 (fija 1)</v>
      </c>
      <c r="C323" t="str">
        <f>'RESUMEN TOTAL'!D326</f>
        <v>QUINTANA E/ BELGRANO Y FONROUGE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 t="str">
        <f>'RESUMEN TOTAL'!A327</f>
        <v>VILLA VATTEONE CENTRO</v>
      </c>
      <c r="B324" t="str">
        <f>'RESUMEN TOTAL'!C327</f>
        <v>VAT22 (fija 2)</v>
      </c>
      <c r="C324" t="str">
        <f>'RESUMEN TOTAL'!D327</f>
        <v>QUINTANA E/ BELGRANO Y FONROUGE</v>
      </c>
      <c r="D324" t="str">
        <f>'RESUMEN TOTAL'!E327</f>
        <v>Fija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VAT23 (fija 1)</v>
      </c>
      <c r="C325" t="str">
        <f>'RESUMEN TOTAL'!D328</f>
        <v>EVA PERON Y "EL TUNEL" (BAJO NIVEL)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 t="str">
        <f>'RESUMEN TOTAL'!V328</f>
        <v>APAGADO</v>
      </c>
      <c r="N325" t="str">
        <f>'RESUMEN TOTAL'!W328</f>
        <v>APAGADO</v>
      </c>
      <c r="O325" t="str">
        <f>'RESUMEN TOTAL'!X328</f>
        <v>APAGADO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VAT24 (fija 2)</v>
      </c>
      <c r="C326" t="str">
        <f>'RESUMEN TOTAL'!D329</f>
        <v>EVA PERON Y "EL TUNEL" (BAJO NIVEL)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 t="str">
        <f>'RESUMEN TOTAL'!T329</f>
        <v>APAGADO</v>
      </c>
      <c r="L326" t="str">
        <f>'RESUMEN TOTAL'!U329</f>
        <v>APAGADO</v>
      </c>
      <c r="M326" t="str">
        <f>'RESUMEN TOTAL'!V329</f>
        <v>APAGADO</v>
      </c>
      <c r="N326" t="str">
        <f>'RESUMEN TOTAL'!W329</f>
        <v>APAGADO</v>
      </c>
      <c r="O326" t="str">
        <f>'RESUMEN TOTAL'!X329</f>
        <v>APAGADO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AURORA</v>
      </c>
      <c r="B327" t="str">
        <f>'RESUMEN TOTAL'!C330</f>
        <v>VAU 07</v>
      </c>
      <c r="C327" t="str">
        <f>'RESUMEN TOTAL'!D330</f>
        <v>VICTORINO DE LA PLAZA Y MONTEVERDE</v>
      </c>
      <c r="D327" t="str">
        <f>'RESUMEN TOTAL'!E330</f>
        <v>Domo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AURORA</v>
      </c>
      <c r="B328" t="str">
        <f>'RESUMEN TOTAL'!C331</f>
        <v>VAU01</v>
      </c>
      <c r="C328" t="str">
        <f>'RESUMEN TOTAL'!D331</f>
        <v>San Martin y Monteverde</v>
      </c>
      <c r="D328" t="str">
        <f>'RESUMEN TOTAL'!E331</f>
        <v>Domo</v>
      </c>
      <c r="E328" t="str">
        <f>'RESUMEN TOTAL'!F331</f>
        <v>Fibra Optica</v>
      </c>
      <c r="F328" t="str">
        <f>'RESUMEN TOTAL'!O331</f>
        <v>APAGADO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SAN EMILIO</v>
      </c>
      <c r="B329" t="str">
        <f>'RESUMEN TOTAL'!C332</f>
        <v>VAU02</v>
      </c>
      <c r="C329" t="str">
        <f>'RESUMEN TOTAL'!D332</f>
        <v>San Martin y Lope de Vega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VAU03 (fija 1)</v>
      </c>
      <c r="C330" t="str">
        <f>'RESUMEN TOTAL'!D333</f>
        <v>PIZZURNO Y NUESTRAS MALVINAS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VILLA AURORA</v>
      </c>
      <c r="B331" t="str">
        <f>'RESUMEN TOTAL'!C334</f>
        <v>VAU04 (fija 2)</v>
      </c>
      <c r="C331" t="str">
        <f>'RESUMEN TOTAL'!D334</f>
        <v>PIZZURNO Y NUESTRAS MALVINAS</v>
      </c>
      <c r="D331" t="str">
        <f>'RESUMEN TOTAL'!E334</f>
        <v>Fija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VAU05 (fija 1)</v>
      </c>
      <c r="C332" t="str">
        <f>'RESUMEN TOTAL'!D335</f>
        <v>GUIDO SPANO Y VICTORINO DE LA PLAZA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VAU06 (fija 2)</v>
      </c>
      <c r="C333" t="str">
        <f>'RESUMEN TOTAL'!D336</f>
        <v>GUIDO SPANO Y VICTORINO DE LA PLAZA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VAU08</v>
      </c>
      <c r="C334" t="str">
        <f>'RESUMEN TOTAL'!D337</f>
        <v>MONTEVERDE Y WASHINGTON</v>
      </c>
      <c r="D334" t="str">
        <f>'RESUMEN TOTAL'!E337</f>
        <v>DOMO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DEL PLATA</v>
      </c>
      <c r="B335" t="str">
        <f>'RESUMEN TOTAL'!C338</f>
        <v>VDPL02</v>
      </c>
      <c r="C335" t="str">
        <f>'RESUMEN TOTAL'!D338</f>
        <v>Thevenet y Berutti</v>
      </c>
      <c r="D335" t="str">
        <f>'RESUMEN TOTAL'!E338</f>
        <v>Domo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DEL PLATA</v>
      </c>
      <c r="B336" t="str">
        <f>'RESUMEN TOTAL'!C339</f>
        <v>VDPL03</v>
      </c>
      <c r="C336" t="str">
        <f>'RESUMEN TOTAL'!D339</f>
        <v>Neuquen y Alvarado</v>
      </c>
      <c r="D336" t="str">
        <f>'RESUMEN TOTAL'!E339</f>
        <v>Domo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VDPL04</v>
      </c>
      <c r="C337" t="str">
        <f>'RESUMEN TOTAL'!D340</f>
        <v>Neuquen y Diagonal Guemes</v>
      </c>
      <c r="D337" t="str">
        <f>'RESUMEN TOTAL'!E340</f>
        <v>Domo</v>
      </c>
      <c r="E337" t="str">
        <f>'RESUMEN TOTAL'!F340</f>
        <v>Radio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VDPL05</v>
      </c>
      <c r="C338" t="str">
        <f>'RESUMEN TOTAL'!D341</f>
        <v>Ruta 36 y Abraham</v>
      </c>
      <c r="D338" t="str">
        <f>'RESUMEN TOTAL'!E341</f>
        <v>Domo</v>
      </c>
      <c r="E338" t="str">
        <f>'RESUMEN TOTAL'!F341</f>
        <v>PTP A FO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ANGELICA</v>
      </c>
      <c r="B339" t="str">
        <f>'RESUMEN TOTAL'!C342</f>
        <v>VDPL06</v>
      </c>
      <c r="C339" t="str">
        <f>'RESUMEN TOTAL'!D342</f>
        <v>Thevenet e/ Islas Orcadas y Gardel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HUDSON</v>
      </c>
      <c r="B340" t="str">
        <f>'RESUMEN TOTAL'!C343</f>
        <v>VHS 01</v>
      </c>
      <c r="C340" t="str">
        <f>'RESUMEN TOTAL'!D343</f>
        <v>AV. HUDSON Y AV. LUJAN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HUDSON</v>
      </c>
      <c r="B341" t="str">
        <f>'RESUMEN TOTAL'!C344</f>
        <v>VHS 02</v>
      </c>
      <c r="C341" t="str">
        <f>'RESUMEN TOTAL'!D344</f>
        <v>AV. LUJAN Y CALLE 909 A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VHS03 (fija 1)</v>
      </c>
      <c r="C342" t="str">
        <f>'RESUMEN TOTAL'!D345</f>
        <v>AV. HUDSON Y LOS INMIGRANTES</v>
      </c>
      <c r="D342" t="str">
        <f>'RESUMEN TOTAL'!E345</f>
        <v>Fija</v>
      </c>
      <c r="E342" t="str">
        <f>'RESUMEN TOTAL'!F345</f>
        <v>Fibra Optica</v>
      </c>
      <c r="F342" t="str">
        <f>'RESUMEN TOTAL'!O345</f>
        <v>APAGADO</v>
      </c>
      <c r="G342" t="str">
        <f>'RESUMEN TOTAL'!P345</f>
        <v>APAGADO</v>
      </c>
      <c r="H342" t="str">
        <f>'RESUMEN TOTAL'!Q345</f>
        <v>APAGADO</v>
      </c>
      <c r="I342" t="str">
        <f>'RESUMEN TOTAL'!R345</f>
        <v>APAGADO</v>
      </c>
      <c r="J342" t="str">
        <f>'RESUMEN TOTAL'!S345</f>
        <v>APAGADO</v>
      </c>
      <c r="K342" t="str">
        <f>'RESUMEN TOTAL'!T345</f>
        <v>APAGADO</v>
      </c>
      <c r="L342" t="str">
        <f>'RESUMEN TOTAL'!U345</f>
        <v>APAGADO</v>
      </c>
      <c r="M342" t="str">
        <f>'RESUMEN TOTAL'!V345</f>
        <v>APAGADO</v>
      </c>
      <c r="N342" t="str">
        <f>'RESUMEN TOTAL'!W345</f>
        <v>APAGADO</v>
      </c>
      <c r="O342" t="str">
        <f>'RESUMEN TOTAL'!X345</f>
        <v>APAGADO</v>
      </c>
      <c r="P342" t="str">
        <f>'RESUMEN TOTAL'!Y345</f>
        <v>APAGADO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VHS04 (fija 2)</v>
      </c>
      <c r="C343" t="str">
        <f>'RESUMEN TOTAL'!D346</f>
        <v>AV. HUDSON Y LOS INMIGRANTES</v>
      </c>
      <c r="D343" t="str">
        <f>'RESUMEN TOTAL'!E346</f>
        <v>Fija</v>
      </c>
      <c r="E343" t="str">
        <f>'RESUMEN TOTAL'!F346</f>
        <v>Fibra Optica</v>
      </c>
      <c r="F343" t="str">
        <f>'RESUMEN TOTAL'!O346</f>
        <v>APAGADO</v>
      </c>
      <c r="G343" t="str">
        <f>'RESUMEN TOTAL'!P346</f>
        <v>APAGADO</v>
      </c>
      <c r="H343" t="str">
        <f>'RESUMEN TOTAL'!Q346</f>
        <v>APAGADO</v>
      </c>
      <c r="I343" t="str">
        <f>'RESUMEN TOTAL'!R346</f>
        <v>APAGADO</v>
      </c>
      <c r="J343" t="str">
        <f>'RESUMEN TOTAL'!S346</f>
        <v>APAGADO</v>
      </c>
      <c r="K343" t="str">
        <f>'RESUMEN TOTAL'!T346</f>
        <v>APAGADO</v>
      </c>
      <c r="L343" t="str">
        <f>'RESUMEN TOTAL'!U346</f>
        <v>APAGADO</v>
      </c>
      <c r="M343" t="str">
        <f>'RESUMEN TOTAL'!V346</f>
        <v>APAGADO</v>
      </c>
      <c r="N343" t="str">
        <f>'RESUMEN TOTAL'!W346</f>
        <v>APAGADO</v>
      </c>
      <c r="O343" t="str">
        <f>'RESUMEN TOTAL'!X346</f>
        <v>APAGADO</v>
      </c>
      <c r="P343" t="str">
        <f>'RESUMEN TOTAL'!Y346</f>
        <v>APAGADO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ARIAS</v>
      </c>
      <c r="B344" t="str">
        <f>'RESUMEN TOTAL'!C347</f>
        <v>VLA01 (fija 1)</v>
      </c>
      <c r="C344" t="str">
        <f>'RESUMEN TOTAL'!D347</f>
        <v>820 Y SOLER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ARIAS</v>
      </c>
      <c r="B345" t="str">
        <f>'RESUMEN TOTAL'!C348</f>
        <v>VLA02</v>
      </c>
      <c r="C345" t="str">
        <f>'RESUMEN TOTAL'!D348</f>
        <v>ESPORA Y HUDSON</v>
      </c>
      <c r="D345" t="str">
        <f>'RESUMEN TOTAL'!E348</f>
        <v>DOMO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VLA03 (fija 2)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VLA04</v>
      </c>
      <c r="C347" t="str">
        <f>'RESUMEN TOTAL'!D350</f>
        <v>ESPORA Y MARTIN GRASS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VLA05</v>
      </c>
      <c r="C348" t="str">
        <f>'RESUMEN TOTAL'!D351</f>
        <v>ESPORA Y 802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MONICA NUEVA</v>
      </c>
      <c r="B349" t="str">
        <f>'RESUMEN TOTAL'!C352</f>
        <v>VMO 02</v>
      </c>
      <c r="C349" t="str">
        <f>'RESUMEN TOTAL'!D352</f>
        <v>Rio Carapachay y Oroño</v>
      </c>
      <c r="D349" t="str">
        <f>'RESUMEN TOTAL'!E352</f>
        <v>Domo</v>
      </c>
      <c r="E349" t="str">
        <f>'RESUMEN TOTAL'!F352</f>
        <v>Radio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25">
      <c r="A350">
        <f>'RESUMEN TOTAL'!A353</f>
        <v>0</v>
      </c>
      <c r="B350" t="str">
        <f>'RESUMEN TOTAL'!C353</f>
        <v>VMO01</v>
      </c>
      <c r="C350" t="str">
        <f>'RESUMEN TOTAL'!D353</f>
        <v>Eva Peron y Monseñor de las Casas</v>
      </c>
      <c r="D350" t="str">
        <f>'RESUMEN TOTAL'!E353</f>
        <v>DOMO</v>
      </c>
      <c r="E350">
        <f>'RESUMEN TOTAL'!F353</f>
        <v>0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 t="str">
        <f>'RESUMEN TOTAL'!S353</f>
        <v>APAGADO</v>
      </c>
      <c r="K350" t="str">
        <f>'RESUMEN TOTAL'!T353</f>
        <v>APAGADO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VMO03 (fija 1)</v>
      </c>
      <c r="C351" t="str">
        <f>'RESUMEN TOTAL'!D354</f>
        <v>EVA PERON E/ OROÑO Y 734 A</v>
      </c>
      <c r="D351" t="str">
        <f>'RESUMEN TOTAL'!E354</f>
        <v>Fija</v>
      </c>
      <c r="E351" t="str">
        <f>'RESUMEN TOTAL'!F354</f>
        <v>Fibra Optica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 t="str">
        <f>'RESUMEN TOTAL'!A355</f>
        <v>VILLA MONICA NUEVA</v>
      </c>
      <c r="B352" t="str">
        <f>'RESUMEN TOTAL'!C355</f>
        <v>VMO04 (fija 2)</v>
      </c>
      <c r="C352" t="str">
        <f>'RESUMEN TOTAL'!D355</f>
        <v>EVA PERON E/ OROÑO Y 734 A</v>
      </c>
      <c r="D352" t="str">
        <f>'RESUMEN TOTAL'!E355</f>
        <v>Fija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VMO05</v>
      </c>
      <c r="C353" t="str">
        <f>'RESUMEN TOTAL'!D356</f>
        <v>OROÑO Y EVA PERON</v>
      </c>
      <c r="D353" t="str">
        <f>'RESUMEN TOTAL'!E356</f>
        <v>DOMO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VIEJA</v>
      </c>
      <c r="B354" t="str">
        <f>'RESUMEN TOTAL'!C357</f>
        <v>VMOV01 (fija 1)</v>
      </c>
      <c r="C354" t="str">
        <f>'RESUMEN TOTAL'!D357</f>
        <v>ATENAS E/ CAFFERATA Y ALEMANIA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VIEJA</v>
      </c>
      <c r="B355" t="str">
        <f>'RESUMEN TOTAL'!C358</f>
        <v>VMOV02 (fija 2)</v>
      </c>
      <c r="C355" t="str">
        <f>'RESUMEN TOTAL'!D358</f>
        <v>ATENAS E/ CAFFERATA Y ALEMANIA</v>
      </c>
      <c r="D355" t="str">
        <f>'RESUMEN TOTAL'!E358</f>
        <v>Fija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VMOV03 (fija 1)</v>
      </c>
      <c r="C356" t="str">
        <f>'RESUMEN TOTAL'!D359</f>
        <v>ROMA E/ HOLANDA Y CAFFERATA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VMOV04 (fija 2)</v>
      </c>
      <c r="C357" t="str">
        <f>'RESUMEN TOTAL'!D360</f>
        <v>ROMA E/ HOLANDA Y CAFFERATA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SAN LUIS</v>
      </c>
      <c r="B358" t="str">
        <f>'RESUMEN TOTAL'!C361</f>
        <v>VSL 01</v>
      </c>
      <c r="C358" t="str">
        <f>'RESUMEN TOTAL'!D361</f>
        <v>AV. HUDSON Y CACHEUTA</v>
      </c>
      <c r="D358" t="str">
        <f>'RESUMEN TOTAL'!E361</f>
        <v>DOMO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SUSANA</v>
      </c>
      <c r="B359" t="str">
        <f>'RESUMEN TOTAL'!C362</f>
        <v>VSU 01</v>
      </c>
      <c r="C359" t="str">
        <f>'RESUMEN TOTAL'!D362</f>
        <v>CJAL. JUAN BROWN Y SANTA FE</v>
      </c>
      <c r="D359" t="str">
        <f>'RESUMEN TOTAL'!E362</f>
        <v>DOMO</v>
      </c>
      <c r="E359" t="str">
        <f>'RESUMEN TOTAL'!F362</f>
        <v>Radio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SUSANA</v>
      </c>
      <c r="B360" t="str">
        <f>'RESUMEN TOTAL'!C363</f>
        <v>VSU 02</v>
      </c>
      <c r="C360" t="str">
        <f>'RESUMEN TOTAL'!D363</f>
        <v>CABELLO Y SANTA FE</v>
      </c>
      <c r="D360" t="str">
        <f>'RESUMEN TOTAL'!E363</f>
        <v>DOMO</v>
      </c>
      <c r="E360" t="str">
        <f>'RESUMEN TOTAL'!F363</f>
        <v>Radio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03</v>
      </c>
      <c r="C361" t="str">
        <f>'RESUMEN TOTAL'!D364</f>
        <v>EE.UU Y SERRANO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>
        <f>'RESUMEN TOTAL'!A365</f>
        <v>0</v>
      </c>
      <c r="B362" t="str">
        <f>'RESUMEN TOTAL'!C365</f>
        <v>ZEB 05</v>
      </c>
      <c r="C362" t="str">
        <f>'RESUMEN TOTAL'!D365</f>
        <v>DIAG. GRANADEROS Y 214 BIS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ZEBALLOS</v>
      </c>
      <c r="B363" t="str">
        <f>'RESUMEN TOTAL'!C366</f>
        <v>ZEB02</v>
      </c>
      <c r="C363" t="str">
        <f>'RESUMEN TOTAL'!D366</f>
        <v>Quinquela Martin y Sgo. del Estero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 t="str">
        <f>'RESUMEN TOTAL'!A367</f>
        <v>9 DE JULIO</v>
      </c>
      <c r="B364" t="str">
        <f>'RESUMEN TOTAL'!C367</f>
        <v>ZEB03</v>
      </c>
      <c r="C364" t="str">
        <f>'RESUMEN TOTAL'!D367</f>
        <v>Quinquela Martin y Pte. Peron</v>
      </c>
      <c r="D364" t="str">
        <f>'RESUMEN TOTAL'!E367</f>
        <v>Domo</v>
      </c>
      <c r="E364" t="str">
        <f>'RESUMEN TOTAL'!F367</f>
        <v>Radio</v>
      </c>
      <c r="F364" t="str">
        <f>'RESUMEN TOTAL'!O367</f>
        <v>APAGADO</v>
      </c>
      <c r="G364" t="str">
        <f>'RESUMEN TOTAL'!P367</f>
        <v>APAGADO</v>
      </c>
      <c r="H364" t="str">
        <f>'RESUMEN TOTAL'!Q367</f>
        <v>APAGADO</v>
      </c>
      <c r="I364" t="str">
        <f>'RESUMEN TOTAL'!R367</f>
        <v>APAGADO</v>
      </c>
      <c r="J364" t="str">
        <f>'RESUMEN TOTAL'!S367</f>
        <v>APAGADO</v>
      </c>
      <c r="K364" t="str">
        <f>'RESUMEN TOTAL'!T367</f>
        <v>APAGADO</v>
      </c>
      <c r="L364" t="str">
        <f>'RESUMEN TOTAL'!U367</f>
        <v>APAGADO</v>
      </c>
      <c r="M364" t="str">
        <f>'RESUMEN TOTAL'!V367</f>
        <v>APAGADO</v>
      </c>
      <c r="N364" t="str">
        <f>'RESUMEN TOTAL'!W367</f>
        <v>APAGADO</v>
      </c>
      <c r="O364" t="str">
        <f>'RESUMEN TOTAL'!X367</f>
        <v>APAGADO</v>
      </c>
      <c r="P364" t="str">
        <f>'RESUMEN TOTAL'!Y367</f>
        <v>APAGADO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>
        <f>'RESUMEN TOTAL'!A368</f>
        <v>0</v>
      </c>
      <c r="B365" t="str">
        <f>'RESUMEN TOTAL'!C368</f>
        <v>ZEB04</v>
      </c>
      <c r="C365" t="str">
        <f>'RESUMEN TOTAL'!D368</f>
        <v>THEVENET Y DIAGONAL GRANADEROS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SANTA ANA</v>
      </c>
      <c r="B366" t="str">
        <f>'RESUMEN TOTAL'!C369</f>
        <v>SAN01</v>
      </c>
      <c r="C366" t="str">
        <f>'RESUMEN TOTAL'!D369</f>
        <v>HUDSON Y SUIPACHA FIJA 1</v>
      </c>
      <c r="D366" t="str">
        <f>'RESUMEN TOTAL'!E369</f>
        <v>Fija</v>
      </c>
      <c r="E366" t="str">
        <f>'RESUMEN TOTAL'!F369</f>
        <v>Fibra Optica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25">
      <c r="A367" t="str">
        <f>'RESUMEN TOTAL'!A370</f>
        <v>SANTA ANA</v>
      </c>
      <c r="B367" t="str">
        <f>'RESUMEN TOTAL'!C370</f>
        <v>SAN02</v>
      </c>
      <c r="C367" t="str">
        <f>'RESUMEN TOTAL'!D370</f>
        <v>HUDSON Y SUIPACHA FIJA 2</v>
      </c>
      <c r="D367" t="str">
        <f>'RESUMEN TOTAL'!E370</f>
        <v>Fija</v>
      </c>
      <c r="E367" t="str">
        <f>'RESUMEN TOTAL'!F370</f>
        <v>Fibra Optica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936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63" activePane="bottomRight" state="frozen"/>
      <selection pane="topRight" activeCell="F1" sqref="F1"/>
      <selection pane="bottomLeft" activeCell="A8" sqref="A8"/>
      <selection pane="bottomRight" activeCell="O2" sqref="O2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4" t="s">
        <v>1325</v>
      </c>
      <c r="D1" s="55">
        <f>COUNTIFS(E4:E369,"=Fibra Optica")</f>
        <v>237</v>
      </c>
    </row>
    <row r="2" spans="1:36" ht="21" x14ac:dyDescent="0.35">
      <c r="E2" s="27" t="s">
        <v>936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0</v>
      </c>
      <c r="R2" s="27">
        <f>COUNTIFS(R4:R367, "=APAGADO",E4:E367,"=Fibra Optica")</f>
        <v>0</v>
      </c>
      <c r="S2" s="27">
        <f>COUNTIFS(S4:S367, "=APAGADO",E4:E367,"=Fibra Optica")</f>
        <v>0</v>
      </c>
      <c r="T2" s="27">
        <f>COUNTIFS(T4:T367, "=APAGADO",E4:E367,"=Fibra Optica")</f>
        <v>0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4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J378" sqref="J37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6" t="s">
        <v>1326</v>
      </c>
      <c r="D1" s="56">
        <f>COUNTIFS(E4:E367,"=PTP A FO")</f>
        <v>38</v>
      </c>
    </row>
    <row r="2" spans="1:36" ht="21" x14ac:dyDescent="0.35">
      <c r="E2" s="27" t="s">
        <v>936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0</v>
      </c>
      <c r="R2" s="27">
        <f>COUNTIFS(R4:R367, "=APAGADO",E4:E367,"=PTP A FO")</f>
        <v>0</v>
      </c>
      <c r="S2" s="27">
        <f>COUNTIFS(S4:S367, "=APAGADO",E4:E367,"=PTP A FO")</f>
        <v>0</v>
      </c>
      <c r="T2" s="27">
        <f>COUNTIFS(T4:T367, "=APAGADO",E4:E367,"=PTP A FO")</f>
        <v>0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942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4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6" t="s">
        <v>1327</v>
      </c>
      <c r="D1" s="56">
        <f>COUNTIFS(E4:E367,"=radio")</f>
        <v>90</v>
      </c>
    </row>
    <row r="2" spans="1:36" ht="21" x14ac:dyDescent="0.35">
      <c r="E2" s="27" t="s">
        <v>936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0</v>
      </c>
      <c r="R2" s="27">
        <f>COUNTIFS(R4:R367, "=APAGADO",E4:E367,"=radio")</f>
        <v>0</v>
      </c>
      <c r="S2" s="27">
        <f>COUNTIFS(S4:S367, "=APAGADO",E4:E367,"=radio")</f>
        <v>0</v>
      </c>
      <c r="T2" s="27">
        <f>COUNTIFS(T4:T367, "=APAGADO",E4:E367,"=radio")</f>
        <v>0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25">
      <c r="A279" t="s">
        <v>942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4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28"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A46"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B11" sqref="B11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937</v>
      </c>
      <c r="B1" t="s">
        <v>20</v>
      </c>
      <c r="C1" t="s">
        <v>938</v>
      </c>
      <c r="D1" t="s">
        <v>1315</v>
      </c>
      <c r="E1" t="s">
        <v>940</v>
      </c>
      <c r="F1" t="s">
        <v>939</v>
      </c>
    </row>
    <row r="2" spans="1:6" x14ac:dyDescent="0.25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366</v>
      </c>
    </row>
    <row r="3" spans="1:6" x14ac:dyDescent="0.25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366</v>
      </c>
    </row>
    <row r="4" spans="1:6" x14ac:dyDescent="0.25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366</v>
      </c>
    </row>
    <row r="5" spans="1:6" x14ac:dyDescent="0.25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366</v>
      </c>
    </row>
    <row r="6" spans="1:6" x14ac:dyDescent="0.25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366</v>
      </c>
    </row>
    <row r="7" spans="1:6" x14ac:dyDescent="0.25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366</v>
      </c>
    </row>
    <row r="8" spans="1:6" x14ac:dyDescent="0.25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366</v>
      </c>
    </row>
    <row r="9" spans="1:6" x14ac:dyDescent="0.25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366</v>
      </c>
    </row>
    <row r="10" spans="1:6" x14ac:dyDescent="0.25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366</v>
      </c>
    </row>
    <row r="11" spans="1:6" x14ac:dyDescent="0.25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366</v>
      </c>
    </row>
    <row r="12" spans="1:6" x14ac:dyDescent="0.25">
      <c r="A12" s="26">
        <f>'APAGADOS RADIO'!P3</f>
        <v>44631</v>
      </c>
      <c r="F12">
        <f>'RESUMEN TOTAL'!C1</f>
        <v>366</v>
      </c>
    </row>
    <row r="13" spans="1:6" x14ac:dyDescent="0.25">
      <c r="A13" s="26">
        <f>'APAGADOS RADIO'!Q3</f>
        <v>44632</v>
      </c>
      <c r="F13">
        <f>'RESUMEN TOTAL'!C1</f>
        <v>366</v>
      </c>
    </row>
    <row r="14" spans="1:6" x14ac:dyDescent="0.25">
      <c r="A14" s="26">
        <f>'APAGADOS RADIO'!R3</f>
        <v>44633</v>
      </c>
      <c r="F14">
        <f>'RESUMEN TOTAL'!C1</f>
        <v>366</v>
      </c>
    </row>
    <row r="15" spans="1:6" x14ac:dyDescent="0.25">
      <c r="A15" s="26">
        <f>'APAGADOS RADIO'!S3</f>
        <v>44634</v>
      </c>
      <c r="F15">
        <f>'RESUMEN TOTAL'!C1</f>
        <v>366</v>
      </c>
    </row>
    <row r="16" spans="1:6" x14ac:dyDescent="0.25">
      <c r="A16" s="26">
        <f>'APAGADOS RADIO'!T3</f>
        <v>44635</v>
      </c>
      <c r="F16">
        <f>'RESUMEN TOTAL'!C1</f>
        <v>366</v>
      </c>
    </row>
    <row r="17" spans="1:6" x14ac:dyDescent="0.25">
      <c r="A17" s="26">
        <f>'APAGADOS RADIO'!U3</f>
        <v>44636</v>
      </c>
      <c r="F17">
        <f>'RESUMEN TOTAL'!C1</f>
        <v>366</v>
      </c>
    </row>
    <row r="18" spans="1:6" x14ac:dyDescent="0.25">
      <c r="A18" s="26">
        <f>'APAGADOS RADIO'!V3</f>
        <v>44637</v>
      </c>
      <c r="F18">
        <f>'RESUMEN TOTAL'!C1</f>
        <v>366</v>
      </c>
    </row>
    <row r="19" spans="1:6" x14ac:dyDescent="0.25">
      <c r="A19" s="26">
        <f>'APAGADOS RADIO'!W3</f>
        <v>44638</v>
      </c>
      <c r="F19">
        <f>'RESUMEN TOTAL'!C1</f>
        <v>366</v>
      </c>
    </row>
    <row r="20" spans="1:6" x14ac:dyDescent="0.25">
      <c r="A20" s="26">
        <f>'APAGADOS RADIO'!X3</f>
        <v>44639</v>
      </c>
      <c r="C20" s="31"/>
      <c r="F20">
        <f>'RESUMEN TOTAL'!C1</f>
        <v>366</v>
      </c>
    </row>
    <row r="21" spans="1:6" x14ac:dyDescent="0.25">
      <c r="A21" s="26">
        <f>'APAGADOS RADIO'!Y3</f>
        <v>44640</v>
      </c>
      <c r="F21">
        <f>'RESUMEN TOTAL'!C1</f>
        <v>366</v>
      </c>
    </row>
    <row r="22" spans="1:6" x14ac:dyDescent="0.25">
      <c r="A22" s="26">
        <f>'APAGADOS RADIO'!Z3</f>
        <v>44641</v>
      </c>
      <c r="B22" s="31"/>
      <c r="C22" s="31"/>
      <c r="F22">
        <f>'RESUMEN TOTAL'!C1</f>
        <v>366</v>
      </c>
    </row>
    <row r="23" spans="1:6" x14ac:dyDescent="0.25">
      <c r="A23" s="26">
        <f>'APAGADOS RADIO'!AA3</f>
        <v>44642</v>
      </c>
      <c r="B23" s="31"/>
      <c r="C23" s="31"/>
      <c r="F23">
        <f>'RESUMEN TOTAL'!C1</f>
        <v>366</v>
      </c>
    </row>
    <row r="24" spans="1:6" x14ac:dyDescent="0.25">
      <c r="A24" s="26">
        <f>'APAGADOS RADIO'!AB3</f>
        <v>44643</v>
      </c>
      <c r="B24" s="31"/>
      <c r="C24" s="31"/>
      <c r="F24">
        <f>'RESUMEN TOTAL'!C1</f>
        <v>366</v>
      </c>
    </row>
    <row r="25" spans="1:6" x14ac:dyDescent="0.25">
      <c r="A25" s="26">
        <f>'APAGADOS RADIO'!AC3</f>
        <v>44644</v>
      </c>
      <c r="B25" s="31"/>
      <c r="C25" s="31"/>
      <c r="F25">
        <f>'RESUMEN TOTAL'!C1</f>
        <v>366</v>
      </c>
    </row>
    <row r="26" spans="1:6" x14ac:dyDescent="0.25">
      <c r="A26" s="26">
        <f>'APAGADOS RADIO'!AD3</f>
        <v>44645</v>
      </c>
      <c r="B26" s="31"/>
      <c r="C26" s="31"/>
      <c r="F26">
        <f>'RESUMEN TOTAL'!C1</f>
        <v>366</v>
      </c>
    </row>
    <row r="27" spans="1:6" x14ac:dyDescent="0.25">
      <c r="A27" s="26">
        <f>'APAGADOS RADIO'!AE3</f>
        <v>44646</v>
      </c>
      <c r="F27">
        <f>'RESUMEN TOTAL'!C1</f>
        <v>366</v>
      </c>
    </row>
    <row r="28" spans="1:6" x14ac:dyDescent="0.25">
      <c r="A28" s="26">
        <f>'APAGADOS RADIO'!AF3</f>
        <v>44647</v>
      </c>
      <c r="F28">
        <f>'RESUMEN TOTAL'!C1</f>
        <v>366</v>
      </c>
    </row>
    <row r="29" spans="1:6" x14ac:dyDescent="0.25">
      <c r="A29" s="26">
        <f>'APAGADOS RADIO'!AG3</f>
        <v>44648</v>
      </c>
      <c r="F29">
        <f>'RESUMEN TOTAL'!C1</f>
        <v>366</v>
      </c>
    </row>
    <row r="30" spans="1:6" x14ac:dyDescent="0.25">
      <c r="A30" s="26">
        <f>'APAGADOS RADIO'!AH3</f>
        <v>44649</v>
      </c>
      <c r="F30">
        <f>'RESUMEN TOTAL'!C1</f>
        <v>366</v>
      </c>
    </row>
    <row r="31" spans="1:6" x14ac:dyDescent="0.25">
      <c r="A31" s="26">
        <f>'APAGADOS RADIO'!AI3</f>
        <v>44650</v>
      </c>
      <c r="F31">
        <f>'RESUMEN TOTAL'!C1</f>
        <v>366</v>
      </c>
    </row>
    <row r="32" spans="1:6" x14ac:dyDescent="0.25">
      <c r="A32" s="26">
        <f>'APAGADOS RADIO'!AJ3</f>
        <v>44651</v>
      </c>
      <c r="F32">
        <f>'RESUMEN TOTAL'!C1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2022-03-11T13:13:53Z</dcterms:modified>
</cp:coreProperties>
</file>