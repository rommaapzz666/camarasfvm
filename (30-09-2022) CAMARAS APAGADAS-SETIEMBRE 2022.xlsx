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8B8127D9-0AE4-46FD-AD61-AA796DB64EED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TOTAL'!$A$4:$AN$422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9" i="2" l="1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J425" i="2" s="1"/>
  <c r="H426" i="2"/>
  <c r="I426" i="2"/>
  <c r="H427" i="2"/>
  <c r="I427" i="2"/>
  <c r="H428" i="2"/>
  <c r="I428" i="2"/>
  <c r="H429" i="2"/>
  <c r="I429" i="2"/>
  <c r="H430" i="2"/>
  <c r="I430" i="2"/>
  <c r="J430" i="2" s="1"/>
  <c r="H431" i="2"/>
  <c r="I431" i="2"/>
  <c r="J431" i="2" l="1"/>
  <c r="J253" i="2"/>
  <c r="J429" i="2"/>
  <c r="J428" i="2"/>
  <c r="J424" i="2"/>
  <c r="J427" i="2"/>
  <c r="J252" i="2"/>
  <c r="J423" i="2"/>
  <c r="J426" i="2"/>
  <c r="J128" i="2"/>
  <c r="J127" i="2"/>
  <c r="J130" i="2"/>
  <c r="J129" i="2"/>
  <c r="D73" i="24"/>
  <c r="C74" i="24"/>
  <c r="C75" i="24" s="1"/>
  <c r="C6" i="26"/>
  <c r="C4" i="26"/>
  <c r="B4" i="25"/>
  <c r="B2" i="25"/>
  <c r="C69" i="24"/>
  <c r="D69" i="24" s="1"/>
  <c r="D68" i="24"/>
  <c r="D63" i="24"/>
  <c r="C64" i="24"/>
  <c r="C65" i="24" s="1"/>
  <c r="D58" i="24"/>
  <c r="C59" i="24"/>
  <c r="D59" i="24" s="1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D53" i="24"/>
  <c r="C54" i="24"/>
  <c r="C55" i="24" s="1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D74" i="24" l="1"/>
  <c r="D75" i="24"/>
  <c r="C76" i="24"/>
  <c r="D76" i="24" s="1"/>
  <c r="C70" i="24"/>
  <c r="D64" i="24"/>
  <c r="D65" i="24"/>
  <c r="C66" i="24"/>
  <c r="D66" i="24" s="1"/>
  <c r="J382" i="2"/>
  <c r="J383" i="2"/>
  <c r="C60" i="24"/>
  <c r="J381" i="2"/>
  <c r="J380" i="2"/>
  <c r="J261" i="2"/>
  <c r="C56" i="24"/>
  <c r="D56" i="24" s="1"/>
  <c r="D55" i="24"/>
  <c r="D54" i="24"/>
  <c r="J264" i="2"/>
  <c r="J306" i="2"/>
  <c r="J110" i="2"/>
  <c r="J109" i="2"/>
  <c r="J263" i="2"/>
  <c r="J262" i="2"/>
  <c r="J305" i="2"/>
  <c r="D48" i="24"/>
  <c r="C49" i="24"/>
  <c r="C50" i="24" s="1"/>
  <c r="D43" i="24"/>
  <c r="C44" i="24"/>
  <c r="C45" i="24" s="1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D38" i="24"/>
  <c r="C39" i="24"/>
  <c r="D39" i="24" s="1"/>
  <c r="D70" i="24" l="1"/>
  <c r="C71" i="24"/>
  <c r="D71" i="24" s="1"/>
  <c r="D60" i="24"/>
  <c r="C61" i="24"/>
  <c r="D61" i="24" s="1"/>
  <c r="J94" i="2"/>
  <c r="D49" i="24"/>
  <c r="D50" i="24"/>
  <c r="C51" i="24"/>
  <c r="D51" i="24" s="1"/>
  <c r="J418" i="2"/>
  <c r="J96" i="2"/>
  <c r="J417" i="2"/>
  <c r="J95" i="2"/>
  <c r="D44" i="24"/>
  <c r="C46" i="24"/>
  <c r="D46" i="24" s="1"/>
  <c r="D45" i="24"/>
  <c r="C40" i="24"/>
  <c r="D40" i="24" l="1"/>
  <c r="C41" i="24"/>
  <c r="D41" i="24" s="1"/>
  <c r="B1" i="2" l="1"/>
  <c r="F31" i="14" s="1"/>
  <c r="H257" i="2"/>
  <c r="I257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32" i="2"/>
  <c r="I332" i="2"/>
  <c r="H333" i="2"/>
  <c r="I333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D3" i="24"/>
  <c r="C4" i="24"/>
  <c r="D4" i="24" s="1"/>
  <c r="F29" i="14" l="1"/>
  <c r="F30" i="14"/>
  <c r="F23" i="14"/>
  <c r="F28" i="14"/>
  <c r="F27" i="14"/>
  <c r="F26" i="14"/>
  <c r="F25" i="14"/>
  <c r="F24" i="14"/>
  <c r="F21" i="14"/>
  <c r="F22" i="14"/>
  <c r="F20" i="14"/>
  <c r="F19" i="14"/>
  <c r="F18" i="14"/>
  <c r="J257" i="2"/>
  <c r="J93" i="2"/>
  <c r="S401" i="21"/>
  <c r="R399" i="9"/>
  <c r="A399" i="9"/>
  <c r="C35" i="24"/>
  <c r="C30" i="24"/>
  <c r="D24" i="24"/>
  <c r="D25" i="24"/>
  <c r="C26" i="24"/>
  <c r="D26" i="24" s="1"/>
  <c r="J332" i="2"/>
  <c r="J333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C5" i="24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D31" i="14" s="1"/>
  <c r="AH2" i="21"/>
  <c r="D30" i="14" s="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D9" i="14"/>
  <c r="D11" i="14"/>
  <c r="AH2" i="11"/>
  <c r="B30" i="14" s="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C31" i="14" s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1" i="14" s="1"/>
  <c r="E31" i="14" s="1"/>
  <c r="G31" i="14" s="1"/>
  <c r="AG2" i="11"/>
  <c r="R2" i="11"/>
  <c r="B14" i="14" s="1"/>
  <c r="AB2" i="11"/>
  <c r="B24" i="14" s="1"/>
  <c r="V2" i="11"/>
  <c r="B18" i="14" s="1"/>
  <c r="Q2" i="11"/>
  <c r="B13" i="14" s="1"/>
  <c r="B23" i="14"/>
  <c r="AC2" i="11"/>
  <c r="B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s="1"/>
  <c r="G19" i="14" s="1"/>
  <c r="B29" i="14" l="1"/>
  <c r="E29" i="14" s="1"/>
  <c r="G29" i="14" s="1"/>
  <c r="E26" i="14"/>
  <c r="G26" i="14" s="1"/>
  <c r="E30" i="14"/>
  <c r="G30" i="14" s="1"/>
  <c r="E25" i="14"/>
  <c r="G25" i="14" s="1"/>
  <c r="B28" i="14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<sst xmlns="http://schemas.openxmlformats.org/spreadsheetml/2006/main" count="4366" uniqueCount="1278">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</sst>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  <c:pt idx="28">
                  <c:v>54</c:v>
                </c:pt>
                <c:pt idx="2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  <c:pt idx="27">
                  <c:v>65</c:v>
                </c:pt>
                <c:pt idx="28">
                  <c:v>66</c:v>
                </c:pt>
                <c:pt idx="2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  <c:pt idx="28">
                  <c:v>54</c:v>
                </c:pt>
                <c:pt idx="29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  <c:pt idx="27">
                  <c:v>65</c:v>
                </c:pt>
                <c:pt idx="28">
                  <c:v>66</c:v>
                </c:pt>
                <c:pt idx="2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6.5727699530516437E-2</c:v>
                </c:pt>
                <c:pt idx="1">
                  <c:v>0.12441314553990611</c:v>
                </c:pt>
                <c:pt idx="2">
                  <c:v>0.19953051643192488</c:v>
                </c:pt>
                <c:pt idx="3">
                  <c:v>0.19953051643192488</c:v>
                </c:pt>
                <c:pt idx="4">
                  <c:v>8.9201877934272297E-2</c:v>
                </c:pt>
                <c:pt idx="5">
                  <c:v>7.5117370892018781E-2</c:v>
                </c:pt>
                <c:pt idx="6">
                  <c:v>4.9295774647887321E-2</c:v>
                </c:pt>
                <c:pt idx="7">
                  <c:v>4.9295774647887321E-2</c:v>
                </c:pt>
                <c:pt idx="8">
                  <c:v>8.6854460093896718E-2</c:v>
                </c:pt>
                <c:pt idx="9">
                  <c:v>6.1032863849765258E-2</c:v>
                </c:pt>
                <c:pt idx="10">
                  <c:v>7.2769953051643188E-2</c:v>
                </c:pt>
                <c:pt idx="11">
                  <c:v>6.3380281690140844E-2</c:v>
                </c:pt>
                <c:pt idx="12">
                  <c:v>6.8075117370892016E-2</c:v>
                </c:pt>
                <c:pt idx="13">
                  <c:v>7.9812206572769953E-2</c:v>
                </c:pt>
                <c:pt idx="14">
                  <c:v>0.10093896713615023</c:v>
                </c:pt>
                <c:pt idx="15">
                  <c:v>8.4507042253521125E-2</c:v>
                </c:pt>
                <c:pt idx="16">
                  <c:v>9.3896713615023469E-2</c:v>
                </c:pt>
                <c:pt idx="17">
                  <c:v>9.154929577464789E-2</c:v>
                </c:pt>
                <c:pt idx="18">
                  <c:v>8.6854460093896718E-2</c:v>
                </c:pt>
                <c:pt idx="19">
                  <c:v>9.8591549295774641E-2</c:v>
                </c:pt>
                <c:pt idx="20">
                  <c:v>8.9201877934272297E-2</c:v>
                </c:pt>
                <c:pt idx="21">
                  <c:v>9.6244131455399062E-2</c:v>
                </c:pt>
                <c:pt idx="22">
                  <c:v>0.11032863849765258</c:v>
                </c:pt>
                <c:pt idx="23">
                  <c:v>0.10093896713615023</c:v>
                </c:pt>
                <c:pt idx="24">
                  <c:v>9.6244131455399062E-2</c:v>
                </c:pt>
                <c:pt idx="25">
                  <c:v>0.10563380281690141</c:v>
                </c:pt>
                <c:pt idx="26">
                  <c:v>0.14084507042253522</c:v>
                </c:pt>
                <c:pt idx="27">
                  <c:v>0.15258215962441316</c:v>
                </c:pt>
                <c:pt idx="28">
                  <c:v>0.15492957746478872</c:v>
                </c:pt>
                <c:pt idx="29">
                  <c:v>0.107981220657277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  <c:pt idx="28">
                  <c:v>54</c:v>
                </c:pt>
                <c:pt idx="29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  <c:pt idx="28">
                  <c:v>54</c:v>
                </c:pt>
                <c:pt idx="2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  <c:pt idx="27">
                  <c:v>65</c:v>
                </c:pt>
                <c:pt idx="28">
                  <c:v>66</c:v>
                </c:pt>
                <c:pt idx="2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  <c:pt idx="28">
                  <c:v>54</c:v>
                </c:pt>
                <c:pt idx="29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  <c:pt idx="27">
                  <c:v>65</c:v>
                </c:pt>
                <c:pt idx="28">
                  <c:v>66</c:v>
                </c:pt>
                <c:pt idx="2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6.5727699530516437E-2</c:v>
                </c:pt>
                <c:pt idx="1">
                  <c:v>0.12441314553990611</c:v>
                </c:pt>
                <c:pt idx="2">
                  <c:v>0.19953051643192488</c:v>
                </c:pt>
                <c:pt idx="3">
                  <c:v>0.19953051643192488</c:v>
                </c:pt>
                <c:pt idx="4">
                  <c:v>8.9201877934272297E-2</c:v>
                </c:pt>
                <c:pt idx="5">
                  <c:v>7.5117370892018781E-2</c:v>
                </c:pt>
                <c:pt idx="6">
                  <c:v>4.9295774647887321E-2</c:v>
                </c:pt>
                <c:pt idx="7">
                  <c:v>4.9295774647887321E-2</c:v>
                </c:pt>
                <c:pt idx="8">
                  <c:v>8.6854460093896718E-2</c:v>
                </c:pt>
                <c:pt idx="9">
                  <c:v>6.1032863849765258E-2</c:v>
                </c:pt>
                <c:pt idx="10">
                  <c:v>7.2769953051643188E-2</c:v>
                </c:pt>
                <c:pt idx="11">
                  <c:v>6.3380281690140844E-2</c:v>
                </c:pt>
                <c:pt idx="12">
                  <c:v>6.8075117370892016E-2</c:v>
                </c:pt>
                <c:pt idx="13">
                  <c:v>7.9812206572769953E-2</c:v>
                </c:pt>
                <c:pt idx="14">
                  <c:v>0.10093896713615023</c:v>
                </c:pt>
                <c:pt idx="15">
                  <c:v>8.4507042253521125E-2</c:v>
                </c:pt>
                <c:pt idx="16">
                  <c:v>9.3896713615023469E-2</c:v>
                </c:pt>
                <c:pt idx="17">
                  <c:v>9.154929577464789E-2</c:v>
                </c:pt>
                <c:pt idx="18">
                  <c:v>8.6854460093896718E-2</c:v>
                </c:pt>
                <c:pt idx="19">
                  <c:v>9.8591549295774641E-2</c:v>
                </c:pt>
                <c:pt idx="20">
                  <c:v>8.9201877934272297E-2</c:v>
                </c:pt>
                <c:pt idx="21">
                  <c:v>9.6244131455399062E-2</c:v>
                </c:pt>
                <c:pt idx="22">
                  <c:v>0.11032863849765258</c:v>
                </c:pt>
                <c:pt idx="23">
                  <c:v>0.10093896713615023</c:v>
                </c:pt>
                <c:pt idx="24">
                  <c:v>9.6244131455399062E-2</c:v>
                </c:pt>
                <c:pt idx="25">
                  <c:v>0.10563380281690141</c:v>
                </c:pt>
                <c:pt idx="26">
                  <c:v>0.14084507042253522</c:v>
                </c:pt>
                <c:pt idx="27">
                  <c:v>0.15258215962441316</c:v>
                </c:pt>
                <c:pt idx="28">
                  <c:v>0.15492957746478872</c:v>
                </c:pt>
                <c:pt idx="29">
                  <c:v>0.107981220657277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32</c:v>
                </c:pt>
                <c:pt idx="20">
                  <c:v>34</c:v>
                </c:pt>
                <c:pt idx="21">
                  <c:v>33</c:v>
                </c:pt>
                <c:pt idx="22">
                  <c:v>42</c:v>
                </c:pt>
                <c:pt idx="23">
                  <c:v>37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48</c:v>
                </c:pt>
                <c:pt idx="28">
                  <c:v>51</c:v>
                </c:pt>
                <c:pt idx="29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35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6</c:v>
                </c:pt>
                <c:pt idx="24">
                  <c:v>3</c:v>
                </c:pt>
                <c:pt idx="25">
                  <c:v>7</c:v>
                </c:pt>
                <c:pt idx="26">
                  <c:v>22</c:v>
                </c:pt>
                <c:pt idx="27">
                  <c:v>17</c:v>
                </c:pt>
                <c:pt idx="28">
                  <c:v>15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9.8214285714285712E-2</c:v>
                      </c:pt>
                      <c:pt idx="1">
                        <c:v>0.22321428571428573</c:v>
                      </c:pt>
                      <c:pt idx="2">
                        <c:v>0.26785714285714285</c:v>
                      </c:pt>
                      <c:pt idx="3">
                        <c:v>0.24553571428571427</c:v>
                      </c:pt>
                      <c:pt idx="4">
                        <c:v>0.12053571428571429</c:v>
                      </c:pt>
                      <c:pt idx="5">
                        <c:v>0.12946428571428573</c:v>
                      </c:pt>
                      <c:pt idx="6">
                        <c:v>7.5892857142857137E-2</c:v>
                      </c:pt>
                      <c:pt idx="7">
                        <c:v>8.0357142857142863E-2</c:v>
                      </c:pt>
                      <c:pt idx="8">
                        <c:v>9.8214285714285712E-2</c:v>
                      </c:pt>
                      <c:pt idx="9">
                        <c:v>8.9285714285714288E-2</c:v>
                      </c:pt>
                      <c:pt idx="10">
                        <c:v>9.8214285714285712E-2</c:v>
                      </c:pt>
                      <c:pt idx="11">
                        <c:v>9.375E-2</c:v>
                      </c:pt>
                      <c:pt idx="12">
                        <c:v>0.10714285714285714</c:v>
                      </c:pt>
                      <c:pt idx="13">
                        <c:v>0.12053571428571429</c:v>
                      </c:pt>
                      <c:pt idx="14">
                        <c:v>0.13392857142857142</c:v>
                      </c:pt>
                      <c:pt idx="15">
                        <c:v>0.12946428571428573</c:v>
                      </c:pt>
                      <c:pt idx="16">
                        <c:v>0.13392857142857142</c:v>
                      </c:pt>
                      <c:pt idx="17">
                        <c:v>0.12946428571428573</c:v>
                      </c:pt>
                      <c:pt idx="18">
                        <c:v>0.125</c:v>
                      </c:pt>
                      <c:pt idx="19">
                        <c:v>0.14285714285714285</c:v>
                      </c:pt>
                      <c:pt idx="20">
                        <c:v>0.15178571428571427</c:v>
                      </c:pt>
                      <c:pt idx="21">
                        <c:v>0.14732142857142858</c:v>
                      </c:pt>
                      <c:pt idx="22">
                        <c:v>0.1875</c:v>
                      </c:pt>
                      <c:pt idx="23">
                        <c:v>0.16517857142857142</c:v>
                      </c:pt>
                      <c:pt idx="24">
                        <c:v>0.16964285714285715</c:v>
                      </c:pt>
                      <c:pt idx="25">
                        <c:v>0.16964285714285715</c:v>
                      </c:pt>
                      <c:pt idx="26">
                        <c:v>0.16964285714285715</c:v>
                      </c:pt>
                      <c:pt idx="27">
                        <c:v>0.21428571428571427</c:v>
                      </c:pt>
                      <c:pt idx="28">
                        <c:v>0.22767857142857142</c:v>
                      </c:pt>
                      <c:pt idx="29">
                        <c:v>0.17410714285714285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2.9556650246305417E-2</c:v>
                      </c:pt>
                      <c:pt idx="1">
                        <c:v>1.4778325123152709E-2</c:v>
                      </c:pt>
                      <c:pt idx="2">
                        <c:v>0.12807881773399016</c:v>
                      </c:pt>
                      <c:pt idx="3">
                        <c:v>0.17241379310344829</c:v>
                      </c:pt>
                      <c:pt idx="4">
                        <c:v>5.4187192118226604E-2</c:v>
                      </c:pt>
                      <c:pt idx="5">
                        <c:v>1.4778325123152709E-2</c:v>
                      </c:pt>
                      <c:pt idx="6">
                        <c:v>1.9704433497536946E-2</c:v>
                      </c:pt>
                      <c:pt idx="7">
                        <c:v>1.4778325123152709E-2</c:v>
                      </c:pt>
                      <c:pt idx="8">
                        <c:v>7.3891625615763554E-2</c:v>
                      </c:pt>
                      <c:pt idx="9">
                        <c:v>3.4482758620689655E-2</c:v>
                      </c:pt>
                      <c:pt idx="10">
                        <c:v>4.9261083743842367E-2</c:v>
                      </c:pt>
                      <c:pt idx="11">
                        <c:v>2.4630541871921183E-2</c:v>
                      </c:pt>
                      <c:pt idx="12">
                        <c:v>2.4630541871921183E-2</c:v>
                      </c:pt>
                      <c:pt idx="13">
                        <c:v>3.4482758620689655E-2</c:v>
                      </c:pt>
                      <c:pt idx="14">
                        <c:v>6.8965517241379309E-2</c:v>
                      </c:pt>
                      <c:pt idx="15">
                        <c:v>3.4482758620689655E-2</c:v>
                      </c:pt>
                      <c:pt idx="16">
                        <c:v>4.9261083743842367E-2</c:v>
                      </c:pt>
                      <c:pt idx="17">
                        <c:v>4.9261083743842367E-2</c:v>
                      </c:pt>
                      <c:pt idx="18">
                        <c:v>4.4334975369458129E-2</c:v>
                      </c:pt>
                      <c:pt idx="19">
                        <c:v>4.9261083743842367E-2</c:v>
                      </c:pt>
                      <c:pt idx="20">
                        <c:v>1.9704433497536946E-2</c:v>
                      </c:pt>
                      <c:pt idx="21">
                        <c:v>3.9408866995073892E-2</c:v>
                      </c:pt>
                      <c:pt idx="22">
                        <c:v>2.4630541871921183E-2</c:v>
                      </c:pt>
                      <c:pt idx="23">
                        <c:v>2.9556650246305417E-2</c:v>
                      </c:pt>
                      <c:pt idx="24">
                        <c:v>1.4778325123152709E-2</c:v>
                      </c:pt>
                      <c:pt idx="25">
                        <c:v>3.4482758620689655E-2</c:v>
                      </c:pt>
                      <c:pt idx="26" formatCode="0.00%">
                        <c:v>0.10837438423645321</c:v>
                      </c:pt>
                      <c:pt idx="27" formatCode="0.00%">
                        <c:v>8.3743842364532015E-2</c:v>
                      </c:pt>
                      <c:pt idx="28" formatCode="0.00%">
                        <c:v>7.3891625615763554E-2</c:v>
                      </c:pt>
                      <c:pt idx="29" formatCode="0.00%">
                        <c:v>3.4482758620689655E-2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9.8214285714285712E-2</c:v>
                </c:pt>
                <c:pt idx="1">
                  <c:v>0.22321428571428573</c:v>
                </c:pt>
                <c:pt idx="2">
                  <c:v>0.26785714285714285</c:v>
                </c:pt>
                <c:pt idx="3">
                  <c:v>0.24553571428571427</c:v>
                </c:pt>
                <c:pt idx="4">
                  <c:v>0.12053571428571429</c:v>
                </c:pt>
                <c:pt idx="5">
                  <c:v>0.12946428571428573</c:v>
                </c:pt>
                <c:pt idx="6">
                  <c:v>7.5892857142857137E-2</c:v>
                </c:pt>
                <c:pt idx="7">
                  <c:v>8.0357142857142863E-2</c:v>
                </c:pt>
                <c:pt idx="8">
                  <c:v>9.8214285714285712E-2</c:v>
                </c:pt>
                <c:pt idx="9">
                  <c:v>8.9285714285714288E-2</c:v>
                </c:pt>
                <c:pt idx="10">
                  <c:v>9.8214285714285712E-2</c:v>
                </c:pt>
                <c:pt idx="11">
                  <c:v>9.375E-2</c:v>
                </c:pt>
                <c:pt idx="12">
                  <c:v>0.10714285714285714</c:v>
                </c:pt>
                <c:pt idx="13">
                  <c:v>0.12053571428571429</c:v>
                </c:pt>
                <c:pt idx="14">
                  <c:v>0.13392857142857142</c:v>
                </c:pt>
                <c:pt idx="15">
                  <c:v>0.12946428571428573</c:v>
                </c:pt>
                <c:pt idx="16">
                  <c:v>0.13392857142857142</c:v>
                </c:pt>
                <c:pt idx="17">
                  <c:v>0.12946428571428573</c:v>
                </c:pt>
                <c:pt idx="18">
                  <c:v>0.125</c:v>
                </c:pt>
                <c:pt idx="19">
                  <c:v>0.14285714285714285</c:v>
                </c:pt>
                <c:pt idx="20">
                  <c:v>0.15178571428571427</c:v>
                </c:pt>
                <c:pt idx="21">
                  <c:v>0.14732142857142858</c:v>
                </c:pt>
                <c:pt idx="22">
                  <c:v>0.1875</c:v>
                </c:pt>
                <c:pt idx="23">
                  <c:v>0.16517857142857142</c:v>
                </c:pt>
                <c:pt idx="24">
                  <c:v>0.16964285714285715</c:v>
                </c:pt>
                <c:pt idx="25">
                  <c:v>0.16964285714285715</c:v>
                </c:pt>
                <c:pt idx="26">
                  <c:v>0.16964285714285715</c:v>
                </c:pt>
                <c:pt idx="27">
                  <c:v>0.21428571428571427</c:v>
                </c:pt>
                <c:pt idx="28">
                  <c:v>0.22767857142857142</c:v>
                </c:pt>
                <c:pt idx="29">
                  <c:v>0.17410714285714285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2.9556650246305417E-2</c:v>
                </c:pt>
                <c:pt idx="1">
                  <c:v>1.4778325123152709E-2</c:v>
                </c:pt>
                <c:pt idx="2">
                  <c:v>0.12807881773399016</c:v>
                </c:pt>
                <c:pt idx="3">
                  <c:v>0.17241379310344829</c:v>
                </c:pt>
                <c:pt idx="4">
                  <c:v>5.4187192118226604E-2</c:v>
                </c:pt>
                <c:pt idx="5">
                  <c:v>1.4778325123152709E-2</c:v>
                </c:pt>
                <c:pt idx="6">
                  <c:v>1.9704433497536946E-2</c:v>
                </c:pt>
                <c:pt idx="7">
                  <c:v>1.4778325123152709E-2</c:v>
                </c:pt>
                <c:pt idx="8">
                  <c:v>7.3891625615763554E-2</c:v>
                </c:pt>
                <c:pt idx="9">
                  <c:v>3.4482758620689655E-2</c:v>
                </c:pt>
                <c:pt idx="10">
                  <c:v>4.9261083743842367E-2</c:v>
                </c:pt>
                <c:pt idx="11">
                  <c:v>2.4630541871921183E-2</c:v>
                </c:pt>
                <c:pt idx="12">
                  <c:v>2.4630541871921183E-2</c:v>
                </c:pt>
                <c:pt idx="13">
                  <c:v>3.4482758620689655E-2</c:v>
                </c:pt>
                <c:pt idx="14">
                  <c:v>6.8965517241379309E-2</c:v>
                </c:pt>
                <c:pt idx="15">
                  <c:v>3.4482758620689655E-2</c:v>
                </c:pt>
                <c:pt idx="16">
                  <c:v>4.9261083743842367E-2</c:v>
                </c:pt>
                <c:pt idx="17">
                  <c:v>4.9261083743842367E-2</c:v>
                </c:pt>
                <c:pt idx="18">
                  <c:v>4.4334975369458129E-2</c:v>
                </c:pt>
                <c:pt idx="19">
                  <c:v>4.9261083743842367E-2</c:v>
                </c:pt>
                <c:pt idx="20">
                  <c:v>1.9704433497536946E-2</c:v>
                </c:pt>
                <c:pt idx="21">
                  <c:v>3.9408866995073892E-2</c:v>
                </c:pt>
                <c:pt idx="22">
                  <c:v>2.4630541871921183E-2</c:v>
                </c:pt>
                <c:pt idx="23">
                  <c:v>2.9556650246305417E-2</c:v>
                </c:pt>
                <c:pt idx="24">
                  <c:v>1.4778325123152709E-2</c:v>
                </c:pt>
                <c:pt idx="25">
                  <c:v>3.4482758620689655E-2</c:v>
                </c:pt>
                <c:pt idx="26" formatCode="0.00%">
                  <c:v>0.10837438423645321</c:v>
                </c:pt>
                <c:pt idx="27" formatCode="0.00%">
                  <c:v>8.3743842364532015E-2</c:v>
                </c:pt>
                <c:pt idx="28" formatCode="0.00%">
                  <c:v>7.3891625615763554E-2</c:v>
                </c:pt>
                <c:pt idx="29" formatCode="0.00%">
                  <c:v>3.4482758620689655E-2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28</c:v>
                      </c:pt>
                      <c:pt idx="19">
                        <c:v>32</c:v>
                      </c:pt>
                      <c:pt idx="20">
                        <c:v>34</c:v>
                      </c:pt>
                      <c:pt idx="21">
                        <c:v>33</c:v>
                      </c:pt>
                      <c:pt idx="22">
                        <c:v>42</c:v>
                      </c:pt>
                      <c:pt idx="23">
                        <c:v>37</c:v>
                      </c:pt>
                      <c:pt idx="24">
                        <c:v>38</c:v>
                      </c:pt>
                      <c:pt idx="25">
                        <c:v>38</c:v>
                      </c:pt>
                      <c:pt idx="26">
                        <c:v>38</c:v>
                      </c:pt>
                      <c:pt idx="27">
                        <c:v>48</c:v>
                      </c:pt>
                      <c:pt idx="28">
                        <c:v>51</c:v>
                      </c:pt>
                      <c:pt idx="29">
                        <c:v>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35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4</c:v>
                      </c:pt>
                      <c:pt idx="21">
                        <c:v>8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3</c:v>
                      </c:pt>
                      <c:pt idx="25">
                        <c:v>7</c:v>
                      </c:pt>
                      <c:pt idx="26">
                        <c:v>22</c:v>
                      </c:pt>
                      <c:pt idx="27">
                        <c:v>17</c:v>
                      </c:pt>
                      <c:pt idx="28">
                        <c:v>15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7"/>
  <sheetViews>
    <sheetView tabSelected="1" zoomScale="80" zoomScaleNormal="80" workbookViewId="0">
      <pane xSplit="10" ySplit="4" topLeftCell="AM404" activePane="bottomRight" state="frozen"/>
      <selection pane="topRight" activeCell="M1" sqref="M1"/>
      <selection pane="bottomLeft" activeCell="A5" sqref="A5"/>
      <selection pane="bottomRight" activeCell="B428" sqref="B428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6.746987951807229E-2</v>
      </c>
      <c r="L1" s="4">
        <f t="shared" si="0"/>
        <v>0.12771084337349398</v>
      </c>
      <c r="M1" s="4">
        <f t="shared" si="0"/>
        <v>0.20722891566265061</v>
      </c>
      <c r="N1" s="4">
        <f t="shared" si="0"/>
        <v>0.21686746987951808</v>
      </c>
      <c r="O1" s="4">
        <f t="shared" si="0"/>
        <v>9.1566265060240959E-2</v>
      </c>
      <c r="P1" s="4">
        <f t="shared" si="0"/>
        <v>7.7108433734939766E-2</v>
      </c>
      <c r="Q1" s="4">
        <f t="shared" si="0"/>
        <v>5.0602409638554217E-2</v>
      </c>
      <c r="R1" s="4">
        <f t="shared" si="0"/>
        <v>5.0602409638554217E-2</v>
      </c>
      <c r="S1" s="4">
        <f t="shared" si="0"/>
        <v>8.91566265060241E-2</v>
      </c>
      <c r="T1" s="4">
        <f t="shared" si="0"/>
        <v>6.5060240963855417E-2</v>
      </c>
      <c r="U1" s="4">
        <f t="shared" si="0"/>
        <v>7.7108433734939766E-2</v>
      </c>
      <c r="V1" s="4">
        <f t="shared" si="0"/>
        <v>6.2650602409638559E-2</v>
      </c>
      <c r="W1" s="4">
        <f t="shared" si="0"/>
        <v>6.9879518072289162E-2</v>
      </c>
      <c r="X1" s="4">
        <f t="shared" si="0"/>
        <v>8.1927710843373497E-2</v>
      </c>
      <c r="Y1" s="4">
        <f t="shared" si="0"/>
        <v>0.10602409638554217</v>
      </c>
      <c r="Z1" s="4">
        <f t="shared" si="0"/>
        <v>8.6746987951807228E-2</v>
      </c>
      <c r="AA1" s="4">
        <f t="shared" si="0"/>
        <v>9.6385542168674704E-2</v>
      </c>
      <c r="AB1" s="4">
        <f t="shared" si="0"/>
        <v>9.3975903614457831E-2</v>
      </c>
      <c r="AC1" s="4">
        <f t="shared" si="0"/>
        <v>8.91566265060241E-2</v>
      </c>
      <c r="AD1" s="4">
        <f t="shared" si="0"/>
        <v>0.10120481927710843</v>
      </c>
      <c r="AE1" s="4">
        <f t="shared" si="0"/>
        <v>9.1566265060240959E-2</v>
      </c>
      <c r="AF1" s="4">
        <f t="shared" si="0"/>
        <v>9.8086124401913874E-2</v>
      </c>
      <c r="AG1" s="4">
        <f t="shared" si="0"/>
        <v>0.11244019138755981</v>
      </c>
      <c r="AH1" s="4">
        <f t="shared" si="0"/>
        <v>0.10287081339712918</v>
      </c>
      <c r="AI1" s="4">
        <f t="shared" si="0"/>
        <v>9.8086124401913874E-2</v>
      </c>
      <c r="AJ1" s="4">
        <f t="shared" si="0"/>
        <v>0.1076555023923445</v>
      </c>
      <c r="AK1" s="4">
        <f t="shared" si="0"/>
        <v>0.14354066985645933</v>
      </c>
      <c r="AL1" s="4">
        <f t="shared" si="0"/>
        <v>0.15550239234449761</v>
      </c>
      <c r="AM1" s="4">
        <f t="shared" si="0"/>
        <v>0.15789473684210525</v>
      </c>
      <c r="AN1" s="4">
        <f t="shared" si="0"/>
        <v>0.11004784688995216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COUNTIF(K7:K421, "")</f>
        <v>387</v>
      </c>
      <c r="L2" s="10">
        <f>COUNTIF(L7:L421, "")</f>
        <v>362</v>
      </c>
      <c r="M2" s="10">
        <f>COUNTIF(M7:M421, "")</f>
        <v>329</v>
      </c>
      <c r="N2" s="10">
        <f>COUNTIF(N7:N421, "")</f>
        <v>325</v>
      </c>
      <c r="O2" s="10">
        <f>COUNTIF(O7:O421, "")</f>
        <v>377</v>
      </c>
      <c r="P2" s="10">
        <f>COUNTIF(P7:P421, "")</f>
        <v>383</v>
      </c>
      <c r="Q2" s="10">
        <f>COUNTIF(Q7:Q421, "")</f>
        <v>394</v>
      </c>
      <c r="R2" s="10">
        <f>COUNTIF(R7:R421, "")</f>
        <v>394</v>
      </c>
      <c r="S2" s="10">
        <f>COUNTIF(S7:S421, "")</f>
        <v>378</v>
      </c>
      <c r="T2" s="10">
        <f>COUNTIF(T7:T421, "")</f>
        <v>388</v>
      </c>
      <c r="U2" s="10">
        <f>COUNTIF(U7:U421, "")</f>
        <v>383</v>
      </c>
      <c r="V2" s="10">
        <f>COUNTIF(V7:V421, "")</f>
        <v>389</v>
      </c>
      <c r="W2" s="10">
        <f>COUNTIF(W7:W421, "")</f>
        <v>386</v>
      </c>
      <c r="X2" s="10">
        <f>COUNTIF(X7:X421, "")</f>
        <v>381</v>
      </c>
      <c r="Y2" s="10">
        <f>COUNTIF(Y7:Y421, "")</f>
        <v>371</v>
      </c>
      <c r="Z2" s="10">
        <f>COUNTIF(Z7:Z421, "")</f>
        <v>379</v>
      </c>
      <c r="AA2" s="10">
        <f>COUNTIF(AA7:AA421, "")</f>
        <v>375</v>
      </c>
      <c r="AB2" s="10">
        <f>COUNTIF(AB7:AB421, "")</f>
        <v>376</v>
      </c>
      <c r="AC2" s="10">
        <f>COUNTIF(AC7:AC421, "")</f>
        <v>378</v>
      </c>
      <c r="AD2" s="10">
        <f>COUNTIF(AD7:AD421, "")</f>
        <v>373</v>
      </c>
      <c r="AE2" s="10">
        <f>COUNTIF(AE7:AE421, "")</f>
        <v>377</v>
      </c>
      <c r="AF2" s="10">
        <f>COUNTIF(AF5:AF422, "")</f>
        <v>377</v>
      </c>
      <c r="AG2" s="10">
        <f>COUNTIF(AG5:AG422, "")</f>
        <v>371</v>
      </c>
      <c r="AH2" s="10">
        <f>COUNTIF(AH5:AH422, "")</f>
        <v>375</v>
      </c>
      <c r="AI2" s="10">
        <f>COUNTIF(AI5:AI422, "")</f>
        <v>377</v>
      </c>
      <c r="AJ2" s="10">
        <f>COUNTIF(AJ5:AJ422, "")</f>
        <v>373</v>
      </c>
      <c r="AK2" s="10">
        <f>COUNTIF(AK5:AK422, "")</f>
        <v>358</v>
      </c>
      <c r="AL2" s="10">
        <f>COUNTIF(AL5:AL422, "")</f>
        <v>353</v>
      </c>
      <c r="AM2" s="10">
        <f>COUNTIF(AM5:AM422, "")</f>
        <v>352</v>
      </c>
      <c r="AN2" s="10">
        <f>COUNTIF(AN5:AN422, "")</f>
        <v>372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COUNTIF(K4:K448, "apagado")</f>
        <v>28</v>
      </c>
      <c r="L3" s="14">
        <f>COUNTIF(L4:L448, "apagado")</f>
        <v>53</v>
      </c>
      <c r="M3" s="14">
        <f>COUNTIF(M4:M448, "apagado")</f>
        <v>86</v>
      </c>
      <c r="N3" s="14">
        <f>COUNTIF(N4:N448, "apagado")</f>
        <v>90</v>
      </c>
      <c r="O3" s="14">
        <f>COUNTIF(O4:O448, "apagado")</f>
        <v>38</v>
      </c>
      <c r="P3" s="14">
        <f>COUNTIF(P4:P448, "apagado")</f>
        <v>32</v>
      </c>
      <c r="Q3" s="14">
        <f>COUNTIF(Q4:Q448, "apagado")</f>
        <v>21</v>
      </c>
      <c r="R3" s="14">
        <f>COUNTIF(R4:R448, "apagado")</f>
        <v>21</v>
      </c>
      <c r="S3" s="14">
        <f>COUNTIF(S4:S448, "apagado")</f>
        <v>37</v>
      </c>
      <c r="T3" s="14">
        <f>COUNTIF(T4:T448, "apagado")</f>
        <v>27</v>
      </c>
      <c r="U3" s="14">
        <f>COUNTIF(U4:U448, "apagado")</f>
        <v>32</v>
      </c>
      <c r="V3" s="14">
        <f>COUNTIF(V4:V448, "apagado")</f>
        <v>26</v>
      </c>
      <c r="W3" s="14">
        <f>COUNTIF(W4:W448, "apagado")</f>
        <v>29</v>
      </c>
      <c r="X3" s="14">
        <f>COUNTIF(X4:X448, "apagado")</f>
        <v>34</v>
      </c>
      <c r="Y3" s="14">
        <f>COUNTIF(Y4:Y448, "apagado")</f>
        <v>44</v>
      </c>
      <c r="Z3" s="14">
        <f>COUNTIF(Z4:Z448, "apagado")</f>
        <v>36</v>
      </c>
      <c r="AA3" s="14">
        <f>COUNTIF(AA4:AA448, "apagado")</f>
        <v>40</v>
      </c>
      <c r="AB3" s="14">
        <f>COUNTIF(AB4:AB448, "apagado")</f>
        <v>39</v>
      </c>
      <c r="AC3" s="14">
        <f>COUNTIF(AC4:AC448, "apagado")</f>
        <v>37</v>
      </c>
      <c r="AD3" s="14">
        <f>COUNTIF(AD4:AD448, "apagado")</f>
        <v>42</v>
      </c>
      <c r="AE3" s="14">
        <f>COUNTIF(AE4:AE448, "apagado")</f>
        <v>38</v>
      </c>
      <c r="AF3" s="14">
        <f>COUNTIF(AF4:AF448, "apagado")</f>
        <v>41</v>
      </c>
      <c r="AG3" s="14">
        <f>COUNTIF(AG4:AG448, "apagado")</f>
        <v>47</v>
      </c>
      <c r="AH3" s="14">
        <f>COUNTIF(AH4:AH448, "apagado")</f>
        <v>43</v>
      </c>
      <c r="AI3" s="14">
        <f>COUNTIF(AI4:AI448, "apagado")</f>
        <v>41</v>
      </c>
      <c r="AJ3" s="14">
        <f>COUNTIF(AJ4:AJ448, "apagado")</f>
        <v>45</v>
      </c>
      <c r="AK3" s="14">
        <f>COUNTIF(AK4:AK448, "apagado")</f>
        <v>60</v>
      </c>
      <c r="AL3" s="14">
        <f>COUNTIF(AL4:AL448, "apagado")</f>
        <v>65</v>
      </c>
      <c r="AM3" s="14">
        <f>COUNTIF(AM4:AM448, "apagado")</f>
        <v>66</v>
      </c>
      <c r="AN3" s="14">
        <f>COUNTIF(AN4:AN448, "apagado")</f>
        <v>46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6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22</v>
      </c>
      <c r="I7" s="16">
        <f t="shared" ref="I7:I51" si="1">COUNTIF(K7:AL7,"APAGADO")</f>
        <v>6</v>
      </c>
      <c r="J7" s="17">
        <f t="shared" ref="J7:J51" si="2">(H7)/(I7+H7)</f>
        <v>0.7857142857142857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 t="s">
        <v>1199</v>
      </c>
      <c r="AH7" s="18" t="s">
        <v>1199</v>
      </c>
      <c r="AI7" s="18" t="s">
        <v>1199</v>
      </c>
      <c r="AJ7" s="28" t="s">
        <v>1199</v>
      </c>
      <c r="AK7" s="18" t="s">
        <v>1199</v>
      </c>
      <c r="AL7" s="18" t="s">
        <v>1199</v>
      </c>
      <c r="AM7" s="28" t="s">
        <v>1199</v>
      </c>
      <c r="AN7" s="28" t="s">
        <v>1199</v>
      </c>
    </row>
    <row r="8" spans="1:40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3">COUNTIF(K8:AN8,"")</f>
        <v>7</v>
      </c>
      <c r="I8" s="16">
        <f t="shared" si="1"/>
        <v>21</v>
      </c>
      <c r="J8" s="17">
        <f t="shared" si="2"/>
        <v>0.25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 t="s">
        <v>1199</v>
      </c>
      <c r="AD8" s="26" t="s">
        <v>1199</v>
      </c>
      <c r="AE8" s="26" t="s">
        <v>1199</v>
      </c>
      <c r="AF8" s="26" t="s">
        <v>1199</v>
      </c>
      <c r="AG8" s="8" t="s">
        <v>1199</v>
      </c>
      <c r="AH8" s="8" t="s">
        <v>1199</v>
      </c>
      <c r="AI8" s="8" t="s">
        <v>1199</v>
      </c>
      <c r="AJ8" s="26" t="s">
        <v>1199</v>
      </c>
      <c r="AK8" s="8" t="s">
        <v>1199</v>
      </c>
      <c r="AL8" s="8" t="s">
        <v>1199</v>
      </c>
      <c r="AM8" s="26" t="s">
        <v>1199</v>
      </c>
      <c r="AN8" s="26" t="s">
        <v>1199</v>
      </c>
    </row>
    <row r="9" spans="1:40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0</v>
      </c>
      <c r="I9" s="16">
        <f>COUNTIF(K9:AL9,"APAGADO")</f>
        <v>28</v>
      </c>
      <c r="J9" s="17">
        <f>(H9)/(I9+H9)</f>
        <v>0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 t="s">
        <v>1199</v>
      </c>
      <c r="AD9" s="26" t="s">
        <v>1199</v>
      </c>
      <c r="AE9" s="26" t="s">
        <v>1199</v>
      </c>
      <c r="AF9" s="26" t="s">
        <v>1199</v>
      </c>
      <c r="AG9" s="8" t="s">
        <v>1199</v>
      </c>
      <c r="AH9" s="8" t="s">
        <v>1199</v>
      </c>
      <c r="AI9" s="8" t="s">
        <v>1199</v>
      </c>
      <c r="AJ9" s="26" t="s">
        <v>1199</v>
      </c>
      <c r="AK9" s="8" t="s">
        <v>1199</v>
      </c>
      <c r="AL9" s="8" t="s">
        <v>1199</v>
      </c>
      <c r="AM9" s="26" t="s">
        <v>1199</v>
      </c>
      <c r="AN9" s="26" t="s">
        <v>1199</v>
      </c>
    </row>
    <row r="10" spans="1:40" ht="15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3"/>
        <v>22</v>
      </c>
      <c r="I10" s="16">
        <f t="shared" si="1"/>
        <v>6</v>
      </c>
      <c r="J10" s="17">
        <f t="shared" si="2"/>
        <v>0.7857142857142857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 t="s">
        <v>1199</v>
      </c>
      <c r="AH10" s="8" t="s">
        <v>1199</v>
      </c>
      <c r="AI10" s="8" t="s">
        <v>1199</v>
      </c>
      <c r="AJ10" s="26" t="s">
        <v>1199</v>
      </c>
      <c r="AK10" s="8" t="s">
        <v>1199</v>
      </c>
      <c r="AL10" s="8" t="s">
        <v>1199</v>
      </c>
      <c r="AM10" s="26" t="s">
        <v>1199</v>
      </c>
      <c r="AN10" s="26" t="s">
        <v>1199</v>
      </c>
    </row>
    <row r="11" spans="1:40" ht="15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3"/>
        <v>22</v>
      </c>
      <c r="I12" s="16">
        <f t="shared" si="1"/>
        <v>6</v>
      </c>
      <c r="J12" s="17">
        <f t="shared" si="2"/>
        <v>0.7857142857142857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 t="s">
        <v>1199</v>
      </c>
      <c r="AH12" s="8" t="s">
        <v>1199</v>
      </c>
      <c r="AI12" s="8" t="s">
        <v>1199</v>
      </c>
      <c r="AJ12" s="26" t="s">
        <v>1199</v>
      </c>
      <c r="AK12" s="8" t="s">
        <v>1199</v>
      </c>
      <c r="AL12" s="8" t="s">
        <v>1199</v>
      </c>
      <c r="AM12" s="26" t="s">
        <v>1199</v>
      </c>
      <c r="AN12" s="26" t="s">
        <v>1199</v>
      </c>
    </row>
    <row r="13" spans="1:40" ht="15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3"/>
        <v>22</v>
      </c>
      <c r="I13" s="16">
        <f t="shared" si="1"/>
        <v>6</v>
      </c>
      <c r="J13" s="17">
        <f t="shared" si="2"/>
        <v>0.7857142857142857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 t="s">
        <v>1199</v>
      </c>
      <c r="AH13" s="8" t="s">
        <v>1199</v>
      </c>
      <c r="AI13" s="8" t="s">
        <v>1199</v>
      </c>
      <c r="AJ13" s="26" t="s">
        <v>1199</v>
      </c>
      <c r="AK13" s="8" t="s">
        <v>1199</v>
      </c>
      <c r="AL13" s="8" t="s">
        <v>1199</v>
      </c>
      <c r="AM13" s="26" t="s">
        <v>1199</v>
      </c>
      <c r="AN13" s="26" t="s">
        <v>1199</v>
      </c>
    </row>
    <row r="14" spans="1:40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3"/>
        <v>0</v>
      </c>
      <c r="I14" s="16">
        <f t="shared" si="1"/>
        <v>28</v>
      </c>
      <c r="J14" s="17">
        <f t="shared" si="2"/>
        <v>0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 t="s">
        <v>1199</v>
      </c>
      <c r="AD14" s="26" t="s">
        <v>1199</v>
      </c>
      <c r="AE14" s="26" t="s">
        <v>1199</v>
      </c>
      <c r="AF14" s="26" t="s">
        <v>1199</v>
      </c>
      <c r="AG14" s="8" t="s">
        <v>1199</v>
      </c>
      <c r="AH14" s="8" t="s">
        <v>1199</v>
      </c>
      <c r="AI14" s="8" t="s">
        <v>1199</v>
      </c>
      <c r="AJ14" s="26" t="s">
        <v>1199</v>
      </c>
      <c r="AK14" s="8" t="s">
        <v>1199</v>
      </c>
      <c r="AL14" s="8" t="s">
        <v>1199</v>
      </c>
      <c r="AM14" s="26" t="s">
        <v>1199</v>
      </c>
      <c r="AN14" s="26" t="s">
        <v>1199</v>
      </c>
    </row>
    <row r="15" spans="1:40" ht="15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3"/>
        <v>29</v>
      </c>
      <c r="I15" s="16">
        <f t="shared" si="1"/>
        <v>1</v>
      </c>
      <c r="J15" s="17">
        <f t="shared" si="2"/>
        <v>0.96666666666666667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 t="s">
        <v>1199</v>
      </c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3"/>
        <v>9</v>
      </c>
      <c r="I16" s="16">
        <f t="shared" si="1"/>
        <v>19</v>
      </c>
      <c r="J16" s="17">
        <f t="shared" si="2"/>
        <v>0.32142857142857145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 t="s">
        <v>1199</v>
      </c>
      <c r="AD16" s="26"/>
      <c r="AE16" s="26" t="s">
        <v>1199</v>
      </c>
      <c r="AF16" s="26" t="s">
        <v>1199</v>
      </c>
      <c r="AG16" s="8"/>
      <c r="AH16" s="8" t="s">
        <v>1199</v>
      </c>
      <c r="AI16" s="8" t="s">
        <v>1199</v>
      </c>
      <c r="AJ16" s="26"/>
      <c r="AK16" s="8"/>
      <c r="AL16" s="8"/>
      <c r="AM16" s="26" t="s">
        <v>1199</v>
      </c>
      <c r="AN16" s="26" t="s">
        <v>1199</v>
      </c>
    </row>
    <row r="17" spans="1:40" ht="15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3"/>
        <v>28</v>
      </c>
      <c r="I17" s="16">
        <f t="shared" si="1"/>
        <v>2</v>
      </c>
      <c r="J17" s="17">
        <f t="shared" si="2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3"/>
        <v>28</v>
      </c>
      <c r="I18" s="16">
        <f t="shared" si="1"/>
        <v>2</v>
      </c>
      <c r="J18" s="17">
        <f t="shared" si="2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3"/>
        <v>30</v>
      </c>
      <c r="I19" s="16">
        <f t="shared" si="1"/>
        <v>0</v>
      </c>
      <c r="J19" s="17">
        <f t="shared" si="2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3"/>
        <v>30</v>
      </c>
      <c r="I20" s="16">
        <f t="shared" si="1"/>
        <v>0</v>
      </c>
      <c r="J20" s="17">
        <f t="shared" si="2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3"/>
        <v>30</v>
      </c>
      <c r="I22" s="16">
        <f t="shared" si="1"/>
        <v>0</v>
      </c>
      <c r="J22" s="17">
        <f t="shared" si="2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3"/>
        <v>26</v>
      </c>
      <c r="I23" s="16">
        <f t="shared" si="1"/>
        <v>4</v>
      </c>
      <c r="J23" s="17">
        <f t="shared" si="2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3"/>
        <v>30</v>
      </c>
      <c r="I24" s="16">
        <f t="shared" si="1"/>
        <v>0</v>
      </c>
      <c r="J24" s="17">
        <f t="shared" si="2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3"/>
        <v>30</v>
      </c>
      <c r="I25" s="16">
        <f t="shared" si="1"/>
        <v>0</v>
      </c>
      <c r="J25" s="17">
        <f t="shared" si="2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3"/>
        <v>30</v>
      </c>
      <c r="I26" s="16">
        <f t="shared" si="1"/>
        <v>0</v>
      </c>
      <c r="J26" s="17">
        <f t="shared" si="2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3"/>
        <v>30</v>
      </c>
      <c r="I27" s="16">
        <f t="shared" si="1"/>
        <v>0</v>
      </c>
      <c r="J27" s="17">
        <f t="shared" si="2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3"/>
        <v>30</v>
      </c>
      <c r="I30" s="16">
        <f t="shared" si="1"/>
        <v>0</v>
      </c>
      <c r="J30" s="17">
        <f t="shared" si="2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3"/>
        <v>27</v>
      </c>
      <c r="I31" s="16">
        <f t="shared" si="1"/>
        <v>1</v>
      </c>
      <c r="J31" s="17">
        <f t="shared" si="2"/>
        <v>0.9642857142857143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 t="s">
        <v>1199</v>
      </c>
      <c r="AK31" s="8"/>
      <c r="AL31" s="8"/>
      <c r="AM31" s="26" t="s">
        <v>1199</v>
      </c>
      <c r="AN31" s="26" t="s">
        <v>1199</v>
      </c>
    </row>
    <row r="32" spans="1:40" ht="15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3"/>
        <v>30</v>
      </c>
      <c r="I32" s="16">
        <f t="shared" si="1"/>
        <v>0</v>
      </c>
      <c r="J32" s="17">
        <f t="shared" si="2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3"/>
        <v>28</v>
      </c>
      <c r="I33" s="16">
        <f t="shared" si="1"/>
        <v>2</v>
      </c>
      <c r="J33" s="17">
        <f t="shared" si="2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3"/>
        <v>27</v>
      </c>
      <c r="I34" s="16">
        <f t="shared" si="1"/>
        <v>1</v>
      </c>
      <c r="J34" s="17">
        <f t="shared" si="2"/>
        <v>0.9642857142857143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 t="s">
        <v>1199</v>
      </c>
      <c r="AM34" s="26" t="s">
        <v>1199</v>
      </c>
      <c r="AN34" s="26" t="s">
        <v>1199</v>
      </c>
    </row>
    <row r="35" spans="1:40" ht="15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3"/>
        <v>29</v>
      </c>
      <c r="I35" s="16">
        <f t="shared" si="1"/>
        <v>1</v>
      </c>
      <c r="J35" s="17">
        <f t="shared" si="2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3"/>
        <v>30</v>
      </c>
      <c r="I36" s="16">
        <f t="shared" si="1"/>
        <v>0</v>
      </c>
      <c r="J36" s="17">
        <f t="shared" si="2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3"/>
        <v>29</v>
      </c>
      <c r="I37" s="16">
        <f t="shared" si="1"/>
        <v>1</v>
      </c>
      <c r="J37" s="17">
        <f t="shared" si="2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3"/>
        <v>30</v>
      </c>
      <c r="I38" s="16">
        <f t="shared" si="1"/>
        <v>0</v>
      </c>
      <c r="J38" s="17">
        <f t="shared" si="2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3"/>
        <v>30</v>
      </c>
      <c r="I39" s="16">
        <f t="shared" si="1"/>
        <v>0</v>
      </c>
      <c r="J39" s="17">
        <f t="shared" si="2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3"/>
        <v>22</v>
      </c>
      <c r="I40" s="16">
        <f t="shared" si="1"/>
        <v>8</v>
      </c>
      <c r="J40" s="17">
        <f t="shared" si="2"/>
        <v>0.73333333333333328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 t="s">
        <v>1199</v>
      </c>
      <c r="AG40" s="8"/>
      <c r="AH40" s="8" t="s">
        <v>1199</v>
      </c>
      <c r="AI40" s="8" t="s">
        <v>1199</v>
      </c>
      <c r="AJ40" s="26" t="s">
        <v>1199</v>
      </c>
      <c r="AK40" s="8" t="s">
        <v>1199</v>
      </c>
      <c r="AL40" s="8"/>
      <c r="AM40" s="26"/>
      <c r="AN40" s="26"/>
    </row>
    <row r="41" spans="1:40" ht="15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3"/>
        <v>28</v>
      </c>
      <c r="I41" s="16">
        <f t="shared" si="1"/>
        <v>2</v>
      </c>
      <c r="J41" s="17">
        <f t="shared" si="2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3"/>
        <v>3</v>
      </c>
      <c r="I42" s="16">
        <f t="shared" si="1"/>
        <v>25</v>
      </c>
      <c r="J42" s="17">
        <f t="shared" si="2"/>
        <v>0.10714285714285714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 t="s">
        <v>1199</v>
      </c>
      <c r="AD42" s="26" t="s">
        <v>1199</v>
      </c>
      <c r="AE42" s="26" t="s">
        <v>1199</v>
      </c>
      <c r="AF42" s="26" t="s">
        <v>1199</v>
      </c>
      <c r="AG42" s="8" t="s">
        <v>1199</v>
      </c>
      <c r="AH42" s="8" t="s">
        <v>1199</v>
      </c>
      <c r="AI42" s="8" t="s">
        <v>1199</v>
      </c>
      <c r="AJ42" s="26" t="s">
        <v>1199</v>
      </c>
      <c r="AK42" s="8" t="s">
        <v>1199</v>
      </c>
      <c r="AL42" s="8" t="s">
        <v>1199</v>
      </c>
      <c r="AM42" s="26" t="s">
        <v>1199</v>
      </c>
      <c r="AN42" s="26" t="s">
        <v>1199</v>
      </c>
    </row>
    <row r="43" spans="1:40" ht="15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3"/>
        <v>30</v>
      </c>
      <c r="I43" s="16">
        <f t="shared" si="1"/>
        <v>0</v>
      </c>
      <c r="J43" s="17">
        <f t="shared" si="2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3"/>
        <v>30</v>
      </c>
      <c r="I44" s="16">
        <f t="shared" si="1"/>
        <v>0</v>
      </c>
      <c r="J44" s="17">
        <f t="shared" si="2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3"/>
        <v>28</v>
      </c>
      <c r="I45" s="16">
        <f t="shared" si="1"/>
        <v>2</v>
      </c>
      <c r="J45" s="17">
        <f t="shared" si="2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3"/>
        <v>28</v>
      </c>
      <c r="I46" s="16">
        <f t="shared" si="1"/>
        <v>2</v>
      </c>
      <c r="J46" s="17">
        <f t="shared" si="2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3"/>
        <v>30</v>
      </c>
      <c r="I47" s="16">
        <f t="shared" si="1"/>
        <v>0</v>
      </c>
      <c r="J47" s="17">
        <f t="shared" si="2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3"/>
        <v>28</v>
      </c>
      <c r="I48" s="16">
        <f t="shared" si="1"/>
        <v>2</v>
      </c>
      <c r="J48" s="17">
        <f t="shared" si="2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3"/>
        <v>30</v>
      </c>
      <c r="I49" s="16">
        <f t="shared" si="1"/>
        <v>0</v>
      </c>
      <c r="J49" s="17">
        <f t="shared" si="2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3"/>
        <v>18</v>
      </c>
      <c r="I50" s="16">
        <f t="shared" si="1"/>
        <v>10</v>
      </c>
      <c r="J50" s="17">
        <f t="shared" si="2"/>
        <v>0.6428571428571429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 t="s">
        <v>1199</v>
      </c>
      <c r="AF50" s="26" t="s">
        <v>1199</v>
      </c>
      <c r="AG50" s="8" t="s">
        <v>1199</v>
      </c>
      <c r="AH50" s="8"/>
      <c r="AI50" s="8"/>
      <c r="AJ50" s="26"/>
      <c r="AK50" s="8"/>
      <c r="AL50" s="8"/>
      <c r="AM50" s="26" t="s">
        <v>1199</v>
      </c>
      <c r="AN50" s="26" t="s">
        <v>1199</v>
      </c>
    </row>
    <row r="51" spans="1:40" ht="15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3"/>
        <v>30</v>
      </c>
      <c r="I51" s="16">
        <f t="shared" si="1"/>
        <v>0</v>
      </c>
      <c r="J51" s="17">
        <f t="shared" si="2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3"/>
        <v>30</v>
      </c>
      <c r="I52" s="16">
        <f t="shared" ref="I52:I142" si="4">COUNTIF(K52:AL52,"APAGADO")</f>
        <v>0</v>
      </c>
      <c r="J52" s="17">
        <f t="shared" ref="J52:J142" si="5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6">COUNTIF(K54:AN54,"")</f>
        <v>30</v>
      </c>
      <c r="I54" s="16">
        <f t="shared" si="4"/>
        <v>0</v>
      </c>
      <c r="J54" s="17">
        <f t="shared" si="5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6"/>
        <v>30</v>
      </c>
      <c r="I55" s="16">
        <f t="shared" si="4"/>
        <v>0</v>
      </c>
      <c r="J55" s="17">
        <f t="shared" si="5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6"/>
        <v>30</v>
      </c>
      <c r="I56" s="16">
        <f t="shared" si="4"/>
        <v>0</v>
      </c>
      <c r="J56" s="17">
        <f t="shared" si="5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6"/>
        <v>29</v>
      </c>
      <c r="I57" s="16">
        <f t="shared" si="4"/>
        <v>1</v>
      </c>
      <c r="J57" s="17">
        <f t="shared" si="5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6"/>
        <v>30</v>
      </c>
      <c r="I58" s="16">
        <f t="shared" si="4"/>
        <v>0</v>
      </c>
      <c r="J58" s="17">
        <f t="shared" si="5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6"/>
        <v>30</v>
      </c>
      <c r="I59" s="16">
        <f t="shared" si="4"/>
        <v>0</v>
      </c>
      <c r="J59" s="17">
        <f t="shared" si="5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6"/>
        <v>27</v>
      </c>
      <c r="I60" s="16">
        <f t="shared" si="4"/>
        <v>3</v>
      </c>
      <c r="J60" s="17">
        <f t="shared" si="5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6"/>
        <v>30</v>
      </c>
      <c r="I61" s="16">
        <f t="shared" si="4"/>
        <v>0</v>
      </c>
      <c r="J61" s="17">
        <f t="shared" si="5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6"/>
        <v>30</v>
      </c>
      <c r="I62" s="16">
        <f t="shared" si="4"/>
        <v>0</v>
      </c>
      <c r="J62" s="17">
        <f t="shared" si="5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6"/>
        <v>0</v>
      </c>
      <c r="I63" s="16">
        <f t="shared" si="4"/>
        <v>28</v>
      </c>
      <c r="J63" s="17">
        <f t="shared" si="5"/>
        <v>0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 t="s">
        <v>1199</v>
      </c>
      <c r="AD63" s="26" t="s">
        <v>1199</v>
      </c>
      <c r="AE63" s="26" t="s">
        <v>1199</v>
      </c>
      <c r="AF63" s="26" t="s">
        <v>1199</v>
      </c>
      <c r="AG63" s="8" t="s">
        <v>1199</v>
      </c>
      <c r="AH63" s="8" t="s">
        <v>1199</v>
      </c>
      <c r="AI63" s="8" t="s">
        <v>1199</v>
      </c>
      <c r="AJ63" s="26" t="s">
        <v>1199</v>
      </c>
      <c r="AK63" s="8" t="s">
        <v>1199</v>
      </c>
      <c r="AL63" s="8" t="s">
        <v>1199</v>
      </c>
      <c r="AM63" s="26" t="s">
        <v>1199</v>
      </c>
      <c r="AN63" s="26" t="s">
        <v>1199</v>
      </c>
    </row>
    <row r="64" spans="1:40" ht="15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6"/>
        <v>30</v>
      </c>
      <c r="I64" s="16">
        <f t="shared" si="4"/>
        <v>0</v>
      </c>
      <c r="J64" s="17">
        <f t="shared" si="5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6"/>
        <v>30</v>
      </c>
      <c r="I65" s="16">
        <f t="shared" si="4"/>
        <v>0</v>
      </c>
      <c r="J65" s="17">
        <f t="shared" si="5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26</v>
      </c>
      <c r="I66" s="16">
        <f>COUNTIF(K66:AL66,"APAGADO")</f>
        <v>3</v>
      </c>
      <c r="J66" s="17">
        <f>(H66)/(I66+H66)</f>
        <v>0.89655172413793105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 t="s">
        <v>1199</v>
      </c>
      <c r="AE66" s="26"/>
      <c r="AF66" s="26"/>
      <c r="AG66" s="8"/>
      <c r="AH66" s="8"/>
      <c r="AI66" s="8"/>
      <c r="AJ66" s="26"/>
      <c r="AK66" s="8"/>
      <c r="AL66" s="8"/>
      <c r="AM66" s="26"/>
      <c r="AN66" s="26" t="s">
        <v>1199</v>
      </c>
    </row>
    <row r="67" spans="1:40" ht="15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6"/>
        <v>30</v>
      </c>
      <c r="I68" s="16">
        <f t="shared" si="4"/>
        <v>0</v>
      </c>
      <c r="J68" s="17">
        <f t="shared" si="5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7">COUNTIF(K69:AN69,"")</f>
        <v>27</v>
      </c>
      <c r="I69" s="16">
        <f t="shared" ref="I69:I74" si="8">COUNTIF(K69:AL69,"APAGADO")</f>
        <v>3</v>
      </c>
      <c r="J69" s="17">
        <f t="shared" ref="J69:J74" si="9">(H69)/(I69+H69)</f>
        <v>0.9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 t="s">
        <v>1199</v>
      </c>
      <c r="AG69" s="8"/>
      <c r="AH69" s="8"/>
      <c r="AI69" s="8"/>
      <c r="AJ69" s="26"/>
      <c r="AK69" s="8"/>
      <c r="AL69" s="8"/>
      <c r="AM69" s="26"/>
      <c r="AN69" s="26"/>
    </row>
    <row r="70" spans="1:40" ht="15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7"/>
        <v>29</v>
      </c>
      <c r="I70" s="16">
        <f t="shared" si="8"/>
        <v>1</v>
      </c>
      <c r="J70" s="17">
        <f t="shared" si="9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7"/>
        <v>26</v>
      </c>
      <c r="I71" s="16">
        <f t="shared" si="8"/>
        <v>4</v>
      </c>
      <c r="J71" s="17">
        <f t="shared" si="9"/>
        <v>0.8666666666666667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 t="s">
        <v>1199</v>
      </c>
      <c r="AG71" s="8"/>
      <c r="AH71" s="8"/>
      <c r="AI71" s="8"/>
      <c r="AJ71" s="26"/>
      <c r="AK71" s="8" t="s">
        <v>1199</v>
      </c>
      <c r="AL71" s="8"/>
      <c r="AM71" s="26"/>
      <c r="AN71" s="26"/>
    </row>
    <row r="72" spans="1:40" ht="15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7"/>
        <v>30</v>
      </c>
      <c r="I72" s="16">
        <f t="shared" si="8"/>
        <v>0</v>
      </c>
      <c r="J72" s="17">
        <f t="shared" si="9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7"/>
        <v>30</v>
      </c>
      <c r="I73" s="16">
        <f t="shared" si="8"/>
        <v>0</v>
      </c>
      <c r="J73" s="17">
        <f t="shared" si="9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7"/>
        <v>30</v>
      </c>
      <c r="I74" s="16">
        <f t="shared" si="8"/>
        <v>0</v>
      </c>
      <c r="J74" s="17">
        <f t="shared" si="9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6"/>
        <v>30</v>
      </c>
      <c r="I75" s="16">
        <f t="shared" si="4"/>
        <v>0</v>
      </c>
      <c r="J75" s="17">
        <f t="shared" si="5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27</v>
      </c>
      <c r="I77" s="16">
        <f>COUNTIF(K77:AL77,"APAGADO")</f>
        <v>3</v>
      </c>
      <c r="J77" s="17">
        <f>(H77)/(I77+H77)</f>
        <v>0.9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 t="s">
        <v>1199</v>
      </c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6"/>
        <v>30</v>
      </c>
      <c r="I78" s="16">
        <f t="shared" si="4"/>
        <v>0</v>
      </c>
      <c r="J78" s="17">
        <f t="shared" si="5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6"/>
        <v>30</v>
      </c>
      <c r="I79" s="16">
        <f t="shared" si="4"/>
        <v>0</v>
      </c>
      <c r="J79" s="17">
        <f t="shared" si="5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6"/>
        <v>30</v>
      </c>
      <c r="I80" s="16">
        <f t="shared" si="4"/>
        <v>0</v>
      </c>
      <c r="J80" s="17">
        <f t="shared" si="5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18</v>
      </c>
      <c r="I81" s="16">
        <f>COUNTIF(K81:AL81,"APAGADO")</f>
        <v>11</v>
      </c>
      <c r="J81" s="17">
        <f>(H81)/(I81+H81)</f>
        <v>0.62068965517241381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 t="s">
        <v>1199</v>
      </c>
      <c r="AE81" s="26" t="s">
        <v>1199</v>
      </c>
      <c r="AF81" s="26"/>
      <c r="AG81" s="8" t="s">
        <v>1199</v>
      </c>
      <c r="AH81" s="8"/>
      <c r="AI81" s="8"/>
      <c r="AJ81" s="26"/>
      <c r="AK81" s="8"/>
      <c r="AL81" s="8" t="s">
        <v>1199</v>
      </c>
      <c r="AM81" s="26" t="s">
        <v>1199</v>
      </c>
      <c r="AN81" s="26"/>
    </row>
    <row r="82" spans="1:40" ht="15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6"/>
        <v>18</v>
      </c>
      <c r="I82" s="16">
        <f t="shared" si="4"/>
        <v>11</v>
      </c>
      <c r="J82" s="17">
        <f t="shared" si="5"/>
        <v>0.62068965517241381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 t="s">
        <v>1199</v>
      </c>
      <c r="AE82" s="26" t="s">
        <v>1199</v>
      </c>
      <c r="AF82" s="26"/>
      <c r="AG82" s="8" t="s">
        <v>1199</v>
      </c>
      <c r="AH82" s="8"/>
      <c r="AI82" s="8"/>
      <c r="AJ82" s="26"/>
      <c r="AK82" s="8"/>
      <c r="AL82" s="8" t="s">
        <v>1199</v>
      </c>
      <c r="AM82" s="26" t="s">
        <v>1199</v>
      </c>
      <c r="AN82" s="26"/>
    </row>
    <row r="83" spans="1:40" ht="15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6"/>
        <v>30</v>
      </c>
      <c r="I83" s="16">
        <f t="shared" si="4"/>
        <v>0</v>
      </c>
      <c r="J83" s="17">
        <f t="shared" si="5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6"/>
        <v>30</v>
      </c>
      <c r="I84" s="16">
        <f t="shared" si="4"/>
        <v>0</v>
      </c>
      <c r="J84" s="17">
        <f t="shared" si="5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6"/>
        <v>30</v>
      </c>
      <c r="I85" s="16">
        <f t="shared" si="4"/>
        <v>0</v>
      </c>
      <c r="J85" s="17">
        <f t="shared" si="5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0</v>
      </c>
      <c r="I88" s="16">
        <f>COUNTIF(K88:AL88,"APAGADO")</f>
        <v>28</v>
      </c>
      <c r="J88" s="17">
        <f>(H88)/(I88+H88)</f>
        <v>0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 t="s">
        <v>1199</v>
      </c>
      <c r="AD88" s="26" t="s">
        <v>1199</v>
      </c>
      <c r="AE88" s="26" t="s">
        <v>1199</v>
      </c>
      <c r="AF88" s="26" t="s">
        <v>1199</v>
      </c>
      <c r="AG88" s="8" t="s">
        <v>1199</v>
      </c>
      <c r="AH88" s="8" t="s">
        <v>1199</v>
      </c>
      <c r="AI88" s="8" t="s">
        <v>1199</v>
      </c>
      <c r="AJ88" s="26" t="s">
        <v>1199</v>
      </c>
      <c r="AK88" s="8" t="s">
        <v>1199</v>
      </c>
      <c r="AL88" s="8" t="s">
        <v>1199</v>
      </c>
      <c r="AM88" s="26" t="s">
        <v>1199</v>
      </c>
      <c r="AN88" s="26" t="s">
        <v>1199</v>
      </c>
    </row>
    <row r="89" spans="1:40" ht="13.95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6"/>
        <v>28</v>
      </c>
      <c r="I89" s="16">
        <f t="shared" si="4"/>
        <v>2</v>
      </c>
      <c r="J89" s="17">
        <f t="shared" si="5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6"/>
        <v>30</v>
      </c>
      <c r="I90" s="16">
        <f t="shared" si="4"/>
        <v>0</v>
      </c>
      <c r="J90" s="17">
        <f t="shared" si="5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" thickBot="1" x14ac:dyDescent="0.35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6"/>
        <v>30</v>
      </c>
      <c r="I93" s="52">
        <f t="shared" si="4"/>
        <v>0</v>
      </c>
      <c r="J93" s="53">
        <f t="shared" si="5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" thickBot="1" x14ac:dyDescent="0.35">
      <c r="A94" t="s">
        <v>52</v>
      </c>
      <c r="B94" s="44" t="s">
        <v>1217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1218</v>
      </c>
      <c r="H94" s="52">
        <f t="shared" ref="H94:H96" si="10">COUNTIF(K94:AN94,"")</f>
        <v>30</v>
      </c>
      <c r="I94" s="52">
        <f t="shared" ref="I94:I96" si="11">COUNTIF(K94:AL94,"APAGADO")</f>
        <v>0</v>
      </c>
      <c r="J94" s="53">
        <f t="shared" ref="J94:J96" si="12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" thickBot="1" x14ac:dyDescent="0.35">
      <c r="A95" t="s">
        <v>52</v>
      </c>
      <c r="B95" s="44" t="s">
        <v>1210</v>
      </c>
      <c r="C95" s="51" t="s">
        <v>1159</v>
      </c>
      <c r="D95" t="s">
        <v>1212</v>
      </c>
      <c r="E95" s="50" t="s">
        <v>73</v>
      </c>
      <c r="F95" s="50" t="s">
        <v>28</v>
      </c>
      <c r="G95" s="50" t="s">
        <v>1219</v>
      </c>
      <c r="H95" s="52">
        <f t="shared" si="10"/>
        <v>20</v>
      </c>
      <c r="I95" s="52">
        <f t="shared" si="11"/>
        <v>8</v>
      </c>
      <c r="J95" s="53">
        <f t="shared" si="12"/>
        <v>0.7142857142857143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 t="s">
        <v>1199</v>
      </c>
      <c r="AF95" s="26" t="s">
        <v>1199</v>
      </c>
      <c r="AG95" s="26" t="s">
        <v>1199</v>
      </c>
      <c r="AH95" s="26" t="s">
        <v>1199</v>
      </c>
      <c r="AI95" s="26" t="s">
        <v>1199</v>
      </c>
      <c r="AJ95" s="26" t="s">
        <v>1199</v>
      </c>
      <c r="AK95" s="26" t="s">
        <v>1199</v>
      </c>
      <c r="AL95" s="26" t="s">
        <v>1199</v>
      </c>
      <c r="AM95" s="26" t="s">
        <v>1199</v>
      </c>
      <c r="AN95" s="26" t="s">
        <v>1199</v>
      </c>
    </row>
    <row r="96" spans="1:40" ht="15" thickBot="1" x14ac:dyDescent="0.35">
      <c r="A96" t="s">
        <v>52</v>
      </c>
      <c r="B96" s="44" t="s">
        <v>1211</v>
      </c>
      <c r="C96" s="51" t="s">
        <v>1159</v>
      </c>
      <c r="D96" s="50" t="s">
        <v>1212</v>
      </c>
      <c r="E96" s="50" t="s">
        <v>73</v>
      </c>
      <c r="F96" s="50" t="s">
        <v>28</v>
      </c>
      <c r="G96" s="50" t="s">
        <v>1220</v>
      </c>
      <c r="H96" s="52">
        <f t="shared" si="10"/>
        <v>20</v>
      </c>
      <c r="I96" s="52">
        <f t="shared" si="11"/>
        <v>8</v>
      </c>
      <c r="J96" s="53">
        <f t="shared" si="12"/>
        <v>0.7142857142857143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 t="s">
        <v>1199</v>
      </c>
      <c r="AF96" s="26" t="s">
        <v>1199</v>
      </c>
      <c r="AG96" s="26" t="s">
        <v>1199</v>
      </c>
      <c r="AH96" s="26" t="s">
        <v>1199</v>
      </c>
      <c r="AI96" s="26" t="s">
        <v>1199</v>
      </c>
      <c r="AJ96" s="26" t="s">
        <v>1199</v>
      </c>
      <c r="AK96" s="26" t="s">
        <v>1199</v>
      </c>
      <c r="AL96" s="26" t="s">
        <v>1199</v>
      </c>
      <c r="AM96" s="26" t="s">
        <v>1199</v>
      </c>
      <c r="AN96" s="26" t="s">
        <v>1199</v>
      </c>
    </row>
    <row r="97" spans="1:40" ht="15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6"/>
        <v>30</v>
      </c>
      <c r="I97" s="16">
        <f t="shared" si="4"/>
        <v>0</v>
      </c>
      <c r="J97" s="17">
        <f t="shared" si="5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6"/>
        <v>30</v>
      </c>
      <c r="I98" s="16">
        <f t="shared" si="4"/>
        <v>0</v>
      </c>
      <c r="J98" s="17">
        <f t="shared" si="5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6"/>
        <v>30</v>
      </c>
      <c r="I99" s="16">
        <f t="shared" si="4"/>
        <v>0</v>
      </c>
      <c r="J99" s="17">
        <f t="shared" si="5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6"/>
        <v>21</v>
      </c>
      <c r="I100" s="16">
        <f t="shared" si="4"/>
        <v>7</v>
      </c>
      <c r="J100" s="17">
        <f t="shared" si="5"/>
        <v>0.75</v>
      </c>
      <c r="K100" s="26" t="s">
        <v>1199</v>
      </c>
      <c r="L100" s="8" t="s">
        <v>1199</v>
      </c>
      <c r="M100" s="8" t="s">
        <v>1199</v>
      </c>
      <c r="N100" s="8" t="s">
        <v>1199</v>
      </c>
      <c r="O100" s="26" t="s">
        <v>1199</v>
      </c>
      <c r="P100" s="26" t="s">
        <v>1199</v>
      </c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 t="s">
        <v>1199</v>
      </c>
      <c r="AM100" s="26" t="s">
        <v>1199</v>
      </c>
      <c r="AN100" s="26" t="s">
        <v>1199</v>
      </c>
    </row>
    <row r="101" spans="1:40" ht="15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6"/>
        <v>30</v>
      </c>
      <c r="I101" s="16">
        <f t="shared" si="4"/>
        <v>0</v>
      </c>
      <c r="J101" s="17">
        <f t="shared" si="5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6"/>
        <v>30</v>
      </c>
      <c r="I102" s="16">
        <f t="shared" si="4"/>
        <v>0</v>
      </c>
      <c r="J102" s="17">
        <f t="shared" si="5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6"/>
        <v>30</v>
      </c>
      <c r="I103" s="16">
        <f t="shared" si="4"/>
        <v>0</v>
      </c>
      <c r="J103" s="17">
        <f t="shared" si="5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thickBot="1" x14ac:dyDescent="0.35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21</v>
      </c>
      <c r="I104" s="16">
        <f>COUNTIF(K104:AL104,"APAGADO")</f>
        <v>9</v>
      </c>
      <c r="J104" s="17">
        <f>(H104)/(I104+H104)</f>
        <v>0.7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1199</v>
      </c>
      <c r="V104" s="26" t="s">
        <v>1199</v>
      </c>
      <c r="W104" s="26" t="s">
        <v>1199</v>
      </c>
      <c r="X104" s="26" t="s">
        <v>1199</v>
      </c>
      <c r="Y104" s="26" t="s">
        <v>1199</v>
      </c>
      <c r="Z104" s="26" t="s">
        <v>1199</v>
      </c>
      <c r="AA104" s="26" t="s">
        <v>1199</v>
      </c>
      <c r="AB104" s="26" t="s">
        <v>1199</v>
      </c>
      <c r="AC104" s="26" t="s">
        <v>1199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" thickBot="1" x14ac:dyDescent="0.35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6"/>
        <v>30</v>
      </c>
      <c r="I105" s="16">
        <f t="shared" si="4"/>
        <v>0</v>
      </c>
      <c r="J105" s="17">
        <f t="shared" si="5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thickBot="1" x14ac:dyDescent="0.35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6"/>
        <v>30</v>
      </c>
      <c r="I106" s="16">
        <f t="shared" si="4"/>
        <v>0</v>
      </c>
      <c r="J106" s="17">
        <f t="shared" si="5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thickBot="1" x14ac:dyDescent="0.35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6"/>
        <v>28</v>
      </c>
      <c r="I107" s="16">
        <f t="shared" si="4"/>
        <v>2</v>
      </c>
      <c r="J107" s="17">
        <f t="shared" si="5"/>
        <v>0.93333333333333335</v>
      </c>
      <c r="K107" s="26"/>
      <c r="L107" s="8"/>
      <c r="M107" s="8" t="s">
        <v>1199</v>
      </c>
      <c r="N107" s="8" t="s">
        <v>1199</v>
      </c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thickBot="1" x14ac:dyDescent="0.35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6"/>
        <v>28</v>
      </c>
      <c r="I108" s="16">
        <f t="shared" si="4"/>
        <v>2</v>
      </c>
      <c r="J108" s="17">
        <f t="shared" si="5"/>
        <v>0.93333333333333335</v>
      </c>
      <c r="K108" s="26"/>
      <c r="L108" s="8"/>
      <c r="M108" s="8" t="s">
        <v>1199</v>
      </c>
      <c r="N108" s="8" t="s">
        <v>1199</v>
      </c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s="50" customFormat="1" ht="15" thickBot="1" x14ac:dyDescent="0.35">
      <c r="A109" s="50" t="s">
        <v>187</v>
      </c>
      <c r="B109" s="137" t="s">
        <v>1233</v>
      </c>
      <c r="C109" s="50" t="s">
        <v>1159</v>
      </c>
      <c r="D109" s="50" t="s">
        <v>1228</v>
      </c>
      <c r="E109" s="50" t="s">
        <v>73</v>
      </c>
      <c r="F109" s="50" t="s">
        <v>20</v>
      </c>
      <c r="G109" s="50" t="s">
        <v>1241</v>
      </c>
      <c r="H109" s="52">
        <f t="shared" ref="H109:H110" si="13">COUNTIF(K109:AN109,"")</f>
        <v>30</v>
      </c>
      <c r="I109" s="52">
        <f t="shared" ref="I109:I110" si="14">COUNTIF(K109:AL109,"APAGADO")</f>
        <v>0</v>
      </c>
      <c r="J109" s="53">
        <f t="shared" ref="J109:J110" si="15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1:40" s="50" customFormat="1" ht="15" thickBot="1" x14ac:dyDescent="0.35">
      <c r="A110" s="50" t="s">
        <v>187</v>
      </c>
      <c r="B110" s="137" t="s">
        <v>1234</v>
      </c>
      <c r="C110" s="50" t="s">
        <v>1159</v>
      </c>
      <c r="D110" s="50" t="s">
        <v>1228</v>
      </c>
      <c r="E110" s="50" t="s">
        <v>73</v>
      </c>
      <c r="F110" s="50" t="s">
        <v>20</v>
      </c>
      <c r="G110" s="50" t="s">
        <v>1242</v>
      </c>
      <c r="H110" s="52">
        <f t="shared" si="13"/>
        <v>30</v>
      </c>
      <c r="I110" s="52">
        <f t="shared" si="14"/>
        <v>0</v>
      </c>
      <c r="J110" s="53">
        <f t="shared" si="15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1:40" ht="16.2" customHeight="1" thickBot="1" x14ac:dyDescent="0.35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6"/>
        <v>30</v>
      </c>
      <c r="I111" s="16">
        <f t="shared" si="4"/>
        <v>0</v>
      </c>
      <c r="J111" s="17">
        <f t="shared" si="5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thickBot="1" x14ac:dyDescent="0.35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6"/>
        <v>30</v>
      </c>
      <c r="I112" s="16">
        <f t="shared" si="4"/>
        <v>0</v>
      </c>
      <c r="J112" s="17">
        <f t="shared" si="5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thickBot="1" x14ac:dyDescent="0.35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6"/>
        <v>30</v>
      </c>
      <c r="I113" s="16">
        <f t="shared" si="4"/>
        <v>0</v>
      </c>
      <c r="J113" s="17">
        <f t="shared" si="5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thickBot="1" x14ac:dyDescent="0.35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6"/>
        <v>30</v>
      </c>
      <c r="I114" s="16">
        <f t="shared" si="4"/>
        <v>0</v>
      </c>
      <c r="J114" s="17">
        <f t="shared" si="5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thickBot="1" x14ac:dyDescent="0.35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6"/>
        <v>28</v>
      </c>
      <c r="I115" s="16">
        <f t="shared" si="4"/>
        <v>2</v>
      </c>
      <c r="J115" s="17">
        <f t="shared" si="5"/>
        <v>0.93333333333333335</v>
      </c>
      <c r="K115" s="26"/>
      <c r="L115" s="8"/>
      <c r="M115" s="8" t="s">
        <v>1199</v>
      </c>
      <c r="N115" s="8" t="s">
        <v>1199</v>
      </c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thickBot="1" x14ac:dyDescent="0.35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6"/>
        <v>30</v>
      </c>
      <c r="I116" s="16">
        <f t="shared" si="4"/>
        <v>0</v>
      </c>
      <c r="J116" s="17">
        <f t="shared" si="5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thickBot="1" x14ac:dyDescent="0.35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6"/>
        <v>26</v>
      </c>
      <c r="I117" s="16">
        <f t="shared" si="4"/>
        <v>2</v>
      </c>
      <c r="J117" s="17">
        <f t="shared" si="5"/>
        <v>0.9285714285714286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 t="s">
        <v>1199</v>
      </c>
      <c r="AL117" s="8" t="s">
        <v>1199</v>
      </c>
      <c r="AM117" s="26" t="s">
        <v>1199</v>
      </c>
      <c r="AN117" s="26" t="s">
        <v>1199</v>
      </c>
    </row>
    <row r="118" spans="1:40" ht="15" thickBot="1" x14ac:dyDescent="0.35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6"/>
        <v>24</v>
      </c>
      <c r="I118" s="16">
        <f t="shared" si="4"/>
        <v>4</v>
      </c>
      <c r="J118" s="17">
        <f t="shared" si="5"/>
        <v>0.8571428571428571</v>
      </c>
      <c r="K118" s="26"/>
      <c r="L118" s="8"/>
      <c r="M118" s="8" t="s">
        <v>1199</v>
      </c>
      <c r="N118" s="8" t="s">
        <v>1199</v>
      </c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 t="s">
        <v>1199</v>
      </c>
      <c r="AL118" s="8" t="s">
        <v>1199</v>
      </c>
      <c r="AM118" s="26" t="s">
        <v>1199</v>
      </c>
      <c r="AN118" s="26" t="s">
        <v>1199</v>
      </c>
    </row>
    <row r="119" spans="1:40" ht="15" thickBot="1" x14ac:dyDescent="0.35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6"/>
        <v>30</v>
      </c>
      <c r="I119" s="16">
        <f t="shared" si="4"/>
        <v>0</v>
      </c>
      <c r="J119" s="17">
        <f t="shared" si="5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thickBot="1" x14ac:dyDescent="0.35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6"/>
        <v>30</v>
      </c>
      <c r="I120" s="16">
        <f t="shared" si="4"/>
        <v>0</v>
      </c>
      <c r="J120" s="17">
        <f t="shared" si="5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thickBot="1" x14ac:dyDescent="0.35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6"/>
        <v>30</v>
      </c>
      <c r="I121" s="16">
        <f t="shared" si="4"/>
        <v>0</v>
      </c>
      <c r="J121" s="17">
        <f t="shared" si="5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thickBot="1" x14ac:dyDescent="0.35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6"/>
        <v>17</v>
      </c>
      <c r="I122" s="16">
        <f t="shared" si="4"/>
        <v>11</v>
      </c>
      <c r="J122" s="17">
        <f t="shared" si="5"/>
        <v>0.6071428571428571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 t="s">
        <v>1199</v>
      </c>
      <c r="V122" s="26" t="s">
        <v>1199</v>
      </c>
      <c r="W122" s="26" t="s">
        <v>1199</v>
      </c>
      <c r="X122" s="26" t="s">
        <v>1199</v>
      </c>
      <c r="Y122" s="26" t="s">
        <v>1199</v>
      </c>
      <c r="Z122" s="26" t="s">
        <v>1199</v>
      </c>
      <c r="AA122" s="26" t="s">
        <v>1199</v>
      </c>
      <c r="AB122" s="26" t="s">
        <v>1199</v>
      </c>
      <c r="AC122" s="26" t="s">
        <v>1199</v>
      </c>
      <c r="AD122" s="26"/>
      <c r="AE122" s="26"/>
      <c r="AF122" s="26"/>
      <c r="AG122" s="8"/>
      <c r="AH122" s="8"/>
      <c r="AI122" s="8"/>
      <c r="AJ122" s="26"/>
      <c r="AK122" s="8" t="s">
        <v>1199</v>
      </c>
      <c r="AL122" s="8" t="s">
        <v>1199</v>
      </c>
      <c r="AM122" s="26" t="s">
        <v>1199</v>
      </c>
      <c r="AN122" s="26" t="s">
        <v>1199</v>
      </c>
    </row>
    <row r="123" spans="1:40" ht="15" thickBot="1" x14ac:dyDescent="0.35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6"/>
        <v>30</v>
      </c>
      <c r="I123" s="16">
        <f t="shared" si="4"/>
        <v>0</v>
      </c>
      <c r="J123" s="17">
        <f t="shared" si="5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thickBot="1" x14ac:dyDescent="0.35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6"/>
        <v>30</v>
      </c>
      <c r="I124" s="16">
        <f t="shared" si="4"/>
        <v>0</v>
      </c>
      <c r="J124" s="17">
        <f t="shared" si="5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thickBot="1" x14ac:dyDescent="0.35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6"/>
        <v>27</v>
      </c>
      <c r="I125" s="16">
        <f t="shared" si="4"/>
        <v>2</v>
      </c>
      <c r="J125" s="17">
        <f t="shared" si="5"/>
        <v>0.93103448275862066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 t="s">
        <v>1199</v>
      </c>
      <c r="AL125" s="8" t="s">
        <v>1199</v>
      </c>
      <c r="AM125" s="26" t="s">
        <v>1199</v>
      </c>
      <c r="AN125" s="26"/>
    </row>
    <row r="126" spans="1:40" ht="15" thickBot="1" x14ac:dyDescent="0.35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6"/>
        <v>27</v>
      </c>
      <c r="I126" s="16">
        <f t="shared" si="4"/>
        <v>2</v>
      </c>
      <c r="J126" s="17">
        <f t="shared" si="5"/>
        <v>0.93103448275862066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 t="s">
        <v>1199</v>
      </c>
      <c r="AL126" s="8" t="s">
        <v>1199</v>
      </c>
      <c r="AM126" s="26" t="s">
        <v>1199</v>
      </c>
      <c r="AN126" s="26"/>
    </row>
    <row r="127" spans="1:40" ht="15" thickBot="1" x14ac:dyDescent="0.35">
      <c r="A127" s="50" t="s">
        <v>194</v>
      </c>
      <c r="B127" s="44" t="s">
        <v>1270</v>
      </c>
      <c r="C127" s="51" t="s">
        <v>1160</v>
      </c>
      <c r="D127" t="s">
        <v>1252</v>
      </c>
      <c r="E127" s="9" t="s">
        <v>1213</v>
      </c>
      <c r="F127" s="9" t="s">
        <v>28</v>
      </c>
      <c r="G127" s="27" t="s">
        <v>1253</v>
      </c>
      <c r="H127" s="52">
        <f>COUNTIF(K127:AN127,"")</f>
        <v>30</v>
      </c>
      <c r="I127" s="52">
        <f>COUNTIF(K127:AL127,"APAGADO")</f>
        <v>0</v>
      </c>
      <c r="J127" s="53">
        <f>(H127)/(I127+H127)</f>
        <v>1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spans="1:40" ht="15" thickBot="1" x14ac:dyDescent="0.35">
      <c r="A128" s="50" t="s">
        <v>194</v>
      </c>
      <c r="B128" s="44" t="s">
        <v>1269</v>
      </c>
      <c r="C128" s="51" t="s">
        <v>1160</v>
      </c>
      <c r="D128" t="s">
        <v>1252</v>
      </c>
      <c r="E128" s="9" t="s">
        <v>1213</v>
      </c>
      <c r="F128" s="9" t="s">
        <v>28</v>
      </c>
      <c r="G128" s="27" t="s">
        <v>1254</v>
      </c>
      <c r="H128" s="52">
        <f>COUNTIF(K128:AN128,"")</f>
        <v>30</v>
      </c>
      <c r="I128" s="52">
        <f>COUNTIF(K128:AL128,"APAGADO")</f>
        <v>0</v>
      </c>
      <c r="J128" s="53">
        <f>(H128)/(I128+H128)</f>
        <v>1</v>
      </c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spans="1:40" ht="15" thickBot="1" x14ac:dyDescent="0.35">
      <c r="A129" t="s">
        <v>194</v>
      </c>
      <c r="B129" s="44" t="s">
        <v>1273</v>
      </c>
      <c r="C129" s="51" t="s">
        <v>1160</v>
      </c>
      <c r="D129" s="83" t="s">
        <v>1249</v>
      </c>
      <c r="E129" s="9" t="s">
        <v>1213</v>
      </c>
      <c r="F129" s="9" t="s">
        <v>28</v>
      </c>
      <c r="G129" s="27" t="s">
        <v>1250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spans="1:40" ht="15" thickBot="1" x14ac:dyDescent="0.35">
      <c r="A130" s="50" t="s">
        <v>194</v>
      </c>
      <c r="B130" s="51" t="s">
        <v>1274</v>
      </c>
      <c r="C130" s="51" t="s">
        <v>1160</v>
      </c>
      <c r="D130" s="83" t="s">
        <v>1249</v>
      </c>
      <c r="E130" s="27" t="s">
        <v>1213</v>
      </c>
      <c r="F130" s="27" t="s">
        <v>28</v>
      </c>
      <c r="G130" s="27" t="s">
        <v>1251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spans="1:40" ht="15" thickBot="1" x14ac:dyDescent="0.35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6"/>
        <v>30</v>
      </c>
      <c r="I131" s="16">
        <f t="shared" si="4"/>
        <v>0</v>
      </c>
      <c r="J131" s="17">
        <f t="shared" si="5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thickBot="1" x14ac:dyDescent="0.35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6"/>
        <v>29</v>
      </c>
      <c r="I132" s="16">
        <f t="shared" si="4"/>
        <v>1</v>
      </c>
      <c r="J132" s="17">
        <f t="shared" si="5"/>
        <v>0.96666666666666667</v>
      </c>
      <c r="K132" s="26"/>
      <c r="L132" s="8"/>
      <c r="M132" s="8" t="s">
        <v>1199</v>
      </c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thickBot="1" x14ac:dyDescent="0.35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6"/>
        <v>30</v>
      </c>
      <c r="I133" s="16">
        <f t="shared" si="4"/>
        <v>0</v>
      </c>
      <c r="J133" s="17">
        <f t="shared" si="5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thickBot="1" x14ac:dyDescent="0.35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6"/>
        <v>30</v>
      </c>
      <c r="I134" s="16">
        <f t="shared" si="4"/>
        <v>0</v>
      </c>
      <c r="J134" s="17">
        <f t="shared" si="5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thickBot="1" x14ac:dyDescent="0.35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6"/>
        <v>25</v>
      </c>
      <c r="I135" s="16">
        <f t="shared" si="4"/>
        <v>5</v>
      </c>
      <c r="J135" s="17">
        <f t="shared" si="5"/>
        <v>0.83333333333333337</v>
      </c>
      <c r="K135" s="26"/>
      <c r="L135" s="8"/>
      <c r="M135" s="8"/>
      <c r="N135" s="8"/>
      <c r="O135" s="26"/>
      <c r="P135" s="26"/>
      <c r="Q135" s="8"/>
      <c r="R135" s="8"/>
      <c r="S135" s="8" t="s">
        <v>1199</v>
      </c>
      <c r="T135" s="26" t="s">
        <v>1199</v>
      </c>
      <c r="U135" s="26" t="s">
        <v>1199</v>
      </c>
      <c r="V135" s="26"/>
      <c r="W135" s="26" t="s">
        <v>1199</v>
      </c>
      <c r="X135" s="26" t="s">
        <v>1199</v>
      </c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thickBot="1" x14ac:dyDescent="0.35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6"/>
        <v>30</v>
      </c>
      <c r="I136" s="16">
        <f t="shared" si="4"/>
        <v>0</v>
      </c>
      <c r="J136" s="17">
        <f t="shared" si="5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thickBot="1" x14ac:dyDescent="0.35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6"/>
        <v>30</v>
      </c>
      <c r="I137" s="16">
        <f t="shared" si="4"/>
        <v>0</v>
      </c>
      <c r="J137" s="17">
        <f t="shared" si="5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thickBot="1" x14ac:dyDescent="0.35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6"/>
        <v>30</v>
      </c>
      <c r="I138" s="16">
        <f t="shared" si="4"/>
        <v>0</v>
      </c>
      <c r="J138" s="17">
        <f t="shared" si="5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thickBot="1" x14ac:dyDescent="0.35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6"/>
        <v>30</v>
      </c>
      <c r="I139" s="16">
        <f t="shared" si="4"/>
        <v>0</v>
      </c>
      <c r="J139" s="17">
        <f t="shared" si="5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thickBot="1" x14ac:dyDescent="0.35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6"/>
        <v>30</v>
      </c>
      <c r="I140" s="16">
        <f t="shared" si="4"/>
        <v>0</v>
      </c>
      <c r="J140" s="17">
        <f t="shared" si="5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thickBot="1" x14ac:dyDescent="0.35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6"/>
        <v>30</v>
      </c>
      <c r="I141" s="16">
        <f t="shared" si="4"/>
        <v>0</v>
      </c>
      <c r="J141" s="17">
        <f t="shared" si="5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thickBot="1" x14ac:dyDescent="0.35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6"/>
        <v>29</v>
      </c>
      <c r="I142" s="16">
        <f t="shared" si="4"/>
        <v>1</v>
      </c>
      <c r="J142" s="17">
        <f t="shared" si="5"/>
        <v>0.96666666666666667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 t="s">
        <v>1199</v>
      </c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thickBot="1" x14ac:dyDescent="0.35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6"/>
        <v>30</v>
      </c>
      <c r="I143" s="16">
        <f t="shared" ref="I143:I206" si="16">COUNTIF(K143:AL143,"APAGADO")</f>
        <v>0</v>
      </c>
      <c r="J143" s="17">
        <f t="shared" ref="J143:J206" si="17">(H143)/(I143+H143)</f>
        <v>1</v>
      </c>
      <c r="K143" s="26"/>
      <c r="L143" s="8"/>
      <c r="M143" s="8"/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thickBot="1" x14ac:dyDescent="0.35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18">COUNTIF(K144:AN144,"")</f>
        <v>5</v>
      </c>
      <c r="I144" s="16">
        <f t="shared" si="16"/>
        <v>25</v>
      </c>
      <c r="J144" s="17">
        <f t="shared" si="17"/>
        <v>0.16666666666666666</v>
      </c>
      <c r="K144" s="26" t="s">
        <v>1199</v>
      </c>
      <c r="L144" s="8" t="s">
        <v>1199</v>
      </c>
      <c r="M144" s="8" t="s">
        <v>1199</v>
      </c>
      <c r="N144" s="8" t="s">
        <v>1199</v>
      </c>
      <c r="O144" s="26" t="s">
        <v>1199</v>
      </c>
      <c r="P144" s="26" t="s">
        <v>1199</v>
      </c>
      <c r="Q144" s="8" t="s">
        <v>1199</v>
      </c>
      <c r="R144" s="8" t="s">
        <v>1199</v>
      </c>
      <c r="S144" s="8" t="s">
        <v>1199</v>
      </c>
      <c r="T144" s="26" t="s">
        <v>1199</v>
      </c>
      <c r="U144" s="26" t="s">
        <v>1199</v>
      </c>
      <c r="V144" s="26" t="s">
        <v>1199</v>
      </c>
      <c r="W144" s="26" t="s">
        <v>1199</v>
      </c>
      <c r="X144" s="26" t="s">
        <v>1199</v>
      </c>
      <c r="Y144" s="26" t="s">
        <v>1199</v>
      </c>
      <c r="Z144" s="26" t="s">
        <v>1199</v>
      </c>
      <c r="AA144" s="26" t="s">
        <v>1199</v>
      </c>
      <c r="AB144" s="26" t="s">
        <v>1199</v>
      </c>
      <c r="AC144" s="26" t="s">
        <v>1199</v>
      </c>
      <c r="AD144" s="26" t="s">
        <v>1199</v>
      </c>
      <c r="AE144" s="26"/>
      <c r="AF144" s="26"/>
      <c r="AG144" s="8"/>
      <c r="AH144" s="8" t="s">
        <v>1199</v>
      </c>
      <c r="AI144" s="8" t="s">
        <v>1199</v>
      </c>
      <c r="AJ144" s="26" t="s">
        <v>1199</v>
      </c>
      <c r="AK144" s="8" t="s">
        <v>1199</v>
      </c>
      <c r="AL144" s="8" t="s">
        <v>1199</v>
      </c>
      <c r="AM144" s="26"/>
      <c r="AN144" s="26"/>
    </row>
    <row r="145" spans="1:40" ht="15" thickBot="1" x14ac:dyDescent="0.35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18"/>
        <v>29</v>
      </c>
      <c r="I145" s="16">
        <f t="shared" si="16"/>
        <v>0</v>
      </c>
      <c r="J145" s="17">
        <f t="shared" si="17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 t="s">
        <v>1199</v>
      </c>
      <c r="AN145" s="26"/>
    </row>
    <row r="146" spans="1:40" ht="15" thickBot="1" x14ac:dyDescent="0.35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18"/>
        <v>30</v>
      </c>
      <c r="I146" s="16">
        <f t="shared" si="16"/>
        <v>0</v>
      </c>
      <c r="J146" s="17">
        <f t="shared" si="17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thickBot="1" x14ac:dyDescent="0.35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18"/>
        <v>29</v>
      </c>
      <c r="I147" s="16">
        <f t="shared" si="16"/>
        <v>1</v>
      </c>
      <c r="J147" s="17">
        <f t="shared" si="17"/>
        <v>0.96666666666666667</v>
      </c>
      <c r="K147" s="26"/>
      <c r="L147" s="8"/>
      <c r="M147" s="8"/>
      <c r="N147" s="8"/>
      <c r="O147" s="26"/>
      <c r="P147" s="26"/>
      <c r="Q147" s="8"/>
      <c r="R147" s="8"/>
      <c r="S147" s="8" t="s">
        <v>1199</v>
      </c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thickBot="1" x14ac:dyDescent="0.35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18"/>
        <v>28</v>
      </c>
      <c r="I148" s="16">
        <f t="shared" si="16"/>
        <v>2</v>
      </c>
      <c r="J148" s="17">
        <f t="shared" si="17"/>
        <v>0.93333333333333335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 t="s">
        <v>1199</v>
      </c>
      <c r="AG148" s="8" t="s">
        <v>1199</v>
      </c>
      <c r="AH148" s="8"/>
      <c r="AI148" s="8"/>
      <c r="AJ148" s="26"/>
      <c r="AK148" s="8"/>
      <c r="AL148" s="8"/>
      <c r="AM148" s="26"/>
      <c r="AN148" s="26"/>
    </row>
    <row r="149" spans="1:40" ht="15" thickBot="1" x14ac:dyDescent="0.35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18"/>
        <v>30</v>
      </c>
      <c r="I149" s="16">
        <f t="shared" si="16"/>
        <v>0</v>
      </c>
      <c r="J149" s="17">
        <f t="shared" si="17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thickBot="1" x14ac:dyDescent="0.35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18"/>
        <v>30</v>
      </c>
      <c r="I150" s="16">
        <f t="shared" si="16"/>
        <v>0</v>
      </c>
      <c r="J150" s="17">
        <f t="shared" si="17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thickBot="1" x14ac:dyDescent="0.35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18"/>
        <v>28</v>
      </c>
      <c r="I151" s="16">
        <f t="shared" si="16"/>
        <v>2</v>
      </c>
      <c r="J151" s="17">
        <f t="shared" si="17"/>
        <v>0.93333333333333335</v>
      </c>
      <c r="K151" s="26"/>
      <c r="L151" s="8"/>
      <c r="M151" s="8" t="s">
        <v>1199</v>
      </c>
      <c r="N151" s="8" t="s">
        <v>1199</v>
      </c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thickBot="1" x14ac:dyDescent="0.35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18"/>
        <v>28</v>
      </c>
      <c r="I152" s="16">
        <f t="shared" si="16"/>
        <v>2</v>
      </c>
      <c r="J152" s="17">
        <f t="shared" si="17"/>
        <v>0.93333333333333335</v>
      </c>
      <c r="K152" s="26"/>
      <c r="L152" s="8"/>
      <c r="M152" s="8" t="s">
        <v>1199</v>
      </c>
      <c r="N152" s="8" t="s">
        <v>1199</v>
      </c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thickBot="1" x14ac:dyDescent="0.35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18"/>
        <v>26</v>
      </c>
      <c r="I153" s="16">
        <f t="shared" si="16"/>
        <v>3</v>
      </c>
      <c r="J153" s="17">
        <f t="shared" si="17"/>
        <v>0.89655172413793105</v>
      </c>
      <c r="K153" s="26"/>
      <c r="L153" s="8"/>
      <c r="M153" s="8" t="s">
        <v>1199</v>
      </c>
      <c r="N153" s="8" t="s">
        <v>1199</v>
      </c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 t="s">
        <v>1199</v>
      </c>
      <c r="AM153" s="26" t="s">
        <v>1199</v>
      </c>
      <c r="AN153" s="26"/>
    </row>
    <row r="154" spans="1:40" ht="15" thickBot="1" x14ac:dyDescent="0.35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18"/>
        <v>30</v>
      </c>
      <c r="I154" s="16">
        <f t="shared" si="16"/>
        <v>0</v>
      </c>
      <c r="J154" s="17">
        <f t="shared" si="17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thickBot="1" x14ac:dyDescent="0.35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18"/>
        <v>30</v>
      </c>
      <c r="I155" s="16">
        <f t="shared" si="16"/>
        <v>0</v>
      </c>
      <c r="J155" s="17">
        <f t="shared" si="17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thickBot="1" x14ac:dyDescent="0.35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18"/>
        <v>30</v>
      </c>
      <c r="I156" s="16">
        <f t="shared" si="16"/>
        <v>0</v>
      </c>
      <c r="J156" s="17">
        <f t="shared" si="17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18"/>
        <v>30</v>
      </c>
      <c r="I157" s="16">
        <f t="shared" si="16"/>
        <v>0</v>
      </c>
      <c r="J157" s="17">
        <f t="shared" si="17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18"/>
        <v>30</v>
      </c>
      <c r="I158" s="16">
        <f t="shared" si="16"/>
        <v>0</v>
      </c>
      <c r="J158" s="17">
        <f t="shared" si="17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" thickBot="1" x14ac:dyDescent="0.35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18"/>
        <v>30</v>
      </c>
      <c r="I159" s="16">
        <f t="shared" si="16"/>
        <v>0</v>
      </c>
      <c r="J159" s="17">
        <f t="shared" si="17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18"/>
        <v>30</v>
      </c>
      <c r="I160" s="16">
        <f t="shared" si="16"/>
        <v>0</v>
      </c>
      <c r="J160" s="17">
        <f t="shared" si="17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18"/>
        <v>22</v>
      </c>
      <c r="I161" s="16">
        <f t="shared" si="16"/>
        <v>6</v>
      </c>
      <c r="J161" s="17">
        <f t="shared" si="17"/>
        <v>0.7857142857142857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 t="s">
        <v>1199</v>
      </c>
      <c r="AH161" s="8" t="s">
        <v>1199</v>
      </c>
      <c r="AI161" s="8" t="s">
        <v>1199</v>
      </c>
      <c r="AJ161" s="26" t="s">
        <v>1199</v>
      </c>
      <c r="AK161" s="8" t="s">
        <v>1199</v>
      </c>
      <c r="AL161" s="8" t="s">
        <v>1199</v>
      </c>
      <c r="AM161" s="26" t="s">
        <v>1199</v>
      </c>
      <c r="AN161" s="26" t="s">
        <v>1199</v>
      </c>
    </row>
    <row r="162" spans="1:40" ht="15" thickBot="1" x14ac:dyDescent="0.35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18"/>
        <v>12</v>
      </c>
      <c r="I162" s="16">
        <f t="shared" si="16"/>
        <v>17</v>
      </c>
      <c r="J162" s="17">
        <f t="shared" si="17"/>
        <v>0.41379310344827586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 t="s">
        <v>1199</v>
      </c>
      <c r="AD162" s="26" t="s">
        <v>1199</v>
      </c>
      <c r="AE162" s="26" t="s">
        <v>1199</v>
      </c>
      <c r="AF162" s="26" t="s">
        <v>1199</v>
      </c>
      <c r="AG162" s="8" t="s">
        <v>1199</v>
      </c>
      <c r="AH162" s="8" t="s">
        <v>1199</v>
      </c>
      <c r="AI162" s="8" t="s">
        <v>1199</v>
      </c>
      <c r="AJ162" s="26" t="s">
        <v>1199</v>
      </c>
      <c r="AK162" s="8" t="s">
        <v>1199</v>
      </c>
      <c r="AL162" s="8" t="s">
        <v>1199</v>
      </c>
      <c r="AM162" s="26" t="s">
        <v>1199</v>
      </c>
      <c r="AN162" s="26"/>
    </row>
    <row r="163" spans="1:40" ht="15" thickBot="1" x14ac:dyDescent="0.35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18"/>
        <v>30</v>
      </c>
      <c r="I163" s="16">
        <f t="shared" si="16"/>
        <v>0</v>
      </c>
      <c r="J163" s="17">
        <f t="shared" si="17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18"/>
        <v>10</v>
      </c>
      <c r="I164" s="16">
        <f t="shared" si="16"/>
        <v>19</v>
      </c>
      <c r="J164" s="17">
        <f t="shared" si="17"/>
        <v>0.34482758620689657</v>
      </c>
      <c r="K164" s="26"/>
      <c r="L164" s="8"/>
      <c r="M164" s="8"/>
      <c r="N164" s="8"/>
      <c r="O164" s="26" t="s">
        <v>1199</v>
      </c>
      <c r="P164" s="26" t="s">
        <v>1199</v>
      </c>
      <c r="Q164" s="8"/>
      <c r="R164" s="8"/>
      <c r="S164" s="8"/>
      <c r="T164" s="26"/>
      <c r="U164" s="26"/>
      <c r="V164" s="26" t="s">
        <v>1199</v>
      </c>
      <c r="W164" s="26" t="s">
        <v>1199</v>
      </c>
      <c r="X164" s="26" t="s">
        <v>1199</v>
      </c>
      <c r="Y164" s="26" t="s">
        <v>1199</v>
      </c>
      <c r="Z164" s="26" t="s">
        <v>1199</v>
      </c>
      <c r="AA164" s="26" t="s">
        <v>1199</v>
      </c>
      <c r="AB164" s="26" t="s">
        <v>1199</v>
      </c>
      <c r="AC164" s="26" t="s">
        <v>1199</v>
      </c>
      <c r="AD164" s="26" t="s">
        <v>1199</v>
      </c>
      <c r="AE164" s="26" t="s">
        <v>1199</v>
      </c>
      <c r="AF164" s="26" t="s">
        <v>1199</v>
      </c>
      <c r="AG164" s="8" t="s">
        <v>1199</v>
      </c>
      <c r="AH164" s="8" t="s">
        <v>1199</v>
      </c>
      <c r="AI164" s="8" t="s">
        <v>1199</v>
      </c>
      <c r="AJ164" s="26" t="s">
        <v>1199</v>
      </c>
      <c r="AK164" s="8" t="s">
        <v>1199</v>
      </c>
      <c r="AL164" s="8" t="s">
        <v>1199</v>
      </c>
      <c r="AM164" s="26" t="s">
        <v>1199</v>
      </c>
      <c r="AN164" s="26"/>
    </row>
    <row r="165" spans="1:40" ht="15" thickBot="1" x14ac:dyDescent="0.35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18"/>
        <v>10</v>
      </c>
      <c r="I165" s="16">
        <f t="shared" si="16"/>
        <v>19</v>
      </c>
      <c r="J165" s="17">
        <f t="shared" si="17"/>
        <v>0.34482758620689657</v>
      </c>
      <c r="K165" s="26"/>
      <c r="L165" s="8"/>
      <c r="M165" s="8"/>
      <c r="N165" s="8"/>
      <c r="O165" s="26" t="s">
        <v>1199</v>
      </c>
      <c r="P165" s="26" t="s">
        <v>1199</v>
      </c>
      <c r="Q165" s="8"/>
      <c r="R165" s="8"/>
      <c r="S165" s="8"/>
      <c r="T165" s="26"/>
      <c r="U165" s="26"/>
      <c r="V165" s="26" t="s">
        <v>1199</v>
      </c>
      <c r="W165" s="26" t="s">
        <v>1199</v>
      </c>
      <c r="X165" s="26" t="s">
        <v>1199</v>
      </c>
      <c r="Y165" s="26" t="s">
        <v>1199</v>
      </c>
      <c r="Z165" s="26" t="s">
        <v>1199</v>
      </c>
      <c r="AA165" s="26" t="s">
        <v>1199</v>
      </c>
      <c r="AB165" s="26" t="s">
        <v>1199</v>
      </c>
      <c r="AC165" s="26" t="s">
        <v>1199</v>
      </c>
      <c r="AD165" s="26" t="s">
        <v>1199</v>
      </c>
      <c r="AE165" s="26" t="s">
        <v>1199</v>
      </c>
      <c r="AF165" s="26" t="s">
        <v>1199</v>
      </c>
      <c r="AG165" s="8" t="s">
        <v>1199</v>
      </c>
      <c r="AH165" s="8" t="s">
        <v>1199</v>
      </c>
      <c r="AI165" s="8" t="s">
        <v>1199</v>
      </c>
      <c r="AJ165" s="26" t="s">
        <v>1199</v>
      </c>
      <c r="AK165" s="8" t="s">
        <v>1199</v>
      </c>
      <c r="AL165" s="8" t="s">
        <v>1199</v>
      </c>
      <c r="AM165" s="26" t="s">
        <v>1199</v>
      </c>
      <c r="AN165" s="26"/>
    </row>
    <row r="166" spans="1:40" ht="15" thickBot="1" x14ac:dyDescent="0.35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18"/>
        <v>1</v>
      </c>
      <c r="I166" s="16">
        <f t="shared" si="16"/>
        <v>27</v>
      </c>
      <c r="J166" s="17">
        <f t="shared" si="17"/>
        <v>3.5714285714285712E-2</v>
      </c>
      <c r="K166" s="26" t="s">
        <v>1199</v>
      </c>
      <c r="L166" s="8" t="s">
        <v>1199</v>
      </c>
      <c r="M166" s="8" t="s">
        <v>1199</v>
      </c>
      <c r="N166" s="8" t="s">
        <v>1199</v>
      </c>
      <c r="O166" s="26" t="s">
        <v>1199</v>
      </c>
      <c r="P166" s="26" t="s">
        <v>1199</v>
      </c>
      <c r="Q166" s="8" t="s">
        <v>1199</v>
      </c>
      <c r="R166" s="8" t="s">
        <v>1199</v>
      </c>
      <c r="S166" s="8" t="s">
        <v>1199</v>
      </c>
      <c r="T166" s="26"/>
      <c r="U166" s="26" t="s">
        <v>1199</v>
      </c>
      <c r="V166" s="26" t="s">
        <v>1199</v>
      </c>
      <c r="W166" s="26" t="s">
        <v>1199</v>
      </c>
      <c r="X166" s="26" t="s">
        <v>1199</v>
      </c>
      <c r="Y166" s="26" t="s">
        <v>1199</v>
      </c>
      <c r="Z166" s="26" t="s">
        <v>1199</v>
      </c>
      <c r="AA166" s="26" t="s">
        <v>1199</v>
      </c>
      <c r="AB166" s="26" t="s">
        <v>1199</v>
      </c>
      <c r="AC166" s="26" t="s">
        <v>1199</v>
      </c>
      <c r="AD166" s="26" t="s">
        <v>1199</v>
      </c>
      <c r="AE166" s="26" t="s">
        <v>1199</v>
      </c>
      <c r="AF166" s="26" t="s">
        <v>1199</v>
      </c>
      <c r="AG166" s="8" t="s">
        <v>1199</v>
      </c>
      <c r="AH166" s="8" t="s">
        <v>1199</v>
      </c>
      <c r="AI166" s="8" t="s">
        <v>1199</v>
      </c>
      <c r="AJ166" s="26" t="s">
        <v>1199</v>
      </c>
      <c r="AK166" s="8" t="s">
        <v>1199</v>
      </c>
      <c r="AL166" s="8" t="s">
        <v>1199</v>
      </c>
      <c r="AM166" s="26" t="s">
        <v>1199</v>
      </c>
      <c r="AN166" s="26" t="s">
        <v>1199</v>
      </c>
    </row>
    <row r="167" spans="1:40" ht="15" thickBot="1" x14ac:dyDescent="0.35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18"/>
        <v>24</v>
      </c>
      <c r="I167" s="16">
        <f t="shared" si="16"/>
        <v>6</v>
      </c>
      <c r="J167" s="17">
        <f t="shared" si="17"/>
        <v>0.8</v>
      </c>
      <c r="K167" s="26" t="s">
        <v>1199</v>
      </c>
      <c r="L167" s="8" t="s">
        <v>1199</v>
      </c>
      <c r="M167" s="8" t="s">
        <v>1199</v>
      </c>
      <c r="N167" s="8" t="s">
        <v>1199</v>
      </c>
      <c r="O167" s="26" t="s">
        <v>1199</v>
      </c>
      <c r="P167" s="26" t="s">
        <v>1199</v>
      </c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" thickBot="1" x14ac:dyDescent="0.35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18"/>
        <v>1</v>
      </c>
      <c r="I168" s="16">
        <f t="shared" si="16"/>
        <v>27</v>
      </c>
      <c r="J168" s="17">
        <f t="shared" si="17"/>
        <v>3.5714285714285712E-2</v>
      </c>
      <c r="K168" s="26" t="s">
        <v>1199</v>
      </c>
      <c r="L168" s="8" t="s">
        <v>1199</v>
      </c>
      <c r="M168" s="8" t="s">
        <v>1199</v>
      </c>
      <c r="N168" s="8" t="s">
        <v>1199</v>
      </c>
      <c r="O168" s="26" t="s">
        <v>1199</v>
      </c>
      <c r="P168" s="26" t="s">
        <v>1199</v>
      </c>
      <c r="Q168" s="8" t="s">
        <v>1199</v>
      </c>
      <c r="R168" s="8" t="s">
        <v>1199</v>
      </c>
      <c r="S168" s="8" t="s">
        <v>1199</v>
      </c>
      <c r="T168" s="26" t="s">
        <v>1199</v>
      </c>
      <c r="U168" s="26"/>
      <c r="V168" s="26" t="s">
        <v>1199</v>
      </c>
      <c r="W168" s="26" t="s">
        <v>1199</v>
      </c>
      <c r="X168" s="26" t="s">
        <v>1199</v>
      </c>
      <c r="Y168" s="26" t="s">
        <v>1199</v>
      </c>
      <c r="Z168" s="26" t="s">
        <v>1199</v>
      </c>
      <c r="AA168" s="26" t="s">
        <v>1199</v>
      </c>
      <c r="AB168" s="26" t="s">
        <v>1199</v>
      </c>
      <c r="AC168" s="26" t="s">
        <v>1199</v>
      </c>
      <c r="AD168" s="26" t="s">
        <v>1199</v>
      </c>
      <c r="AE168" s="26" t="s">
        <v>1199</v>
      </c>
      <c r="AF168" s="26" t="s">
        <v>1199</v>
      </c>
      <c r="AG168" s="8" t="s">
        <v>1199</v>
      </c>
      <c r="AH168" s="8" t="s">
        <v>1199</v>
      </c>
      <c r="AI168" s="8" t="s">
        <v>1199</v>
      </c>
      <c r="AJ168" s="26" t="s">
        <v>1199</v>
      </c>
      <c r="AK168" s="8" t="s">
        <v>1199</v>
      </c>
      <c r="AL168" s="8" t="s">
        <v>1199</v>
      </c>
      <c r="AM168" s="26" t="s">
        <v>1199</v>
      </c>
      <c r="AN168" s="26" t="s">
        <v>1199</v>
      </c>
    </row>
    <row r="169" spans="1:40" ht="15" thickBot="1" x14ac:dyDescent="0.35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18"/>
        <v>28</v>
      </c>
      <c r="I169" s="16">
        <f t="shared" si="16"/>
        <v>2</v>
      </c>
      <c r="J169" s="17">
        <f t="shared" si="17"/>
        <v>0.93333333333333335</v>
      </c>
      <c r="K169" s="26"/>
      <c r="L169" s="8"/>
      <c r="M169" s="8" t="s">
        <v>1199</v>
      </c>
      <c r="N169" s="8" t="s">
        <v>1199</v>
      </c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" thickBot="1" x14ac:dyDescent="0.35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18"/>
        <v>30</v>
      </c>
      <c r="I170" s="16">
        <f t="shared" si="16"/>
        <v>0</v>
      </c>
      <c r="J170" s="17">
        <f t="shared" si="17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thickBot="1" x14ac:dyDescent="0.35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18"/>
        <v>12</v>
      </c>
      <c r="I171" s="16">
        <f t="shared" si="16"/>
        <v>17</v>
      </c>
      <c r="J171" s="17">
        <f t="shared" si="17"/>
        <v>0.41379310344827586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 t="s">
        <v>1199</v>
      </c>
      <c r="W171" s="26" t="s">
        <v>1199</v>
      </c>
      <c r="X171" s="26" t="s">
        <v>1199</v>
      </c>
      <c r="Y171" s="26" t="s">
        <v>1199</v>
      </c>
      <c r="Z171" s="26" t="s">
        <v>1199</v>
      </c>
      <c r="AA171" s="26" t="s">
        <v>1199</v>
      </c>
      <c r="AB171" s="26" t="s">
        <v>1199</v>
      </c>
      <c r="AC171" s="26" t="s">
        <v>1199</v>
      </c>
      <c r="AD171" s="26" t="s">
        <v>1199</v>
      </c>
      <c r="AE171" s="26" t="s">
        <v>1199</v>
      </c>
      <c r="AF171" s="26" t="s">
        <v>1199</v>
      </c>
      <c r="AG171" s="8" t="s">
        <v>1199</v>
      </c>
      <c r="AH171" s="8" t="s">
        <v>1199</v>
      </c>
      <c r="AI171" s="8" t="s">
        <v>1199</v>
      </c>
      <c r="AJ171" s="26" t="s">
        <v>1199</v>
      </c>
      <c r="AK171" s="8" t="s">
        <v>1199</v>
      </c>
      <c r="AL171" s="8" t="s">
        <v>1199</v>
      </c>
      <c r="AM171" s="26" t="s">
        <v>1199</v>
      </c>
      <c r="AN171" s="26"/>
    </row>
    <row r="172" spans="1:40" ht="15" thickBot="1" x14ac:dyDescent="0.35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18"/>
        <v>7</v>
      </c>
      <c r="I172" s="16">
        <f t="shared" si="16"/>
        <v>22</v>
      </c>
      <c r="J172" s="17">
        <f t="shared" si="17"/>
        <v>0.2413793103448276</v>
      </c>
      <c r="K172" s="26"/>
      <c r="L172" s="8" t="s">
        <v>1199</v>
      </c>
      <c r="M172" s="8" t="s">
        <v>1199</v>
      </c>
      <c r="N172" s="8"/>
      <c r="O172" s="26" t="s">
        <v>1199</v>
      </c>
      <c r="P172" s="26" t="s">
        <v>1199</v>
      </c>
      <c r="Q172" s="8" t="s">
        <v>1199</v>
      </c>
      <c r="R172" s="8"/>
      <c r="S172" s="8"/>
      <c r="T172" s="26"/>
      <c r="U172" s="26"/>
      <c r="V172" s="26" t="s">
        <v>1199</v>
      </c>
      <c r="W172" s="26" t="s">
        <v>1199</v>
      </c>
      <c r="X172" s="26" t="s">
        <v>1199</v>
      </c>
      <c r="Y172" s="26" t="s">
        <v>1199</v>
      </c>
      <c r="Z172" s="26" t="s">
        <v>1199</v>
      </c>
      <c r="AA172" s="26" t="s">
        <v>1199</v>
      </c>
      <c r="AB172" s="26" t="s">
        <v>1199</v>
      </c>
      <c r="AC172" s="26" t="s">
        <v>1199</v>
      </c>
      <c r="AD172" s="26" t="s">
        <v>1199</v>
      </c>
      <c r="AE172" s="26" t="s">
        <v>1199</v>
      </c>
      <c r="AF172" s="26" t="s">
        <v>1199</v>
      </c>
      <c r="AG172" s="8" t="s">
        <v>1199</v>
      </c>
      <c r="AH172" s="8" t="s">
        <v>1199</v>
      </c>
      <c r="AI172" s="8" t="s">
        <v>1199</v>
      </c>
      <c r="AJ172" s="26" t="s">
        <v>1199</v>
      </c>
      <c r="AK172" s="8" t="s">
        <v>1199</v>
      </c>
      <c r="AL172" s="8" t="s">
        <v>1199</v>
      </c>
      <c r="AM172" s="26" t="s">
        <v>1199</v>
      </c>
      <c r="AN172" s="26"/>
    </row>
    <row r="173" spans="1:40" ht="15" thickBot="1" x14ac:dyDescent="0.35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18"/>
        <v>1</v>
      </c>
      <c r="I173" s="16">
        <f t="shared" si="16"/>
        <v>28</v>
      </c>
      <c r="J173" s="17">
        <f t="shared" si="17"/>
        <v>3.4482758620689655E-2</v>
      </c>
      <c r="K173" s="26" t="s">
        <v>1199</v>
      </c>
      <c r="L173" s="8" t="s">
        <v>1199</v>
      </c>
      <c r="M173" s="8" t="s">
        <v>1199</v>
      </c>
      <c r="N173" s="8" t="s">
        <v>1199</v>
      </c>
      <c r="O173" s="26" t="s">
        <v>1199</v>
      </c>
      <c r="P173" s="26" t="s">
        <v>1199</v>
      </c>
      <c r="Q173" s="8" t="s">
        <v>1199</v>
      </c>
      <c r="R173" s="8" t="s">
        <v>1199</v>
      </c>
      <c r="S173" s="8" t="s">
        <v>1199</v>
      </c>
      <c r="T173" s="26" t="s">
        <v>1199</v>
      </c>
      <c r="U173" s="26" t="s">
        <v>1199</v>
      </c>
      <c r="V173" s="26" t="s">
        <v>1199</v>
      </c>
      <c r="W173" s="26" t="s">
        <v>1199</v>
      </c>
      <c r="X173" s="26" t="s">
        <v>1199</v>
      </c>
      <c r="Y173" s="26" t="s">
        <v>1199</v>
      </c>
      <c r="Z173" s="26" t="s">
        <v>1199</v>
      </c>
      <c r="AA173" s="26" t="s">
        <v>1199</v>
      </c>
      <c r="AB173" s="26" t="s">
        <v>1199</v>
      </c>
      <c r="AC173" s="26" t="s">
        <v>1199</v>
      </c>
      <c r="AD173" s="26" t="s">
        <v>1199</v>
      </c>
      <c r="AE173" s="26" t="s">
        <v>1199</v>
      </c>
      <c r="AF173" s="26" t="s">
        <v>1199</v>
      </c>
      <c r="AG173" s="8" t="s">
        <v>1199</v>
      </c>
      <c r="AH173" s="8" t="s">
        <v>1199</v>
      </c>
      <c r="AI173" s="8" t="s">
        <v>1199</v>
      </c>
      <c r="AJ173" s="26" t="s">
        <v>1199</v>
      </c>
      <c r="AK173" s="8" t="s">
        <v>1199</v>
      </c>
      <c r="AL173" s="8" t="s">
        <v>1199</v>
      </c>
      <c r="AM173" s="26" t="s">
        <v>1199</v>
      </c>
      <c r="AN173" s="26"/>
    </row>
    <row r="174" spans="1:40" ht="15" thickBot="1" x14ac:dyDescent="0.35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18"/>
        <v>30</v>
      </c>
      <c r="I174" s="16">
        <f t="shared" si="16"/>
        <v>0</v>
      </c>
      <c r="J174" s="17">
        <f t="shared" si="17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thickBot="1" x14ac:dyDescent="0.35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18"/>
        <v>28</v>
      </c>
      <c r="I175" s="16">
        <f t="shared" si="16"/>
        <v>2</v>
      </c>
      <c r="J175" s="17">
        <f t="shared" si="17"/>
        <v>0.93333333333333335</v>
      </c>
      <c r="K175" s="26"/>
      <c r="L175" s="8"/>
      <c r="M175" s="8" t="s">
        <v>1199</v>
      </c>
      <c r="N175" s="8" t="s">
        <v>1199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thickBot="1" x14ac:dyDescent="0.35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18"/>
        <v>0</v>
      </c>
      <c r="I176" s="16">
        <f t="shared" si="16"/>
        <v>28</v>
      </c>
      <c r="J176" s="17">
        <f t="shared" si="17"/>
        <v>0</v>
      </c>
      <c r="K176" s="26" t="s">
        <v>1199</v>
      </c>
      <c r="L176" s="8" t="s">
        <v>1199</v>
      </c>
      <c r="M176" s="8" t="s">
        <v>1199</v>
      </c>
      <c r="N176" s="8" t="s">
        <v>1199</v>
      </c>
      <c r="O176" s="26" t="s">
        <v>1199</v>
      </c>
      <c r="P176" s="26" t="s">
        <v>1199</v>
      </c>
      <c r="Q176" s="8" t="s">
        <v>1199</v>
      </c>
      <c r="R176" s="8" t="s">
        <v>1199</v>
      </c>
      <c r="S176" s="8" t="s">
        <v>1199</v>
      </c>
      <c r="T176" s="26" t="s">
        <v>1199</v>
      </c>
      <c r="U176" s="26" t="s">
        <v>1199</v>
      </c>
      <c r="V176" s="26" t="s">
        <v>1199</v>
      </c>
      <c r="W176" s="26" t="s">
        <v>1199</v>
      </c>
      <c r="X176" s="26" t="s">
        <v>1199</v>
      </c>
      <c r="Y176" s="26" t="s">
        <v>1199</v>
      </c>
      <c r="Z176" s="26" t="s">
        <v>1199</v>
      </c>
      <c r="AA176" s="26" t="s">
        <v>1199</v>
      </c>
      <c r="AB176" s="26" t="s">
        <v>1199</v>
      </c>
      <c r="AC176" s="26" t="s">
        <v>1199</v>
      </c>
      <c r="AD176" s="26" t="s">
        <v>1199</v>
      </c>
      <c r="AE176" s="26" t="s">
        <v>1199</v>
      </c>
      <c r="AF176" s="26" t="s">
        <v>1199</v>
      </c>
      <c r="AG176" s="8" t="s">
        <v>1199</v>
      </c>
      <c r="AH176" s="8" t="s">
        <v>1199</v>
      </c>
      <c r="AI176" s="8" t="s">
        <v>1199</v>
      </c>
      <c r="AJ176" s="26" t="s">
        <v>1199</v>
      </c>
      <c r="AK176" s="8" t="s">
        <v>1199</v>
      </c>
      <c r="AL176" s="8" t="s">
        <v>1199</v>
      </c>
      <c r="AM176" s="26" t="s">
        <v>1199</v>
      </c>
      <c r="AN176" s="26" t="s">
        <v>1199</v>
      </c>
    </row>
    <row r="177" spans="1:40" ht="15" thickBot="1" x14ac:dyDescent="0.35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18"/>
        <v>30</v>
      </c>
      <c r="I177" s="16">
        <f t="shared" si="16"/>
        <v>0</v>
      </c>
      <c r="J177" s="17">
        <f t="shared" si="17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thickBot="1" x14ac:dyDescent="0.35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18"/>
        <v>30</v>
      </c>
      <c r="I178" s="16">
        <f t="shared" si="16"/>
        <v>0</v>
      </c>
      <c r="J178" s="17">
        <f t="shared" si="17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thickBot="1" x14ac:dyDescent="0.35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18"/>
        <v>30</v>
      </c>
      <c r="I179" s="16">
        <f t="shared" si="16"/>
        <v>0</v>
      </c>
      <c r="J179" s="17">
        <f t="shared" si="17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thickBot="1" x14ac:dyDescent="0.35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18"/>
        <v>30</v>
      </c>
      <c r="I180" s="16">
        <f t="shared" si="16"/>
        <v>0</v>
      </c>
      <c r="J180" s="17">
        <f t="shared" si="17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thickBot="1" x14ac:dyDescent="0.35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18"/>
        <v>30</v>
      </c>
      <c r="I181" s="16">
        <f t="shared" si="16"/>
        <v>0</v>
      </c>
      <c r="J181" s="17">
        <f t="shared" si="17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thickBot="1" x14ac:dyDescent="0.35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18"/>
        <v>30</v>
      </c>
      <c r="I182" s="16">
        <f t="shared" si="16"/>
        <v>0</v>
      </c>
      <c r="J182" s="17">
        <f t="shared" si="17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18"/>
        <v>30</v>
      </c>
      <c r="I183" s="16">
        <f t="shared" si="16"/>
        <v>0</v>
      </c>
      <c r="J183" s="17">
        <f t="shared" si="17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thickBot="1" x14ac:dyDescent="0.35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18"/>
        <v>28</v>
      </c>
      <c r="I184" s="16">
        <f t="shared" si="16"/>
        <v>2</v>
      </c>
      <c r="J184" s="17">
        <f t="shared" si="17"/>
        <v>0.93333333333333335</v>
      </c>
      <c r="K184" s="26"/>
      <c r="L184" s="8"/>
      <c r="M184" s="8" t="s">
        <v>1199</v>
      </c>
      <c r="N184" s="8" t="s">
        <v>1199</v>
      </c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18"/>
        <v>28</v>
      </c>
      <c r="I185" s="16">
        <f t="shared" si="16"/>
        <v>2</v>
      </c>
      <c r="J185" s="17">
        <f t="shared" si="17"/>
        <v>0.93333333333333335</v>
      </c>
      <c r="K185" s="26"/>
      <c r="L185" s="8"/>
      <c r="M185" s="8" t="s">
        <v>1199</v>
      </c>
      <c r="N185" s="8" t="s">
        <v>1199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thickBot="1" x14ac:dyDescent="0.35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18"/>
        <v>30</v>
      </c>
      <c r="I186" s="16">
        <f t="shared" si="16"/>
        <v>0</v>
      </c>
      <c r="J186" s="17">
        <f t="shared" si="17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thickBot="1" x14ac:dyDescent="0.35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22</v>
      </c>
      <c r="I187" s="16">
        <f>COUNTIF(K187:AL187,"APAGADO")</f>
        <v>6</v>
      </c>
      <c r="J187" s="17">
        <f>(H187)/(I187+H187)</f>
        <v>0.7857142857142857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 t="s">
        <v>1199</v>
      </c>
      <c r="AH187" s="8" t="s">
        <v>1199</v>
      </c>
      <c r="AI187" s="8" t="s">
        <v>1199</v>
      </c>
      <c r="AJ187" s="26" t="s">
        <v>1199</v>
      </c>
      <c r="AK187" s="8" t="s">
        <v>1199</v>
      </c>
      <c r="AL187" s="8" t="s">
        <v>1199</v>
      </c>
      <c r="AM187" s="26" t="s">
        <v>1199</v>
      </c>
      <c r="AN187" s="26" t="s">
        <v>1199</v>
      </c>
    </row>
    <row r="188" spans="1:40" ht="15" thickBot="1" x14ac:dyDescent="0.35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18"/>
        <v>28</v>
      </c>
      <c r="I188" s="16">
        <f t="shared" si="16"/>
        <v>2</v>
      </c>
      <c r="J188" s="17">
        <f t="shared" si="17"/>
        <v>0.93333333333333335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thickBot="1" x14ac:dyDescent="0.35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21</v>
      </c>
      <c r="I189" s="16">
        <f>COUNTIF(K189:AL189,"APAGADO")</f>
        <v>7</v>
      </c>
      <c r="J189" s="17">
        <f>(H189)/(I189+H189)</f>
        <v>0.75</v>
      </c>
      <c r="K189" s="26"/>
      <c r="L189" s="8"/>
      <c r="M189" s="8"/>
      <c r="N189" s="8"/>
      <c r="O189" s="26"/>
      <c r="P189" s="26" t="s">
        <v>1199</v>
      </c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 t="s">
        <v>1199</v>
      </c>
      <c r="AH189" s="8" t="s">
        <v>1199</v>
      </c>
      <c r="AI189" s="8" t="s">
        <v>1199</v>
      </c>
      <c r="AJ189" s="26" t="s">
        <v>1199</v>
      </c>
      <c r="AK189" s="8" t="s">
        <v>1199</v>
      </c>
      <c r="AL189" s="8" t="s">
        <v>1199</v>
      </c>
      <c r="AM189" s="26" t="s">
        <v>1199</v>
      </c>
      <c r="AN189" s="26" t="s">
        <v>1199</v>
      </c>
    </row>
    <row r="190" spans="1:40" ht="15" thickBot="1" x14ac:dyDescent="0.35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18"/>
        <v>22</v>
      </c>
      <c r="I190" s="16">
        <f t="shared" si="16"/>
        <v>6</v>
      </c>
      <c r="J190" s="17">
        <f t="shared" si="17"/>
        <v>0.7857142857142857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 t="s">
        <v>1199</v>
      </c>
      <c r="AH190" s="8" t="s">
        <v>1199</v>
      </c>
      <c r="AI190" s="8" t="s">
        <v>1199</v>
      </c>
      <c r="AJ190" s="26" t="s">
        <v>1199</v>
      </c>
      <c r="AK190" s="8" t="s">
        <v>1199</v>
      </c>
      <c r="AL190" s="8" t="s">
        <v>1199</v>
      </c>
      <c r="AM190" s="26" t="s">
        <v>1199</v>
      </c>
      <c r="AN190" s="26" t="s">
        <v>1199</v>
      </c>
    </row>
    <row r="191" spans="1:40" ht="15" thickBot="1" x14ac:dyDescent="0.35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18"/>
        <v>30</v>
      </c>
      <c r="I191" s="16">
        <f t="shared" si="16"/>
        <v>0</v>
      </c>
      <c r="J191" s="17">
        <f t="shared" si="17"/>
        <v>1</v>
      </c>
      <c r="K191" s="26"/>
      <c r="L191" s="8"/>
      <c r="M191" s="8"/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thickBot="1" x14ac:dyDescent="0.35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18"/>
        <v>27</v>
      </c>
      <c r="I192" s="16">
        <f t="shared" si="16"/>
        <v>3</v>
      </c>
      <c r="J192" s="17">
        <f t="shared" si="17"/>
        <v>0.9</v>
      </c>
      <c r="K192" s="26"/>
      <c r="L192" s="8"/>
      <c r="M192" s="8" t="s">
        <v>1199</v>
      </c>
      <c r="N192" s="8" t="s">
        <v>1199</v>
      </c>
      <c r="O192" s="26"/>
      <c r="P192" s="26"/>
      <c r="Q192" s="8"/>
      <c r="R192" s="8"/>
      <c r="S192" s="8"/>
      <c r="T192" s="26"/>
      <c r="U192" s="26"/>
      <c r="V192" s="26"/>
      <c r="W192" s="26"/>
      <c r="X192" s="26" t="s">
        <v>1199</v>
      </c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thickBot="1" x14ac:dyDescent="0.35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18"/>
        <v>28</v>
      </c>
      <c r="I193" s="16">
        <f t="shared" si="16"/>
        <v>2</v>
      </c>
      <c r="J193" s="17">
        <f t="shared" si="17"/>
        <v>0.93333333333333335</v>
      </c>
      <c r="K193" s="26"/>
      <c r="L193" s="8"/>
      <c r="M193" s="8" t="s">
        <v>1199</v>
      </c>
      <c r="N193" s="8" t="s">
        <v>1199</v>
      </c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thickBot="1" x14ac:dyDescent="0.35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18"/>
        <v>30</v>
      </c>
      <c r="I194" s="16">
        <f t="shared" si="16"/>
        <v>0</v>
      </c>
      <c r="J194" s="17">
        <f t="shared" si="17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thickBot="1" x14ac:dyDescent="0.35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18"/>
        <v>28</v>
      </c>
      <c r="I195" s="16">
        <f t="shared" si="16"/>
        <v>2</v>
      </c>
      <c r="J195" s="17">
        <f t="shared" si="17"/>
        <v>0.93333333333333335</v>
      </c>
      <c r="K195" s="26"/>
      <c r="L195" s="8"/>
      <c r="M195" s="8" t="s">
        <v>1199</v>
      </c>
      <c r="N195" s="8" t="s">
        <v>1199</v>
      </c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thickBot="1" x14ac:dyDescent="0.35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18"/>
        <v>28</v>
      </c>
      <c r="I196" s="16">
        <f t="shared" si="16"/>
        <v>2</v>
      </c>
      <c r="J196" s="17">
        <f t="shared" si="17"/>
        <v>0.93333333333333335</v>
      </c>
      <c r="K196" s="26"/>
      <c r="L196" s="8"/>
      <c r="M196" s="8" t="s">
        <v>1199</v>
      </c>
      <c r="N196" s="8" t="s">
        <v>1199</v>
      </c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thickBot="1" x14ac:dyDescent="0.35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18"/>
        <v>28</v>
      </c>
      <c r="I197" s="16">
        <f t="shared" si="16"/>
        <v>2</v>
      </c>
      <c r="J197" s="17">
        <f t="shared" si="17"/>
        <v>0.93333333333333335</v>
      </c>
      <c r="K197" s="26"/>
      <c r="L197" s="8"/>
      <c r="M197" s="8" t="s">
        <v>1199</v>
      </c>
      <c r="N197" s="8" t="s">
        <v>1199</v>
      </c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thickBot="1" x14ac:dyDescent="0.35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18"/>
        <v>30</v>
      </c>
      <c r="I198" s="16">
        <f t="shared" si="16"/>
        <v>0</v>
      </c>
      <c r="J198" s="17">
        <f t="shared" si="17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thickBot="1" x14ac:dyDescent="0.35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18"/>
        <v>30</v>
      </c>
      <c r="I199" s="16">
        <f t="shared" si="16"/>
        <v>0</v>
      </c>
      <c r="J199" s="17">
        <f t="shared" si="17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thickBot="1" x14ac:dyDescent="0.35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18"/>
        <v>27</v>
      </c>
      <c r="I200" s="16">
        <f t="shared" si="16"/>
        <v>3</v>
      </c>
      <c r="J200" s="17">
        <f t="shared" si="17"/>
        <v>0.9</v>
      </c>
      <c r="K200" s="26"/>
      <c r="L200" s="8"/>
      <c r="M200" s="8" t="s">
        <v>1199</v>
      </c>
      <c r="N200" s="8"/>
      <c r="O200" s="26"/>
      <c r="P200" s="26"/>
      <c r="Q200" s="8"/>
      <c r="R200" s="8"/>
      <c r="S200" s="8"/>
      <c r="T200" s="26" t="s">
        <v>1199</v>
      </c>
      <c r="U200" s="26" t="s">
        <v>1199</v>
      </c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thickBot="1" x14ac:dyDescent="0.35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18"/>
        <v>30</v>
      </c>
      <c r="I201" s="16">
        <f t="shared" si="16"/>
        <v>0</v>
      </c>
      <c r="J201" s="17">
        <f t="shared" si="17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thickBot="1" x14ac:dyDescent="0.35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1199</v>
      </c>
      <c r="N202" s="8" t="s">
        <v>1199</v>
      </c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thickBot="1" x14ac:dyDescent="0.35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18"/>
        <v>30</v>
      </c>
      <c r="I203" s="16">
        <f t="shared" si="16"/>
        <v>0</v>
      </c>
      <c r="J203" s="17">
        <f t="shared" si="17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thickBot="1" x14ac:dyDescent="0.35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18"/>
        <v>30</v>
      </c>
      <c r="I204" s="16">
        <f t="shared" si="16"/>
        <v>0</v>
      </c>
      <c r="J204" s="17">
        <f t="shared" si="17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thickBot="1" x14ac:dyDescent="0.35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18"/>
        <v>30</v>
      </c>
      <c r="I205" s="16">
        <f t="shared" si="16"/>
        <v>0</v>
      </c>
      <c r="J205" s="17">
        <f t="shared" si="17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thickBot="1" x14ac:dyDescent="0.35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18"/>
        <v>30</v>
      </c>
      <c r="I206" s="16">
        <f t="shared" si="16"/>
        <v>0</v>
      </c>
      <c r="J206" s="17">
        <f t="shared" si="17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thickBot="1" x14ac:dyDescent="0.35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18"/>
        <v>30</v>
      </c>
      <c r="I207" s="16">
        <f t="shared" ref="I207:I271" si="19">COUNTIF(K207:AL207,"APAGADO")</f>
        <v>0</v>
      </c>
      <c r="J207" s="17">
        <f t="shared" ref="J207:J271" si="20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thickBot="1" x14ac:dyDescent="0.35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1">COUNTIF(K208:AN208,"")</f>
        <v>30</v>
      </c>
      <c r="I208" s="16">
        <f t="shared" si="19"/>
        <v>0</v>
      </c>
      <c r="J208" s="17">
        <f t="shared" si="20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thickBot="1" x14ac:dyDescent="0.35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1"/>
        <v>30</v>
      </c>
      <c r="I209" s="16">
        <f t="shared" si="19"/>
        <v>0</v>
      </c>
      <c r="J209" s="17">
        <f t="shared" si="20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thickBot="1" x14ac:dyDescent="0.35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1"/>
        <v>30</v>
      </c>
      <c r="I210" s="16">
        <f t="shared" si="19"/>
        <v>0</v>
      </c>
      <c r="J210" s="17">
        <f t="shared" si="20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thickBot="1" x14ac:dyDescent="0.35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1"/>
        <v>30</v>
      </c>
      <c r="I211" s="16">
        <f t="shared" si="19"/>
        <v>0</v>
      </c>
      <c r="J211" s="17">
        <f t="shared" si="20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" thickBot="1" x14ac:dyDescent="0.35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1"/>
        <v>26</v>
      </c>
      <c r="I212" s="16">
        <f t="shared" si="19"/>
        <v>3</v>
      </c>
      <c r="J212" s="17">
        <f t="shared" si="20"/>
        <v>0.89655172413793105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 t="s">
        <v>1199</v>
      </c>
      <c r="AJ212" s="26"/>
      <c r="AK212" s="8" t="s">
        <v>1199</v>
      </c>
      <c r="AL212" s="8" t="s">
        <v>1199</v>
      </c>
      <c r="AM212" s="26" t="s">
        <v>1199</v>
      </c>
      <c r="AN212" s="26"/>
    </row>
    <row r="213" spans="1:40" ht="15" thickBot="1" x14ac:dyDescent="0.35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1"/>
        <v>30</v>
      </c>
      <c r="I213" s="16">
        <f t="shared" si="19"/>
        <v>0</v>
      </c>
      <c r="J213" s="17">
        <f t="shared" si="20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thickBot="1" x14ac:dyDescent="0.35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1"/>
        <v>30</v>
      </c>
      <c r="I214" s="16">
        <f t="shared" si="19"/>
        <v>0</v>
      </c>
      <c r="J214" s="17">
        <f t="shared" si="20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thickBot="1" x14ac:dyDescent="0.35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1"/>
        <v>27</v>
      </c>
      <c r="I215" s="16">
        <f t="shared" si="19"/>
        <v>3</v>
      </c>
      <c r="J215" s="17">
        <f t="shared" si="20"/>
        <v>0.9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 t="s">
        <v>1199</v>
      </c>
      <c r="V215" s="26"/>
      <c r="W215" s="26"/>
      <c r="X215" s="26"/>
      <c r="Y215" s="26" t="s">
        <v>1199</v>
      </c>
      <c r="Z215" s="26"/>
      <c r="AA215" s="26"/>
      <c r="AB215" s="26"/>
      <c r="AC215" s="26"/>
      <c r="AD215" s="26"/>
      <c r="AE215" s="26"/>
      <c r="AF215" s="26" t="s">
        <v>1199</v>
      </c>
      <c r="AG215" s="8"/>
      <c r="AH215" s="8"/>
      <c r="AI215" s="8"/>
      <c r="AJ215" s="26"/>
      <c r="AK215" s="8"/>
      <c r="AL215" s="8"/>
      <c r="AM215" s="26"/>
      <c r="AN215" s="26"/>
    </row>
    <row r="216" spans="1:40" ht="15" thickBot="1" x14ac:dyDescent="0.35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1"/>
        <v>27</v>
      </c>
      <c r="I216" s="16">
        <f t="shared" si="19"/>
        <v>3</v>
      </c>
      <c r="J216" s="17">
        <f t="shared" si="20"/>
        <v>0.9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 t="s">
        <v>1199</v>
      </c>
      <c r="V216" s="26"/>
      <c r="W216" s="26"/>
      <c r="X216" s="26"/>
      <c r="Y216" s="26" t="s">
        <v>1199</v>
      </c>
      <c r="Z216" s="26"/>
      <c r="AA216" s="26"/>
      <c r="AB216" s="26"/>
      <c r="AC216" s="26"/>
      <c r="AD216" s="26"/>
      <c r="AE216" s="26"/>
      <c r="AF216" s="26" t="s">
        <v>1199</v>
      </c>
      <c r="AG216" s="8"/>
      <c r="AH216" s="8"/>
      <c r="AI216" s="8"/>
      <c r="AJ216" s="26"/>
      <c r="AK216" s="8"/>
      <c r="AL216" s="8"/>
      <c r="AM216" s="26"/>
      <c r="AN216" s="26"/>
    </row>
    <row r="217" spans="1:40" ht="15" thickBot="1" x14ac:dyDescent="0.35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1"/>
        <v>30</v>
      </c>
      <c r="I217" s="16">
        <f t="shared" si="19"/>
        <v>0</v>
      </c>
      <c r="J217" s="17">
        <f t="shared" si="20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thickBot="1" x14ac:dyDescent="0.35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1"/>
        <v>22</v>
      </c>
      <c r="I218" s="16">
        <f t="shared" si="19"/>
        <v>8</v>
      </c>
      <c r="J218" s="17">
        <f t="shared" si="20"/>
        <v>0.73333333333333328</v>
      </c>
      <c r="K218" s="26"/>
      <c r="L218" s="8"/>
      <c r="M218" s="8"/>
      <c r="N218" s="8"/>
      <c r="O218" s="26"/>
      <c r="P218" s="26"/>
      <c r="Q218" s="8"/>
      <c r="R218" s="8"/>
      <c r="S218" s="8" t="s">
        <v>1199</v>
      </c>
      <c r="T218" s="26"/>
      <c r="U218" s="26"/>
      <c r="V218" s="26"/>
      <c r="W218" s="26"/>
      <c r="X218" s="26"/>
      <c r="Y218" s="26"/>
      <c r="Z218" s="26" t="s">
        <v>1199</v>
      </c>
      <c r="AA218" s="26" t="s">
        <v>1199</v>
      </c>
      <c r="AB218" s="26" t="s">
        <v>1199</v>
      </c>
      <c r="AC218" s="26" t="s">
        <v>1199</v>
      </c>
      <c r="AD218" s="26"/>
      <c r="AE218" s="26"/>
      <c r="AF218" s="26"/>
      <c r="AG218" s="8" t="s">
        <v>1199</v>
      </c>
      <c r="AH218" s="8"/>
      <c r="AI218" s="8"/>
      <c r="AJ218" s="26" t="s">
        <v>1199</v>
      </c>
      <c r="AK218" s="8" t="s">
        <v>1199</v>
      </c>
      <c r="AL218" s="8"/>
      <c r="AM218" s="26"/>
      <c r="AN218" s="26"/>
    </row>
    <row r="219" spans="1:40" ht="15" thickBot="1" x14ac:dyDescent="0.35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1"/>
        <v>23</v>
      </c>
      <c r="I219" s="16">
        <f t="shared" si="19"/>
        <v>7</v>
      </c>
      <c r="J219" s="17">
        <f t="shared" si="20"/>
        <v>0.76666666666666672</v>
      </c>
      <c r="K219" s="26"/>
      <c r="L219" s="8"/>
      <c r="M219" s="8"/>
      <c r="N219" s="8"/>
      <c r="O219" s="26"/>
      <c r="P219" s="26"/>
      <c r="Q219" s="8"/>
      <c r="R219" s="8"/>
      <c r="S219" s="8" t="s">
        <v>1199</v>
      </c>
      <c r="T219" s="26"/>
      <c r="U219" s="26"/>
      <c r="V219" s="26"/>
      <c r="W219" s="26"/>
      <c r="X219" s="26"/>
      <c r="Y219" s="26"/>
      <c r="Z219" s="26"/>
      <c r="AA219" s="26" t="s">
        <v>1199</v>
      </c>
      <c r="AB219" s="26" t="s">
        <v>1199</v>
      </c>
      <c r="AC219" s="26" t="s">
        <v>1199</v>
      </c>
      <c r="AD219" s="26"/>
      <c r="AE219" s="26"/>
      <c r="AF219" s="26"/>
      <c r="AG219" s="8" t="s">
        <v>1199</v>
      </c>
      <c r="AH219" s="8"/>
      <c r="AI219" s="8"/>
      <c r="AJ219" s="26" t="s">
        <v>1199</v>
      </c>
      <c r="AK219" s="8" t="s">
        <v>1199</v>
      </c>
      <c r="AL219" s="8"/>
      <c r="AM219" s="26"/>
      <c r="AN219" s="26"/>
    </row>
    <row r="220" spans="1:40" ht="15" thickBot="1" x14ac:dyDescent="0.35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1"/>
        <v>0</v>
      </c>
      <c r="I220" s="16">
        <f t="shared" si="19"/>
        <v>28</v>
      </c>
      <c r="J220" s="17">
        <f t="shared" si="20"/>
        <v>0</v>
      </c>
      <c r="K220" s="26" t="s">
        <v>1199</v>
      </c>
      <c r="L220" s="8" t="s">
        <v>1199</v>
      </c>
      <c r="M220" s="8" t="s">
        <v>1199</v>
      </c>
      <c r="N220" s="8" t="s">
        <v>1199</v>
      </c>
      <c r="O220" s="26" t="s">
        <v>1199</v>
      </c>
      <c r="P220" s="26" t="s">
        <v>1199</v>
      </c>
      <c r="Q220" s="8" t="s">
        <v>1199</v>
      </c>
      <c r="R220" s="8" t="s">
        <v>1199</v>
      </c>
      <c r="S220" s="8" t="s">
        <v>1199</v>
      </c>
      <c r="T220" s="26" t="s">
        <v>1199</v>
      </c>
      <c r="U220" s="26" t="s">
        <v>1199</v>
      </c>
      <c r="V220" s="26" t="s">
        <v>1199</v>
      </c>
      <c r="W220" s="26" t="s">
        <v>1199</v>
      </c>
      <c r="X220" s="26" t="s">
        <v>1199</v>
      </c>
      <c r="Y220" s="26" t="s">
        <v>1199</v>
      </c>
      <c r="Z220" s="26" t="s">
        <v>1199</v>
      </c>
      <c r="AA220" s="26" t="s">
        <v>1199</v>
      </c>
      <c r="AB220" s="26" t="s">
        <v>1199</v>
      </c>
      <c r="AC220" s="26" t="s">
        <v>1199</v>
      </c>
      <c r="AD220" s="26" t="s">
        <v>1199</v>
      </c>
      <c r="AE220" s="26" t="s">
        <v>1199</v>
      </c>
      <c r="AF220" s="26" t="s">
        <v>1199</v>
      </c>
      <c r="AG220" s="8" t="s">
        <v>1199</v>
      </c>
      <c r="AH220" s="8" t="s">
        <v>1199</v>
      </c>
      <c r="AI220" s="8" t="s">
        <v>1199</v>
      </c>
      <c r="AJ220" s="26" t="s">
        <v>1199</v>
      </c>
      <c r="AK220" s="8" t="s">
        <v>1199</v>
      </c>
      <c r="AL220" s="8" t="s">
        <v>1199</v>
      </c>
      <c r="AM220" s="26" t="s">
        <v>1199</v>
      </c>
      <c r="AN220" s="26" t="s">
        <v>1199</v>
      </c>
    </row>
    <row r="221" spans="1:40" ht="15" thickBot="1" x14ac:dyDescent="0.35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1"/>
        <v>29</v>
      </c>
      <c r="I221" s="16">
        <f t="shared" si="19"/>
        <v>1</v>
      </c>
      <c r="J221" s="17">
        <f t="shared" si="20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 t="s">
        <v>1199</v>
      </c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thickBot="1" x14ac:dyDescent="0.35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1"/>
        <v>29</v>
      </c>
      <c r="I222" s="16">
        <f t="shared" si="19"/>
        <v>1</v>
      </c>
      <c r="J222" s="17">
        <f t="shared" si="20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 t="s">
        <v>1199</v>
      </c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1"/>
        <v>28</v>
      </c>
      <c r="I223" s="16">
        <f t="shared" si="19"/>
        <v>2</v>
      </c>
      <c r="J223" s="17">
        <f t="shared" si="20"/>
        <v>0.93333333333333335</v>
      </c>
      <c r="K223" s="26"/>
      <c r="L223" s="8"/>
      <c r="M223" s="8" t="s">
        <v>1199</v>
      </c>
      <c r="N223" s="8" t="s">
        <v>1199</v>
      </c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" thickBot="1" x14ac:dyDescent="0.35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1"/>
        <v>28</v>
      </c>
      <c r="I224" s="16">
        <f t="shared" si="19"/>
        <v>2</v>
      </c>
      <c r="J224" s="17">
        <f t="shared" si="20"/>
        <v>0.93333333333333335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 t="s">
        <v>1199</v>
      </c>
      <c r="AK224" s="8" t="s">
        <v>1199</v>
      </c>
      <c r="AL224" s="8"/>
      <c r="AM224" s="26"/>
      <c r="AN224" s="26"/>
    </row>
    <row r="225" spans="1:40" ht="15" thickBot="1" x14ac:dyDescent="0.35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1"/>
        <v>29</v>
      </c>
      <c r="I225" s="16">
        <f t="shared" si="19"/>
        <v>1</v>
      </c>
      <c r="J225" s="17">
        <f t="shared" si="20"/>
        <v>0.96666666666666667</v>
      </c>
      <c r="K225" s="26"/>
      <c r="L225" s="8"/>
      <c r="M225" s="8"/>
      <c r="N225" s="8"/>
      <c r="O225" s="26"/>
      <c r="P225" s="26"/>
      <c r="Q225" s="8"/>
      <c r="R225" s="8"/>
      <c r="S225" s="8" t="s">
        <v>1199</v>
      </c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thickBot="1" x14ac:dyDescent="0.35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1"/>
        <v>11</v>
      </c>
      <c r="I226" s="16">
        <f t="shared" si="19"/>
        <v>19</v>
      </c>
      <c r="J226" s="17">
        <f t="shared" si="20"/>
        <v>0.36666666666666664</v>
      </c>
      <c r="K226" s="26" t="s">
        <v>1199</v>
      </c>
      <c r="L226" s="8" t="s">
        <v>1199</v>
      </c>
      <c r="M226" s="8" t="s">
        <v>1199</v>
      </c>
      <c r="N226" s="8" t="s">
        <v>1199</v>
      </c>
      <c r="O226" s="26" t="s">
        <v>1199</v>
      </c>
      <c r="P226" s="26" t="s">
        <v>1199</v>
      </c>
      <c r="Q226" s="8" t="s">
        <v>1199</v>
      </c>
      <c r="R226" s="8" t="s">
        <v>1199</v>
      </c>
      <c r="S226" s="8" t="s">
        <v>1199</v>
      </c>
      <c r="T226" s="26" t="s">
        <v>1199</v>
      </c>
      <c r="U226" s="26" t="s">
        <v>1199</v>
      </c>
      <c r="V226" s="26" t="s">
        <v>1199</v>
      </c>
      <c r="W226" s="26" t="s">
        <v>1199</v>
      </c>
      <c r="X226" s="26" t="s">
        <v>1199</v>
      </c>
      <c r="Y226" s="26" t="s">
        <v>1199</v>
      </c>
      <c r="Z226" s="26" t="s">
        <v>1199</v>
      </c>
      <c r="AA226" s="26" t="s">
        <v>1199</v>
      </c>
      <c r="AB226" s="26" t="s">
        <v>1199</v>
      </c>
      <c r="AC226" s="26" t="s">
        <v>1199</v>
      </c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thickBot="1" x14ac:dyDescent="0.35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1"/>
        <v>2</v>
      </c>
      <c r="I227" s="16">
        <f t="shared" si="19"/>
        <v>26</v>
      </c>
      <c r="J227" s="17">
        <f t="shared" si="20"/>
        <v>7.1428571428571425E-2</v>
      </c>
      <c r="K227" s="26" t="s">
        <v>1199</v>
      </c>
      <c r="L227" s="8" t="s">
        <v>1199</v>
      </c>
      <c r="M227" s="8" t="s">
        <v>1199</v>
      </c>
      <c r="N227" s="8"/>
      <c r="O227" s="26" t="s">
        <v>1199</v>
      </c>
      <c r="P227" s="26" t="s">
        <v>1199</v>
      </c>
      <c r="Q227" s="8" t="s">
        <v>1199</v>
      </c>
      <c r="R227" s="8" t="s">
        <v>1199</v>
      </c>
      <c r="S227" s="8" t="s">
        <v>1199</v>
      </c>
      <c r="T227" s="26" t="s">
        <v>1199</v>
      </c>
      <c r="U227" s="26" t="s">
        <v>1199</v>
      </c>
      <c r="V227" s="26" t="s">
        <v>1199</v>
      </c>
      <c r="W227" s="26" t="s">
        <v>1199</v>
      </c>
      <c r="X227" s="26" t="s">
        <v>1199</v>
      </c>
      <c r="Y227" s="26" t="s">
        <v>1199</v>
      </c>
      <c r="Z227" s="26" t="s">
        <v>1199</v>
      </c>
      <c r="AA227" s="26" t="s">
        <v>1199</v>
      </c>
      <c r="AB227" s="26" t="s">
        <v>1199</v>
      </c>
      <c r="AC227" s="26"/>
      <c r="AD227" s="26" t="s">
        <v>1199</v>
      </c>
      <c r="AE227" s="26" t="s">
        <v>1199</v>
      </c>
      <c r="AF227" s="26" t="s">
        <v>1199</v>
      </c>
      <c r="AG227" s="8" t="s">
        <v>1199</v>
      </c>
      <c r="AH227" s="8" t="s">
        <v>1199</v>
      </c>
      <c r="AI227" s="8" t="s">
        <v>1199</v>
      </c>
      <c r="AJ227" s="26" t="s">
        <v>1199</v>
      </c>
      <c r="AK227" s="8" t="s">
        <v>1199</v>
      </c>
      <c r="AL227" s="8" t="s">
        <v>1199</v>
      </c>
      <c r="AM227" s="26" t="s">
        <v>1199</v>
      </c>
      <c r="AN227" s="26" t="s">
        <v>1199</v>
      </c>
    </row>
    <row r="228" spans="1:40" ht="15" thickBot="1" x14ac:dyDescent="0.35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1"/>
        <v>29</v>
      </c>
      <c r="I228" s="16">
        <f t="shared" si="19"/>
        <v>1</v>
      </c>
      <c r="J228" s="17">
        <f t="shared" si="20"/>
        <v>0.96666666666666667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 t="s">
        <v>1199</v>
      </c>
      <c r="AM228" s="26"/>
      <c r="AN228" s="26"/>
    </row>
    <row r="229" spans="1:40" ht="15" thickBot="1" x14ac:dyDescent="0.35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1"/>
        <v>30</v>
      </c>
      <c r="I229" s="16">
        <f t="shared" si="19"/>
        <v>0</v>
      </c>
      <c r="J229" s="17">
        <f t="shared" si="20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thickBot="1" x14ac:dyDescent="0.35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1"/>
        <v>30</v>
      </c>
      <c r="I230" s="16">
        <f t="shared" si="19"/>
        <v>0</v>
      </c>
      <c r="J230" s="17">
        <f t="shared" si="20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thickBot="1" x14ac:dyDescent="0.35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1"/>
        <v>30</v>
      </c>
      <c r="I231" s="16">
        <f t="shared" si="19"/>
        <v>0</v>
      </c>
      <c r="J231" s="17">
        <f t="shared" si="20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thickBot="1" x14ac:dyDescent="0.35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1"/>
        <v>18</v>
      </c>
      <c r="I232" s="16">
        <f t="shared" si="19"/>
        <v>12</v>
      </c>
      <c r="J232" s="17">
        <f t="shared" si="20"/>
        <v>0.6</v>
      </c>
      <c r="K232" s="26"/>
      <c r="L232" s="8"/>
      <c r="M232" s="8"/>
      <c r="N232" s="8"/>
      <c r="O232" s="26"/>
      <c r="P232" s="26"/>
      <c r="Q232" s="8"/>
      <c r="R232" s="8"/>
      <c r="S232" s="8" t="s">
        <v>1199</v>
      </c>
      <c r="T232" s="26"/>
      <c r="U232" s="26"/>
      <c r="V232" s="26" t="s">
        <v>1199</v>
      </c>
      <c r="W232" s="26" t="s">
        <v>1199</v>
      </c>
      <c r="X232" s="26" t="s">
        <v>1199</v>
      </c>
      <c r="Y232" s="26" t="s">
        <v>1199</v>
      </c>
      <c r="Z232" s="26"/>
      <c r="AA232" s="26" t="s">
        <v>1199</v>
      </c>
      <c r="AB232" s="26" t="s">
        <v>1199</v>
      </c>
      <c r="AC232" s="26" t="s">
        <v>1199</v>
      </c>
      <c r="AD232" s="26"/>
      <c r="AE232" s="26"/>
      <c r="AF232" s="26" t="s">
        <v>1199</v>
      </c>
      <c r="AG232" s="8" t="s">
        <v>1199</v>
      </c>
      <c r="AH232" s="8"/>
      <c r="AI232" s="8"/>
      <c r="AJ232" s="26" t="s">
        <v>1199</v>
      </c>
      <c r="AK232" s="8" t="s">
        <v>1199</v>
      </c>
      <c r="AL232" s="8"/>
      <c r="AM232" s="26"/>
      <c r="AN232" s="26"/>
    </row>
    <row r="233" spans="1:40" ht="15" thickBot="1" x14ac:dyDescent="0.35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1"/>
        <v>29</v>
      </c>
      <c r="I233" s="16">
        <f t="shared" si="19"/>
        <v>1</v>
      </c>
      <c r="J233" s="17">
        <f t="shared" si="20"/>
        <v>0.96666666666666667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 t="s">
        <v>1199</v>
      </c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thickBot="1" x14ac:dyDescent="0.35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1"/>
        <v>30</v>
      </c>
      <c r="I234" s="16">
        <f t="shared" si="19"/>
        <v>0</v>
      </c>
      <c r="J234" s="17">
        <f t="shared" si="20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thickBot="1" x14ac:dyDescent="0.35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1"/>
        <v>29</v>
      </c>
      <c r="I235" s="16">
        <f t="shared" si="19"/>
        <v>1</v>
      </c>
      <c r="J235" s="17">
        <f t="shared" si="20"/>
        <v>0.96666666666666667</v>
      </c>
      <c r="K235" s="26"/>
      <c r="L235" s="8"/>
      <c r="M235" s="8"/>
      <c r="N235" s="8"/>
      <c r="O235" s="26"/>
      <c r="P235" s="26"/>
      <c r="Q235" s="8"/>
      <c r="R235" s="8"/>
      <c r="S235" s="8" t="s">
        <v>1199</v>
      </c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thickBot="1" x14ac:dyDescent="0.35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1"/>
        <v>27</v>
      </c>
      <c r="I236" s="16">
        <f t="shared" si="19"/>
        <v>3</v>
      </c>
      <c r="J236" s="17">
        <f t="shared" si="20"/>
        <v>0.9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 t="s">
        <v>1199</v>
      </c>
      <c r="V236" s="26"/>
      <c r="W236" s="26"/>
      <c r="X236" s="26"/>
      <c r="Y236" s="26" t="s">
        <v>1199</v>
      </c>
      <c r="Z236" s="26"/>
      <c r="AA236" s="26"/>
      <c r="AB236" s="26"/>
      <c r="AC236" s="26"/>
      <c r="AD236" s="26"/>
      <c r="AE236" s="26"/>
      <c r="AF236" s="26" t="s">
        <v>1199</v>
      </c>
      <c r="AG236" s="8"/>
      <c r="AH236" s="8"/>
      <c r="AI236" s="8"/>
      <c r="AJ236" s="26"/>
      <c r="AK236" s="8"/>
      <c r="AL236" s="8"/>
      <c r="AM236" s="26"/>
      <c r="AN236" s="26"/>
    </row>
    <row r="237" spans="1:40" ht="15" thickBot="1" x14ac:dyDescent="0.35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1"/>
        <v>30</v>
      </c>
      <c r="I237" s="16">
        <f t="shared" si="19"/>
        <v>0</v>
      </c>
      <c r="J237" s="17">
        <f t="shared" si="20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thickBot="1" x14ac:dyDescent="0.35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1"/>
        <v>30</v>
      </c>
      <c r="I238" s="16">
        <f t="shared" si="19"/>
        <v>0</v>
      </c>
      <c r="J238" s="17">
        <f t="shared" si="20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thickBot="1" x14ac:dyDescent="0.35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1"/>
        <v>30</v>
      </c>
      <c r="I239" s="16">
        <f t="shared" si="19"/>
        <v>0</v>
      </c>
      <c r="J239" s="17">
        <f t="shared" si="20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thickBot="1" x14ac:dyDescent="0.35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1"/>
        <v>30</v>
      </c>
      <c r="I240" s="16">
        <f t="shared" si="19"/>
        <v>0</v>
      </c>
      <c r="J240" s="17">
        <f t="shared" si="20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thickBot="1" x14ac:dyDescent="0.35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1"/>
        <v>30</v>
      </c>
      <c r="I241" s="16">
        <f t="shared" si="19"/>
        <v>0</v>
      </c>
      <c r="J241" s="17">
        <f t="shared" si="20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thickBot="1" x14ac:dyDescent="0.35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1"/>
        <v>28</v>
      </c>
      <c r="I242" s="16">
        <f t="shared" si="19"/>
        <v>2</v>
      </c>
      <c r="J242" s="17">
        <f t="shared" si="20"/>
        <v>0.93333333333333335</v>
      </c>
      <c r="K242" s="26"/>
      <c r="L242" s="8"/>
      <c r="M242" s="8" t="s">
        <v>1199</v>
      </c>
      <c r="N242" s="8" t="s">
        <v>1199</v>
      </c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thickBot="1" x14ac:dyDescent="0.35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thickBot="1" x14ac:dyDescent="0.35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thickBot="1" x14ac:dyDescent="0.35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" thickBot="1" x14ac:dyDescent="0.35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28</v>
      </c>
      <c r="I246" s="16">
        <f>COUNTIF(K246:AL246,"APAGADO")</f>
        <v>2</v>
      </c>
      <c r="J246" s="17">
        <f>(H246)/(I246+H246)</f>
        <v>0.93333333333333335</v>
      </c>
      <c r="K246" s="26"/>
      <c r="L246" s="8"/>
      <c r="M246" s="8" t="s">
        <v>1199</v>
      </c>
      <c r="N246" s="8" t="s">
        <v>1199</v>
      </c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" thickBot="1" x14ac:dyDescent="0.35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1"/>
        <v>30</v>
      </c>
      <c r="I247" s="16">
        <f t="shared" si="19"/>
        <v>0</v>
      </c>
      <c r="J247" s="17">
        <f t="shared" si="20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thickBot="1" x14ac:dyDescent="0.35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1"/>
        <v>30</v>
      </c>
      <c r="I248" s="16">
        <f t="shared" si="19"/>
        <v>0</v>
      </c>
      <c r="J248" s="17">
        <f t="shared" si="20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thickBot="1" x14ac:dyDescent="0.35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1"/>
        <v>30</v>
      </c>
      <c r="I249" s="16">
        <f t="shared" si="19"/>
        <v>0</v>
      </c>
      <c r="J249" s="17">
        <f t="shared" si="20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thickBot="1" x14ac:dyDescent="0.35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1"/>
        <v>30</v>
      </c>
      <c r="I250" s="16">
        <f t="shared" si="19"/>
        <v>0</v>
      </c>
      <c r="J250" s="17">
        <f t="shared" si="20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thickBot="1" x14ac:dyDescent="0.35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1"/>
        <v>30</v>
      </c>
      <c r="I251" s="16">
        <f t="shared" si="19"/>
        <v>0</v>
      </c>
      <c r="J251" s="17">
        <f t="shared" si="20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thickBot="1" x14ac:dyDescent="0.35">
      <c r="A252" t="s">
        <v>381</v>
      </c>
      <c r="B252" s="44" t="s">
        <v>1275</v>
      </c>
      <c r="C252" s="51" t="s">
        <v>1160</v>
      </c>
      <c r="D252" s="83" t="s">
        <v>1256</v>
      </c>
      <c r="E252" s="9" t="s">
        <v>73</v>
      </c>
      <c r="F252" s="9" t="s">
        <v>28</v>
      </c>
      <c r="G252" s="27" t="s">
        <v>1258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spans="1:40" ht="15" thickBot="1" x14ac:dyDescent="0.35">
      <c r="A253" t="s">
        <v>381</v>
      </c>
      <c r="B253" s="44" t="s">
        <v>1276</v>
      </c>
      <c r="C253" s="51" t="s">
        <v>1160</v>
      </c>
      <c r="D253" s="83" t="s">
        <v>1256</v>
      </c>
      <c r="E253" s="27" t="s">
        <v>73</v>
      </c>
      <c r="F253" s="27" t="s">
        <v>28</v>
      </c>
      <c r="G253" s="27" t="s">
        <v>1259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spans="1:40" ht="15" thickBot="1" x14ac:dyDescent="0.35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1"/>
        <v>30</v>
      </c>
      <c r="I254" s="16">
        <f t="shared" si="19"/>
        <v>0</v>
      </c>
      <c r="J254" s="17">
        <f t="shared" si="20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" thickBot="1" x14ac:dyDescent="0.35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1"/>
        <v>30</v>
      </c>
      <c r="I255" s="16">
        <f t="shared" si="19"/>
        <v>0</v>
      </c>
      <c r="J255" s="17">
        <f t="shared" si="20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" thickBot="1" x14ac:dyDescent="0.35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" thickBot="1" x14ac:dyDescent="0.35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1"/>
        <v>23</v>
      </c>
      <c r="I257" s="16">
        <f t="shared" si="19"/>
        <v>7</v>
      </c>
      <c r="J257" s="17">
        <f t="shared" si="20"/>
        <v>0.76666666666666672</v>
      </c>
      <c r="K257" s="26" t="s">
        <v>1199</v>
      </c>
      <c r="L257" s="8" t="s">
        <v>1199</v>
      </c>
      <c r="M257" s="8" t="s">
        <v>1199</v>
      </c>
      <c r="N257" s="8" t="s">
        <v>1199</v>
      </c>
      <c r="O257" s="26" t="s">
        <v>1199</v>
      </c>
      <c r="P257" s="26" t="s">
        <v>1199</v>
      </c>
      <c r="Q257" s="8"/>
      <c r="R257" s="8"/>
      <c r="S257" s="8"/>
      <c r="T257" s="26"/>
      <c r="U257" s="26"/>
      <c r="V257" s="26" t="s">
        <v>1199</v>
      </c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" thickBot="1" x14ac:dyDescent="0.35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1"/>
        <v>23</v>
      </c>
      <c r="I258" s="16">
        <f t="shared" si="19"/>
        <v>7</v>
      </c>
      <c r="J258" s="17">
        <f t="shared" si="20"/>
        <v>0.76666666666666672</v>
      </c>
      <c r="K258" s="26" t="s">
        <v>1199</v>
      </c>
      <c r="L258" s="26" t="s">
        <v>1199</v>
      </c>
      <c r="M258" s="26" t="s">
        <v>1199</v>
      </c>
      <c r="N258" s="26" t="s">
        <v>1199</v>
      </c>
      <c r="O258" s="26" t="s">
        <v>1199</v>
      </c>
      <c r="P258" s="26" t="s">
        <v>1199</v>
      </c>
      <c r="Q258" s="26"/>
      <c r="R258" s="26"/>
      <c r="S258" s="26"/>
      <c r="T258" s="26"/>
      <c r="U258" s="26"/>
      <c r="V258" s="26" t="s">
        <v>1199</v>
      </c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spans="1:40" ht="15" thickBot="1" x14ac:dyDescent="0.35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1"/>
        <v>30</v>
      </c>
      <c r="I259" s="16">
        <f t="shared" si="19"/>
        <v>0</v>
      </c>
      <c r="J259" s="17">
        <f t="shared" si="20"/>
        <v>1</v>
      </c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 spans="1:40" ht="15" thickBot="1" x14ac:dyDescent="0.35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1"/>
        <v>30</v>
      </c>
      <c r="I260" s="16">
        <f t="shared" si="19"/>
        <v>0</v>
      </c>
      <c r="J260" s="17">
        <f t="shared" si="20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s="50" customFormat="1" ht="15" thickBot="1" x14ac:dyDescent="0.35">
      <c r="A261" s="50" t="s">
        <v>267</v>
      </c>
      <c r="B261" s="50" t="s">
        <v>1229</v>
      </c>
      <c r="C261" s="50" t="s">
        <v>1159</v>
      </c>
      <c r="D261" s="50" t="s">
        <v>1226</v>
      </c>
      <c r="E261" s="50" t="s">
        <v>73</v>
      </c>
      <c r="F261" s="50" t="s">
        <v>28</v>
      </c>
      <c r="G261" s="50" t="s">
        <v>1235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 spans="1:40" s="50" customFormat="1" ht="15" thickBot="1" x14ac:dyDescent="0.35">
      <c r="A262" s="50" t="s">
        <v>267</v>
      </c>
      <c r="B262" s="50" t="s">
        <v>1230</v>
      </c>
      <c r="C262" s="50" t="s">
        <v>1159</v>
      </c>
      <c r="D262" s="50" t="s">
        <v>1226</v>
      </c>
      <c r="E262" s="50" t="s">
        <v>73</v>
      </c>
      <c r="F262" s="50" t="s">
        <v>28</v>
      </c>
      <c r="G262" s="50" t="s">
        <v>1236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 spans="1:40" s="50" customFormat="1" ht="15" thickBot="1" x14ac:dyDescent="0.35">
      <c r="A263" s="50" t="s">
        <v>267</v>
      </c>
      <c r="B263" s="50" t="s">
        <v>1231</v>
      </c>
      <c r="C263" s="50" t="s">
        <v>1159</v>
      </c>
      <c r="D263" s="50" t="s">
        <v>1227</v>
      </c>
      <c r="E263" s="50" t="s">
        <v>73</v>
      </c>
      <c r="F263" s="50" t="s">
        <v>28</v>
      </c>
      <c r="G263" s="50" t="s">
        <v>1237</v>
      </c>
      <c r="H263" s="52">
        <f>COUNTIF(K263:AN263,"")</f>
        <v>30</v>
      </c>
      <c r="I263" s="52">
        <f>COUNTIF(K263:AL263,"APAGADO")</f>
        <v>0</v>
      </c>
      <c r="J263" s="53">
        <f>(H263)/(I263+H263)</f>
        <v>1</v>
      </c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</row>
    <row r="264" spans="1:40" s="50" customFormat="1" ht="15" thickBot="1" x14ac:dyDescent="0.35">
      <c r="A264" s="50" t="s">
        <v>267</v>
      </c>
      <c r="B264" s="50" t="s">
        <v>1232</v>
      </c>
      <c r="C264" s="50" t="s">
        <v>1159</v>
      </c>
      <c r="D264" s="50" t="s">
        <v>1227</v>
      </c>
      <c r="E264" s="50" t="s">
        <v>73</v>
      </c>
      <c r="F264" s="50" t="s">
        <v>28</v>
      </c>
      <c r="G264" s="50" t="s">
        <v>1238</v>
      </c>
      <c r="H264" s="52">
        <f>COUNTIF(K264:AN264,"")</f>
        <v>30</v>
      </c>
      <c r="I264" s="52">
        <f>COUNTIF(K264:AL264,"APAGADO")</f>
        <v>0</v>
      </c>
      <c r="J264" s="53">
        <f>(H264)/(I264+H264)</f>
        <v>1</v>
      </c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 spans="1:40" ht="15" thickBot="1" x14ac:dyDescent="0.35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1"/>
        <v>26</v>
      </c>
      <c r="I265" s="16">
        <f t="shared" si="19"/>
        <v>4</v>
      </c>
      <c r="J265" s="17">
        <f t="shared" si="20"/>
        <v>0.8666666666666667</v>
      </c>
      <c r="K265" s="26"/>
      <c r="L265" s="8" t="s">
        <v>1199</v>
      </c>
      <c r="M265" s="8" t="s">
        <v>1199</v>
      </c>
      <c r="N265" s="8" t="s">
        <v>1199</v>
      </c>
      <c r="O265" s="26"/>
      <c r="P265" s="26"/>
      <c r="Q265" s="8"/>
      <c r="R265" s="8"/>
      <c r="S265" s="8"/>
      <c r="T265" s="26"/>
      <c r="U265" s="26"/>
      <c r="V265" s="26"/>
      <c r="W265" s="26"/>
      <c r="X265" s="26" t="s">
        <v>1199</v>
      </c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thickBot="1" x14ac:dyDescent="0.35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1"/>
        <v>30</v>
      </c>
      <c r="I266" s="16">
        <f t="shared" si="19"/>
        <v>0</v>
      </c>
      <c r="J266" s="17">
        <f t="shared" si="20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thickBot="1" x14ac:dyDescent="0.35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1"/>
        <v>30</v>
      </c>
      <c r="I267" s="16">
        <f t="shared" si="19"/>
        <v>0</v>
      </c>
      <c r="J267" s="17">
        <f t="shared" si="20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thickBot="1" x14ac:dyDescent="0.35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1"/>
        <v>27</v>
      </c>
      <c r="I268" s="16">
        <f t="shared" si="19"/>
        <v>3</v>
      </c>
      <c r="J268" s="17">
        <f t="shared" si="20"/>
        <v>0.9</v>
      </c>
      <c r="K268" s="26"/>
      <c r="L268" s="8" t="s">
        <v>1199</v>
      </c>
      <c r="M268" s="8" t="s">
        <v>1199</v>
      </c>
      <c r="N268" s="8" t="s">
        <v>1199</v>
      </c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thickBot="1" x14ac:dyDescent="0.35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7</v>
      </c>
      <c r="I269" s="16">
        <f>COUNTIF(K269:AL269,"APAGADO")</f>
        <v>21</v>
      </c>
      <c r="J269" s="17">
        <f>(H269)/(I269+H269)</f>
        <v>0.25</v>
      </c>
      <c r="K269" s="26"/>
      <c r="L269" s="8"/>
      <c r="M269" s="8"/>
      <c r="N269" s="8"/>
      <c r="O269" s="26"/>
      <c r="P269" s="26"/>
      <c r="Q269" s="8"/>
      <c r="R269" s="8" t="s">
        <v>1199</v>
      </c>
      <c r="S269" s="8" t="s">
        <v>1199</v>
      </c>
      <c r="T269" s="26" t="s">
        <v>1199</v>
      </c>
      <c r="U269" s="26" t="s">
        <v>1199</v>
      </c>
      <c r="V269" s="26" t="s">
        <v>1199</v>
      </c>
      <c r="W269" s="26" t="s">
        <v>1199</v>
      </c>
      <c r="X269" s="26" t="s">
        <v>1199</v>
      </c>
      <c r="Y269" s="26" t="s">
        <v>1199</v>
      </c>
      <c r="Z269" s="26" t="s">
        <v>1199</v>
      </c>
      <c r="AA269" s="26" t="s">
        <v>1199</v>
      </c>
      <c r="AB269" s="26" t="s">
        <v>1199</v>
      </c>
      <c r="AC269" s="26" t="s">
        <v>1199</v>
      </c>
      <c r="AD269" s="26" t="s">
        <v>1199</v>
      </c>
      <c r="AE269" s="26" t="s">
        <v>1199</v>
      </c>
      <c r="AF269" s="26" t="s">
        <v>1199</v>
      </c>
      <c r="AG269" s="8" t="s">
        <v>1199</v>
      </c>
      <c r="AH269" s="8" t="s">
        <v>1199</v>
      </c>
      <c r="AI269" s="8" t="s">
        <v>1199</v>
      </c>
      <c r="AJ269" s="26" t="s">
        <v>1199</v>
      </c>
      <c r="AK269" s="8" t="s">
        <v>1199</v>
      </c>
      <c r="AL269" s="8" t="s">
        <v>1199</v>
      </c>
      <c r="AM269" s="26" t="s">
        <v>1199</v>
      </c>
      <c r="AN269" s="26" t="s">
        <v>1199</v>
      </c>
    </row>
    <row r="270" spans="1:40" ht="15" thickBot="1" x14ac:dyDescent="0.35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1"/>
        <v>23</v>
      </c>
      <c r="I270" s="16">
        <f t="shared" si="19"/>
        <v>7</v>
      </c>
      <c r="J270" s="17">
        <f t="shared" si="20"/>
        <v>0.76666666666666672</v>
      </c>
      <c r="K270" s="26" t="s">
        <v>1199</v>
      </c>
      <c r="L270" s="8" t="s">
        <v>1199</v>
      </c>
      <c r="M270" s="8" t="s">
        <v>1199</v>
      </c>
      <c r="N270" s="8" t="s">
        <v>1199</v>
      </c>
      <c r="O270" s="26" t="s">
        <v>1199</v>
      </c>
      <c r="P270" s="26" t="s">
        <v>1199</v>
      </c>
      <c r="Q270" s="8" t="s">
        <v>1199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thickBot="1" x14ac:dyDescent="0.35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1"/>
        <v>23</v>
      </c>
      <c r="I271" s="16">
        <f t="shared" si="19"/>
        <v>7</v>
      </c>
      <c r="J271" s="17">
        <f t="shared" si="20"/>
        <v>0.76666666666666672</v>
      </c>
      <c r="K271" s="26" t="s">
        <v>1199</v>
      </c>
      <c r="L271" s="8" t="s">
        <v>1199</v>
      </c>
      <c r="M271" s="8" t="s">
        <v>1199</v>
      </c>
      <c r="N271" s="8" t="s">
        <v>1199</v>
      </c>
      <c r="O271" s="26" t="s">
        <v>1199</v>
      </c>
      <c r="P271" s="26" t="s">
        <v>1199</v>
      </c>
      <c r="Q271" s="8" t="s">
        <v>1199</v>
      </c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thickBot="1" x14ac:dyDescent="0.35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2">COUNTIF(K272:AN272,"")</f>
        <v>30</v>
      </c>
      <c r="I272" s="16">
        <f t="shared" ref="I272:I343" si="23">COUNTIF(K272:AL272,"APAGADO")</f>
        <v>0</v>
      </c>
      <c r="J272" s="17">
        <f t="shared" ref="J272:J343" si="24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thickBot="1" x14ac:dyDescent="0.35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30</v>
      </c>
      <c r="I273" s="16">
        <f>COUNTIF(K273:AL273,"APAGADO")</f>
        <v>0</v>
      </c>
      <c r="J273" s="17">
        <f>(H273)/(I273+H273)</f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thickBot="1" x14ac:dyDescent="0.35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thickBot="1" x14ac:dyDescent="0.35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29</v>
      </c>
      <c r="I275" s="16">
        <f>COUNTIF(K275:AL275,"APAGADO")</f>
        <v>1</v>
      </c>
      <c r="J275" s="17">
        <f>(H275)/(I275+H275)</f>
        <v>0.96666666666666667</v>
      </c>
      <c r="K275" s="26"/>
      <c r="L275" s="8" t="s">
        <v>1199</v>
      </c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thickBot="1" x14ac:dyDescent="0.35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29</v>
      </c>
      <c r="I276" s="16">
        <f>COUNTIF(K276:AL276,"APAGADO")</f>
        <v>1</v>
      </c>
      <c r="J276" s="17">
        <f>(H276)/(I276+H276)</f>
        <v>0.96666666666666667</v>
      </c>
      <c r="K276" s="26"/>
      <c r="L276" s="8" t="s">
        <v>1199</v>
      </c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thickBot="1" x14ac:dyDescent="0.35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29</v>
      </c>
      <c r="I277" s="16">
        <f>COUNTIF(K277:AL277,"APAGADO")</f>
        <v>1</v>
      </c>
      <c r="J277" s="17">
        <f>(H277)/(I277+H277)</f>
        <v>0.96666666666666667</v>
      </c>
      <c r="K277" s="26"/>
      <c r="L277" s="8" t="s">
        <v>1199</v>
      </c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thickBot="1" x14ac:dyDescent="0.35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2"/>
        <v>29</v>
      </c>
      <c r="I278" s="16">
        <f t="shared" si="23"/>
        <v>1</v>
      </c>
      <c r="J278" s="17">
        <f t="shared" si="24"/>
        <v>0.96666666666666667</v>
      </c>
      <c r="K278" s="26"/>
      <c r="L278" s="8" t="s">
        <v>1199</v>
      </c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thickBot="1" x14ac:dyDescent="0.35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2"/>
        <v>29</v>
      </c>
      <c r="I279" s="16">
        <f t="shared" si="23"/>
        <v>1</v>
      </c>
      <c r="J279" s="17">
        <f t="shared" si="24"/>
        <v>0.96666666666666667</v>
      </c>
      <c r="K279" s="26"/>
      <c r="L279" s="8" t="s">
        <v>1199</v>
      </c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thickBot="1" x14ac:dyDescent="0.35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2"/>
        <v>29</v>
      </c>
      <c r="I280" s="16">
        <f t="shared" si="23"/>
        <v>1</v>
      </c>
      <c r="J280" s="17">
        <f t="shared" si="24"/>
        <v>0.96666666666666667</v>
      </c>
      <c r="K280" s="26"/>
      <c r="L280" s="8" t="s">
        <v>1199</v>
      </c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thickBot="1" x14ac:dyDescent="0.35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2"/>
        <v>29</v>
      </c>
      <c r="I281" s="16">
        <f t="shared" si="23"/>
        <v>1</v>
      </c>
      <c r="J281" s="17">
        <f t="shared" si="24"/>
        <v>0.96666666666666667</v>
      </c>
      <c r="K281" s="26"/>
      <c r="L281" s="8" t="s">
        <v>1199</v>
      </c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thickBot="1" x14ac:dyDescent="0.35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2"/>
        <v>29</v>
      </c>
      <c r="I282" s="16">
        <f t="shared" si="23"/>
        <v>1</v>
      </c>
      <c r="J282" s="17">
        <f t="shared" si="24"/>
        <v>0.96666666666666667</v>
      </c>
      <c r="K282" s="26"/>
      <c r="L282" s="8" t="s">
        <v>1199</v>
      </c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thickBot="1" x14ac:dyDescent="0.35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2"/>
        <v>29</v>
      </c>
      <c r="I283" s="16">
        <f t="shared" si="23"/>
        <v>1</v>
      </c>
      <c r="J283" s="17">
        <f t="shared" si="24"/>
        <v>0.96666666666666667</v>
      </c>
      <c r="K283" s="26"/>
      <c r="L283" s="8" t="s">
        <v>1199</v>
      </c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thickBot="1" x14ac:dyDescent="0.35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 t="s">
        <v>1199</v>
      </c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thickBot="1" x14ac:dyDescent="0.35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29</v>
      </c>
      <c r="I285" s="16">
        <f>COUNTIF(K285:AL285,"APAGADO")</f>
        <v>1</v>
      </c>
      <c r="J285" s="17">
        <f>(H285)/(I285+H285)</f>
        <v>0.96666666666666667</v>
      </c>
      <c r="K285" s="26"/>
      <c r="L285" s="8" t="s">
        <v>1199</v>
      </c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thickBot="1" x14ac:dyDescent="0.35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27</v>
      </c>
      <c r="I286" s="16">
        <f>COUNTIF(K286:AL286,"APAGADO")</f>
        <v>3</v>
      </c>
      <c r="J286" s="17">
        <f>(H286)/(I286+H286)</f>
        <v>0.9</v>
      </c>
      <c r="K286" s="26"/>
      <c r="L286" s="8" t="s">
        <v>1199</v>
      </c>
      <c r="M286" s="8" t="s">
        <v>1199</v>
      </c>
      <c r="N286" s="8" t="s">
        <v>1199</v>
      </c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thickBot="1" x14ac:dyDescent="0.35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2"/>
        <v>28</v>
      </c>
      <c r="I287" s="16">
        <f t="shared" si="23"/>
        <v>2</v>
      </c>
      <c r="J287" s="17">
        <f t="shared" si="24"/>
        <v>0.93333333333333335</v>
      </c>
      <c r="K287" s="26"/>
      <c r="L287" s="8"/>
      <c r="M287" s="8" t="s">
        <v>1199</v>
      </c>
      <c r="N287" s="8" t="s">
        <v>1199</v>
      </c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thickBot="1" x14ac:dyDescent="0.35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2"/>
        <v>28</v>
      </c>
      <c r="I288" s="16">
        <f t="shared" si="23"/>
        <v>2</v>
      </c>
      <c r="J288" s="17">
        <f t="shared" si="24"/>
        <v>0.93333333333333335</v>
      </c>
      <c r="K288" s="26"/>
      <c r="L288" s="8"/>
      <c r="M288" s="8" t="s">
        <v>1199</v>
      </c>
      <c r="N288" s="8" t="s">
        <v>1199</v>
      </c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" thickBot="1" x14ac:dyDescent="0.35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2"/>
        <v>30</v>
      </c>
      <c r="I289" s="16">
        <f t="shared" si="23"/>
        <v>0</v>
      </c>
      <c r="J289" s="17">
        <f t="shared" si="24"/>
        <v>1</v>
      </c>
      <c r="K289" s="26"/>
      <c r="L289" s="8"/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thickBot="1" x14ac:dyDescent="0.35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2"/>
        <v>30</v>
      </c>
      <c r="I290" s="16">
        <f t="shared" si="23"/>
        <v>0</v>
      </c>
      <c r="J290" s="17">
        <f t="shared" si="24"/>
        <v>1</v>
      </c>
      <c r="K290" s="26"/>
      <c r="L290" s="8"/>
      <c r="M290" s="8"/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thickBot="1" x14ac:dyDescent="0.35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2"/>
        <v>30</v>
      </c>
      <c r="I291" s="16">
        <f t="shared" si="23"/>
        <v>0</v>
      </c>
      <c r="J291" s="17">
        <f t="shared" si="24"/>
        <v>1</v>
      </c>
      <c r="K291" s="26"/>
      <c r="L291" s="8"/>
      <c r="M291" s="8"/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thickBot="1" x14ac:dyDescent="0.35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2"/>
        <v>27</v>
      </c>
      <c r="I292" s="16">
        <f t="shared" si="23"/>
        <v>3</v>
      </c>
      <c r="J292" s="17">
        <f t="shared" si="24"/>
        <v>0.9</v>
      </c>
      <c r="K292" s="26"/>
      <c r="L292" s="8"/>
      <c r="M292" s="8" t="s">
        <v>1199</v>
      </c>
      <c r="N292" s="8" t="s">
        <v>1199</v>
      </c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 t="s">
        <v>1199</v>
      </c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thickBot="1" x14ac:dyDescent="0.35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2"/>
        <v>27</v>
      </c>
      <c r="I293" s="16">
        <f t="shared" si="23"/>
        <v>3</v>
      </c>
      <c r="J293" s="17">
        <f t="shared" si="24"/>
        <v>0.9</v>
      </c>
      <c r="K293" s="26"/>
      <c r="L293" s="8"/>
      <c r="M293" s="8"/>
      <c r="N293" s="8"/>
      <c r="O293" s="26"/>
      <c r="P293" s="26"/>
      <c r="Q293" s="8"/>
      <c r="R293" s="8"/>
      <c r="S293" s="8" t="s">
        <v>1199</v>
      </c>
      <c r="T293" s="26" t="s">
        <v>1199</v>
      </c>
      <c r="U293" s="26"/>
      <c r="V293" s="26"/>
      <c r="W293" s="26"/>
      <c r="X293" s="26"/>
      <c r="Y293" s="26"/>
      <c r="Z293" s="26"/>
      <c r="AA293" s="26"/>
      <c r="AB293" s="26"/>
      <c r="AC293" s="26"/>
      <c r="AD293" s="26" t="s">
        <v>1199</v>
      </c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thickBot="1" x14ac:dyDescent="0.35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2"/>
        <v>27</v>
      </c>
      <c r="I294" s="16">
        <f t="shared" si="23"/>
        <v>3</v>
      </c>
      <c r="J294" s="17">
        <f t="shared" si="24"/>
        <v>0.9</v>
      </c>
      <c r="K294" s="26"/>
      <c r="L294" s="8"/>
      <c r="M294" s="8"/>
      <c r="N294" s="8"/>
      <c r="O294" s="26"/>
      <c r="P294" s="26"/>
      <c r="Q294" s="8"/>
      <c r="R294" s="8"/>
      <c r="S294" s="8" t="s">
        <v>1199</v>
      </c>
      <c r="T294" s="26" t="s">
        <v>1199</v>
      </c>
      <c r="U294" s="26"/>
      <c r="V294" s="26"/>
      <c r="W294" s="26"/>
      <c r="X294" s="26"/>
      <c r="Y294" s="26"/>
      <c r="Z294" s="26"/>
      <c r="AA294" s="26"/>
      <c r="AB294" s="26"/>
      <c r="AC294" s="26"/>
      <c r="AD294" s="26" t="s">
        <v>1199</v>
      </c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thickBot="1" x14ac:dyDescent="0.35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2"/>
        <v>27</v>
      </c>
      <c r="I295" s="16">
        <f t="shared" si="23"/>
        <v>3</v>
      </c>
      <c r="J295" s="17">
        <f t="shared" si="24"/>
        <v>0.9</v>
      </c>
      <c r="K295" s="26"/>
      <c r="L295" s="8"/>
      <c r="M295" s="8"/>
      <c r="N295" s="8"/>
      <c r="O295" s="26"/>
      <c r="P295" s="26"/>
      <c r="Q295" s="8"/>
      <c r="R295" s="8"/>
      <c r="S295" s="8" t="s">
        <v>1199</v>
      </c>
      <c r="T295" s="26" t="s">
        <v>1199</v>
      </c>
      <c r="U295" s="26"/>
      <c r="V295" s="26"/>
      <c r="W295" s="26"/>
      <c r="X295" s="26"/>
      <c r="Y295" s="26"/>
      <c r="Z295" s="26"/>
      <c r="AA295" s="26"/>
      <c r="AB295" s="26"/>
      <c r="AC295" s="26"/>
      <c r="AD295" s="26" t="s">
        <v>1199</v>
      </c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thickBot="1" x14ac:dyDescent="0.35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2"/>
        <v>27</v>
      </c>
      <c r="I296" s="16">
        <f t="shared" si="23"/>
        <v>3</v>
      </c>
      <c r="J296" s="17">
        <f t="shared" si="24"/>
        <v>0.9</v>
      </c>
      <c r="K296" s="26"/>
      <c r="L296" s="8"/>
      <c r="M296" s="8"/>
      <c r="N296" s="8"/>
      <c r="O296" s="26"/>
      <c r="P296" s="26"/>
      <c r="Q296" s="8"/>
      <c r="R296" s="8"/>
      <c r="S296" s="8" t="s">
        <v>1199</v>
      </c>
      <c r="T296" s="26" t="s">
        <v>1199</v>
      </c>
      <c r="U296" s="26"/>
      <c r="V296" s="26"/>
      <c r="W296" s="26"/>
      <c r="X296" s="26"/>
      <c r="Y296" s="26"/>
      <c r="Z296" s="26"/>
      <c r="AA296" s="26"/>
      <c r="AB296" s="26"/>
      <c r="AC296" s="26"/>
      <c r="AD296" s="26" t="s">
        <v>1199</v>
      </c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thickBot="1" x14ac:dyDescent="0.35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2"/>
        <v>28</v>
      </c>
      <c r="I297" s="16">
        <f t="shared" si="23"/>
        <v>2</v>
      </c>
      <c r="J297" s="17">
        <f t="shared" si="24"/>
        <v>0.93333333333333335</v>
      </c>
      <c r="K297" s="26"/>
      <c r="L297" s="8"/>
      <c r="M297" s="8" t="s">
        <v>1199</v>
      </c>
      <c r="N297" s="8" t="s">
        <v>1199</v>
      </c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thickBot="1" x14ac:dyDescent="0.35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2"/>
        <v>30</v>
      </c>
      <c r="I298" s="16">
        <f t="shared" si="23"/>
        <v>0</v>
      </c>
      <c r="J298" s="17">
        <f t="shared" si="24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" thickBot="1" x14ac:dyDescent="0.35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2"/>
        <v>30</v>
      </c>
      <c r="I299" s="16">
        <f t="shared" si="23"/>
        <v>0</v>
      </c>
      <c r="J299" s="17">
        <f t="shared" si="24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" thickBot="1" x14ac:dyDescent="0.35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25">COUNTIF(K300:AN300,"")</f>
        <v>30</v>
      </c>
      <c r="I300" s="16">
        <f t="shared" ref="I300:I306" si="26">COUNTIF(K300:AL300,"APAGADO")</f>
        <v>0</v>
      </c>
      <c r="J300" s="17">
        <f t="shared" ref="J300:J306" si="27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" thickBot="1" x14ac:dyDescent="0.35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25"/>
        <v>30</v>
      </c>
      <c r="I301" s="16">
        <f t="shared" si="26"/>
        <v>0</v>
      </c>
      <c r="J301" s="17">
        <f t="shared" si="27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thickBot="1" x14ac:dyDescent="0.35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25"/>
        <v>30</v>
      </c>
      <c r="I302" s="16">
        <f t="shared" si="26"/>
        <v>0</v>
      </c>
      <c r="J302" s="17">
        <f t="shared" si="27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" thickBot="1" x14ac:dyDescent="0.35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25"/>
        <v>30</v>
      </c>
      <c r="I303" s="16">
        <f t="shared" si="26"/>
        <v>0</v>
      </c>
      <c r="J303" s="17">
        <f t="shared" si="27"/>
        <v>1</v>
      </c>
      <c r="K303" s="26"/>
      <c r="L303" s="8"/>
      <c r="M303" s="8"/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thickBot="1" x14ac:dyDescent="0.35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25"/>
        <v>30</v>
      </c>
      <c r="I304" s="16">
        <f t="shared" si="26"/>
        <v>0</v>
      </c>
      <c r="J304" s="17">
        <f t="shared" si="27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s="50" customFormat="1" ht="15" thickBot="1" x14ac:dyDescent="0.35">
      <c r="A305" s="50" t="s">
        <v>1223</v>
      </c>
      <c r="B305" s="50" t="s">
        <v>1224</v>
      </c>
      <c r="C305" s="50" t="s">
        <v>1160</v>
      </c>
      <c r="D305" s="50" t="s">
        <v>1225</v>
      </c>
      <c r="E305" s="50" t="s">
        <v>1213</v>
      </c>
      <c r="F305" s="50" t="s">
        <v>28</v>
      </c>
      <c r="G305" s="50" t="s">
        <v>1239</v>
      </c>
      <c r="H305" s="52">
        <f t="shared" si="25"/>
        <v>30</v>
      </c>
      <c r="I305" s="52">
        <f t="shared" si="26"/>
        <v>0</v>
      </c>
      <c r="J305" s="53">
        <f t="shared" si="27"/>
        <v>1</v>
      </c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</row>
    <row r="306" spans="1:40" s="50" customFormat="1" ht="15" thickBot="1" x14ac:dyDescent="0.35">
      <c r="A306" s="50" t="s">
        <v>1223</v>
      </c>
      <c r="B306" s="137" t="s">
        <v>1243</v>
      </c>
      <c r="C306" s="50" t="s">
        <v>1160</v>
      </c>
      <c r="D306" s="50" t="s">
        <v>1225</v>
      </c>
      <c r="E306" s="50" t="s">
        <v>1213</v>
      </c>
      <c r="F306" s="50" t="s">
        <v>28</v>
      </c>
      <c r="G306" s="50" t="s">
        <v>1240</v>
      </c>
      <c r="H306" s="52">
        <f t="shared" si="25"/>
        <v>30</v>
      </c>
      <c r="I306" s="52">
        <f t="shared" si="26"/>
        <v>0</v>
      </c>
      <c r="J306" s="53">
        <f t="shared" si="27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</row>
    <row r="307" spans="1:40" ht="15" thickBot="1" x14ac:dyDescent="0.35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2"/>
        <v>21</v>
      </c>
      <c r="I307" s="16">
        <f t="shared" si="23"/>
        <v>7</v>
      </c>
      <c r="J307" s="17">
        <f t="shared" si="24"/>
        <v>0.75</v>
      </c>
      <c r="K307" s="26" t="s">
        <v>1199</v>
      </c>
      <c r="L307" s="8" t="s">
        <v>1199</v>
      </c>
      <c r="M307" s="8" t="s">
        <v>1199</v>
      </c>
      <c r="N307" s="8" t="s">
        <v>1199</v>
      </c>
      <c r="O307" s="26" t="s">
        <v>1199</v>
      </c>
      <c r="P307" s="26" t="s">
        <v>1199</v>
      </c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 t="s">
        <v>1199</v>
      </c>
      <c r="AM307" s="26" t="s">
        <v>1199</v>
      </c>
      <c r="AN307" s="26" t="s">
        <v>1199</v>
      </c>
    </row>
    <row r="308" spans="1:40" ht="15" thickBot="1" x14ac:dyDescent="0.35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2"/>
        <v>21</v>
      </c>
      <c r="I308" s="16">
        <f t="shared" si="23"/>
        <v>7</v>
      </c>
      <c r="J308" s="17">
        <f t="shared" si="24"/>
        <v>0.75</v>
      </c>
      <c r="K308" s="26" t="s">
        <v>1199</v>
      </c>
      <c r="L308" s="8" t="s">
        <v>1199</v>
      </c>
      <c r="M308" s="8" t="s">
        <v>1199</v>
      </c>
      <c r="N308" s="8" t="s">
        <v>1199</v>
      </c>
      <c r="O308" s="26" t="s">
        <v>1199</v>
      </c>
      <c r="P308" s="26" t="s">
        <v>1199</v>
      </c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 t="s">
        <v>1199</v>
      </c>
      <c r="AM308" s="26" t="s">
        <v>1199</v>
      </c>
      <c r="AN308" s="26" t="s">
        <v>1199</v>
      </c>
    </row>
    <row r="309" spans="1:40" ht="16.95" customHeight="1" thickBot="1" x14ac:dyDescent="0.35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21</v>
      </c>
      <c r="I309" s="16">
        <f>COUNTIF(K309:AL309,"APAGADO")</f>
        <v>7</v>
      </c>
      <c r="J309" s="17">
        <f>(H309)/(I309+H309)</f>
        <v>0.75</v>
      </c>
      <c r="K309" s="26" t="s">
        <v>1199</v>
      </c>
      <c r="L309" s="8" t="s">
        <v>1199</v>
      </c>
      <c r="M309" s="8" t="s">
        <v>1199</v>
      </c>
      <c r="N309" s="8" t="s">
        <v>1199</v>
      </c>
      <c r="O309" s="26" t="s">
        <v>1199</v>
      </c>
      <c r="P309" s="26" t="s">
        <v>1199</v>
      </c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 t="s">
        <v>1199</v>
      </c>
      <c r="AM309" s="26" t="s">
        <v>1199</v>
      </c>
      <c r="AN309" s="26" t="s">
        <v>1199</v>
      </c>
    </row>
    <row r="310" spans="1:40" ht="15" thickBot="1" x14ac:dyDescent="0.35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21</v>
      </c>
      <c r="I310" s="16">
        <f>COUNTIF(K310:AL310,"APAGADO")</f>
        <v>7</v>
      </c>
      <c r="J310" s="17">
        <f>(H310)/(I310+H310)</f>
        <v>0.75</v>
      </c>
      <c r="K310" s="26" t="s">
        <v>1199</v>
      </c>
      <c r="L310" s="8" t="s">
        <v>1199</v>
      </c>
      <c r="M310" s="8" t="s">
        <v>1199</v>
      </c>
      <c r="N310" s="8" t="s">
        <v>1199</v>
      </c>
      <c r="O310" s="26" t="s">
        <v>1199</v>
      </c>
      <c r="P310" s="26" t="s">
        <v>1199</v>
      </c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 t="s">
        <v>1199</v>
      </c>
      <c r="AM310" s="26" t="s">
        <v>1199</v>
      </c>
      <c r="AN310" s="26" t="s">
        <v>1199</v>
      </c>
    </row>
    <row r="311" spans="1:40" ht="15" thickBot="1" x14ac:dyDescent="0.35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2"/>
        <v>28</v>
      </c>
      <c r="I311" s="16">
        <f t="shared" si="23"/>
        <v>1</v>
      </c>
      <c r="J311" s="17">
        <f t="shared" si="24"/>
        <v>0.96551724137931039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 t="s">
        <v>1199</v>
      </c>
      <c r="AM311" s="26"/>
      <c r="AN311" s="26" t="s">
        <v>1199</v>
      </c>
    </row>
    <row r="312" spans="1:40" ht="15" thickBot="1" x14ac:dyDescent="0.35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2"/>
        <v>25</v>
      </c>
      <c r="I312" s="16">
        <f t="shared" si="23"/>
        <v>4</v>
      </c>
      <c r="J312" s="17">
        <f t="shared" si="24"/>
        <v>0.86206896551724133</v>
      </c>
      <c r="K312" s="26"/>
      <c r="L312" s="8"/>
      <c r="M312" s="8" t="s">
        <v>1199</v>
      </c>
      <c r="N312" s="8" t="s">
        <v>1199</v>
      </c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 t="s">
        <v>1199</v>
      </c>
      <c r="AL312" s="8" t="s">
        <v>1199</v>
      </c>
      <c r="AM312" s="26" t="s">
        <v>1199</v>
      </c>
      <c r="AN312" s="26"/>
    </row>
    <row r="313" spans="1:40" ht="15" thickBot="1" x14ac:dyDescent="0.35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2"/>
        <v>30</v>
      </c>
      <c r="I313" s="16">
        <f t="shared" si="23"/>
        <v>0</v>
      </c>
      <c r="J313" s="17">
        <f t="shared" si="24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thickBot="1" x14ac:dyDescent="0.35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2"/>
        <v>30</v>
      </c>
      <c r="I314" s="16">
        <f t="shared" si="23"/>
        <v>0</v>
      </c>
      <c r="J314" s="17">
        <f t="shared" si="24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thickBot="1" x14ac:dyDescent="0.35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2"/>
        <v>29</v>
      </c>
      <c r="I315" s="16">
        <f t="shared" si="23"/>
        <v>1</v>
      </c>
      <c r="J315" s="17">
        <f t="shared" si="24"/>
        <v>0.96666666666666667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 t="s">
        <v>1199</v>
      </c>
      <c r="AL315" s="8"/>
      <c r="AM315" s="26"/>
      <c r="AN315" s="26"/>
    </row>
    <row r="316" spans="1:40" ht="15" thickBot="1" x14ac:dyDescent="0.35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2"/>
        <v>29</v>
      </c>
      <c r="I316" s="16">
        <f t="shared" si="23"/>
        <v>1</v>
      </c>
      <c r="J316" s="17">
        <f t="shared" si="24"/>
        <v>0.96666666666666667</v>
      </c>
      <c r="K316" s="26"/>
      <c r="L316" s="8"/>
      <c r="M316" s="8"/>
      <c r="N316" s="8"/>
      <c r="O316" s="26"/>
      <c r="P316" s="26"/>
      <c r="Q316" s="8"/>
      <c r="R316" s="8"/>
      <c r="S316" s="8" t="s">
        <v>1199</v>
      </c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thickBot="1" x14ac:dyDescent="0.35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2"/>
        <v>29</v>
      </c>
      <c r="I317" s="16">
        <f t="shared" si="23"/>
        <v>1</v>
      </c>
      <c r="J317" s="17">
        <f t="shared" si="24"/>
        <v>0.96666666666666667</v>
      </c>
      <c r="K317" s="26"/>
      <c r="L317" s="8"/>
      <c r="M317" s="8"/>
      <c r="N317" s="8"/>
      <c r="O317" s="26"/>
      <c r="P317" s="26"/>
      <c r="Q317" s="8"/>
      <c r="R317" s="8"/>
      <c r="S317" s="8" t="s">
        <v>1199</v>
      </c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thickBot="1" x14ac:dyDescent="0.35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2"/>
        <v>29</v>
      </c>
      <c r="I318" s="16">
        <f t="shared" si="23"/>
        <v>1</v>
      </c>
      <c r="J318" s="17">
        <f t="shared" si="24"/>
        <v>0.96666666666666667</v>
      </c>
      <c r="K318" s="26"/>
      <c r="L318" s="8"/>
      <c r="M318" s="8"/>
      <c r="N318" s="8" t="s">
        <v>1199</v>
      </c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thickBot="1" x14ac:dyDescent="0.35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2"/>
        <v>30</v>
      </c>
      <c r="I319" s="16">
        <f t="shared" si="23"/>
        <v>0</v>
      </c>
      <c r="J319" s="17">
        <f t="shared" si="24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thickBot="1" x14ac:dyDescent="0.35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2"/>
        <v>30</v>
      </c>
      <c r="I320" s="16">
        <f t="shared" si="23"/>
        <v>0</v>
      </c>
      <c r="J320" s="17">
        <f t="shared" si="24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thickBot="1" x14ac:dyDescent="0.35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2"/>
        <v>28</v>
      </c>
      <c r="I321" s="16">
        <f t="shared" si="23"/>
        <v>2</v>
      </c>
      <c r="J321" s="17">
        <f t="shared" si="24"/>
        <v>0.93333333333333335</v>
      </c>
      <c r="K321" s="26"/>
      <c r="L321" s="8"/>
      <c r="M321" s="8" t="s">
        <v>1199</v>
      </c>
      <c r="N321" s="8" t="s">
        <v>1199</v>
      </c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thickBot="1" x14ac:dyDescent="0.35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2"/>
        <v>25</v>
      </c>
      <c r="I322" s="16">
        <f t="shared" si="23"/>
        <v>4</v>
      </c>
      <c r="J322" s="17">
        <f t="shared" si="24"/>
        <v>0.86206896551724133</v>
      </c>
      <c r="K322" s="26"/>
      <c r="L322" s="8"/>
      <c r="M322" s="8" t="s">
        <v>1199</v>
      </c>
      <c r="N322" s="8" t="s">
        <v>1199</v>
      </c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 t="s">
        <v>1199</v>
      </c>
      <c r="AL322" s="8" t="s">
        <v>1199</v>
      </c>
      <c r="AM322" s="26" t="s">
        <v>1199</v>
      </c>
      <c r="AN322" s="26"/>
    </row>
    <row r="323" spans="1:40" ht="15" thickBot="1" x14ac:dyDescent="0.35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2"/>
        <v>24</v>
      </c>
      <c r="I323" s="16">
        <f t="shared" si="23"/>
        <v>4</v>
      </c>
      <c r="J323" s="17">
        <f t="shared" si="24"/>
        <v>0.8571428571428571</v>
      </c>
      <c r="K323" s="26"/>
      <c r="L323" s="8"/>
      <c r="M323" s="8" t="s">
        <v>1199</v>
      </c>
      <c r="N323" s="8" t="s">
        <v>1199</v>
      </c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 t="s">
        <v>1199</v>
      </c>
      <c r="AL323" s="8" t="s">
        <v>1199</v>
      </c>
      <c r="AM323" s="26" t="s">
        <v>1199</v>
      </c>
      <c r="AN323" s="26" t="s">
        <v>1199</v>
      </c>
    </row>
    <row r="324" spans="1:40" ht="15" thickBot="1" x14ac:dyDescent="0.35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2"/>
        <v>30</v>
      </c>
      <c r="I324" s="16">
        <f t="shared" si="23"/>
        <v>0</v>
      </c>
      <c r="J324" s="17">
        <f t="shared" si="24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thickBot="1" x14ac:dyDescent="0.35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2"/>
        <v>30</v>
      </c>
      <c r="I325" s="16">
        <f t="shared" si="23"/>
        <v>0</v>
      </c>
      <c r="J325" s="17">
        <f t="shared" si="24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thickBot="1" x14ac:dyDescent="0.35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2"/>
        <v>30</v>
      </c>
      <c r="I326" s="16">
        <f t="shared" si="23"/>
        <v>0</v>
      </c>
      <c r="J326" s="17">
        <f t="shared" si="24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" thickBot="1" x14ac:dyDescent="0.35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2"/>
        <v>30</v>
      </c>
      <c r="I327" s="16">
        <f t="shared" si="23"/>
        <v>0</v>
      </c>
      <c r="J327" s="17">
        <f t="shared" si="24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thickBot="1" x14ac:dyDescent="0.35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2"/>
        <v>27</v>
      </c>
      <c r="I328" s="16">
        <f t="shared" si="23"/>
        <v>2</v>
      </c>
      <c r="J328" s="17">
        <f t="shared" si="24"/>
        <v>0.93103448275862066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 t="s">
        <v>1199</v>
      </c>
      <c r="AL328" s="8" t="s">
        <v>1199</v>
      </c>
      <c r="AM328" s="26" t="s">
        <v>1199</v>
      </c>
      <c r="AN328" s="26"/>
    </row>
    <row r="329" spans="1:40" ht="15" thickBot="1" x14ac:dyDescent="0.35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2"/>
        <v>27</v>
      </c>
      <c r="I329" s="16">
        <f t="shared" si="23"/>
        <v>2</v>
      </c>
      <c r="J329" s="17">
        <f t="shared" si="24"/>
        <v>0.93103448275862066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 t="s">
        <v>1199</v>
      </c>
      <c r="AL329" s="8" t="s">
        <v>1199</v>
      </c>
      <c r="AM329" s="26" t="s">
        <v>1199</v>
      </c>
      <c r="AN329" s="26"/>
    </row>
    <row r="330" spans="1:40" ht="15" thickBot="1" x14ac:dyDescent="0.35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2"/>
        <v>30</v>
      </c>
      <c r="I330" s="16">
        <f t="shared" si="23"/>
        <v>0</v>
      </c>
      <c r="J330" s="17">
        <f t="shared" si="24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" thickBot="1" x14ac:dyDescent="0.35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2"/>
        <v>30</v>
      </c>
      <c r="I331" s="16">
        <f t="shared" si="23"/>
        <v>0</v>
      </c>
      <c r="J331" s="17">
        <f t="shared" si="24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" thickBot="1" x14ac:dyDescent="0.35">
      <c r="A332" t="s">
        <v>364</v>
      </c>
      <c r="B332" s="44" t="s">
        <v>1204</v>
      </c>
      <c r="C332" s="51" t="s">
        <v>1160</v>
      </c>
      <c r="D332" t="s">
        <v>1203</v>
      </c>
      <c r="E332" s="50" t="s">
        <v>15</v>
      </c>
      <c r="F332" s="50" t="s">
        <v>28</v>
      </c>
      <c r="G332" s="50" t="s">
        <v>1205</v>
      </c>
      <c r="H332" s="52">
        <f t="shared" ref="H332" si="28">COUNTIF(K332:AN332,"")</f>
        <v>30</v>
      </c>
      <c r="I332" s="52">
        <f t="shared" ref="I332" si="29">COUNTIF(K332:AL332,"APAGADO")</f>
        <v>0</v>
      </c>
      <c r="J332" s="53">
        <f t="shared" ref="J332" si="30">(H332)/(I332+H332)</f>
        <v>1</v>
      </c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</row>
    <row r="333" spans="1:40" ht="15" thickBot="1" x14ac:dyDescent="0.35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2"/>
        <v>30</v>
      </c>
      <c r="I333" s="16">
        <f t="shared" si="23"/>
        <v>0</v>
      </c>
      <c r="J333" s="17">
        <f t="shared" si="24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" thickBot="1" x14ac:dyDescent="0.35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2"/>
        <v>30</v>
      </c>
      <c r="I334" s="16">
        <f t="shared" si="23"/>
        <v>0</v>
      </c>
      <c r="J334" s="17">
        <f t="shared" si="24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" thickBot="1" x14ac:dyDescent="0.35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2"/>
        <v>12</v>
      </c>
      <c r="I335" s="16">
        <f t="shared" si="23"/>
        <v>16</v>
      </c>
      <c r="J335" s="17">
        <f t="shared" si="24"/>
        <v>0.42857142857142855</v>
      </c>
      <c r="K335" s="26"/>
      <c r="L335" s="8"/>
      <c r="M335" s="8" t="s">
        <v>1199</v>
      </c>
      <c r="N335" s="8" t="s">
        <v>1199</v>
      </c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 t="s">
        <v>1199</v>
      </c>
      <c r="Z335" s="26" t="s">
        <v>1199</v>
      </c>
      <c r="AA335" s="26" t="s">
        <v>1199</v>
      </c>
      <c r="AB335" s="26" t="s">
        <v>1199</v>
      </c>
      <c r="AC335" s="26" t="s">
        <v>1199</v>
      </c>
      <c r="AD335" s="26" t="s">
        <v>1199</v>
      </c>
      <c r="AE335" s="26" t="s">
        <v>1199</v>
      </c>
      <c r="AF335" s="26" t="s">
        <v>1199</v>
      </c>
      <c r="AG335" s="8" t="s">
        <v>1199</v>
      </c>
      <c r="AH335" s="8" t="s">
        <v>1199</v>
      </c>
      <c r="AI335" s="8" t="s">
        <v>1199</v>
      </c>
      <c r="AJ335" s="26" t="s">
        <v>1199</v>
      </c>
      <c r="AK335" s="8" t="s">
        <v>1199</v>
      </c>
      <c r="AL335" s="8" t="s">
        <v>1199</v>
      </c>
      <c r="AM335" s="26" t="s">
        <v>1199</v>
      </c>
      <c r="AN335" s="26" t="s">
        <v>1199</v>
      </c>
    </row>
    <row r="336" spans="1:40" ht="15" thickBot="1" x14ac:dyDescent="0.35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2"/>
        <v>14</v>
      </c>
      <c r="I336" s="16">
        <f t="shared" si="23"/>
        <v>14</v>
      </c>
      <c r="J336" s="17">
        <f t="shared" si="24"/>
        <v>0.5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 t="s">
        <v>1199</v>
      </c>
      <c r="Z336" s="26" t="s">
        <v>1199</v>
      </c>
      <c r="AA336" s="26" t="s">
        <v>1199</v>
      </c>
      <c r="AB336" s="26" t="s">
        <v>1199</v>
      </c>
      <c r="AC336" s="26" t="s">
        <v>1199</v>
      </c>
      <c r="AD336" s="26" t="s">
        <v>1199</v>
      </c>
      <c r="AE336" s="26" t="s">
        <v>1199</v>
      </c>
      <c r="AF336" s="26" t="s">
        <v>1199</v>
      </c>
      <c r="AG336" s="8" t="s">
        <v>1199</v>
      </c>
      <c r="AH336" s="8" t="s">
        <v>1199</v>
      </c>
      <c r="AI336" s="8" t="s">
        <v>1199</v>
      </c>
      <c r="AJ336" s="26" t="s">
        <v>1199</v>
      </c>
      <c r="AK336" s="8" t="s">
        <v>1199</v>
      </c>
      <c r="AL336" s="8" t="s">
        <v>1199</v>
      </c>
      <c r="AM336" s="26" t="s">
        <v>1199</v>
      </c>
      <c r="AN336" s="26" t="s">
        <v>1199</v>
      </c>
    </row>
    <row r="337" spans="1:40" ht="15" thickBot="1" x14ac:dyDescent="0.35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2"/>
        <v>14</v>
      </c>
      <c r="I337" s="16">
        <f t="shared" si="23"/>
        <v>14</v>
      </c>
      <c r="J337" s="17">
        <f t="shared" si="24"/>
        <v>0.5</v>
      </c>
      <c r="K337" s="26"/>
      <c r="L337" s="8"/>
      <c r="M337" s="8"/>
      <c r="N337" s="8"/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 t="s">
        <v>1199</v>
      </c>
      <c r="Z337" s="26" t="s">
        <v>1199</v>
      </c>
      <c r="AA337" s="26" t="s">
        <v>1199</v>
      </c>
      <c r="AB337" s="26" t="s">
        <v>1199</v>
      </c>
      <c r="AC337" s="26" t="s">
        <v>1199</v>
      </c>
      <c r="AD337" s="26" t="s">
        <v>1199</v>
      </c>
      <c r="AE337" s="26" t="s">
        <v>1199</v>
      </c>
      <c r="AF337" s="26" t="s">
        <v>1199</v>
      </c>
      <c r="AG337" s="8" t="s">
        <v>1199</v>
      </c>
      <c r="AH337" s="8" t="s">
        <v>1199</v>
      </c>
      <c r="AI337" s="8" t="s">
        <v>1199</v>
      </c>
      <c r="AJ337" s="26" t="s">
        <v>1199</v>
      </c>
      <c r="AK337" s="8" t="s">
        <v>1199</v>
      </c>
      <c r="AL337" s="8" t="s">
        <v>1199</v>
      </c>
      <c r="AM337" s="26" t="s">
        <v>1199</v>
      </c>
      <c r="AN337" s="26" t="s">
        <v>1199</v>
      </c>
    </row>
    <row r="338" spans="1:40" ht="15" thickBot="1" x14ac:dyDescent="0.35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2"/>
        <v>14</v>
      </c>
      <c r="I338" s="16">
        <f t="shared" si="23"/>
        <v>14</v>
      </c>
      <c r="J338" s="17">
        <f t="shared" si="24"/>
        <v>0.5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 t="s">
        <v>1199</v>
      </c>
      <c r="Z338" s="26" t="s">
        <v>1199</v>
      </c>
      <c r="AA338" s="26" t="s">
        <v>1199</v>
      </c>
      <c r="AB338" s="26" t="s">
        <v>1199</v>
      </c>
      <c r="AC338" s="26" t="s">
        <v>1199</v>
      </c>
      <c r="AD338" s="26" t="s">
        <v>1199</v>
      </c>
      <c r="AE338" s="26" t="s">
        <v>1199</v>
      </c>
      <c r="AF338" s="26" t="s">
        <v>1199</v>
      </c>
      <c r="AG338" s="8" t="s">
        <v>1199</v>
      </c>
      <c r="AH338" s="8" t="s">
        <v>1199</v>
      </c>
      <c r="AI338" s="8" t="s">
        <v>1199</v>
      </c>
      <c r="AJ338" s="26" t="s">
        <v>1199</v>
      </c>
      <c r="AK338" s="8" t="s">
        <v>1199</v>
      </c>
      <c r="AL338" s="8" t="s">
        <v>1199</v>
      </c>
      <c r="AM338" s="26" t="s">
        <v>1199</v>
      </c>
      <c r="AN338" s="26" t="s">
        <v>1199</v>
      </c>
    </row>
    <row r="339" spans="1:40" ht="15" thickBot="1" x14ac:dyDescent="0.35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2"/>
        <v>14</v>
      </c>
      <c r="I339" s="16">
        <f t="shared" si="23"/>
        <v>14</v>
      </c>
      <c r="J339" s="17">
        <f t="shared" si="24"/>
        <v>0.5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 t="s">
        <v>1199</v>
      </c>
      <c r="Z339" s="26" t="s">
        <v>1199</v>
      </c>
      <c r="AA339" s="26" t="s">
        <v>1199</v>
      </c>
      <c r="AB339" s="26" t="s">
        <v>1199</v>
      </c>
      <c r="AC339" s="26" t="s">
        <v>1199</v>
      </c>
      <c r="AD339" s="26" t="s">
        <v>1199</v>
      </c>
      <c r="AE339" s="26" t="s">
        <v>1199</v>
      </c>
      <c r="AF339" s="26" t="s">
        <v>1199</v>
      </c>
      <c r="AG339" s="8" t="s">
        <v>1199</v>
      </c>
      <c r="AH339" s="8" t="s">
        <v>1199</v>
      </c>
      <c r="AI339" s="8" t="s">
        <v>1199</v>
      </c>
      <c r="AJ339" s="26" t="s">
        <v>1199</v>
      </c>
      <c r="AK339" s="8" t="s">
        <v>1199</v>
      </c>
      <c r="AL339" s="8" t="s">
        <v>1199</v>
      </c>
      <c r="AM339" s="26" t="s">
        <v>1199</v>
      </c>
      <c r="AN339" s="26" t="s">
        <v>1199</v>
      </c>
    </row>
    <row r="340" spans="1:40" ht="15" thickBot="1" x14ac:dyDescent="0.35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2"/>
        <v>14</v>
      </c>
      <c r="I340" s="16">
        <f t="shared" si="23"/>
        <v>14</v>
      </c>
      <c r="J340" s="17">
        <f t="shared" si="24"/>
        <v>0.5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 t="s">
        <v>1199</v>
      </c>
      <c r="Z340" s="26" t="s">
        <v>1199</v>
      </c>
      <c r="AA340" s="26" t="s">
        <v>1199</v>
      </c>
      <c r="AB340" s="26" t="s">
        <v>1199</v>
      </c>
      <c r="AC340" s="26" t="s">
        <v>1199</v>
      </c>
      <c r="AD340" s="26" t="s">
        <v>1199</v>
      </c>
      <c r="AE340" s="26" t="s">
        <v>1199</v>
      </c>
      <c r="AF340" s="26" t="s">
        <v>1199</v>
      </c>
      <c r="AG340" s="8" t="s">
        <v>1199</v>
      </c>
      <c r="AH340" s="8" t="s">
        <v>1199</v>
      </c>
      <c r="AI340" s="8" t="s">
        <v>1199</v>
      </c>
      <c r="AJ340" s="26" t="s">
        <v>1199</v>
      </c>
      <c r="AK340" s="8" t="s">
        <v>1199</v>
      </c>
      <c r="AL340" s="8" t="s">
        <v>1199</v>
      </c>
      <c r="AM340" s="26" t="s">
        <v>1199</v>
      </c>
      <c r="AN340" s="26" t="s">
        <v>1199</v>
      </c>
    </row>
    <row r="341" spans="1:40" ht="15" thickBot="1" x14ac:dyDescent="0.35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2"/>
        <v>14</v>
      </c>
      <c r="I341" s="16">
        <f t="shared" si="23"/>
        <v>14</v>
      </c>
      <c r="J341" s="17">
        <f t="shared" si="24"/>
        <v>0.5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 t="s">
        <v>1199</v>
      </c>
      <c r="Z341" s="26" t="s">
        <v>1199</v>
      </c>
      <c r="AA341" s="26" t="s">
        <v>1199</v>
      </c>
      <c r="AB341" s="26" t="s">
        <v>1199</v>
      </c>
      <c r="AC341" s="26" t="s">
        <v>1199</v>
      </c>
      <c r="AD341" s="26" t="s">
        <v>1199</v>
      </c>
      <c r="AE341" s="26" t="s">
        <v>1199</v>
      </c>
      <c r="AF341" s="26" t="s">
        <v>1199</v>
      </c>
      <c r="AG341" s="8" t="s">
        <v>1199</v>
      </c>
      <c r="AH341" s="8" t="s">
        <v>1199</v>
      </c>
      <c r="AI341" s="8" t="s">
        <v>1199</v>
      </c>
      <c r="AJ341" s="26" t="s">
        <v>1199</v>
      </c>
      <c r="AK341" s="8" t="s">
        <v>1199</v>
      </c>
      <c r="AL341" s="8" t="s">
        <v>1199</v>
      </c>
      <c r="AM341" s="26" t="s">
        <v>1199</v>
      </c>
      <c r="AN341" s="26" t="s">
        <v>1199</v>
      </c>
    </row>
    <row r="342" spans="1:40" ht="15" thickBot="1" x14ac:dyDescent="0.35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2"/>
        <v>30</v>
      </c>
      <c r="I342" s="16">
        <f t="shared" si="23"/>
        <v>0</v>
      </c>
      <c r="J342" s="17">
        <f t="shared" si="24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" thickBot="1" x14ac:dyDescent="0.35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2"/>
        <v>25</v>
      </c>
      <c r="I343" s="16">
        <f t="shared" si="23"/>
        <v>5</v>
      </c>
      <c r="J343" s="17">
        <f t="shared" si="24"/>
        <v>0.83333333333333337</v>
      </c>
      <c r="K343" s="26" t="s">
        <v>1199</v>
      </c>
      <c r="L343" s="8"/>
      <c r="M343" s="8" t="s">
        <v>1199</v>
      </c>
      <c r="N343" s="8" t="s">
        <v>1199</v>
      </c>
      <c r="O343" s="26" t="s">
        <v>1199</v>
      </c>
      <c r="P343" s="26"/>
      <c r="Q343" s="8" t="s">
        <v>1199</v>
      </c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thickBot="1" x14ac:dyDescent="0.35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1">COUNTIF(K344:AN344,"")</f>
        <v>26</v>
      </c>
      <c r="I344" s="16">
        <f t="shared" ref="I344:I396" si="32">COUNTIF(K344:AL344,"APAGADO")</f>
        <v>4</v>
      </c>
      <c r="J344" s="17">
        <f t="shared" ref="J344:J396" si="33">(H344)/(I344+H344)</f>
        <v>0.8666666666666667</v>
      </c>
      <c r="K344" s="26" t="s">
        <v>1199</v>
      </c>
      <c r="L344" s="8"/>
      <c r="M344" s="8"/>
      <c r="N344" s="8"/>
      <c r="O344" s="26"/>
      <c r="P344" s="26"/>
      <c r="Q344" s="8"/>
      <c r="R344" s="8"/>
      <c r="S344" s="8"/>
      <c r="T344" s="26"/>
      <c r="U344" s="26" t="s">
        <v>1199</v>
      </c>
      <c r="V344" s="26"/>
      <c r="W344" s="26"/>
      <c r="X344" s="26"/>
      <c r="Y344" s="26" t="s">
        <v>1199</v>
      </c>
      <c r="Z344" s="26"/>
      <c r="AA344" s="26"/>
      <c r="AB344" s="26"/>
      <c r="AC344" s="26"/>
      <c r="AD344" s="26"/>
      <c r="AE344" s="26"/>
      <c r="AF344" s="26"/>
      <c r="AG344" s="8"/>
      <c r="AH344" s="8" t="s">
        <v>1199</v>
      </c>
      <c r="AI344" s="8"/>
      <c r="AJ344" s="26"/>
      <c r="AK344" s="8"/>
      <c r="AL344" s="8"/>
      <c r="AM344" s="26"/>
      <c r="AN344" s="26"/>
    </row>
    <row r="345" spans="1:40" ht="15" thickBot="1" x14ac:dyDescent="0.35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1"/>
        <v>26</v>
      </c>
      <c r="I345" s="16">
        <f t="shared" si="32"/>
        <v>4</v>
      </c>
      <c r="J345" s="17">
        <f t="shared" si="33"/>
        <v>0.8666666666666667</v>
      </c>
      <c r="K345" s="26" t="s">
        <v>1199</v>
      </c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 t="s">
        <v>1199</v>
      </c>
      <c r="Z345" s="26"/>
      <c r="AA345" s="26"/>
      <c r="AB345" s="26"/>
      <c r="AC345" s="26"/>
      <c r="AD345" s="26"/>
      <c r="AE345" s="26"/>
      <c r="AF345" s="26"/>
      <c r="AG345" s="8"/>
      <c r="AH345" s="8" t="s">
        <v>1199</v>
      </c>
      <c r="AI345" s="8"/>
      <c r="AJ345" s="26"/>
      <c r="AK345" s="8" t="s">
        <v>1199</v>
      </c>
      <c r="AL345" s="8"/>
      <c r="AM345" s="26"/>
      <c r="AN345" s="26"/>
    </row>
    <row r="346" spans="1:40" ht="15" thickBot="1" x14ac:dyDescent="0.35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1"/>
        <v>29</v>
      </c>
      <c r="I346" s="16">
        <f t="shared" si="32"/>
        <v>1</v>
      </c>
      <c r="J346" s="17">
        <f t="shared" si="33"/>
        <v>0.96666666666666667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 t="s">
        <v>1199</v>
      </c>
      <c r="AI346" s="8"/>
      <c r="AJ346" s="26"/>
      <c r="AK346" s="8"/>
      <c r="AL346" s="8"/>
      <c r="AM346" s="26"/>
      <c r="AN346" s="26"/>
    </row>
    <row r="347" spans="1:40" ht="15" thickBot="1" x14ac:dyDescent="0.35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1"/>
        <v>29</v>
      </c>
      <c r="I347" s="16">
        <f t="shared" si="32"/>
        <v>1</v>
      </c>
      <c r="J347" s="17">
        <f t="shared" si="33"/>
        <v>0.96666666666666667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 t="s">
        <v>1199</v>
      </c>
      <c r="AI347" s="8"/>
      <c r="AJ347" s="26"/>
      <c r="AK347" s="8"/>
      <c r="AL347" s="8"/>
      <c r="AM347" s="26"/>
      <c r="AN347" s="26"/>
    </row>
    <row r="348" spans="1:40" ht="15" thickBot="1" x14ac:dyDescent="0.35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1"/>
        <v>27</v>
      </c>
      <c r="I348" s="16">
        <f t="shared" si="32"/>
        <v>3</v>
      </c>
      <c r="J348" s="17">
        <f t="shared" si="33"/>
        <v>0.9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 t="s">
        <v>1199</v>
      </c>
      <c r="V348" s="26"/>
      <c r="W348" s="26"/>
      <c r="X348" s="26"/>
      <c r="Y348" s="26" t="s">
        <v>1199</v>
      </c>
      <c r="Z348" s="26"/>
      <c r="AA348" s="26"/>
      <c r="AB348" s="26"/>
      <c r="AC348" s="26"/>
      <c r="AD348" s="26"/>
      <c r="AE348" s="26"/>
      <c r="AF348" s="26" t="s">
        <v>1199</v>
      </c>
      <c r="AG348" s="8"/>
      <c r="AH348" s="8"/>
      <c r="AI348" s="8"/>
      <c r="AJ348" s="26"/>
      <c r="AK348" s="8"/>
      <c r="AL348" s="8"/>
      <c r="AM348" s="26"/>
      <c r="AN348" s="26"/>
    </row>
    <row r="349" spans="1:40" ht="15" thickBot="1" x14ac:dyDescent="0.35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" thickBot="1" x14ac:dyDescent="0.35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thickBot="1" x14ac:dyDescent="0.35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1"/>
        <v>30</v>
      </c>
      <c r="I351" s="16">
        <f t="shared" si="32"/>
        <v>0</v>
      </c>
      <c r="J351" s="17">
        <f t="shared" si="33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thickBot="1" x14ac:dyDescent="0.35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1"/>
        <v>30</v>
      </c>
      <c r="I352" s="16">
        <f t="shared" si="32"/>
        <v>0</v>
      </c>
      <c r="J352" s="17">
        <f t="shared" si="33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thickBot="1" x14ac:dyDescent="0.35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</row>
    <row r="354" spans="1:40" ht="15" thickBot="1" x14ac:dyDescent="0.35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spans="1:40" ht="15" thickBot="1" x14ac:dyDescent="0.35">
      <c r="A355" t="s">
        <v>232</v>
      </c>
      <c r="B355" s="44" t="s">
        <v>1200</v>
      </c>
      <c r="C355" s="51" t="s">
        <v>1160</v>
      </c>
      <c r="D355" t="s">
        <v>1201</v>
      </c>
      <c r="E355" s="9" t="s">
        <v>19</v>
      </c>
      <c r="F355" s="9" t="s">
        <v>28</v>
      </c>
      <c r="G355" s="50" t="s">
        <v>1202</v>
      </c>
      <c r="H355" s="52">
        <f t="shared" ref="H355" si="34">COUNTIF(K355:AN355,"")</f>
        <v>26</v>
      </c>
      <c r="I355" s="52">
        <f t="shared" ref="I355" si="35">COUNTIF(K355:AL355,"APAGADO")</f>
        <v>4</v>
      </c>
      <c r="J355" s="53">
        <f t="shared" ref="J355" si="36">(H355)/(I355+H355)</f>
        <v>0.8666666666666667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 t="s">
        <v>1199</v>
      </c>
      <c r="V355" s="26"/>
      <c r="W355" s="26"/>
      <c r="X355" s="26"/>
      <c r="Y355" s="26" t="s">
        <v>1199</v>
      </c>
      <c r="Z355" s="26"/>
      <c r="AA355" s="26"/>
      <c r="AB355" s="26" t="s">
        <v>1199</v>
      </c>
      <c r="AC355" s="26"/>
      <c r="AD355" s="26"/>
      <c r="AE355" s="26"/>
      <c r="AF355" s="26" t="s">
        <v>1199</v>
      </c>
      <c r="AG355" s="26"/>
      <c r="AH355" s="26"/>
      <c r="AI355" s="26"/>
      <c r="AJ355" s="26"/>
      <c r="AK355" s="26"/>
      <c r="AL355" s="26"/>
      <c r="AM355" s="26"/>
      <c r="AN355" s="26"/>
    </row>
    <row r="356" spans="1:40" ht="15" thickBot="1" x14ac:dyDescent="0.35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1"/>
        <v>30</v>
      </c>
      <c r="I356" s="16">
        <f t="shared" si="32"/>
        <v>0</v>
      </c>
      <c r="J356" s="17">
        <f t="shared" si="33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thickBot="1" x14ac:dyDescent="0.35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1"/>
        <v>28</v>
      </c>
      <c r="I357" s="16">
        <f t="shared" si="32"/>
        <v>2</v>
      </c>
      <c r="J357" s="17">
        <f t="shared" si="33"/>
        <v>0.93333333333333335</v>
      </c>
      <c r="K357" s="26"/>
      <c r="L357" s="8"/>
      <c r="M357" s="8" t="s">
        <v>1199</v>
      </c>
      <c r="N357" s="8" t="s">
        <v>1199</v>
      </c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thickBot="1" x14ac:dyDescent="0.35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1"/>
        <v>28</v>
      </c>
      <c r="I358" s="16">
        <f t="shared" si="32"/>
        <v>2</v>
      </c>
      <c r="J358" s="17">
        <f t="shared" si="33"/>
        <v>0.93333333333333335</v>
      </c>
      <c r="K358" s="26"/>
      <c r="L358" s="8"/>
      <c r="M358" s="8"/>
      <c r="N358" s="8" t="s">
        <v>1199</v>
      </c>
      <c r="O358" s="26" t="s">
        <v>1199</v>
      </c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thickBot="1" x14ac:dyDescent="0.35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1"/>
        <v>28</v>
      </c>
      <c r="I359" s="16">
        <f t="shared" si="32"/>
        <v>2</v>
      </c>
      <c r="J359" s="17">
        <f t="shared" si="33"/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thickBot="1" x14ac:dyDescent="0.35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1"/>
        <v>30</v>
      </c>
      <c r="I360" s="16">
        <f t="shared" si="32"/>
        <v>0</v>
      </c>
      <c r="J360" s="17">
        <f t="shared" si="33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thickBot="1" x14ac:dyDescent="0.35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1"/>
        <v>25</v>
      </c>
      <c r="I361" s="16">
        <f t="shared" si="32"/>
        <v>5</v>
      </c>
      <c r="J361" s="17">
        <f t="shared" si="33"/>
        <v>0.83333333333333337</v>
      </c>
      <c r="K361" s="26"/>
      <c r="L361" s="8"/>
      <c r="M361" s="8" t="s">
        <v>1199</v>
      </c>
      <c r="N361" s="8" t="s">
        <v>1199</v>
      </c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 t="s">
        <v>1199</v>
      </c>
      <c r="AK361" s="8" t="s">
        <v>1199</v>
      </c>
      <c r="AL361" s="8" t="s">
        <v>1199</v>
      </c>
      <c r="AM361" s="26"/>
      <c r="AN361" s="26"/>
    </row>
    <row r="362" spans="1:40" ht="15" thickBot="1" x14ac:dyDescent="0.35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1"/>
        <v>17</v>
      </c>
      <c r="I362" s="16">
        <f t="shared" si="32"/>
        <v>12</v>
      </c>
      <c r="J362" s="17">
        <f t="shared" si="33"/>
        <v>0.58620689655172409</v>
      </c>
      <c r="K362" s="26"/>
      <c r="L362" s="8" t="s">
        <v>1199</v>
      </c>
      <c r="M362" s="8" t="s">
        <v>1199</v>
      </c>
      <c r="N362" s="8" t="s">
        <v>1199</v>
      </c>
      <c r="O362" s="26"/>
      <c r="P362" s="26"/>
      <c r="Q362" s="8"/>
      <c r="R362" s="8"/>
      <c r="S362" s="8" t="s">
        <v>1199</v>
      </c>
      <c r="T362" s="26" t="s">
        <v>1199</v>
      </c>
      <c r="U362" s="26" t="s">
        <v>1199</v>
      </c>
      <c r="V362" s="26"/>
      <c r="W362" s="26" t="s">
        <v>1199</v>
      </c>
      <c r="X362" s="26" t="s">
        <v>1199</v>
      </c>
      <c r="Y362" s="26"/>
      <c r="Z362" s="26"/>
      <c r="AA362" s="26"/>
      <c r="AB362" s="26"/>
      <c r="AC362" s="26"/>
      <c r="AD362" s="26" t="s">
        <v>1199</v>
      </c>
      <c r="AE362" s="26" t="s">
        <v>1199</v>
      </c>
      <c r="AF362" s="26"/>
      <c r="AG362" s="8" t="s">
        <v>1199</v>
      </c>
      <c r="AH362" s="8"/>
      <c r="AI362" s="8"/>
      <c r="AJ362" s="26"/>
      <c r="AK362" s="8"/>
      <c r="AL362" s="8" t="s">
        <v>1199</v>
      </c>
      <c r="AM362" s="26" t="s">
        <v>1199</v>
      </c>
      <c r="AN362" s="26"/>
    </row>
    <row r="363" spans="1:40" ht="15" thickBot="1" x14ac:dyDescent="0.35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1"/>
        <v>30</v>
      </c>
      <c r="I363" s="16">
        <f t="shared" si="32"/>
        <v>0</v>
      </c>
      <c r="J363" s="17">
        <f t="shared" si="33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thickBot="1" x14ac:dyDescent="0.35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1"/>
        <v>30</v>
      </c>
      <c r="I364" s="16">
        <f t="shared" si="32"/>
        <v>0</v>
      </c>
      <c r="J364" s="17">
        <f t="shared" si="33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thickBot="1" x14ac:dyDescent="0.35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28</v>
      </c>
      <c r="I365" s="16">
        <f>COUNTIF(K365:AL365,"APAGADO")</f>
        <v>2</v>
      </c>
      <c r="J365" s="17">
        <f>(H365)/(I365+H365)</f>
        <v>0.93333333333333335</v>
      </c>
      <c r="K365" s="26"/>
      <c r="L365" s="8"/>
      <c r="M365" s="8"/>
      <c r="N365" s="8" t="s">
        <v>1199</v>
      </c>
      <c r="O365" s="26" t="s">
        <v>1199</v>
      </c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thickBot="1" x14ac:dyDescent="0.35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1"/>
        <v>28</v>
      </c>
      <c r="I366" s="16">
        <f t="shared" si="32"/>
        <v>2</v>
      </c>
      <c r="J366" s="17">
        <f t="shared" si="33"/>
        <v>0.93333333333333335</v>
      </c>
      <c r="K366" s="26"/>
      <c r="L366" s="8"/>
      <c r="M366" s="8" t="s">
        <v>1199</v>
      </c>
      <c r="N366" s="8" t="s">
        <v>1199</v>
      </c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thickBot="1" x14ac:dyDescent="0.35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1"/>
        <v>29</v>
      </c>
      <c r="I367" s="16">
        <f t="shared" si="32"/>
        <v>0</v>
      </c>
      <c r="J367" s="17">
        <f t="shared" si="33"/>
        <v>1</v>
      </c>
      <c r="K367" s="26"/>
      <c r="L367" s="8"/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 t="s">
        <v>1199</v>
      </c>
      <c r="AN367" s="26"/>
    </row>
    <row r="368" spans="1:40" ht="15" thickBot="1" x14ac:dyDescent="0.35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1"/>
        <v>30</v>
      </c>
      <c r="I368" s="16">
        <f t="shared" si="32"/>
        <v>0</v>
      </c>
      <c r="J368" s="17">
        <f t="shared" si="33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thickBot="1" x14ac:dyDescent="0.35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30</v>
      </c>
      <c r="I369" s="16">
        <f>COUNTIF(K369:AL369,"APAGADO")</f>
        <v>0</v>
      </c>
      <c r="J369" s="17">
        <f>(H369)/(I369+H369)</f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thickBot="1" x14ac:dyDescent="0.35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27</v>
      </c>
      <c r="I370" s="16">
        <f>COUNTIF(K370:AL370,"APAGADO")</f>
        <v>3</v>
      </c>
      <c r="J370" s="17">
        <f>(H370)/(I370+H370)</f>
        <v>0.9</v>
      </c>
      <c r="K370" s="26"/>
      <c r="L370" s="8"/>
      <c r="M370" s="8" t="s">
        <v>1199</v>
      </c>
      <c r="N370" s="8" t="s">
        <v>1199</v>
      </c>
      <c r="O370" s="26" t="s">
        <v>1199</v>
      </c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thickBot="1" x14ac:dyDescent="0.35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28</v>
      </c>
      <c r="I371" s="16">
        <f>COUNTIF(K371:AL371,"APAGADO")</f>
        <v>2</v>
      </c>
      <c r="J371" s="17">
        <f>(H371)/(I371+H371)</f>
        <v>0.93333333333333335</v>
      </c>
      <c r="K371" s="26"/>
      <c r="L371" s="8"/>
      <c r="M371" s="8" t="s">
        <v>1199</v>
      </c>
      <c r="N371" s="8" t="s">
        <v>1199</v>
      </c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" thickBot="1" x14ac:dyDescent="0.35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1"/>
        <v>28</v>
      </c>
      <c r="I373" s="16">
        <f t="shared" si="32"/>
        <v>2</v>
      </c>
      <c r="J373" s="17">
        <f t="shared" si="33"/>
        <v>0.93333333333333335</v>
      </c>
      <c r="K373" s="26"/>
      <c r="L373" s="8"/>
      <c r="M373" s="8"/>
      <c r="N373" s="8" t="s">
        <v>1199</v>
      </c>
      <c r="O373" s="26" t="s">
        <v>1199</v>
      </c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" thickBot="1" x14ac:dyDescent="0.35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1"/>
        <v>30</v>
      </c>
      <c r="I374" s="16">
        <f t="shared" si="32"/>
        <v>0</v>
      </c>
      <c r="J374" s="17">
        <f t="shared" si="33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</row>
    <row r="375" spans="1:40" ht="15" thickBot="1" x14ac:dyDescent="0.35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28</v>
      </c>
      <c r="I375" s="16">
        <f>COUNTIF(K375:AL375,"APAGADO")</f>
        <v>2</v>
      </c>
      <c r="J375" s="17">
        <f>(H375)/(I375+H375)</f>
        <v>0.93333333333333335</v>
      </c>
      <c r="K375" s="26"/>
      <c r="L375" s="8"/>
      <c r="M375" s="8" t="s">
        <v>1199</v>
      </c>
      <c r="N375" s="8" t="s">
        <v>1199</v>
      </c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</row>
    <row r="376" spans="1:40" ht="15" thickBot="1" x14ac:dyDescent="0.35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28</v>
      </c>
      <c r="I376" s="16">
        <f>COUNTIF(K376:AL376,"APAGADO")</f>
        <v>2</v>
      </c>
      <c r="J376" s="17">
        <f>(H376)/(I376+H376)</f>
        <v>0.93333333333333335</v>
      </c>
      <c r="K376" s="26"/>
      <c r="L376" s="8"/>
      <c r="M376" s="8"/>
      <c r="N376" s="8" t="s">
        <v>1199</v>
      </c>
      <c r="O376" s="26" t="s">
        <v>1199</v>
      </c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</row>
    <row r="377" spans="1:40" ht="15" thickBot="1" x14ac:dyDescent="0.35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28</v>
      </c>
      <c r="I377" s="16">
        <f>COUNTIF(K377:AL377,"APAGADO")</f>
        <v>2</v>
      </c>
      <c r="J377" s="17">
        <f>(H377)/(I377+H377)</f>
        <v>0.93333333333333335</v>
      </c>
      <c r="K377" s="26"/>
      <c r="L377" s="8"/>
      <c r="M377" s="8"/>
      <c r="N377" s="8" t="s">
        <v>1199</v>
      </c>
      <c r="O377" s="26" t="s">
        <v>1199</v>
      </c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</row>
    <row r="378" spans="1:40" ht="15" thickBot="1" x14ac:dyDescent="0.35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1"/>
        <v>18</v>
      </c>
      <c r="I378" s="16">
        <f t="shared" si="32"/>
        <v>11</v>
      </c>
      <c r="J378" s="17">
        <f t="shared" si="33"/>
        <v>0.62068965517241381</v>
      </c>
      <c r="K378" s="26"/>
      <c r="L378" s="8" t="s">
        <v>1199</v>
      </c>
      <c r="M378" s="8" t="s">
        <v>1199</v>
      </c>
      <c r="N378" s="8"/>
      <c r="O378" s="26"/>
      <c r="P378" s="26"/>
      <c r="Q378" s="8"/>
      <c r="R378" s="8"/>
      <c r="S378" s="8" t="s">
        <v>1199</v>
      </c>
      <c r="T378" s="26" t="s">
        <v>1199</v>
      </c>
      <c r="U378" s="26" t="s">
        <v>1199</v>
      </c>
      <c r="V378" s="26"/>
      <c r="W378" s="26" t="s">
        <v>1199</v>
      </c>
      <c r="X378" s="26" t="s">
        <v>1199</v>
      </c>
      <c r="Y378" s="26"/>
      <c r="Z378" s="26"/>
      <c r="AA378" s="26"/>
      <c r="AB378" s="26"/>
      <c r="AC378" s="26"/>
      <c r="AD378" s="26" t="s">
        <v>1199</v>
      </c>
      <c r="AE378" s="26" t="s">
        <v>1199</v>
      </c>
      <c r="AF378" s="26"/>
      <c r="AG378" s="8" t="s">
        <v>1199</v>
      </c>
      <c r="AH378" s="8"/>
      <c r="AI378" s="8"/>
      <c r="AJ378" s="26"/>
      <c r="AK378" s="8"/>
      <c r="AL378" s="8" t="s">
        <v>1199</v>
      </c>
      <c r="AM378" s="26" t="s">
        <v>1199</v>
      </c>
      <c r="AN378" s="26"/>
    </row>
    <row r="379" spans="1:40" ht="15" thickBot="1" x14ac:dyDescent="0.35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1"/>
        <v>18</v>
      </c>
      <c r="I379" s="16">
        <f t="shared" si="32"/>
        <v>11</v>
      </c>
      <c r="J379" s="17">
        <f t="shared" si="33"/>
        <v>0.62068965517241381</v>
      </c>
      <c r="K379" s="26"/>
      <c r="L379" s="8" t="s">
        <v>1199</v>
      </c>
      <c r="M379" s="8" t="s">
        <v>1199</v>
      </c>
      <c r="N379" s="8"/>
      <c r="O379" s="26"/>
      <c r="P379" s="26"/>
      <c r="Q379" s="8"/>
      <c r="R379" s="8"/>
      <c r="S379" s="8" t="s">
        <v>1199</v>
      </c>
      <c r="T379" s="26" t="s">
        <v>1199</v>
      </c>
      <c r="U379" s="26" t="s">
        <v>1199</v>
      </c>
      <c r="V379" s="26"/>
      <c r="W379" s="26" t="s">
        <v>1199</v>
      </c>
      <c r="X379" s="26" t="s">
        <v>1199</v>
      </c>
      <c r="Y379" s="26"/>
      <c r="Z379" s="26"/>
      <c r="AA379" s="26"/>
      <c r="AB379" s="26"/>
      <c r="AC379" s="26"/>
      <c r="AD379" s="26" t="s">
        <v>1199</v>
      </c>
      <c r="AE379" s="26" t="s">
        <v>1199</v>
      </c>
      <c r="AF379" s="26"/>
      <c r="AG379" s="8" t="s">
        <v>1199</v>
      </c>
      <c r="AH379" s="8"/>
      <c r="AI379" s="8"/>
      <c r="AJ379" s="26"/>
      <c r="AK379" s="8"/>
      <c r="AL379" s="8" t="s">
        <v>1199</v>
      </c>
      <c r="AM379" s="26" t="s">
        <v>1199</v>
      </c>
      <c r="AN379" s="26"/>
    </row>
    <row r="380" spans="1:40" s="50" customFormat="1" ht="15" thickBot="1" x14ac:dyDescent="0.35">
      <c r="A380" s="50" t="s">
        <v>522</v>
      </c>
      <c r="B380" s="50" t="s">
        <v>1244</v>
      </c>
      <c r="C380" s="50" t="s">
        <v>1160</v>
      </c>
      <c r="D380" s="50" t="s">
        <v>1246</v>
      </c>
      <c r="E380" s="50" t="s">
        <v>73</v>
      </c>
      <c r="F380" s="50" t="s">
        <v>28</v>
      </c>
      <c r="G380" s="50" t="s">
        <v>1247</v>
      </c>
      <c r="H380" s="52">
        <f t="shared" si="31"/>
        <v>30</v>
      </c>
      <c r="I380" s="52">
        <f t="shared" si="32"/>
        <v>0</v>
      </c>
      <c r="J380" s="53">
        <f t="shared" si="33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" thickBot="1" x14ac:dyDescent="0.35">
      <c r="A381" s="50" t="s">
        <v>522</v>
      </c>
      <c r="B381" s="50" t="s">
        <v>1245</v>
      </c>
      <c r="C381" s="50" t="s">
        <v>1160</v>
      </c>
      <c r="D381" s="50" t="s">
        <v>1246</v>
      </c>
      <c r="E381" s="50" t="s">
        <v>1213</v>
      </c>
      <c r="F381" s="50" t="s">
        <v>28</v>
      </c>
      <c r="G381" s="50" t="s">
        <v>1248</v>
      </c>
      <c r="H381" s="52">
        <f t="shared" si="31"/>
        <v>30</v>
      </c>
      <c r="I381" s="52">
        <f t="shared" si="32"/>
        <v>0</v>
      </c>
      <c r="J381" s="53">
        <f t="shared" si="33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ht="15" thickBot="1" x14ac:dyDescent="0.35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1"/>
        <v>27</v>
      </c>
      <c r="I382" s="16">
        <f t="shared" si="32"/>
        <v>3</v>
      </c>
      <c r="J382" s="17">
        <f t="shared" si="33"/>
        <v>0.9</v>
      </c>
      <c r="K382" s="26"/>
      <c r="L382" s="8" t="s">
        <v>1199</v>
      </c>
      <c r="M382" s="8" t="s">
        <v>1199</v>
      </c>
      <c r="N382" s="8" t="s">
        <v>1199</v>
      </c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</row>
    <row r="383" spans="1:40" ht="15" thickBot="1" x14ac:dyDescent="0.35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1"/>
        <v>28</v>
      </c>
      <c r="I383" s="16">
        <f t="shared" si="32"/>
        <v>2</v>
      </c>
      <c r="J383" s="17">
        <f t="shared" si="33"/>
        <v>0.93333333333333335</v>
      </c>
      <c r="K383" s="26"/>
      <c r="L383" s="8" t="s">
        <v>1199</v>
      </c>
      <c r="M383" s="8"/>
      <c r="N383" s="8" t="s">
        <v>1199</v>
      </c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</row>
    <row r="384" spans="1:40" ht="15" thickBot="1" x14ac:dyDescent="0.35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1"/>
        <v>23</v>
      </c>
      <c r="I384" s="16">
        <f t="shared" si="32"/>
        <v>7</v>
      </c>
      <c r="J384" s="17">
        <f t="shared" si="33"/>
        <v>0.76666666666666672</v>
      </c>
      <c r="K384" s="26"/>
      <c r="L384" s="8" t="s">
        <v>1199</v>
      </c>
      <c r="M384" s="8" t="s">
        <v>1199</v>
      </c>
      <c r="N384" s="8" t="s">
        <v>1199</v>
      </c>
      <c r="O384" s="26" t="s">
        <v>1199</v>
      </c>
      <c r="P384" s="26" t="s">
        <v>1199</v>
      </c>
      <c r="Q384" s="8" t="s">
        <v>1199</v>
      </c>
      <c r="R384" s="8" t="s">
        <v>1199</v>
      </c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</row>
    <row r="385" spans="1:40" ht="15" thickBot="1" x14ac:dyDescent="0.35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1"/>
        <v>23</v>
      </c>
      <c r="I385" s="16">
        <f t="shared" si="32"/>
        <v>7</v>
      </c>
      <c r="J385" s="17">
        <f t="shared" si="33"/>
        <v>0.76666666666666672</v>
      </c>
      <c r="K385" s="26"/>
      <c r="L385" s="8" t="s">
        <v>1199</v>
      </c>
      <c r="M385" s="8" t="s">
        <v>1199</v>
      </c>
      <c r="N385" s="8" t="s">
        <v>1199</v>
      </c>
      <c r="O385" s="26" t="s">
        <v>1199</v>
      </c>
      <c r="P385" s="26" t="s">
        <v>1199</v>
      </c>
      <c r="Q385" s="8" t="s">
        <v>1199</v>
      </c>
      <c r="R385" s="8" t="s">
        <v>1199</v>
      </c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</row>
    <row r="386" spans="1:40" ht="15" thickBot="1" x14ac:dyDescent="0.35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1"/>
        <v>29</v>
      </c>
      <c r="I386" s="16">
        <f t="shared" si="32"/>
        <v>1</v>
      </c>
      <c r="J386" s="17">
        <f t="shared" si="33"/>
        <v>0.96666666666666667</v>
      </c>
      <c r="K386" s="26"/>
      <c r="L386" s="8" t="s">
        <v>1199</v>
      </c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</row>
    <row r="387" spans="1:40" ht="15" thickBot="1" x14ac:dyDescent="0.35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1"/>
        <v>29</v>
      </c>
      <c r="I387" s="16">
        <f t="shared" si="32"/>
        <v>1</v>
      </c>
      <c r="J387" s="17">
        <f t="shared" si="33"/>
        <v>0.96666666666666667</v>
      </c>
      <c r="K387" s="26"/>
      <c r="L387" s="8" t="s">
        <v>1199</v>
      </c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</row>
    <row r="388" spans="1:40" ht="15" thickBot="1" x14ac:dyDescent="0.35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 t="s">
        <v>1199</v>
      </c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</row>
    <row r="389" spans="1:40" ht="15" thickBot="1" x14ac:dyDescent="0.35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1"/>
        <v>29</v>
      </c>
      <c r="I389" s="16">
        <f t="shared" si="32"/>
        <v>1</v>
      </c>
      <c r="J389" s="17">
        <f t="shared" si="33"/>
        <v>0.96666666666666667</v>
      </c>
      <c r="K389" s="26"/>
      <c r="L389" s="8" t="s">
        <v>1199</v>
      </c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</row>
    <row r="390" spans="1:40" ht="15" thickBot="1" x14ac:dyDescent="0.35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1"/>
        <v>14</v>
      </c>
      <c r="I390" s="16">
        <f t="shared" si="32"/>
        <v>14</v>
      </c>
      <c r="J390" s="17">
        <f t="shared" si="33"/>
        <v>0.5</v>
      </c>
      <c r="K390" s="26"/>
      <c r="L390" s="8"/>
      <c r="M390" s="8"/>
      <c r="N390" s="8"/>
      <c r="O390" s="26"/>
      <c r="P390" s="26"/>
      <c r="Q390" s="8"/>
      <c r="R390" s="8"/>
      <c r="S390" s="8"/>
      <c r="T390" s="26"/>
      <c r="U390" s="26"/>
      <c r="V390" s="26"/>
      <c r="W390" s="26"/>
      <c r="X390" s="26"/>
      <c r="Y390" s="26" t="s">
        <v>1199</v>
      </c>
      <c r="Z390" s="26" t="s">
        <v>1199</v>
      </c>
      <c r="AA390" s="26" t="s">
        <v>1199</v>
      </c>
      <c r="AB390" s="26" t="s">
        <v>1199</v>
      </c>
      <c r="AC390" s="26" t="s">
        <v>1199</v>
      </c>
      <c r="AD390" s="26" t="s">
        <v>1199</v>
      </c>
      <c r="AE390" s="26" t="s">
        <v>1199</v>
      </c>
      <c r="AF390" s="26" t="s">
        <v>1199</v>
      </c>
      <c r="AG390" s="8" t="s">
        <v>1199</v>
      </c>
      <c r="AH390" s="8" t="s">
        <v>1199</v>
      </c>
      <c r="AI390" s="8" t="s">
        <v>1199</v>
      </c>
      <c r="AJ390" s="26" t="s">
        <v>1199</v>
      </c>
      <c r="AK390" s="8" t="s">
        <v>1199</v>
      </c>
      <c r="AL390" s="8" t="s">
        <v>1199</v>
      </c>
      <c r="AM390" s="26" t="s">
        <v>1199</v>
      </c>
      <c r="AN390" s="26" t="s">
        <v>1199</v>
      </c>
    </row>
    <row r="391" spans="1:40" ht="15" thickBot="1" x14ac:dyDescent="0.35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1"/>
        <v>29</v>
      </c>
      <c r="I391" s="16">
        <f t="shared" si="32"/>
        <v>1</v>
      </c>
      <c r="J391" s="17">
        <f t="shared" si="33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/>
      <c r="X391" s="26"/>
      <c r="Y391" s="26" t="s">
        <v>1199</v>
      </c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</row>
    <row r="392" spans="1:40" ht="15" thickBot="1" x14ac:dyDescent="0.35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1"/>
        <v>30</v>
      </c>
      <c r="I392" s="16">
        <f t="shared" si="32"/>
        <v>0</v>
      </c>
      <c r="J392" s="17">
        <f t="shared" si="33"/>
        <v>1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</row>
    <row r="393" spans="1:40" ht="15" thickBot="1" x14ac:dyDescent="0.35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1"/>
        <v>15</v>
      </c>
      <c r="I393" s="16">
        <f t="shared" si="32"/>
        <v>13</v>
      </c>
      <c r="J393" s="17">
        <f t="shared" si="33"/>
        <v>0.5357142857142857</v>
      </c>
      <c r="K393" s="26"/>
      <c r="L393" s="8"/>
      <c r="M393" s="8"/>
      <c r="N393" s="8"/>
      <c r="O393" s="26"/>
      <c r="P393" s="26"/>
      <c r="Q393" s="8"/>
      <c r="R393" s="8"/>
      <c r="S393" s="8"/>
      <c r="T393" s="26"/>
      <c r="U393" s="26"/>
      <c r="V393" s="26"/>
      <c r="W393" s="26"/>
      <c r="X393" s="26"/>
      <c r="Y393" s="26" t="s">
        <v>1199</v>
      </c>
      <c r="Z393" s="26" t="s">
        <v>1199</v>
      </c>
      <c r="AA393" s="26" t="s">
        <v>1199</v>
      </c>
      <c r="AB393" s="26" t="s">
        <v>1199</v>
      </c>
      <c r="AC393" s="26" t="s">
        <v>1199</v>
      </c>
      <c r="AD393" s="26" t="s">
        <v>1199</v>
      </c>
      <c r="AE393" s="26" t="s">
        <v>1199</v>
      </c>
      <c r="AF393" s="26" t="s">
        <v>1199</v>
      </c>
      <c r="AG393" s="8" t="s">
        <v>1199</v>
      </c>
      <c r="AH393" s="8"/>
      <c r="AI393" s="8" t="s">
        <v>1199</v>
      </c>
      <c r="AJ393" s="26" t="s">
        <v>1199</v>
      </c>
      <c r="AK393" s="8" t="s">
        <v>1199</v>
      </c>
      <c r="AL393" s="8" t="s">
        <v>1199</v>
      </c>
      <c r="AM393" s="26" t="s">
        <v>1199</v>
      </c>
      <c r="AN393" s="26" t="s">
        <v>1199</v>
      </c>
    </row>
    <row r="394" spans="1:40" ht="15" thickBot="1" x14ac:dyDescent="0.35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1"/>
        <v>30</v>
      </c>
      <c r="I394" s="16">
        <f t="shared" si="32"/>
        <v>0</v>
      </c>
      <c r="J394" s="17">
        <f t="shared" si="33"/>
        <v>1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" thickBot="1" x14ac:dyDescent="0.35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1"/>
        <v>30</v>
      </c>
      <c r="I395" s="16">
        <f t="shared" si="32"/>
        <v>0</v>
      </c>
      <c r="J395" s="17">
        <f t="shared" si="33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thickBot="1" x14ac:dyDescent="0.35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1"/>
        <v>30</v>
      </c>
      <c r="I396" s="16">
        <f t="shared" si="32"/>
        <v>0</v>
      </c>
      <c r="J396" s="17">
        <f t="shared" si="33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s="50" customFormat="1" ht="15" thickBot="1" x14ac:dyDescent="0.35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1"/>
        <v>30</v>
      </c>
      <c r="I397" s="52">
        <f t="shared" ref="I397:I403" si="37">COUNTIF(K397:AL397,"APAGADO")</f>
        <v>0</v>
      </c>
      <c r="J397" s="53">
        <f t="shared" ref="J397:J403" si="38">(H397)/(I397+H397)</f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s="50" customFormat="1" ht="15" thickBot="1" x14ac:dyDescent="0.35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1"/>
        <v>30</v>
      </c>
      <c r="I398" s="52">
        <f t="shared" si="37"/>
        <v>0</v>
      </c>
      <c r="J398" s="53">
        <f t="shared" si="38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s="50" customFormat="1" ht="15" thickBot="1" x14ac:dyDescent="0.35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1"/>
        <v>30</v>
      </c>
      <c r="I399" s="52">
        <f t="shared" si="37"/>
        <v>0</v>
      </c>
      <c r="J399" s="53">
        <f t="shared" si="38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s="50" customFormat="1" ht="15" thickBot="1" x14ac:dyDescent="0.35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1"/>
        <v>26</v>
      </c>
      <c r="I400" s="52">
        <f t="shared" si="37"/>
        <v>3</v>
      </c>
      <c r="J400" s="53">
        <f t="shared" si="38"/>
        <v>0.89655172413793105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 t="s">
        <v>1199</v>
      </c>
      <c r="AF400" s="26"/>
      <c r="AG400" s="26"/>
      <c r="AH400" s="26"/>
      <c r="AI400" s="26"/>
      <c r="AJ400" s="26"/>
      <c r="AK400" s="26" t="s">
        <v>1199</v>
      </c>
      <c r="AL400" s="26" t="s">
        <v>1199</v>
      </c>
      <c r="AM400" s="26" t="s">
        <v>1199</v>
      </c>
      <c r="AN400" s="26"/>
    </row>
    <row r="401" spans="1:40" s="50" customFormat="1" ht="15" thickBot="1" x14ac:dyDescent="0.35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1"/>
        <v>30</v>
      </c>
      <c r="I401" s="52">
        <f t="shared" si="37"/>
        <v>0</v>
      </c>
      <c r="J401" s="53">
        <f t="shared" si="38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s="50" customFormat="1" ht="15" thickBot="1" x14ac:dyDescent="0.35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1"/>
        <v>30</v>
      </c>
      <c r="I402" s="52">
        <f t="shared" si="37"/>
        <v>0</v>
      </c>
      <c r="J402" s="53">
        <f t="shared" si="38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s="50" customFormat="1" ht="15" thickBot="1" x14ac:dyDescent="0.35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1"/>
        <v>30</v>
      </c>
      <c r="I403" s="52">
        <f t="shared" si="37"/>
        <v>0</v>
      </c>
      <c r="J403" s="53">
        <f t="shared" si="38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ht="15" thickBot="1" x14ac:dyDescent="0.35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39">COUNTIF(K404:AN404,"")</f>
        <v>30</v>
      </c>
      <c r="I404" s="52">
        <f t="shared" ref="I404:I421" si="40">COUNTIF(K404:AL404,"APAGADO")</f>
        <v>0</v>
      </c>
      <c r="J404" s="53">
        <f t="shared" ref="J404:J421" si="41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ht="15" thickBot="1" x14ac:dyDescent="0.35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39"/>
        <v>28</v>
      </c>
      <c r="I405" s="52">
        <f t="shared" si="40"/>
        <v>2</v>
      </c>
      <c r="J405" s="53">
        <f t="shared" si="41"/>
        <v>0.93333333333333335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 t="s">
        <v>1199</v>
      </c>
      <c r="AE405" s="26" t="s">
        <v>1199</v>
      </c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ht="15" thickBot="1" x14ac:dyDescent="0.35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39"/>
        <v>30</v>
      </c>
      <c r="I406" s="52">
        <f t="shared" si="40"/>
        <v>0</v>
      </c>
      <c r="J406" s="53">
        <f t="shared" si="41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ht="15" thickBot="1" x14ac:dyDescent="0.35">
      <c r="A407" s="50" t="s">
        <v>178</v>
      </c>
      <c r="B407" s="50" t="s">
        <v>1147</v>
      </c>
      <c r="C407" s="50" t="s">
        <v>1160</v>
      </c>
      <c r="D407" s="50" t="s">
        <v>1206</v>
      </c>
      <c r="E407" s="50" t="s">
        <v>15</v>
      </c>
      <c r="F407" s="50" t="s">
        <v>28</v>
      </c>
      <c r="G407" s="50" t="s">
        <v>968</v>
      </c>
      <c r="H407" s="52">
        <f t="shared" si="39"/>
        <v>23</v>
      </c>
      <c r="I407" s="52">
        <f t="shared" si="40"/>
        <v>7</v>
      </c>
      <c r="J407" s="53">
        <f t="shared" si="41"/>
        <v>0.76666666666666672</v>
      </c>
      <c r="K407" s="26"/>
      <c r="L407" s="26"/>
      <c r="M407" s="26"/>
      <c r="N407" s="26"/>
      <c r="O407" s="26"/>
      <c r="P407" s="26"/>
      <c r="Q407" s="26"/>
      <c r="R407" s="26"/>
      <c r="S407" s="26" t="s">
        <v>1199</v>
      </c>
      <c r="T407" s="26"/>
      <c r="U407" s="26"/>
      <c r="V407" s="26"/>
      <c r="W407" s="26"/>
      <c r="X407" s="26" t="s">
        <v>1199</v>
      </c>
      <c r="Y407" s="26" t="s">
        <v>1199</v>
      </c>
      <c r="Z407" s="26" t="s">
        <v>1199</v>
      </c>
      <c r="AA407" s="26" t="s">
        <v>1199</v>
      </c>
      <c r="AB407" s="26" t="s">
        <v>1199</v>
      </c>
      <c r="AC407" s="26" t="s">
        <v>1199</v>
      </c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spans="1:40" ht="15" thickBot="1" x14ac:dyDescent="0.35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39"/>
        <v>24</v>
      </c>
      <c r="I408" s="52">
        <f t="shared" si="40"/>
        <v>6</v>
      </c>
      <c r="J408" s="53">
        <f t="shared" si="41"/>
        <v>0.8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 t="s">
        <v>1199</v>
      </c>
      <c r="Y408" s="26" t="s">
        <v>1199</v>
      </c>
      <c r="Z408" s="26" t="s">
        <v>1199</v>
      </c>
      <c r="AA408" s="26" t="s">
        <v>1199</v>
      </c>
      <c r="AB408" s="26" t="s">
        <v>1199</v>
      </c>
      <c r="AC408" s="26" t="s">
        <v>1199</v>
      </c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spans="1:40" ht="15" thickBot="1" x14ac:dyDescent="0.35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spans="1:40" ht="15" thickBot="1" x14ac:dyDescent="0.35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39"/>
        <v>30</v>
      </c>
      <c r="I410" s="52">
        <f t="shared" si="40"/>
        <v>0</v>
      </c>
      <c r="J410" s="53">
        <f t="shared" si="41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spans="1:40" ht="15" thickBot="1" x14ac:dyDescent="0.35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39"/>
        <v>30</v>
      </c>
      <c r="I411" s="52">
        <f t="shared" si="40"/>
        <v>0</v>
      </c>
      <c r="J411" s="53">
        <f t="shared" si="41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spans="1:40" ht="15" thickBot="1" x14ac:dyDescent="0.35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39"/>
        <v>30</v>
      </c>
      <c r="I412" s="52">
        <f t="shared" si="40"/>
        <v>0</v>
      </c>
      <c r="J412" s="53">
        <f t="shared" si="41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spans="1:40" ht="15" thickBot="1" x14ac:dyDescent="0.35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39"/>
        <v>30</v>
      </c>
      <c r="I413" s="52">
        <f t="shared" si="40"/>
        <v>0</v>
      </c>
      <c r="J413" s="53">
        <f t="shared" si="41"/>
        <v>1</v>
      </c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spans="1:40" ht="15" thickBot="1" x14ac:dyDescent="0.35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spans="1:40" ht="15" thickBot="1" x14ac:dyDescent="0.35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39"/>
        <v>30</v>
      </c>
      <c r="I415" s="52">
        <f t="shared" si="40"/>
        <v>0</v>
      </c>
      <c r="J415" s="53">
        <f t="shared" si="41"/>
        <v>1</v>
      </c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spans="1:40" ht="15" thickBot="1" x14ac:dyDescent="0.35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39"/>
        <v>29</v>
      </c>
      <c r="I416" s="52">
        <f t="shared" si="40"/>
        <v>1</v>
      </c>
      <c r="J416" s="53">
        <f t="shared" si="41"/>
        <v>0.96666666666666667</v>
      </c>
      <c r="K416" s="26"/>
      <c r="L416" s="26"/>
      <c r="M416" s="26"/>
      <c r="N416" s="26" t="s">
        <v>1199</v>
      </c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spans="1:40" ht="15" thickBot="1" x14ac:dyDescent="0.35">
      <c r="A417" t="s">
        <v>603</v>
      </c>
      <c r="B417" s="44" t="s">
        <v>1214</v>
      </c>
      <c r="C417" s="51" t="s">
        <v>1160</v>
      </c>
      <c r="D417" t="s">
        <v>1216</v>
      </c>
      <c r="E417" s="50" t="s">
        <v>1213</v>
      </c>
      <c r="F417" s="50" t="s">
        <v>28</v>
      </c>
      <c r="G417" s="50" t="s">
        <v>1221</v>
      </c>
      <c r="H417" s="52">
        <f t="shared" ref="H417:H418" si="42">COUNTIF(K417:AN417,"")</f>
        <v>29</v>
      </c>
      <c r="I417" s="52">
        <f t="shared" ref="I417:I418" si="43">COUNTIF(K417:AL417,"APAGADO")</f>
        <v>1</v>
      </c>
      <c r="J417" s="53">
        <f t="shared" ref="J417:J418" si="44">(H417)/(I417+H417)</f>
        <v>0.96666666666666667</v>
      </c>
      <c r="K417" s="26"/>
      <c r="L417" s="26"/>
      <c r="M417" s="26"/>
      <c r="N417" s="26" t="s">
        <v>1199</v>
      </c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</row>
    <row r="418" spans="1:40" ht="15" thickBot="1" x14ac:dyDescent="0.35">
      <c r="A418" t="s">
        <v>603</v>
      </c>
      <c r="B418" s="44" t="s">
        <v>1215</v>
      </c>
      <c r="C418" s="51" t="s">
        <v>1160</v>
      </c>
      <c r="D418" s="50" t="s">
        <v>1216</v>
      </c>
      <c r="E418" s="50" t="s">
        <v>1213</v>
      </c>
      <c r="F418" s="50" t="s">
        <v>28</v>
      </c>
      <c r="G418" s="50" t="s">
        <v>1222</v>
      </c>
      <c r="H418" s="52">
        <f t="shared" si="42"/>
        <v>29</v>
      </c>
      <c r="I418" s="52">
        <f t="shared" si="43"/>
        <v>1</v>
      </c>
      <c r="J418" s="53">
        <f t="shared" si="44"/>
        <v>0.96666666666666667</v>
      </c>
      <c r="K418" s="26"/>
      <c r="L418" s="26"/>
      <c r="M418" s="26"/>
      <c r="N418" s="26" t="s">
        <v>1199</v>
      </c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</row>
    <row r="419" spans="1:40" ht="15" thickBot="1" x14ac:dyDescent="0.35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39"/>
        <v>28</v>
      </c>
      <c r="I419" s="52">
        <f t="shared" si="40"/>
        <v>2</v>
      </c>
      <c r="J419" s="53">
        <f t="shared" si="41"/>
        <v>0.93333333333333335</v>
      </c>
      <c r="K419" s="26"/>
      <c r="L419" s="26"/>
      <c r="M419" s="26" t="s">
        <v>1199</v>
      </c>
      <c r="N419" s="26" t="s">
        <v>1199</v>
      </c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</row>
    <row r="420" spans="1:40" ht="15" thickBot="1" x14ac:dyDescent="0.35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39"/>
        <v>30</v>
      </c>
      <c r="I420" s="52">
        <f t="shared" si="40"/>
        <v>0</v>
      </c>
      <c r="J420" s="53">
        <f t="shared" si="41"/>
        <v>1</v>
      </c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</row>
    <row r="421" spans="1:40" ht="15" thickBot="1" x14ac:dyDescent="0.35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39"/>
        <v>30</v>
      </c>
      <c r="I421" s="52">
        <f t="shared" si="40"/>
        <v>0</v>
      </c>
      <c r="J421" s="53">
        <f t="shared" si="41"/>
        <v>1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</row>
    <row r="422" spans="1:40" ht="15" thickBot="1" x14ac:dyDescent="0.35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30</v>
      </c>
      <c r="I422" s="52">
        <f>COUNTIF(K422:AL422,"APAGADO")</f>
        <v>0</v>
      </c>
      <c r="J422" s="53">
        <f>(H422)/(I422+H422)</f>
        <v>1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</row>
    <row r="423" spans="1:40" ht="15" thickBot="1" x14ac:dyDescent="0.35">
      <c r="A423" t="s">
        <v>381</v>
      </c>
      <c r="B423" s="44" t="s">
        <v>1277</v>
      </c>
      <c r="C423" s="51" t="s">
        <v>1160</v>
      </c>
      <c r="D423" t="s">
        <v>1255</v>
      </c>
      <c r="E423" s="9" t="s">
        <v>73</v>
      </c>
      <c r="F423" s="9" t="s">
        <v>28</v>
      </c>
      <c r="G423" s="27" t="s">
        <v>1257</v>
      </c>
      <c r="H423" s="52">
        <f t="shared" ref="H423:H431" si="45">COUNTIF(K423:AN423,"")</f>
        <v>30</v>
      </c>
      <c r="I423" s="52">
        <f t="shared" ref="I423:I431" si="46">COUNTIF(K423:AL423,"APAGADO")</f>
        <v>0</v>
      </c>
      <c r="J423" s="53">
        <f t="shared" ref="J423:J431" si="47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</row>
    <row r="424" spans="1:40" ht="15" thickBot="1" x14ac:dyDescent="0.35">
      <c r="A424" s="50" t="s">
        <v>381</v>
      </c>
      <c r="B424" s="44" t="s">
        <v>1272</v>
      </c>
      <c r="C424" s="51" t="s">
        <v>1160</v>
      </c>
      <c r="D424" t="s">
        <v>1260</v>
      </c>
      <c r="E424" s="9" t="s">
        <v>73</v>
      </c>
      <c r="F424" s="9" t="s">
        <v>20</v>
      </c>
      <c r="G424" s="27" t="s">
        <v>1264</v>
      </c>
      <c r="H424" s="52">
        <f t="shared" si="45"/>
        <v>30</v>
      </c>
      <c r="I424" s="52">
        <f t="shared" si="46"/>
        <v>0</v>
      </c>
      <c r="J424" s="53">
        <f t="shared" si="47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</row>
    <row r="425" spans="1:40" ht="15" thickBot="1" x14ac:dyDescent="0.35">
      <c r="A425" s="50" t="s">
        <v>381</v>
      </c>
      <c r="B425" s="44" t="s">
        <v>1272</v>
      </c>
      <c r="C425" s="51" t="s">
        <v>1160</v>
      </c>
      <c r="D425" t="s">
        <v>1260</v>
      </c>
      <c r="E425" s="9" t="s">
        <v>73</v>
      </c>
      <c r="F425" s="9" t="s">
        <v>20</v>
      </c>
      <c r="G425" s="27" t="s">
        <v>1271</v>
      </c>
      <c r="H425" s="52">
        <f t="shared" si="45"/>
        <v>30</v>
      </c>
      <c r="I425" s="52">
        <f t="shared" si="46"/>
        <v>0</v>
      </c>
      <c r="J425" s="53">
        <f t="shared" si="47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</row>
    <row r="426" spans="1:40" ht="15" thickBot="1" x14ac:dyDescent="0.35">
      <c r="A426" s="50" t="s">
        <v>381</v>
      </c>
      <c r="B426" s="44" t="s">
        <v>1272</v>
      </c>
      <c r="C426" s="51" t="s">
        <v>1160</v>
      </c>
      <c r="D426" t="s">
        <v>1261</v>
      </c>
      <c r="E426" s="9" t="s">
        <v>73</v>
      </c>
      <c r="F426" s="9" t="s">
        <v>20</v>
      </c>
      <c r="G426" s="27" t="s">
        <v>1265</v>
      </c>
      <c r="H426" s="52">
        <f t="shared" si="45"/>
        <v>30</v>
      </c>
      <c r="I426" s="52">
        <f t="shared" si="46"/>
        <v>0</v>
      </c>
      <c r="J426" s="53">
        <f t="shared" si="47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</row>
    <row r="427" spans="1:40" ht="15" thickBot="1" x14ac:dyDescent="0.35">
      <c r="A427" s="50" t="s">
        <v>381</v>
      </c>
      <c r="B427" s="44" t="s">
        <v>1272</v>
      </c>
      <c r="C427" s="51" t="s">
        <v>1160</v>
      </c>
      <c r="D427" t="s">
        <v>1261</v>
      </c>
      <c r="E427" s="9" t="s">
        <v>73</v>
      </c>
      <c r="F427" s="9" t="s">
        <v>20</v>
      </c>
      <c r="G427" s="27" t="s">
        <v>1266</v>
      </c>
      <c r="H427" s="52">
        <f t="shared" si="45"/>
        <v>30</v>
      </c>
      <c r="I427" s="52">
        <f t="shared" si="46"/>
        <v>0</v>
      </c>
      <c r="J427" s="53">
        <f t="shared" si="47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</row>
    <row r="428" spans="1:40" ht="15" thickBot="1" x14ac:dyDescent="0.35">
      <c r="A428" s="50" t="s">
        <v>381</v>
      </c>
      <c r="B428" s="44" t="s">
        <v>1272</v>
      </c>
      <c r="C428" s="51" t="s">
        <v>1160</v>
      </c>
      <c r="D428" t="s">
        <v>1262</v>
      </c>
      <c r="E428" s="9" t="s">
        <v>73</v>
      </c>
      <c r="F428" s="9" t="s">
        <v>20</v>
      </c>
      <c r="G428" s="27" t="s">
        <v>1267</v>
      </c>
      <c r="H428" s="52">
        <f t="shared" si="45"/>
        <v>30</v>
      </c>
      <c r="I428" s="52">
        <f t="shared" si="46"/>
        <v>0</v>
      </c>
      <c r="J428" s="53">
        <f t="shared" si="47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</row>
    <row r="429" spans="1:40" ht="15" thickBot="1" x14ac:dyDescent="0.35">
      <c r="A429" s="50" t="s">
        <v>381</v>
      </c>
      <c r="B429" s="44" t="s">
        <v>1272</v>
      </c>
      <c r="C429" s="51" t="s">
        <v>1160</v>
      </c>
      <c r="D429" t="s">
        <v>1262</v>
      </c>
      <c r="E429" s="9" t="s">
        <v>73</v>
      </c>
      <c r="F429" s="9" t="s">
        <v>20</v>
      </c>
      <c r="G429" s="27" t="s">
        <v>1268</v>
      </c>
      <c r="H429" s="52">
        <f t="shared" si="45"/>
        <v>30</v>
      </c>
      <c r="I429" s="52">
        <f t="shared" si="46"/>
        <v>0</v>
      </c>
      <c r="J429" s="53">
        <f t="shared" si="47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</row>
    <row r="430" spans="1:40" ht="15" thickBot="1" x14ac:dyDescent="0.35">
      <c r="A430" t="s">
        <v>52</v>
      </c>
      <c r="B430" s="44" t="s">
        <v>1272</v>
      </c>
      <c r="C430" s="51" t="s">
        <v>1159</v>
      </c>
      <c r="D430" t="s">
        <v>1263</v>
      </c>
      <c r="E430" s="9" t="s">
        <v>73</v>
      </c>
      <c r="F430" s="9" t="s">
        <v>28</v>
      </c>
      <c r="G430" s="27" t="s">
        <v>1219</v>
      </c>
      <c r="H430" s="52">
        <f t="shared" si="45"/>
        <v>30</v>
      </c>
      <c r="I430" s="52">
        <f t="shared" si="46"/>
        <v>0</v>
      </c>
      <c r="J430" s="53">
        <f t="shared" si="47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</row>
    <row r="431" spans="1:40" ht="15" thickBot="1" x14ac:dyDescent="0.35">
      <c r="A431" t="s">
        <v>52</v>
      </c>
      <c r="C431" s="51" t="s">
        <v>1159</v>
      </c>
      <c r="D431" t="s">
        <v>1263</v>
      </c>
      <c r="E431" s="9" t="s">
        <v>73</v>
      </c>
      <c r="F431" s="9" t="s">
        <v>28</v>
      </c>
      <c r="G431" s="27" t="s">
        <v>1220</v>
      </c>
      <c r="H431" s="52">
        <f t="shared" si="45"/>
        <v>30</v>
      </c>
      <c r="I431" s="52">
        <f t="shared" si="46"/>
        <v>0</v>
      </c>
      <c r="J431" s="53">
        <f t="shared" si="47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</row>
    <row r="432" spans="1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</row>
    <row r="673" spans="5:19" x14ac:dyDescent="0.3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3">
      <c r="E674" s="9"/>
      <c r="F674" s="9"/>
      <c r="G674" s="27"/>
      <c r="J674" s="20"/>
    </row>
    <row r="675" spans="5:19" x14ac:dyDescent="0.3">
      <c r="E675" s="9"/>
      <c r="F675" s="9"/>
      <c r="G675" s="27"/>
      <c r="J675" s="20"/>
    </row>
    <row r="676" spans="5:19" x14ac:dyDescent="0.3">
      <c r="E676" s="9"/>
      <c r="F676" s="9"/>
      <c r="G676" s="27"/>
      <c r="J676" s="20"/>
    </row>
    <row r="677" spans="5:19" x14ac:dyDescent="0.3">
      <c r="J677" s="20"/>
    </row>
  </sheetData>
  <autoFilter ref="A4:AN422" xr:uid="{32AE3966-3F3A-4A38-B5F8-35AF221F7220}"/>
  <phoneticPr fontId="6" type="noConversion"/>
  <conditionalFormatting sqref="L353:AF355 R384:AF396 AG384:AN393 K384:K393 J365:AN365 L371:Q379 J366:K379 R307:AN379 L307:Q368 R300:T301 L298:T299 L302:T306 U298:AN306 U257:AN264 J265:AN297 J256:AN256 L196:Q240 K5:AN6 K8:AN96 L305:AF306 J298:K364 L261:AF264 K99:K108 AG99:AN108 L100:AF108 J4:J108 R382:AN383 J382:K383 L382:Q390 J380:AN381 J109:AN195 L397:AF431 L252:AF253 J384:J431 L250:Q253 L243:Q246 R196:AN253 U254:AN255 J254:T264 J196:K253">
    <cfRule type="cellIs" dxfId="708" priority="2261" operator="lessThan">
      <formula>0.8</formula>
    </cfRule>
    <cfRule type="cellIs" dxfId="707" priority="2262" operator="greaterThan">
      <formula>0.8</formula>
    </cfRule>
  </conditionalFormatting>
  <conditionalFormatting sqref="E414:G414 E416:G1048576 E1:G403">
    <cfRule type="containsText" dxfId="706" priority="2260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5:AN6 K8:AN96 K305:AN306 K261:AN297 K109:AN110 AG99:AN108 L109:AN195 L100:AF108 R382:AN396 K382:K396 L382:Q390 K380:AN381 K127:AN130 K397:AN1048576 K252:AN253 L250:Q253 L243:Q246 R196:AN253 U254:AN255 K254:T264 K99:K253">
    <cfRule type="notContainsText" dxfId="705" priority="2256" operator="notContains" text="Caida">
      <formula>ISERROR(SEARCH("Caida",K5))</formula>
    </cfRule>
    <cfRule type="containsText" dxfId="704" priority="2257" operator="containsText" text="Caida">
      <formula>NOT(ISERROR(SEARCH("Caida",K5)))</formula>
    </cfRule>
  </conditionalFormatting>
  <conditionalFormatting sqref="L370">
    <cfRule type="cellIs" dxfId="703" priority="1709" operator="lessThan">
      <formula>0.8</formula>
    </cfRule>
    <cfRule type="cellIs" dxfId="702" priority="1710" operator="greaterThan">
      <formula>0.8</formula>
    </cfRule>
  </conditionalFormatting>
  <conditionalFormatting sqref="L370">
    <cfRule type="notContainsText" dxfId="701" priority="1707" operator="notContains" text="Caida">
      <formula>ISERROR(SEARCH("Caida",L370))</formula>
    </cfRule>
    <cfRule type="containsText" dxfId="700" priority="1708" operator="containsText" text="Caida">
      <formula>NOT(ISERROR(SEARCH("Caida",L370)))</formula>
    </cfRule>
  </conditionalFormatting>
  <conditionalFormatting sqref="L67">
    <cfRule type="containsText" dxfId="699" priority="1747" operator="containsText" text="Instaladas en Funcionamiento Caida">
      <formula>NOT(ISERROR(SEARCH("Instaladas en Funcionamiento Caida",L67)))</formula>
    </cfRule>
  </conditionalFormatting>
  <conditionalFormatting sqref="L300">
    <cfRule type="cellIs" dxfId="698" priority="1745" operator="lessThan">
      <formula>0.8</formula>
    </cfRule>
    <cfRule type="cellIs" dxfId="697" priority="1746" operator="greaterThan">
      <formula>0.8</formula>
    </cfRule>
  </conditionalFormatting>
  <conditionalFormatting sqref="L300">
    <cfRule type="notContainsText" dxfId="696" priority="1743" operator="notContains" text="Caida">
      <formula>ISERROR(SEARCH("Caida",L300))</formula>
    </cfRule>
    <cfRule type="containsText" dxfId="695" priority="1744" operator="containsText" text="Caida">
      <formula>NOT(ISERROR(SEARCH("Caida",L300)))</formula>
    </cfRule>
  </conditionalFormatting>
  <conditionalFormatting sqref="L301:L302">
    <cfRule type="cellIs" dxfId="694" priority="1741" operator="lessThan">
      <formula>0.8</formula>
    </cfRule>
    <cfRule type="cellIs" dxfId="693" priority="1742" operator="greaterThan">
      <formula>0.8</formula>
    </cfRule>
  </conditionalFormatting>
  <conditionalFormatting sqref="L301:L302">
    <cfRule type="notContainsText" dxfId="692" priority="1739" operator="notContains" text="Caida">
      <formula>ISERROR(SEARCH("Caida",L301))</formula>
    </cfRule>
    <cfRule type="containsText" dxfId="691" priority="1740" operator="containsText" text="Caida">
      <formula>NOT(ISERROR(SEARCH("Caida",L301)))</formula>
    </cfRule>
  </conditionalFormatting>
  <conditionalFormatting sqref="L7">
    <cfRule type="cellIs" dxfId="690" priority="1737" operator="lessThan">
      <formula>0.8</formula>
    </cfRule>
    <cfRule type="cellIs" dxfId="689" priority="1738" operator="greaterThan">
      <formula>0.8</formula>
    </cfRule>
  </conditionalFormatting>
  <conditionalFormatting sqref="L7">
    <cfRule type="notContainsText" dxfId="688" priority="1735" operator="notContains" text="Caida">
      <formula>ISERROR(SEARCH("Caida",L7))</formula>
    </cfRule>
    <cfRule type="containsText" dxfId="687" priority="1736" operator="containsText" text="Caida">
      <formula>NOT(ISERROR(SEARCH("Caida",L7)))</formula>
    </cfRule>
  </conditionalFormatting>
  <conditionalFormatting sqref="L241">
    <cfRule type="cellIs" dxfId="686" priority="1733" operator="lessThan">
      <formula>0.8</formula>
    </cfRule>
    <cfRule type="cellIs" dxfId="685" priority="1734" operator="greaterThan">
      <formula>0.8</formula>
    </cfRule>
  </conditionalFormatting>
  <conditionalFormatting sqref="L241">
    <cfRule type="notContainsText" dxfId="684" priority="1731" operator="notContains" text="Caida">
      <formula>ISERROR(SEARCH("Caida",L241))</formula>
    </cfRule>
    <cfRule type="containsText" dxfId="683" priority="1732" operator="containsText" text="Caida">
      <formula>NOT(ISERROR(SEARCH("Caida",L241)))</formula>
    </cfRule>
  </conditionalFormatting>
  <conditionalFormatting sqref="L242:L246">
    <cfRule type="cellIs" dxfId="682" priority="1729" operator="lessThan">
      <formula>0.8</formula>
    </cfRule>
    <cfRule type="cellIs" dxfId="681" priority="1730" operator="greaterThan">
      <formula>0.8</formula>
    </cfRule>
  </conditionalFormatting>
  <conditionalFormatting sqref="L242:L246">
    <cfRule type="notContainsText" dxfId="680" priority="1727" operator="notContains" text="Caida">
      <formula>ISERROR(SEARCH("Caida",L242))</formula>
    </cfRule>
    <cfRule type="containsText" dxfId="679" priority="1728" operator="containsText" text="Caida">
      <formula>NOT(ISERROR(SEARCH("Caida",L242)))</formula>
    </cfRule>
  </conditionalFormatting>
  <conditionalFormatting sqref="L247">
    <cfRule type="cellIs" dxfId="678" priority="1725" operator="lessThan">
      <formula>0.8</formula>
    </cfRule>
    <cfRule type="cellIs" dxfId="677" priority="1726" operator="greaterThan">
      <formula>0.8</formula>
    </cfRule>
  </conditionalFormatting>
  <conditionalFormatting sqref="L247">
    <cfRule type="notContainsText" dxfId="676" priority="1723" operator="notContains" text="Caida">
      <formula>ISERROR(SEARCH("Caida",L247))</formula>
    </cfRule>
    <cfRule type="containsText" dxfId="675" priority="1724" operator="containsText" text="Caida">
      <formula>NOT(ISERROR(SEARCH("Caida",L247)))</formula>
    </cfRule>
  </conditionalFormatting>
  <conditionalFormatting sqref="L248">
    <cfRule type="cellIs" dxfId="674" priority="1721" operator="lessThan">
      <formula>0.8</formula>
    </cfRule>
    <cfRule type="cellIs" dxfId="673" priority="1722" operator="greaterThan">
      <formula>0.8</formula>
    </cfRule>
  </conditionalFormatting>
  <conditionalFormatting sqref="L248">
    <cfRule type="notContainsText" dxfId="672" priority="1719" operator="notContains" text="Caida">
      <formula>ISERROR(SEARCH("Caida",L248))</formula>
    </cfRule>
    <cfRule type="containsText" dxfId="671" priority="1720" operator="containsText" text="Caida">
      <formula>NOT(ISERROR(SEARCH("Caida",L248)))</formula>
    </cfRule>
  </conditionalFormatting>
  <conditionalFormatting sqref="L249">
    <cfRule type="cellIs" dxfId="670" priority="1717" operator="lessThan">
      <formula>0.8</formula>
    </cfRule>
    <cfRule type="cellIs" dxfId="669" priority="1718" operator="greaterThan">
      <formula>0.8</formula>
    </cfRule>
  </conditionalFormatting>
  <conditionalFormatting sqref="L249">
    <cfRule type="notContainsText" dxfId="668" priority="1715" operator="notContains" text="Caida">
      <formula>ISERROR(SEARCH("Caida",L249))</formula>
    </cfRule>
    <cfRule type="containsText" dxfId="667" priority="1716" operator="containsText" text="Caida">
      <formula>NOT(ISERROR(SEARCH("Caida",L249)))</formula>
    </cfRule>
  </conditionalFormatting>
  <conditionalFormatting sqref="L369">
    <cfRule type="cellIs" dxfId="666" priority="1713" operator="lessThan">
      <formula>0.8</formula>
    </cfRule>
    <cfRule type="cellIs" dxfId="665" priority="1714" operator="greaterThan">
      <formula>0.8</formula>
    </cfRule>
  </conditionalFormatting>
  <conditionalFormatting sqref="L369">
    <cfRule type="notContainsText" dxfId="664" priority="1711" operator="notContains" text="Caida">
      <formula>ISERROR(SEARCH("Caida",L369))</formula>
    </cfRule>
    <cfRule type="containsText" dxfId="663" priority="1712" operator="containsText" text="Caida">
      <formula>NOT(ISERROR(SEARCH("Caida",L369)))</formula>
    </cfRule>
  </conditionalFormatting>
  <conditionalFormatting sqref="M370">
    <cfRule type="cellIs" dxfId="662" priority="1660" operator="lessThan">
      <formula>0.8</formula>
    </cfRule>
    <cfRule type="cellIs" dxfId="661" priority="1661" operator="greaterThan">
      <formula>0.8</formula>
    </cfRule>
  </conditionalFormatting>
  <conditionalFormatting sqref="M370">
    <cfRule type="notContainsText" dxfId="660" priority="1658" operator="notContains" text="Caida">
      <formula>ISERROR(SEARCH("Caida",M370))</formula>
    </cfRule>
    <cfRule type="containsText" dxfId="659" priority="1659" operator="containsText" text="Caida">
      <formula>NOT(ISERROR(SEARCH("Caida",M370)))</formula>
    </cfRule>
  </conditionalFormatting>
  <conditionalFormatting sqref="M67">
    <cfRule type="containsText" dxfId="658" priority="1698" operator="containsText" text="Instaladas en Funcionamiento Caida">
      <formula>NOT(ISERROR(SEARCH("Instaladas en Funcionamiento Caida",M67)))</formula>
    </cfRule>
  </conditionalFormatting>
  <conditionalFormatting sqref="M300">
    <cfRule type="cellIs" dxfId="657" priority="1696" operator="lessThan">
      <formula>0.8</formula>
    </cfRule>
    <cfRule type="cellIs" dxfId="656" priority="1697" operator="greaterThan">
      <formula>0.8</formula>
    </cfRule>
  </conditionalFormatting>
  <conditionalFormatting sqref="M300">
    <cfRule type="notContainsText" dxfId="655" priority="1694" operator="notContains" text="Caida">
      <formula>ISERROR(SEARCH("Caida",M300))</formula>
    </cfRule>
    <cfRule type="containsText" dxfId="654" priority="1695" operator="containsText" text="Caida">
      <formula>NOT(ISERROR(SEARCH("Caida",M300)))</formula>
    </cfRule>
  </conditionalFormatting>
  <conditionalFormatting sqref="M301:M302">
    <cfRule type="cellIs" dxfId="653" priority="1692" operator="lessThan">
      <formula>0.8</formula>
    </cfRule>
    <cfRule type="cellIs" dxfId="652" priority="1693" operator="greaterThan">
      <formula>0.8</formula>
    </cfRule>
  </conditionalFormatting>
  <conditionalFormatting sqref="M301:M302">
    <cfRule type="notContainsText" dxfId="651" priority="1690" operator="notContains" text="Caida">
      <formula>ISERROR(SEARCH("Caida",M301))</formula>
    </cfRule>
    <cfRule type="containsText" dxfId="650" priority="1691" operator="containsText" text="Caida">
      <formula>NOT(ISERROR(SEARCH("Caida",M301)))</formula>
    </cfRule>
  </conditionalFormatting>
  <conditionalFormatting sqref="M7">
    <cfRule type="cellIs" dxfId="649" priority="1688" operator="lessThan">
      <formula>0.8</formula>
    </cfRule>
    <cfRule type="cellIs" dxfId="648" priority="1689" operator="greaterThan">
      <formula>0.8</formula>
    </cfRule>
  </conditionalFormatting>
  <conditionalFormatting sqref="M7">
    <cfRule type="notContainsText" dxfId="647" priority="1686" operator="notContains" text="Caida">
      <formula>ISERROR(SEARCH("Caida",M7))</formula>
    </cfRule>
    <cfRule type="containsText" dxfId="646" priority="1687" operator="containsText" text="Caida">
      <formula>NOT(ISERROR(SEARCH("Caida",M7)))</formula>
    </cfRule>
  </conditionalFormatting>
  <conditionalFormatting sqref="M241">
    <cfRule type="cellIs" dxfId="645" priority="1684" operator="lessThan">
      <formula>0.8</formula>
    </cfRule>
    <cfRule type="cellIs" dxfId="644" priority="1685" operator="greaterThan">
      <formula>0.8</formula>
    </cfRule>
  </conditionalFormatting>
  <conditionalFormatting sqref="M241">
    <cfRule type="notContainsText" dxfId="643" priority="1682" operator="notContains" text="Caida">
      <formula>ISERROR(SEARCH("Caida",M241))</formula>
    </cfRule>
    <cfRule type="containsText" dxfId="642" priority="1683" operator="containsText" text="Caida">
      <formula>NOT(ISERROR(SEARCH("Caida",M241)))</formula>
    </cfRule>
  </conditionalFormatting>
  <conditionalFormatting sqref="M242:M246">
    <cfRule type="cellIs" dxfId="641" priority="1680" operator="lessThan">
      <formula>0.8</formula>
    </cfRule>
    <cfRule type="cellIs" dxfId="640" priority="1681" operator="greaterThan">
      <formula>0.8</formula>
    </cfRule>
  </conditionalFormatting>
  <conditionalFormatting sqref="M242:M246">
    <cfRule type="notContainsText" dxfId="639" priority="1678" operator="notContains" text="Caida">
      <formula>ISERROR(SEARCH("Caida",M242))</formula>
    </cfRule>
    <cfRule type="containsText" dxfId="638" priority="1679" operator="containsText" text="Caida">
      <formula>NOT(ISERROR(SEARCH("Caida",M242)))</formula>
    </cfRule>
  </conditionalFormatting>
  <conditionalFormatting sqref="M247">
    <cfRule type="cellIs" dxfId="637" priority="1676" operator="lessThan">
      <formula>0.8</formula>
    </cfRule>
    <cfRule type="cellIs" dxfId="636" priority="1677" operator="greaterThan">
      <formula>0.8</formula>
    </cfRule>
  </conditionalFormatting>
  <conditionalFormatting sqref="M247">
    <cfRule type="notContainsText" dxfId="635" priority="1674" operator="notContains" text="Caida">
      <formula>ISERROR(SEARCH("Caida",M247))</formula>
    </cfRule>
    <cfRule type="containsText" dxfId="634" priority="1675" operator="containsText" text="Caida">
      <formula>NOT(ISERROR(SEARCH("Caida",M247)))</formula>
    </cfRule>
  </conditionalFormatting>
  <conditionalFormatting sqref="M248">
    <cfRule type="cellIs" dxfId="633" priority="1672" operator="lessThan">
      <formula>0.8</formula>
    </cfRule>
    <cfRule type="cellIs" dxfId="632" priority="1673" operator="greaterThan">
      <formula>0.8</formula>
    </cfRule>
  </conditionalFormatting>
  <conditionalFormatting sqref="M248">
    <cfRule type="notContainsText" dxfId="631" priority="1670" operator="notContains" text="Caida">
      <formula>ISERROR(SEARCH("Caida",M248))</formula>
    </cfRule>
    <cfRule type="containsText" dxfId="630" priority="1671" operator="containsText" text="Caida">
      <formula>NOT(ISERROR(SEARCH("Caida",M248)))</formula>
    </cfRule>
  </conditionalFormatting>
  <conditionalFormatting sqref="M249">
    <cfRule type="cellIs" dxfId="629" priority="1668" operator="lessThan">
      <formula>0.8</formula>
    </cfRule>
    <cfRule type="cellIs" dxfId="628" priority="1669" operator="greaterThan">
      <formula>0.8</formula>
    </cfRule>
  </conditionalFormatting>
  <conditionalFormatting sqref="M249">
    <cfRule type="notContainsText" dxfId="627" priority="1666" operator="notContains" text="Caida">
      <formula>ISERROR(SEARCH("Caida",M249))</formula>
    </cfRule>
    <cfRule type="containsText" dxfId="626" priority="1667" operator="containsText" text="Caida">
      <formula>NOT(ISERROR(SEARCH("Caida",M249)))</formula>
    </cfRule>
  </conditionalFormatting>
  <conditionalFormatting sqref="M369">
    <cfRule type="cellIs" dxfId="625" priority="1664" operator="lessThan">
      <formula>0.8</formula>
    </cfRule>
    <cfRule type="cellIs" dxfId="624" priority="1665" operator="greaterThan">
      <formula>0.8</formula>
    </cfRule>
  </conditionalFormatting>
  <conditionalFormatting sqref="M369">
    <cfRule type="notContainsText" dxfId="623" priority="1662" operator="notContains" text="Caida">
      <formula>ISERROR(SEARCH("Caida",M369))</formula>
    </cfRule>
    <cfRule type="containsText" dxfId="622" priority="1663" operator="containsText" text="Caida">
      <formula>NOT(ISERROR(SEARCH("Caida",M369)))</formula>
    </cfRule>
  </conditionalFormatting>
  <conditionalFormatting sqref="N370:P370">
    <cfRule type="cellIs" dxfId="621" priority="1611" operator="lessThan">
      <formula>0.8</formula>
    </cfRule>
    <cfRule type="cellIs" dxfId="620" priority="1612" operator="greaterThan">
      <formula>0.8</formula>
    </cfRule>
  </conditionalFormatting>
  <conditionalFormatting sqref="N370:P370">
    <cfRule type="notContainsText" dxfId="619" priority="1609" operator="notContains" text="Caida">
      <formula>ISERROR(SEARCH("Caida",N370))</formula>
    </cfRule>
    <cfRule type="containsText" dxfId="618" priority="1610" operator="containsText" text="Caida">
      <formula>NOT(ISERROR(SEARCH("Caida",N370)))</formula>
    </cfRule>
  </conditionalFormatting>
  <conditionalFormatting sqref="N67:P67">
    <cfRule type="containsText" dxfId="617" priority="1649" operator="containsText" text="Instaladas en Funcionamiento Caida">
      <formula>NOT(ISERROR(SEARCH("Instaladas en Funcionamiento Caida",N67)))</formula>
    </cfRule>
  </conditionalFormatting>
  <conditionalFormatting sqref="N300:P300">
    <cfRule type="cellIs" dxfId="616" priority="1647" operator="lessThan">
      <formula>0.8</formula>
    </cfRule>
    <cfRule type="cellIs" dxfId="615" priority="1648" operator="greaterThan">
      <formula>0.8</formula>
    </cfRule>
  </conditionalFormatting>
  <conditionalFormatting sqref="N300:P300">
    <cfRule type="notContainsText" dxfId="614" priority="1645" operator="notContains" text="Caida">
      <formula>ISERROR(SEARCH("Caida",N300))</formula>
    </cfRule>
    <cfRule type="containsText" dxfId="613" priority="1646" operator="containsText" text="Caida">
      <formula>NOT(ISERROR(SEARCH("Caida",N300)))</formula>
    </cfRule>
  </conditionalFormatting>
  <conditionalFormatting sqref="N301:P302">
    <cfRule type="cellIs" dxfId="612" priority="1643" operator="lessThan">
      <formula>0.8</formula>
    </cfRule>
    <cfRule type="cellIs" dxfId="611" priority="1644" operator="greaterThan">
      <formula>0.8</formula>
    </cfRule>
  </conditionalFormatting>
  <conditionalFormatting sqref="N301:P302">
    <cfRule type="notContainsText" dxfId="610" priority="1641" operator="notContains" text="Caida">
      <formula>ISERROR(SEARCH("Caida",N301))</formula>
    </cfRule>
    <cfRule type="containsText" dxfId="609" priority="1642" operator="containsText" text="Caida">
      <formula>NOT(ISERROR(SEARCH("Caida",N301)))</formula>
    </cfRule>
  </conditionalFormatting>
  <conditionalFormatting sqref="N7:P7">
    <cfRule type="cellIs" dxfId="608" priority="1639" operator="lessThan">
      <formula>0.8</formula>
    </cfRule>
    <cfRule type="cellIs" dxfId="607" priority="1640" operator="greaterThan">
      <formula>0.8</formula>
    </cfRule>
  </conditionalFormatting>
  <conditionalFormatting sqref="N7:P7">
    <cfRule type="notContainsText" dxfId="606" priority="1637" operator="notContains" text="Caida">
      <formula>ISERROR(SEARCH("Caida",N7))</formula>
    </cfRule>
    <cfRule type="containsText" dxfId="605" priority="1638" operator="containsText" text="Caida">
      <formula>NOT(ISERROR(SEARCH("Caida",N7)))</formula>
    </cfRule>
  </conditionalFormatting>
  <conditionalFormatting sqref="N241:P241">
    <cfRule type="cellIs" dxfId="604" priority="1635" operator="lessThan">
      <formula>0.8</formula>
    </cfRule>
    <cfRule type="cellIs" dxfId="603" priority="1636" operator="greaterThan">
      <formula>0.8</formula>
    </cfRule>
  </conditionalFormatting>
  <conditionalFormatting sqref="N241:P241">
    <cfRule type="notContainsText" dxfId="602" priority="1633" operator="notContains" text="Caida">
      <formula>ISERROR(SEARCH("Caida",N241))</formula>
    </cfRule>
    <cfRule type="containsText" dxfId="601" priority="1634" operator="containsText" text="Caida">
      <formula>NOT(ISERROR(SEARCH("Caida",N241)))</formula>
    </cfRule>
  </conditionalFormatting>
  <conditionalFormatting sqref="N242:P246">
    <cfRule type="cellIs" dxfId="600" priority="1631" operator="lessThan">
      <formula>0.8</formula>
    </cfRule>
    <cfRule type="cellIs" dxfId="599" priority="1632" operator="greaterThan">
      <formula>0.8</formula>
    </cfRule>
  </conditionalFormatting>
  <conditionalFormatting sqref="N242:P246">
    <cfRule type="notContainsText" dxfId="598" priority="1629" operator="notContains" text="Caida">
      <formula>ISERROR(SEARCH("Caida",N242))</formula>
    </cfRule>
    <cfRule type="containsText" dxfId="597" priority="1630" operator="containsText" text="Caida">
      <formula>NOT(ISERROR(SEARCH("Caida",N242)))</formula>
    </cfRule>
  </conditionalFormatting>
  <conditionalFormatting sqref="N247:P247">
    <cfRule type="cellIs" dxfId="596" priority="1627" operator="lessThan">
      <formula>0.8</formula>
    </cfRule>
    <cfRule type="cellIs" dxfId="595" priority="1628" operator="greaterThan">
      <formula>0.8</formula>
    </cfRule>
  </conditionalFormatting>
  <conditionalFormatting sqref="N247:P247">
    <cfRule type="notContainsText" dxfId="594" priority="1625" operator="notContains" text="Caida">
      <formula>ISERROR(SEARCH("Caida",N247))</formula>
    </cfRule>
    <cfRule type="containsText" dxfId="593" priority="1626" operator="containsText" text="Caida">
      <formula>NOT(ISERROR(SEARCH("Caida",N247)))</formula>
    </cfRule>
  </conditionalFormatting>
  <conditionalFormatting sqref="N248:P248">
    <cfRule type="cellIs" dxfId="592" priority="1623" operator="lessThan">
      <formula>0.8</formula>
    </cfRule>
    <cfRule type="cellIs" dxfId="591" priority="1624" operator="greaterThan">
      <formula>0.8</formula>
    </cfRule>
  </conditionalFormatting>
  <conditionalFormatting sqref="N248:P248">
    <cfRule type="notContainsText" dxfId="590" priority="1621" operator="notContains" text="Caida">
      <formula>ISERROR(SEARCH("Caida",N248))</formula>
    </cfRule>
    <cfRule type="containsText" dxfId="589" priority="1622" operator="containsText" text="Caida">
      <formula>NOT(ISERROR(SEARCH("Caida",N248)))</formula>
    </cfRule>
  </conditionalFormatting>
  <conditionalFormatting sqref="N249:P249">
    <cfRule type="cellIs" dxfId="588" priority="1619" operator="lessThan">
      <formula>0.8</formula>
    </cfRule>
    <cfRule type="cellIs" dxfId="587" priority="1620" operator="greaterThan">
      <formula>0.8</formula>
    </cfRule>
  </conditionalFormatting>
  <conditionalFormatting sqref="N249:P249">
    <cfRule type="notContainsText" dxfId="586" priority="1617" operator="notContains" text="Caida">
      <formula>ISERROR(SEARCH("Caida",N249))</formula>
    </cfRule>
    <cfRule type="containsText" dxfId="585" priority="1618" operator="containsText" text="Caida">
      <formula>NOT(ISERROR(SEARCH("Caida",N249)))</formula>
    </cfRule>
  </conditionalFormatting>
  <conditionalFormatting sqref="N369:P369">
    <cfRule type="cellIs" dxfId="584" priority="1615" operator="lessThan">
      <formula>0.8</formula>
    </cfRule>
    <cfRule type="cellIs" dxfId="583" priority="1616" operator="greaterThan">
      <formula>0.8</formula>
    </cfRule>
  </conditionalFormatting>
  <conditionalFormatting sqref="N369:P369">
    <cfRule type="notContainsText" dxfId="582" priority="1613" operator="notContains" text="Caida">
      <formula>ISERROR(SEARCH("Caida",N369))</formula>
    </cfRule>
    <cfRule type="containsText" dxfId="581" priority="1614" operator="containsText" text="Caida">
      <formula>NOT(ISERROR(SEARCH("Caida",N369)))</formula>
    </cfRule>
  </conditionalFormatting>
  <conditionalFormatting sqref="L97:L99">
    <cfRule type="cellIs" dxfId="580" priority="1478" operator="lessThan">
      <formula>0.8</formula>
    </cfRule>
    <cfRule type="cellIs" dxfId="579" priority="1479" operator="greaterThan">
      <formula>0.8</formula>
    </cfRule>
  </conditionalFormatting>
  <conditionalFormatting sqref="L97:L99">
    <cfRule type="notContainsText" dxfId="578" priority="1476" operator="notContains" text="Caida">
      <formula>ISERROR(SEARCH("Caida",L97))</formula>
    </cfRule>
    <cfRule type="containsText" dxfId="577" priority="1477" operator="containsText" text="Caida">
      <formula>NOT(ISERROR(SEARCH("Caida",L97)))</formula>
    </cfRule>
  </conditionalFormatting>
  <conditionalFormatting sqref="M97:M99">
    <cfRule type="cellIs" dxfId="576" priority="1474" operator="lessThan">
      <formula>0.8</formula>
    </cfRule>
    <cfRule type="cellIs" dxfId="575" priority="1475" operator="greaterThan">
      <formula>0.8</formula>
    </cfRule>
  </conditionalFormatting>
  <conditionalFormatting sqref="M97:M99">
    <cfRule type="notContainsText" dxfId="574" priority="1472" operator="notContains" text="Caida">
      <formula>ISERROR(SEARCH("Caida",M97))</formula>
    </cfRule>
    <cfRule type="containsText" dxfId="573" priority="1473" operator="containsText" text="Caida">
      <formula>NOT(ISERROR(SEARCH("Caida",M97)))</formula>
    </cfRule>
  </conditionalFormatting>
  <conditionalFormatting sqref="N97:N99">
    <cfRule type="cellIs" dxfId="572" priority="1470" operator="lessThan">
      <formula>0.8</formula>
    </cfRule>
    <cfRule type="cellIs" dxfId="571" priority="1471" operator="greaterThan">
      <formula>0.8</formula>
    </cfRule>
  </conditionalFormatting>
  <conditionalFormatting sqref="N97:N99">
    <cfRule type="notContainsText" dxfId="570" priority="1468" operator="notContains" text="Caida">
      <formula>ISERROR(SEARCH("Caida",N97))</formula>
    </cfRule>
    <cfRule type="containsText" dxfId="569" priority="1469" operator="containsText" text="Caida">
      <formula>NOT(ISERROR(SEARCH("Caida",N97)))</formula>
    </cfRule>
  </conditionalFormatting>
  <conditionalFormatting sqref="L391">
    <cfRule type="cellIs" dxfId="568" priority="1439" operator="lessThan">
      <formula>0.8</formula>
    </cfRule>
    <cfRule type="cellIs" dxfId="567" priority="1440" operator="greaterThan">
      <formula>0.8</formula>
    </cfRule>
  </conditionalFormatting>
  <conditionalFormatting sqref="L391">
    <cfRule type="notContainsText" dxfId="566" priority="1437" operator="notContains" text="Caida">
      <formula>ISERROR(SEARCH("Caida",L391))</formula>
    </cfRule>
    <cfRule type="containsText" dxfId="565" priority="1438" operator="containsText" text="Caida">
      <formula>NOT(ISERROR(SEARCH("Caida",L391)))</formula>
    </cfRule>
  </conditionalFormatting>
  <conditionalFormatting sqref="M391">
    <cfRule type="cellIs" dxfId="564" priority="1435" operator="lessThan">
      <formula>0.8</formula>
    </cfRule>
    <cfRule type="cellIs" dxfId="563" priority="1436" operator="greaterThan">
      <formula>0.8</formula>
    </cfRule>
  </conditionalFormatting>
  <conditionalFormatting sqref="M391">
    <cfRule type="notContainsText" dxfId="562" priority="1433" operator="notContains" text="Caida">
      <formula>ISERROR(SEARCH("Caida",M391))</formula>
    </cfRule>
    <cfRule type="containsText" dxfId="561" priority="1434" operator="containsText" text="Caida">
      <formula>NOT(ISERROR(SEARCH("Caida",M391)))</formula>
    </cfRule>
  </conditionalFormatting>
  <conditionalFormatting sqref="N391:P391">
    <cfRule type="cellIs" dxfId="560" priority="1431" operator="lessThan">
      <formula>0.8</formula>
    </cfRule>
    <cfRule type="cellIs" dxfId="559" priority="1432" operator="greaterThan">
      <formula>0.8</formula>
    </cfRule>
  </conditionalFormatting>
  <conditionalFormatting sqref="N391:P391">
    <cfRule type="notContainsText" dxfId="558" priority="1429" operator="notContains" text="Caida">
      <formula>ISERROR(SEARCH("Caida",N391))</formula>
    </cfRule>
    <cfRule type="containsText" dxfId="557" priority="1430" operator="containsText" text="Caida">
      <formula>NOT(ISERROR(SEARCH("Caida",N391)))</formula>
    </cfRule>
  </conditionalFormatting>
  <conditionalFormatting sqref="L392">
    <cfRule type="cellIs" dxfId="556" priority="1400" operator="lessThan">
      <formula>0.8</formula>
    </cfRule>
    <cfRule type="cellIs" dxfId="555" priority="1401" operator="greaterThan">
      <formula>0.8</formula>
    </cfRule>
  </conditionalFormatting>
  <conditionalFormatting sqref="L392">
    <cfRule type="notContainsText" dxfId="554" priority="1398" operator="notContains" text="Caida">
      <formula>ISERROR(SEARCH("Caida",L392))</formula>
    </cfRule>
    <cfRule type="containsText" dxfId="553" priority="1399" operator="containsText" text="Caida">
      <formula>NOT(ISERROR(SEARCH("Caida",L392)))</formula>
    </cfRule>
  </conditionalFormatting>
  <conditionalFormatting sqref="M392">
    <cfRule type="cellIs" dxfId="552" priority="1396" operator="lessThan">
      <formula>0.8</formula>
    </cfRule>
    <cfRule type="cellIs" dxfId="551" priority="1397" operator="greaterThan">
      <formula>0.8</formula>
    </cfRule>
  </conditionalFormatting>
  <conditionalFormatting sqref="M392">
    <cfRule type="notContainsText" dxfId="550" priority="1394" operator="notContains" text="Caida">
      <formula>ISERROR(SEARCH("Caida",M392))</formula>
    </cfRule>
    <cfRule type="containsText" dxfId="549" priority="1395" operator="containsText" text="Caida">
      <formula>NOT(ISERROR(SEARCH("Caida",M392)))</formula>
    </cfRule>
  </conditionalFormatting>
  <conditionalFormatting sqref="N392:P392">
    <cfRule type="cellIs" dxfId="548" priority="1392" operator="lessThan">
      <formula>0.8</formula>
    </cfRule>
    <cfRule type="cellIs" dxfId="547" priority="1393" operator="greaterThan">
      <formula>0.8</formula>
    </cfRule>
  </conditionalFormatting>
  <conditionalFormatting sqref="N392:P392">
    <cfRule type="notContainsText" dxfId="546" priority="1390" operator="notContains" text="Caida">
      <formula>ISERROR(SEARCH("Caida",N392))</formula>
    </cfRule>
    <cfRule type="containsText" dxfId="545" priority="1391" operator="containsText" text="Caida">
      <formula>NOT(ISERROR(SEARCH("Caida",N392)))</formula>
    </cfRule>
  </conditionalFormatting>
  <conditionalFormatting sqref="L393">
    <cfRule type="cellIs" dxfId="544" priority="1361" operator="lessThan">
      <formula>0.8</formula>
    </cfRule>
    <cfRule type="cellIs" dxfId="543" priority="1362" operator="greaterThan">
      <formula>0.8</formula>
    </cfRule>
  </conditionalFormatting>
  <conditionalFormatting sqref="L393">
    <cfRule type="notContainsText" dxfId="542" priority="1359" operator="notContains" text="Caida">
      <formula>ISERROR(SEARCH("Caida",L393))</formula>
    </cfRule>
    <cfRule type="containsText" dxfId="541" priority="1360" operator="containsText" text="Caida">
      <formula>NOT(ISERROR(SEARCH("Caida",L393)))</formula>
    </cfRule>
  </conditionalFormatting>
  <conditionalFormatting sqref="M393">
    <cfRule type="cellIs" dxfId="540" priority="1357" operator="lessThan">
      <formula>0.8</formula>
    </cfRule>
    <cfRule type="cellIs" dxfId="539" priority="1358" operator="greaterThan">
      <formula>0.8</formula>
    </cfRule>
  </conditionalFormatting>
  <conditionalFormatting sqref="M393">
    <cfRule type="notContainsText" dxfId="538" priority="1355" operator="notContains" text="Caida">
      <formula>ISERROR(SEARCH("Caida",M393))</formula>
    </cfRule>
    <cfRule type="containsText" dxfId="537" priority="1356" operator="containsText" text="Caida">
      <formula>NOT(ISERROR(SEARCH("Caida",M393)))</formula>
    </cfRule>
  </conditionalFormatting>
  <conditionalFormatting sqref="N393:P393">
    <cfRule type="cellIs" dxfId="536" priority="1353" operator="lessThan">
      <formula>0.8</formula>
    </cfRule>
    <cfRule type="cellIs" dxfId="535" priority="1354" operator="greaterThan">
      <formula>0.8</formula>
    </cfRule>
  </conditionalFormatting>
  <conditionalFormatting sqref="N393:P393">
    <cfRule type="notContainsText" dxfId="534" priority="1351" operator="notContains" text="Caida">
      <formula>ISERROR(SEARCH("Caida",N393))</formula>
    </cfRule>
    <cfRule type="containsText" dxfId="533" priority="1352" operator="containsText" text="Caida">
      <formula>NOT(ISERROR(SEARCH("Caida",N393)))</formula>
    </cfRule>
  </conditionalFormatting>
  <conditionalFormatting sqref="Q241">
    <cfRule type="cellIs" dxfId="532" priority="1281" operator="lessThan">
      <formula>0.8</formula>
    </cfRule>
    <cfRule type="cellIs" dxfId="531" priority="1282" operator="greaterThan">
      <formula>0.8</formula>
    </cfRule>
  </conditionalFormatting>
  <conditionalFormatting sqref="Q241">
    <cfRule type="notContainsText" dxfId="530" priority="1279" operator="notContains" text="Caida">
      <formula>ISERROR(SEARCH("Caida",Q241))</formula>
    </cfRule>
    <cfRule type="containsText" dxfId="529" priority="1280" operator="containsText" text="Caida">
      <formula>NOT(ISERROR(SEARCH("Caida",Q241)))</formula>
    </cfRule>
  </conditionalFormatting>
  <conditionalFormatting sqref="Q242:Q246">
    <cfRule type="cellIs" dxfId="528" priority="1277" operator="lessThan">
      <formula>0.8</formula>
    </cfRule>
    <cfRule type="cellIs" dxfId="527" priority="1278" operator="greaterThan">
      <formula>0.8</formula>
    </cfRule>
  </conditionalFormatting>
  <conditionalFormatting sqref="Q242:Q246">
    <cfRule type="notContainsText" dxfId="526" priority="1275" operator="notContains" text="Caida">
      <formula>ISERROR(SEARCH("Caida",Q242))</formula>
    </cfRule>
    <cfRule type="containsText" dxfId="525" priority="1276" operator="containsText" text="Caida">
      <formula>NOT(ISERROR(SEARCH("Caida",Q242)))</formula>
    </cfRule>
  </conditionalFormatting>
  <conditionalFormatting sqref="L394:L396">
    <cfRule type="cellIs" dxfId="524" priority="1322" operator="lessThan">
      <formula>0.8</formula>
    </cfRule>
    <cfRule type="cellIs" dxfId="523" priority="1323" operator="greaterThan">
      <formula>0.8</formula>
    </cfRule>
  </conditionalFormatting>
  <conditionalFormatting sqref="L394:L396">
    <cfRule type="notContainsText" dxfId="522" priority="1320" operator="notContains" text="Caida">
      <formula>ISERROR(SEARCH("Caida",L394))</formula>
    </cfRule>
    <cfRule type="containsText" dxfId="521" priority="1321" operator="containsText" text="Caida">
      <formula>NOT(ISERROR(SEARCH("Caida",L394)))</formula>
    </cfRule>
  </conditionalFormatting>
  <conditionalFormatting sqref="M394:M396">
    <cfRule type="cellIs" dxfId="520" priority="1318" operator="lessThan">
      <formula>0.8</formula>
    </cfRule>
    <cfRule type="cellIs" dxfId="519" priority="1319" operator="greaterThan">
      <formula>0.8</formula>
    </cfRule>
  </conditionalFormatting>
  <conditionalFormatting sqref="M394:M396">
    <cfRule type="notContainsText" dxfId="518" priority="1316" operator="notContains" text="Caida">
      <formula>ISERROR(SEARCH("Caida",M394))</formula>
    </cfRule>
    <cfRule type="containsText" dxfId="517" priority="1317" operator="containsText" text="Caida">
      <formula>NOT(ISERROR(SEARCH("Caida",M394)))</formula>
    </cfRule>
  </conditionalFormatting>
  <conditionalFormatting sqref="N394:P394">
    <cfRule type="cellIs" dxfId="516" priority="1314" operator="lessThan">
      <formula>0.8</formula>
    </cfRule>
    <cfRule type="cellIs" dxfId="515" priority="1315" operator="greaterThan">
      <formula>0.8</formula>
    </cfRule>
  </conditionalFormatting>
  <conditionalFormatting sqref="N394:P394">
    <cfRule type="notContainsText" dxfId="514" priority="1312" operator="notContains" text="Caida">
      <formula>ISERROR(SEARCH("Caida",N394))</formula>
    </cfRule>
    <cfRule type="containsText" dxfId="513" priority="1313" operator="containsText" text="Caida">
      <formula>NOT(ISERROR(SEARCH("Caida",N394)))</formula>
    </cfRule>
  </conditionalFormatting>
  <conditionalFormatting sqref="Q392">
    <cfRule type="cellIs" dxfId="512" priority="1245" operator="lessThan">
      <formula>0.8</formula>
    </cfRule>
    <cfRule type="cellIs" dxfId="511" priority="1246" operator="greaterThan">
      <formula>0.8</formula>
    </cfRule>
  </conditionalFormatting>
  <conditionalFormatting sqref="Q392">
    <cfRule type="notContainsText" dxfId="510" priority="1243" operator="notContains" text="Caida">
      <formula>ISERROR(SEARCH("Caida",Q392))</formula>
    </cfRule>
    <cfRule type="containsText" dxfId="509" priority="1244" operator="containsText" text="Caida">
      <formula>NOT(ISERROR(SEARCH("Caida",Q392)))</formula>
    </cfRule>
  </conditionalFormatting>
  <conditionalFormatting sqref="Q393">
    <cfRule type="cellIs" dxfId="508" priority="1241" operator="lessThan">
      <formula>0.8</formula>
    </cfRule>
    <cfRule type="cellIs" dxfId="507" priority="1242" operator="greaterThan">
      <formula>0.8</formula>
    </cfRule>
  </conditionalFormatting>
  <conditionalFormatting sqref="Q393">
    <cfRule type="notContainsText" dxfId="506" priority="1239" operator="notContains" text="Caida">
      <formula>ISERROR(SEARCH("Caida",Q393))</formula>
    </cfRule>
    <cfRule type="containsText" dxfId="505" priority="1240" operator="containsText" text="Caida">
      <formula>NOT(ISERROR(SEARCH("Caida",Q393)))</formula>
    </cfRule>
  </conditionalFormatting>
  <conditionalFormatting sqref="Q394:Q396">
    <cfRule type="cellIs" dxfId="504" priority="1237" operator="lessThan">
      <formula>0.8</formula>
    </cfRule>
    <cfRule type="cellIs" dxfId="503" priority="1238" operator="greaterThan">
      <formula>0.8</formula>
    </cfRule>
  </conditionalFormatting>
  <conditionalFormatting sqref="Q394:Q396">
    <cfRule type="notContainsText" dxfId="502" priority="1235" operator="notContains" text="Caida">
      <formula>ISERROR(SEARCH("Caida",Q394))</formula>
    </cfRule>
    <cfRule type="containsText" dxfId="501" priority="1236" operator="containsText" text="Caida">
      <formula>NOT(ISERROR(SEARCH("Caida",Q394)))</formula>
    </cfRule>
  </conditionalFormatting>
  <conditionalFormatting sqref="Q370">
    <cfRule type="cellIs" dxfId="500" priority="1257" operator="lessThan">
      <formula>0.8</formula>
    </cfRule>
    <cfRule type="cellIs" dxfId="499" priority="1258" operator="greaterThan">
      <formula>0.8</formula>
    </cfRule>
  </conditionalFormatting>
  <conditionalFormatting sqref="Q370">
    <cfRule type="notContainsText" dxfId="498" priority="1255" operator="notContains" text="Caida">
      <formula>ISERROR(SEARCH("Caida",Q370))</formula>
    </cfRule>
    <cfRule type="containsText" dxfId="497" priority="1256" operator="containsText" text="Caida">
      <formula>NOT(ISERROR(SEARCH("Caida",Q370)))</formula>
    </cfRule>
  </conditionalFormatting>
  <conditionalFormatting sqref="Q67">
    <cfRule type="containsText" dxfId="496" priority="1295" operator="containsText" text="Instaladas en Funcionamiento Caida">
      <formula>NOT(ISERROR(SEARCH("Instaladas en Funcionamiento Caida",Q67)))</formula>
    </cfRule>
  </conditionalFormatting>
  <conditionalFormatting sqref="Q300">
    <cfRule type="cellIs" dxfId="495" priority="1293" operator="lessThan">
      <formula>0.8</formula>
    </cfRule>
    <cfRule type="cellIs" dxfId="494" priority="1294" operator="greaterThan">
      <formula>0.8</formula>
    </cfRule>
  </conditionalFormatting>
  <conditionalFormatting sqref="Q300">
    <cfRule type="notContainsText" dxfId="493" priority="1291" operator="notContains" text="Caida">
      <formula>ISERROR(SEARCH("Caida",Q300))</formula>
    </cfRule>
    <cfRule type="containsText" dxfId="492" priority="1292" operator="containsText" text="Caida">
      <formula>NOT(ISERROR(SEARCH("Caida",Q300)))</formula>
    </cfRule>
  </conditionalFormatting>
  <conditionalFormatting sqref="Q301:Q302">
    <cfRule type="cellIs" dxfId="491" priority="1289" operator="lessThan">
      <formula>0.8</formula>
    </cfRule>
    <cfRule type="cellIs" dxfId="490" priority="1290" operator="greaterThan">
      <formula>0.8</formula>
    </cfRule>
  </conditionalFormatting>
  <conditionalFormatting sqref="Q301:Q302">
    <cfRule type="notContainsText" dxfId="489" priority="1287" operator="notContains" text="Caida">
      <formula>ISERROR(SEARCH("Caida",Q301))</formula>
    </cfRule>
    <cfRule type="containsText" dxfId="488" priority="1288" operator="containsText" text="Caida">
      <formula>NOT(ISERROR(SEARCH("Caida",Q301)))</formula>
    </cfRule>
  </conditionalFormatting>
  <conditionalFormatting sqref="Q7">
    <cfRule type="cellIs" dxfId="487" priority="1285" operator="lessThan">
      <formula>0.8</formula>
    </cfRule>
    <cfRule type="cellIs" dxfId="486" priority="1286" operator="greaterThan">
      <formula>0.8</formula>
    </cfRule>
  </conditionalFormatting>
  <conditionalFormatting sqref="Q7">
    <cfRule type="notContainsText" dxfId="485" priority="1283" operator="notContains" text="Caida">
      <formula>ISERROR(SEARCH("Caida",Q7))</formula>
    </cfRule>
    <cfRule type="containsText" dxfId="484" priority="1284" operator="containsText" text="Caida">
      <formula>NOT(ISERROR(SEARCH("Caida",Q7)))</formula>
    </cfRule>
  </conditionalFormatting>
  <conditionalFormatting sqref="Q247">
    <cfRule type="cellIs" dxfId="483" priority="1273" operator="lessThan">
      <formula>0.8</formula>
    </cfRule>
    <cfRule type="cellIs" dxfId="482" priority="1274" operator="greaterThan">
      <formula>0.8</formula>
    </cfRule>
  </conditionalFormatting>
  <conditionalFormatting sqref="Q247">
    <cfRule type="notContainsText" dxfId="481" priority="1271" operator="notContains" text="Caida">
      <formula>ISERROR(SEARCH("Caida",Q247))</formula>
    </cfRule>
    <cfRule type="containsText" dxfId="480" priority="1272" operator="containsText" text="Caida">
      <formula>NOT(ISERROR(SEARCH("Caida",Q247)))</formula>
    </cfRule>
  </conditionalFormatting>
  <conditionalFormatting sqref="Q248">
    <cfRule type="cellIs" dxfId="479" priority="1269" operator="lessThan">
      <formula>0.8</formula>
    </cfRule>
    <cfRule type="cellIs" dxfId="478" priority="1270" operator="greaterThan">
      <formula>0.8</formula>
    </cfRule>
  </conditionalFormatting>
  <conditionalFormatting sqref="Q248">
    <cfRule type="notContainsText" dxfId="477" priority="1267" operator="notContains" text="Caida">
      <formula>ISERROR(SEARCH("Caida",Q248))</formula>
    </cfRule>
    <cfRule type="containsText" dxfId="476" priority="1268" operator="containsText" text="Caida">
      <formula>NOT(ISERROR(SEARCH("Caida",Q248)))</formula>
    </cfRule>
  </conditionalFormatting>
  <conditionalFormatting sqref="Q249">
    <cfRule type="cellIs" dxfId="475" priority="1265" operator="lessThan">
      <formula>0.8</formula>
    </cfRule>
    <cfRule type="cellIs" dxfId="474" priority="1266" operator="greaterThan">
      <formula>0.8</formula>
    </cfRule>
  </conditionalFormatting>
  <conditionalFormatting sqref="Q249">
    <cfRule type="notContainsText" dxfId="473" priority="1263" operator="notContains" text="Caida">
      <formula>ISERROR(SEARCH("Caida",Q249))</formula>
    </cfRule>
    <cfRule type="containsText" dxfId="472" priority="1264" operator="containsText" text="Caida">
      <formula>NOT(ISERROR(SEARCH("Caida",Q249)))</formula>
    </cfRule>
  </conditionalFormatting>
  <conditionalFormatting sqref="Q369">
    <cfRule type="cellIs" dxfId="471" priority="1261" operator="lessThan">
      <formula>0.8</formula>
    </cfRule>
    <cfRule type="cellIs" dxfId="470" priority="1262" operator="greaterThan">
      <formula>0.8</formula>
    </cfRule>
  </conditionalFormatting>
  <conditionalFormatting sqref="Q369">
    <cfRule type="notContainsText" dxfId="469" priority="1259" operator="notContains" text="Caida">
      <formula>ISERROR(SEARCH("Caida",Q369))</formula>
    </cfRule>
    <cfRule type="containsText" dxfId="468" priority="1260" operator="containsText" text="Caida">
      <formula>NOT(ISERROR(SEARCH("Caida",Q369)))</formula>
    </cfRule>
  </conditionalFormatting>
  <conditionalFormatting sqref="Q97:Q99">
    <cfRule type="cellIs" dxfId="467" priority="1253" operator="lessThan">
      <formula>0.8</formula>
    </cfRule>
    <cfRule type="cellIs" dxfId="466" priority="1254" operator="greaterThan">
      <formula>0.8</formula>
    </cfRule>
  </conditionalFormatting>
  <conditionalFormatting sqref="Q97:Q99">
    <cfRule type="notContainsText" dxfId="465" priority="1251" operator="notContains" text="Caida">
      <formula>ISERROR(SEARCH("Caida",Q97))</formula>
    </cfRule>
    <cfRule type="containsText" dxfId="464" priority="1252" operator="containsText" text="Caida">
      <formula>NOT(ISERROR(SEARCH("Caida",Q97)))</formula>
    </cfRule>
  </conditionalFormatting>
  <conditionalFormatting sqref="Q391">
    <cfRule type="cellIs" dxfId="463" priority="1249" operator="lessThan">
      <formula>0.8</formula>
    </cfRule>
    <cfRule type="cellIs" dxfId="462" priority="1250" operator="greaterThan">
      <formula>0.8</formula>
    </cfRule>
  </conditionalFormatting>
  <conditionalFormatting sqref="Q391">
    <cfRule type="notContainsText" dxfId="461" priority="1247" operator="notContains" text="Caida">
      <formula>ISERROR(SEARCH("Caida",Q391))</formula>
    </cfRule>
    <cfRule type="containsText" dxfId="460" priority="1248" operator="containsText" text="Caida">
      <formula>NOT(ISERROR(SEARCH("Caida",Q391)))</formula>
    </cfRule>
  </conditionalFormatting>
  <conditionalFormatting sqref="R67:T67 W67:AD67 AF67">
    <cfRule type="containsText" dxfId="459" priority="1230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58" priority="1228" operator="lessThan">
      <formula>0.8</formula>
    </cfRule>
    <cfRule type="cellIs" dxfId="457" priority="1229" operator="greaterThan">
      <formula>0.8</formula>
    </cfRule>
  </conditionalFormatting>
  <conditionalFormatting sqref="R7:T7 W7:AD7 AF7">
    <cfRule type="notContainsText" dxfId="456" priority="1226" operator="notContains" text="Caida">
      <formula>ISERROR(SEARCH("Caida",R7))</formula>
    </cfRule>
    <cfRule type="containsText" dxfId="455" priority="1227" operator="containsText" text="Caida">
      <formula>NOT(ISERROR(SEARCH("Caida",R7)))</formula>
    </cfRule>
  </conditionalFormatting>
  <conditionalFormatting sqref="R97:T99">
    <cfRule type="cellIs" dxfId="454" priority="1224" operator="lessThan">
      <formula>0.8</formula>
    </cfRule>
    <cfRule type="cellIs" dxfId="453" priority="1225" operator="greaterThan">
      <formula>0.8</formula>
    </cfRule>
  </conditionalFormatting>
  <conditionalFormatting sqref="R97:T99">
    <cfRule type="notContainsText" dxfId="452" priority="1222" operator="notContains" text="Caida">
      <formula>ISERROR(SEARCH("Caida",R97))</formula>
    </cfRule>
    <cfRule type="containsText" dxfId="451" priority="1223" operator="containsText" text="Caida">
      <formula>NOT(ISERROR(SEARCH("Caida",R97)))</formula>
    </cfRule>
  </conditionalFormatting>
  <conditionalFormatting sqref="E414 E416:E1048576 E1:E396">
    <cfRule type="containsText" dxfId="450" priority="1082" operator="containsText" text="fija">
      <formula>NOT(ISERROR(SEARCH("fija",E1)))</formula>
    </cfRule>
    <cfRule type="containsText" dxfId="449" priority="1083" operator="containsText" text="domo">
      <formula>NOT(ISERROR(SEARCH("domo",E1)))</formula>
    </cfRule>
  </conditionalFormatting>
  <conditionalFormatting sqref="AG67:AN67">
    <cfRule type="containsText" dxfId="448" priority="1055" operator="containsText" text="Instaladas en Funcionamiento Caida">
      <formula>NOT(ISERROR(SEARCH("Instaladas en Funcionamiento Caida",AG67)))</formula>
    </cfRule>
  </conditionalFormatting>
  <conditionalFormatting sqref="AG7:AN7">
    <cfRule type="cellIs" dxfId="447" priority="1053" operator="lessThan">
      <formula>0.8</formula>
    </cfRule>
    <cfRule type="cellIs" dxfId="446" priority="1054" operator="greaterThan">
      <formula>0.8</formula>
    </cfRule>
  </conditionalFormatting>
  <conditionalFormatting sqref="AG7:AN7">
    <cfRule type="notContainsText" dxfId="445" priority="1051" operator="notContains" text="Caida">
      <formula>ISERROR(SEARCH("Caida",AG7))</formula>
    </cfRule>
    <cfRule type="containsText" dxfId="444" priority="1052" operator="containsText" text="Caida">
      <formula>NOT(ISERROR(SEARCH("Caida",AG7)))</formula>
    </cfRule>
  </conditionalFormatting>
  <conditionalFormatting sqref="AG97:AL98">
    <cfRule type="cellIs" dxfId="443" priority="1049" operator="lessThan">
      <formula>0.8</formula>
    </cfRule>
    <cfRule type="cellIs" dxfId="442" priority="1050" operator="greaterThan">
      <formula>0.8</formula>
    </cfRule>
  </conditionalFormatting>
  <conditionalFormatting sqref="AG97:AL98">
    <cfRule type="notContainsText" dxfId="441" priority="1047" operator="notContains" text="Caida">
      <formula>ISERROR(SEARCH("Caida",AG97))</formula>
    </cfRule>
    <cfRule type="containsText" dxfId="440" priority="1048" operator="containsText" text="Caida">
      <formula>NOT(ISERROR(SEARCH("Caida",AG97)))</formula>
    </cfRule>
  </conditionalFormatting>
  <conditionalFormatting sqref="AG432:AN1048576 K5:AN431">
    <cfRule type="cellIs" dxfId="439" priority="1046" operator="equal">
      <formula>"APAGADO"</formula>
    </cfRule>
  </conditionalFormatting>
  <conditionalFormatting sqref="O97:O99">
    <cfRule type="cellIs" dxfId="438" priority="1022" operator="lessThan">
      <formula>0.8</formula>
    </cfRule>
    <cfRule type="cellIs" dxfId="437" priority="1023" operator="greaterThan">
      <formula>0.8</formula>
    </cfRule>
  </conditionalFormatting>
  <conditionalFormatting sqref="O97:O99">
    <cfRule type="notContainsText" dxfId="436" priority="1020" operator="notContains" text="Caida">
      <formula>ISERROR(SEARCH("Caida",O97))</formula>
    </cfRule>
    <cfRule type="containsText" dxfId="435" priority="1021" operator="containsText" text="Caida">
      <formula>NOT(ISERROR(SEARCH("Caida",O97)))</formula>
    </cfRule>
  </conditionalFormatting>
  <conditionalFormatting sqref="P97:P99">
    <cfRule type="cellIs" dxfId="434" priority="1010" operator="lessThan">
      <formula>0.8</formula>
    </cfRule>
    <cfRule type="cellIs" dxfId="433" priority="1011" operator="greaterThan">
      <formula>0.8</formula>
    </cfRule>
  </conditionalFormatting>
  <conditionalFormatting sqref="P97:P99">
    <cfRule type="notContainsText" dxfId="432" priority="1008" operator="notContains" text="Caida">
      <formula>ISERROR(SEARCH("Caida",P97))</formula>
    </cfRule>
    <cfRule type="containsText" dxfId="431" priority="1009" operator="containsText" text="Caida">
      <formula>NOT(ISERROR(SEARCH("Caida",P97)))</formula>
    </cfRule>
  </conditionalFormatting>
  <conditionalFormatting sqref="F414 F416:F1048576 F1:F396">
    <cfRule type="cellIs" dxfId="430" priority="937" operator="equal">
      <formula>"PTP A FO"</formula>
    </cfRule>
  </conditionalFormatting>
  <conditionalFormatting sqref="N395:P396">
    <cfRule type="cellIs" dxfId="429" priority="566" operator="lessThan">
      <formula>0.8</formula>
    </cfRule>
    <cfRule type="cellIs" dxfId="428" priority="567" operator="greaterThan">
      <formula>0.8</formula>
    </cfRule>
  </conditionalFormatting>
  <conditionalFormatting sqref="N395:P396">
    <cfRule type="notContainsText" dxfId="427" priority="564" operator="notContains" text="Caida">
      <formula>ISERROR(SEARCH("Caida",N395))</formula>
    </cfRule>
    <cfRule type="containsText" dxfId="426" priority="565" operator="containsText" text="Caida">
      <formula>NOT(ISERROR(SEARCH("Caida",N395)))</formula>
    </cfRule>
  </conditionalFormatting>
  <conditionalFormatting sqref="K67">
    <cfRule type="containsText" dxfId="425" priority="551" operator="containsText" text="Instaladas en Funcionamiento Caida">
      <formula>NOT(ISERROR(SEARCH("Instaladas en Funcionamiento Caida",K67)))</formula>
    </cfRule>
  </conditionalFormatting>
  <conditionalFormatting sqref="K7">
    <cfRule type="cellIs" dxfId="424" priority="549" operator="lessThan">
      <formula>0.8</formula>
    </cfRule>
    <cfRule type="cellIs" dxfId="423" priority="550" operator="greaterThan">
      <formula>0.8</formula>
    </cfRule>
  </conditionalFormatting>
  <conditionalFormatting sqref="K7">
    <cfRule type="notContainsText" dxfId="422" priority="547" operator="notContains" text="Caida">
      <formula>ISERROR(SEARCH("Caida",K7))</formula>
    </cfRule>
    <cfRule type="containsText" dxfId="421" priority="548" operator="containsText" text="Caida">
      <formula>NOT(ISERROR(SEARCH("Caida",K7)))</formula>
    </cfRule>
  </conditionalFormatting>
  <conditionalFormatting sqref="K97:K98">
    <cfRule type="cellIs" dxfId="420" priority="545" operator="lessThan">
      <formula>0.8</formula>
    </cfRule>
    <cfRule type="cellIs" dxfId="419" priority="546" operator="greaterThan">
      <formula>0.8</formula>
    </cfRule>
  </conditionalFormatting>
  <conditionalFormatting sqref="K97:K98">
    <cfRule type="notContainsText" dxfId="418" priority="543" operator="notContains" text="Caida">
      <formula>ISERROR(SEARCH("Caida",K97))</formula>
    </cfRule>
    <cfRule type="containsText" dxfId="417" priority="544" operator="containsText" text="Caida">
      <formula>NOT(ISERROR(SEARCH("Caida",K97)))</formula>
    </cfRule>
  </conditionalFormatting>
  <conditionalFormatting sqref="AN97:AN98">
    <cfRule type="cellIs" dxfId="416" priority="532" operator="lessThan">
      <formula>0.8</formula>
    </cfRule>
    <cfRule type="cellIs" dxfId="415" priority="533" operator="greaterThan">
      <formula>0.8</formula>
    </cfRule>
  </conditionalFormatting>
  <conditionalFormatting sqref="AN97:AN98">
    <cfRule type="notContainsText" dxfId="414" priority="530" operator="notContains" text="Caida">
      <formula>ISERROR(SEARCH("Caida",AN97))</formula>
    </cfRule>
    <cfRule type="containsText" dxfId="413" priority="531" operator="containsText" text="Caida">
      <formula>NOT(ISERROR(SEARCH("Caida",AN97)))</formula>
    </cfRule>
  </conditionalFormatting>
  <conditionalFormatting sqref="W97:AB99">
    <cfRule type="cellIs" dxfId="412" priority="467" operator="lessThan">
      <formula>0.8</formula>
    </cfRule>
    <cfRule type="cellIs" dxfId="411" priority="468" operator="greaterThan">
      <formula>0.8</formula>
    </cfRule>
  </conditionalFormatting>
  <conditionalFormatting sqref="W97:AB99">
    <cfRule type="notContainsText" dxfId="410" priority="465" operator="notContains" text="Caida">
      <formula>ISERROR(SEARCH("Caida",W97))</formula>
    </cfRule>
    <cfRule type="containsText" dxfId="409" priority="466" operator="containsText" text="Caida">
      <formula>NOT(ISERROR(SEARCH("Caida",W97)))</formula>
    </cfRule>
  </conditionalFormatting>
  <conditionalFormatting sqref="AB3 AM5:AM1048576 U5:AF1048576">
    <cfRule type="cellIs" dxfId="408" priority="464" operator="equal">
      <formula>"apagado"</formula>
    </cfRule>
  </conditionalFormatting>
  <conditionalFormatting sqref="AA3">
    <cfRule type="cellIs" dxfId="407" priority="463" operator="equal">
      <formula>"apagado"</formula>
    </cfRule>
  </conditionalFormatting>
  <conditionalFormatting sqref="Z3">
    <cfRule type="cellIs" dxfId="406" priority="462" operator="equal">
      <formula>"apagado"</formula>
    </cfRule>
  </conditionalFormatting>
  <conditionalFormatting sqref="Y3">
    <cfRule type="cellIs" dxfId="405" priority="461" operator="equal">
      <formula>"apagado"</formula>
    </cfRule>
  </conditionalFormatting>
  <conditionalFormatting sqref="X3">
    <cfRule type="cellIs" dxfId="404" priority="460" operator="equal">
      <formula>"apagado"</formula>
    </cfRule>
  </conditionalFormatting>
  <conditionalFormatting sqref="W3">
    <cfRule type="cellIs" dxfId="403" priority="459" operator="equal">
      <formula>"apagado"</formula>
    </cfRule>
  </conditionalFormatting>
  <conditionalFormatting sqref="V3">
    <cfRule type="cellIs" dxfId="402" priority="458" operator="equal">
      <formula>"apagado"</formula>
    </cfRule>
  </conditionalFormatting>
  <conditionalFormatting sqref="U3">
    <cfRule type="cellIs" dxfId="401" priority="457" operator="equal">
      <formula>"apagado"</formula>
    </cfRule>
  </conditionalFormatting>
  <conditionalFormatting sqref="AC97:AC99">
    <cfRule type="cellIs" dxfId="400" priority="451" operator="lessThan">
      <formula>0.8</formula>
    </cfRule>
    <cfRule type="cellIs" dxfId="399" priority="452" operator="greaterThan">
      <formula>0.8</formula>
    </cfRule>
  </conditionalFormatting>
  <conditionalFormatting sqref="AC97:AC99">
    <cfRule type="notContainsText" dxfId="398" priority="449" operator="notContains" text="Caida">
      <formula>ISERROR(SEARCH("Caida",AC97))</formula>
    </cfRule>
    <cfRule type="containsText" dxfId="397" priority="450" operator="containsText" text="Caida">
      <formula>NOT(ISERROR(SEARCH("Caida",AC97)))</formula>
    </cfRule>
  </conditionalFormatting>
  <conditionalFormatting sqref="AC3">
    <cfRule type="cellIs" dxfId="396" priority="448" operator="equal">
      <formula>"apagado"</formula>
    </cfRule>
  </conditionalFormatting>
  <conditionalFormatting sqref="AD97:AD99">
    <cfRule type="cellIs" dxfId="395" priority="442" operator="lessThan">
      <formula>0.8</formula>
    </cfRule>
    <cfRule type="cellIs" dxfId="394" priority="443" operator="greaterThan">
      <formula>0.8</formula>
    </cfRule>
  </conditionalFormatting>
  <conditionalFormatting sqref="AD97:AD99">
    <cfRule type="notContainsText" dxfId="393" priority="440" operator="notContains" text="Caida">
      <formula>ISERROR(SEARCH("Caida",AD97))</formula>
    </cfRule>
    <cfRule type="containsText" dxfId="392" priority="441" operator="containsText" text="Caida">
      <formula>NOT(ISERROR(SEARCH("Caida",AD97)))</formula>
    </cfRule>
  </conditionalFormatting>
  <conditionalFormatting sqref="AD3">
    <cfRule type="cellIs" dxfId="391" priority="439" operator="equal">
      <formula>"apagado"</formula>
    </cfRule>
  </conditionalFormatting>
  <conditionalFormatting sqref="AE3">
    <cfRule type="cellIs" dxfId="390" priority="430" operator="equal">
      <formula>"apagado"</formula>
    </cfRule>
  </conditionalFormatting>
  <conditionalFormatting sqref="AF97:AF99">
    <cfRule type="cellIs" dxfId="389" priority="424" operator="lessThan">
      <formula>0.8</formula>
    </cfRule>
    <cfRule type="cellIs" dxfId="388" priority="425" operator="greaterThan">
      <formula>0.8</formula>
    </cfRule>
  </conditionalFormatting>
  <conditionalFormatting sqref="AF97:AF99">
    <cfRule type="notContainsText" dxfId="387" priority="422" operator="notContains" text="Caida">
      <formula>ISERROR(SEARCH("Caida",AF97))</formula>
    </cfRule>
    <cfRule type="containsText" dxfId="386" priority="423" operator="containsText" text="Caida">
      <formula>NOT(ISERROR(SEARCH("Caida",AF97)))</formula>
    </cfRule>
  </conditionalFormatting>
  <conditionalFormatting sqref="AF3">
    <cfRule type="cellIs" dxfId="385" priority="421" operator="equal">
      <formula>"apagado"</formula>
    </cfRule>
  </conditionalFormatting>
  <conditionalFormatting sqref="AM97:AM98">
    <cfRule type="cellIs" dxfId="384" priority="394" operator="lessThan">
      <formula>0.8</formula>
    </cfRule>
    <cfRule type="cellIs" dxfId="383" priority="395" operator="greaterThan">
      <formula>0.8</formula>
    </cfRule>
  </conditionalFormatting>
  <conditionalFormatting sqref="AM97:AM98">
    <cfRule type="notContainsText" dxfId="382" priority="392" operator="notContains" text="Caida">
      <formula>ISERROR(SEARCH("Caida",AM97))</formula>
    </cfRule>
    <cfRule type="containsText" dxfId="381" priority="393" operator="containsText" text="Caida">
      <formula>NOT(ISERROR(SEARCH("Caida",AM97)))</formula>
    </cfRule>
  </conditionalFormatting>
  <conditionalFormatting sqref="AM14">
    <cfRule type="cellIs" dxfId="380" priority="387" operator="equal">
      <formula>"apagado"</formula>
    </cfRule>
    <cfRule type="cellIs" dxfId="379" priority="390" operator="lessThan">
      <formula>0.8</formula>
    </cfRule>
    <cfRule type="cellIs" dxfId="378" priority="391" operator="greaterThan">
      <formula>0.8</formula>
    </cfRule>
  </conditionalFormatting>
  <conditionalFormatting sqref="AM14">
    <cfRule type="notContainsText" dxfId="377" priority="388" operator="notContains" text="Caida">
      <formula>ISERROR(SEARCH("Caida",AM14))</formula>
    </cfRule>
    <cfRule type="containsText" dxfId="376" priority="389" operator="containsText" text="Caida">
      <formula>NOT(ISERROR(SEARCH("Caida",AM14)))</formula>
    </cfRule>
  </conditionalFormatting>
  <conditionalFormatting sqref="AM3">
    <cfRule type="cellIs" dxfId="375" priority="386" operator="equal">
      <formula>"apagado"</formula>
    </cfRule>
  </conditionalFormatting>
  <conditionalFormatting sqref="U67">
    <cfRule type="containsText" dxfId="374" priority="344" operator="containsText" text="Instaladas en Funcionamiento Caida">
      <formula>NOT(ISERROR(SEARCH("Instaladas en Funcionamiento Caida",U67)))</formula>
    </cfRule>
  </conditionalFormatting>
  <conditionalFormatting sqref="U7">
    <cfRule type="cellIs" dxfId="373" priority="342" operator="lessThan">
      <formula>0.8</formula>
    </cfRule>
    <cfRule type="cellIs" dxfId="372" priority="343" operator="greaterThan">
      <formula>0.8</formula>
    </cfRule>
  </conditionalFormatting>
  <conditionalFormatting sqref="U7">
    <cfRule type="notContainsText" dxfId="371" priority="340" operator="notContains" text="Caida">
      <formula>ISERROR(SEARCH("Caida",U7))</formula>
    </cfRule>
    <cfRule type="containsText" dxfId="370" priority="341" operator="containsText" text="Caida">
      <formula>NOT(ISERROR(SEARCH("Caida",U7)))</formula>
    </cfRule>
  </conditionalFormatting>
  <conditionalFormatting sqref="U97:U99">
    <cfRule type="cellIs" dxfId="369" priority="333" operator="lessThan">
      <formula>0.8</formula>
    </cfRule>
    <cfRule type="cellIs" dxfId="368" priority="334" operator="greaterThan">
      <formula>0.8</formula>
    </cfRule>
  </conditionalFormatting>
  <conditionalFormatting sqref="U97:U99">
    <cfRule type="notContainsText" dxfId="367" priority="331" operator="notContains" text="Caida">
      <formula>ISERROR(SEARCH("Caida",U97))</formula>
    </cfRule>
    <cfRule type="containsText" dxfId="366" priority="332" operator="containsText" text="Caida">
      <formula>NOT(ISERROR(SEARCH("Caida",U97)))</formula>
    </cfRule>
  </conditionalFormatting>
  <conditionalFormatting sqref="V67">
    <cfRule type="containsText" dxfId="365" priority="324" operator="containsText" text="Instaladas en Funcionamiento Caida">
      <formula>NOT(ISERROR(SEARCH("Instaladas en Funcionamiento Caida",V67)))</formula>
    </cfRule>
  </conditionalFormatting>
  <conditionalFormatting sqref="V7">
    <cfRule type="cellIs" dxfId="364" priority="322" operator="lessThan">
      <formula>0.8</formula>
    </cfRule>
    <cfRule type="cellIs" dxfId="363" priority="323" operator="greaterThan">
      <formula>0.8</formula>
    </cfRule>
  </conditionalFormatting>
  <conditionalFormatting sqref="V7">
    <cfRule type="notContainsText" dxfId="362" priority="320" operator="notContains" text="Caida">
      <formula>ISERROR(SEARCH("Caida",V7))</formula>
    </cfRule>
    <cfRule type="containsText" dxfId="361" priority="321" operator="containsText" text="Caida">
      <formula>NOT(ISERROR(SEARCH("Caida",V7)))</formula>
    </cfRule>
  </conditionalFormatting>
  <conditionalFormatting sqref="V97:V99">
    <cfRule type="cellIs" dxfId="360" priority="313" operator="lessThan">
      <formula>0.8</formula>
    </cfRule>
    <cfRule type="cellIs" dxfId="359" priority="314" operator="greaterThan">
      <formula>0.8</formula>
    </cfRule>
  </conditionalFormatting>
  <conditionalFormatting sqref="V97:V99">
    <cfRule type="notContainsText" dxfId="358" priority="311" operator="notContains" text="Caida">
      <formula>ISERROR(SEARCH("Caida",V97))</formula>
    </cfRule>
    <cfRule type="containsText" dxfId="357" priority="312" operator="containsText" text="Caida">
      <formula>NOT(ISERROR(SEARCH("Caida",V97)))</formula>
    </cfRule>
  </conditionalFormatting>
  <conditionalFormatting sqref="AD98">
    <cfRule type="cellIs" dxfId="356" priority="307" operator="lessThan">
      <formula>0.8</formula>
    </cfRule>
    <cfRule type="cellIs" dxfId="355" priority="308" operator="greaterThan">
      <formula>0.8</formula>
    </cfRule>
  </conditionalFormatting>
  <conditionalFormatting sqref="AD98">
    <cfRule type="notContainsText" dxfId="354" priority="305" operator="notContains" text="Caida">
      <formula>ISERROR(SEARCH("Caida",AD98))</formula>
    </cfRule>
    <cfRule type="containsText" dxfId="353" priority="306" operator="containsText" text="Caida">
      <formula>NOT(ISERROR(SEARCH("Caida",AD98)))</formula>
    </cfRule>
  </conditionalFormatting>
  <conditionalFormatting sqref="AD100">
    <cfRule type="cellIs" dxfId="352" priority="303" operator="lessThan">
      <formula>0.8</formula>
    </cfRule>
    <cfRule type="cellIs" dxfId="351" priority="304" operator="greaterThan">
      <formula>0.8</formula>
    </cfRule>
  </conditionalFormatting>
  <conditionalFormatting sqref="AD100">
    <cfRule type="notContainsText" dxfId="350" priority="301" operator="notContains" text="Caida">
      <formula>ISERROR(SEARCH("Caida",AD100))</formula>
    </cfRule>
    <cfRule type="containsText" dxfId="349" priority="302" operator="containsText" text="Caida">
      <formula>NOT(ISERROR(SEARCH("Caida",AD100)))</formula>
    </cfRule>
  </conditionalFormatting>
  <conditionalFormatting sqref="AD103:AD104">
    <cfRule type="cellIs" dxfId="348" priority="299" operator="lessThan">
      <formula>0.8</formula>
    </cfRule>
    <cfRule type="cellIs" dxfId="347" priority="300" operator="greaterThan">
      <formula>0.8</formula>
    </cfRule>
  </conditionalFormatting>
  <conditionalFormatting sqref="AD103:AD104">
    <cfRule type="notContainsText" dxfId="346" priority="297" operator="notContains" text="Caida">
      <formula>ISERROR(SEARCH("Caida",AD103))</formula>
    </cfRule>
    <cfRule type="containsText" dxfId="345" priority="298" operator="containsText" text="Caida">
      <formula>NOT(ISERROR(SEARCH("Caida",AD103)))</formula>
    </cfRule>
  </conditionalFormatting>
  <conditionalFormatting sqref="AD121">
    <cfRule type="cellIs" dxfId="344" priority="295" operator="lessThan">
      <formula>0.8</formula>
    </cfRule>
    <cfRule type="cellIs" dxfId="343" priority="296" operator="greaterThan">
      <formula>0.8</formula>
    </cfRule>
  </conditionalFormatting>
  <conditionalFormatting sqref="AD121">
    <cfRule type="notContainsText" dxfId="342" priority="293" operator="notContains" text="Caida">
      <formula>ISERROR(SEARCH("Caida",AD121))</formula>
    </cfRule>
    <cfRule type="containsText" dxfId="341" priority="294" operator="containsText" text="Caida">
      <formula>NOT(ISERROR(SEARCH("Caida",AD121)))</formula>
    </cfRule>
  </conditionalFormatting>
  <conditionalFormatting sqref="AD122">
    <cfRule type="cellIs" dxfId="340" priority="291" operator="lessThan">
      <formula>0.8</formula>
    </cfRule>
    <cfRule type="cellIs" dxfId="339" priority="292" operator="greaterThan">
      <formula>0.8</formula>
    </cfRule>
  </conditionalFormatting>
  <conditionalFormatting sqref="AD122">
    <cfRule type="notContainsText" dxfId="338" priority="289" operator="notContains" text="Caida">
      <formula>ISERROR(SEARCH("Caida",AD122))</formula>
    </cfRule>
    <cfRule type="containsText" dxfId="337" priority="290" operator="containsText" text="Caida">
      <formula>NOT(ISERROR(SEARCH("Caida",AD122)))</formula>
    </cfRule>
  </conditionalFormatting>
  <conditionalFormatting sqref="AD126:AD130">
    <cfRule type="cellIs" dxfId="336" priority="287" operator="lessThan">
      <formula>0.8</formula>
    </cfRule>
    <cfRule type="cellIs" dxfId="335" priority="288" operator="greaterThan">
      <formula>0.8</formula>
    </cfRule>
  </conditionalFormatting>
  <conditionalFormatting sqref="AD126:AD130">
    <cfRule type="notContainsText" dxfId="334" priority="285" operator="notContains" text="Caida">
      <formula>ISERROR(SEARCH("Caida",AD126))</formula>
    </cfRule>
    <cfRule type="containsText" dxfId="333" priority="286" operator="containsText" text="Caida">
      <formula>NOT(ISERROR(SEARCH("Caida",AD126)))</formula>
    </cfRule>
  </conditionalFormatting>
  <conditionalFormatting sqref="AD131">
    <cfRule type="cellIs" dxfId="332" priority="283" operator="lessThan">
      <formula>0.8</formula>
    </cfRule>
    <cfRule type="cellIs" dxfId="331" priority="284" operator="greaterThan">
      <formula>0.8</formula>
    </cfRule>
  </conditionalFormatting>
  <conditionalFormatting sqref="AD131">
    <cfRule type="notContainsText" dxfId="330" priority="281" operator="notContains" text="Caida">
      <formula>ISERROR(SEARCH("Caida",AD131))</formula>
    </cfRule>
    <cfRule type="containsText" dxfId="329" priority="282" operator="containsText" text="Caida">
      <formula>NOT(ISERROR(SEARCH("Caida",AD131)))</formula>
    </cfRule>
  </conditionalFormatting>
  <conditionalFormatting sqref="AD143">
    <cfRule type="cellIs" dxfId="328" priority="279" operator="lessThan">
      <formula>0.8</formula>
    </cfRule>
    <cfRule type="cellIs" dxfId="327" priority="280" operator="greaterThan">
      <formula>0.8</formula>
    </cfRule>
  </conditionalFormatting>
  <conditionalFormatting sqref="AD143">
    <cfRule type="notContainsText" dxfId="326" priority="277" operator="notContains" text="Caida">
      <formula>ISERROR(SEARCH("Caida",AD143))</formula>
    </cfRule>
    <cfRule type="containsText" dxfId="325" priority="278" operator="containsText" text="Caida">
      <formula>NOT(ISERROR(SEARCH("Caida",AD143)))</formula>
    </cfRule>
  </conditionalFormatting>
  <conditionalFormatting sqref="AD145">
    <cfRule type="cellIs" dxfId="324" priority="275" operator="lessThan">
      <formula>0.8</formula>
    </cfRule>
    <cfRule type="cellIs" dxfId="323" priority="276" operator="greaterThan">
      <formula>0.8</formula>
    </cfRule>
  </conditionalFormatting>
  <conditionalFormatting sqref="AD145">
    <cfRule type="notContainsText" dxfId="322" priority="273" operator="notContains" text="Caida">
      <formula>ISERROR(SEARCH("Caida",AD145))</formula>
    </cfRule>
    <cfRule type="containsText" dxfId="321" priority="274" operator="containsText" text="Caida">
      <formula>NOT(ISERROR(SEARCH("Caida",AD145)))</formula>
    </cfRule>
  </conditionalFormatting>
  <conditionalFormatting sqref="AD152">
    <cfRule type="cellIs" dxfId="320" priority="271" operator="lessThan">
      <formula>0.8</formula>
    </cfRule>
    <cfRule type="cellIs" dxfId="319" priority="272" operator="greaterThan">
      <formula>0.8</formula>
    </cfRule>
  </conditionalFormatting>
  <conditionalFormatting sqref="AD152">
    <cfRule type="notContainsText" dxfId="318" priority="269" operator="notContains" text="Caida">
      <formula>ISERROR(SEARCH("Caida",AD152))</formula>
    </cfRule>
    <cfRule type="containsText" dxfId="317" priority="270" operator="containsText" text="Caida">
      <formula>NOT(ISERROR(SEARCH("Caida",AD152)))</formula>
    </cfRule>
  </conditionalFormatting>
  <conditionalFormatting sqref="AD153">
    <cfRule type="cellIs" dxfId="316" priority="267" operator="lessThan">
      <formula>0.8</formula>
    </cfRule>
    <cfRule type="cellIs" dxfId="315" priority="268" operator="greaterThan">
      <formula>0.8</formula>
    </cfRule>
  </conditionalFormatting>
  <conditionalFormatting sqref="AD153">
    <cfRule type="notContainsText" dxfId="314" priority="265" operator="notContains" text="Caida">
      <formula>ISERROR(SEARCH("Caida",AD153))</formula>
    </cfRule>
    <cfRule type="containsText" dxfId="313" priority="266" operator="containsText" text="Caida">
      <formula>NOT(ISERROR(SEARCH("Caida",AD153)))</formula>
    </cfRule>
  </conditionalFormatting>
  <conditionalFormatting sqref="AD154">
    <cfRule type="cellIs" dxfId="312" priority="263" operator="lessThan">
      <formula>0.8</formula>
    </cfRule>
    <cfRule type="cellIs" dxfId="311" priority="264" operator="greaterThan">
      <formula>0.8</formula>
    </cfRule>
  </conditionalFormatting>
  <conditionalFormatting sqref="AD154">
    <cfRule type="notContainsText" dxfId="310" priority="261" operator="notContains" text="Caida">
      <formula>ISERROR(SEARCH("Caida",AD154))</formula>
    </cfRule>
    <cfRule type="containsText" dxfId="309" priority="262" operator="containsText" text="Caida">
      <formula>NOT(ISERROR(SEARCH("Caida",AD154)))</formula>
    </cfRule>
  </conditionalFormatting>
  <conditionalFormatting sqref="AD173">
    <cfRule type="cellIs" dxfId="308" priority="259" operator="lessThan">
      <formula>0.8</formula>
    </cfRule>
    <cfRule type="cellIs" dxfId="307" priority="260" operator="greaterThan">
      <formula>0.8</formula>
    </cfRule>
  </conditionalFormatting>
  <conditionalFormatting sqref="AD173">
    <cfRule type="notContainsText" dxfId="306" priority="257" operator="notContains" text="Caida">
      <formula>ISERROR(SEARCH("Caida",AD173))</formula>
    </cfRule>
    <cfRule type="containsText" dxfId="305" priority="258" operator="containsText" text="Caida">
      <formula>NOT(ISERROR(SEARCH("Caida",AD173)))</formula>
    </cfRule>
  </conditionalFormatting>
  <conditionalFormatting sqref="AD174">
    <cfRule type="cellIs" dxfId="304" priority="255" operator="lessThan">
      <formula>0.8</formula>
    </cfRule>
    <cfRule type="cellIs" dxfId="303" priority="256" operator="greaterThan">
      <formula>0.8</formula>
    </cfRule>
  </conditionalFormatting>
  <conditionalFormatting sqref="AD174">
    <cfRule type="notContainsText" dxfId="302" priority="253" operator="notContains" text="Caida">
      <formula>ISERROR(SEARCH("Caida",AD174))</formula>
    </cfRule>
    <cfRule type="containsText" dxfId="301" priority="254" operator="containsText" text="Caida">
      <formula>NOT(ISERROR(SEARCH("Caida",AD174)))</formula>
    </cfRule>
  </conditionalFormatting>
  <conditionalFormatting sqref="AD176">
    <cfRule type="cellIs" dxfId="300" priority="251" operator="lessThan">
      <formula>0.8</formula>
    </cfRule>
    <cfRule type="cellIs" dxfId="299" priority="252" operator="greaterThan">
      <formula>0.8</formula>
    </cfRule>
  </conditionalFormatting>
  <conditionalFormatting sqref="AD176">
    <cfRule type="notContainsText" dxfId="298" priority="249" operator="notContains" text="Caida">
      <formula>ISERROR(SEARCH("Caida",AD176))</formula>
    </cfRule>
    <cfRule type="containsText" dxfId="297" priority="250" operator="containsText" text="Caida">
      <formula>NOT(ISERROR(SEARCH("Caida",AD176)))</formula>
    </cfRule>
  </conditionalFormatting>
  <conditionalFormatting sqref="AD189">
    <cfRule type="cellIs" dxfId="296" priority="247" operator="lessThan">
      <formula>0.8</formula>
    </cfRule>
    <cfRule type="cellIs" dxfId="295" priority="248" operator="greaterThan">
      <formula>0.8</formula>
    </cfRule>
  </conditionalFormatting>
  <conditionalFormatting sqref="AD189">
    <cfRule type="notContainsText" dxfId="294" priority="245" operator="notContains" text="Caida">
      <formula>ISERROR(SEARCH("Caida",AD189))</formula>
    </cfRule>
    <cfRule type="containsText" dxfId="293" priority="246" operator="containsText" text="Caida">
      <formula>NOT(ISERROR(SEARCH("Caida",AD189)))</formula>
    </cfRule>
  </conditionalFormatting>
  <conditionalFormatting sqref="AD200">
    <cfRule type="cellIs" dxfId="292" priority="243" operator="lessThan">
      <formula>0.8</formula>
    </cfRule>
    <cfRule type="cellIs" dxfId="291" priority="244" operator="greaterThan">
      <formula>0.8</formula>
    </cfRule>
  </conditionalFormatting>
  <conditionalFormatting sqref="AD200">
    <cfRule type="notContainsText" dxfId="290" priority="241" operator="notContains" text="Caida">
      <formula>ISERROR(SEARCH("Caida",AD200))</formula>
    </cfRule>
    <cfRule type="containsText" dxfId="289" priority="242" operator="containsText" text="Caida">
      <formula>NOT(ISERROR(SEARCH("Caida",AD200)))</formula>
    </cfRule>
  </conditionalFormatting>
  <conditionalFormatting sqref="AD201:AD202">
    <cfRule type="cellIs" dxfId="288" priority="239" operator="lessThan">
      <formula>0.8</formula>
    </cfRule>
    <cfRule type="cellIs" dxfId="287" priority="240" operator="greaterThan">
      <formula>0.8</formula>
    </cfRule>
  </conditionalFormatting>
  <conditionalFormatting sqref="AD201:AD202">
    <cfRule type="notContainsText" dxfId="286" priority="237" operator="notContains" text="Caida">
      <formula>ISERROR(SEARCH("Caida",AD201))</formula>
    </cfRule>
    <cfRule type="containsText" dxfId="285" priority="238" operator="containsText" text="Caida">
      <formula>NOT(ISERROR(SEARCH("Caida",AD201)))</formula>
    </cfRule>
  </conditionalFormatting>
  <conditionalFormatting sqref="AD208">
    <cfRule type="cellIs" dxfId="284" priority="235" operator="lessThan">
      <formula>0.8</formula>
    </cfRule>
    <cfRule type="cellIs" dxfId="283" priority="236" operator="greaterThan">
      <formula>0.8</formula>
    </cfRule>
  </conditionalFormatting>
  <conditionalFormatting sqref="AD208">
    <cfRule type="notContainsText" dxfId="282" priority="233" operator="notContains" text="Caida">
      <formula>ISERROR(SEARCH("Caida",AD208))</formula>
    </cfRule>
    <cfRule type="containsText" dxfId="281" priority="234" operator="containsText" text="Caida">
      <formula>NOT(ISERROR(SEARCH("Caida",AD208)))</formula>
    </cfRule>
  </conditionalFormatting>
  <conditionalFormatting sqref="AD216">
    <cfRule type="cellIs" dxfId="280" priority="231" operator="lessThan">
      <formula>0.8</formula>
    </cfRule>
    <cfRule type="cellIs" dxfId="279" priority="232" operator="greaterThan">
      <formula>0.8</formula>
    </cfRule>
  </conditionalFormatting>
  <conditionalFormatting sqref="AD216">
    <cfRule type="notContainsText" dxfId="278" priority="229" operator="notContains" text="Caida">
      <formula>ISERROR(SEARCH("Caida",AD216))</formula>
    </cfRule>
    <cfRule type="containsText" dxfId="277" priority="230" operator="containsText" text="Caida">
      <formula>NOT(ISERROR(SEARCH("Caida",AD216)))</formula>
    </cfRule>
  </conditionalFormatting>
  <conditionalFormatting sqref="AD221">
    <cfRule type="cellIs" dxfId="276" priority="227" operator="lessThan">
      <formula>0.8</formula>
    </cfRule>
    <cfRule type="cellIs" dxfId="275" priority="228" operator="greaterThan">
      <formula>0.8</formula>
    </cfRule>
  </conditionalFormatting>
  <conditionalFormatting sqref="AD221">
    <cfRule type="notContainsText" dxfId="274" priority="225" operator="notContains" text="Caida">
      <formula>ISERROR(SEARCH("Caida",AD221))</formula>
    </cfRule>
    <cfRule type="containsText" dxfId="273" priority="226" operator="containsText" text="Caida">
      <formula>NOT(ISERROR(SEARCH("Caida",AD221)))</formula>
    </cfRule>
  </conditionalFormatting>
  <conditionalFormatting sqref="AD222">
    <cfRule type="cellIs" dxfId="272" priority="223" operator="lessThan">
      <formula>0.8</formula>
    </cfRule>
    <cfRule type="cellIs" dxfId="271" priority="224" operator="greaterThan">
      <formula>0.8</formula>
    </cfRule>
  </conditionalFormatting>
  <conditionalFormatting sqref="AD222">
    <cfRule type="notContainsText" dxfId="270" priority="221" operator="notContains" text="Caida">
      <formula>ISERROR(SEARCH("Caida",AD222))</formula>
    </cfRule>
    <cfRule type="containsText" dxfId="269" priority="222" operator="containsText" text="Caida">
      <formula>NOT(ISERROR(SEARCH("Caida",AD222)))</formula>
    </cfRule>
  </conditionalFormatting>
  <conditionalFormatting sqref="AD383">
    <cfRule type="cellIs" dxfId="268" priority="220" operator="equal">
      <formula>"apagado"</formula>
    </cfRule>
  </conditionalFormatting>
  <conditionalFormatting sqref="AD388">
    <cfRule type="cellIs" dxfId="267" priority="219" operator="equal">
      <formula>"apagado"</formula>
    </cfRule>
  </conditionalFormatting>
  <conditionalFormatting sqref="AD384">
    <cfRule type="cellIs" dxfId="266" priority="218" operator="equal">
      <formula>"apagado"</formula>
    </cfRule>
  </conditionalFormatting>
  <conditionalFormatting sqref="AD385">
    <cfRule type="cellIs" dxfId="265" priority="217" operator="equal">
      <formula>"apagado"</formula>
    </cfRule>
  </conditionalFormatting>
  <conditionalFormatting sqref="AD216">
    <cfRule type="cellIs" dxfId="264" priority="216" operator="equal">
      <formula>"apagado"</formula>
    </cfRule>
  </conditionalFormatting>
  <conditionalFormatting sqref="AD221">
    <cfRule type="cellIs" dxfId="263" priority="215" operator="equal">
      <formula>"apagado"</formula>
    </cfRule>
  </conditionalFormatting>
  <conditionalFormatting sqref="AD222">
    <cfRule type="cellIs" dxfId="262" priority="214" operator="equal">
      <formula>"apagado"</formula>
    </cfRule>
  </conditionalFormatting>
  <conditionalFormatting sqref="AD208">
    <cfRule type="cellIs" dxfId="261" priority="213" operator="equal">
      <formula>"apagado"</formula>
    </cfRule>
  </conditionalFormatting>
  <conditionalFormatting sqref="AD201:AD202">
    <cfRule type="cellIs" dxfId="260" priority="212" operator="equal">
      <formula>"apagado"</formula>
    </cfRule>
  </conditionalFormatting>
  <conditionalFormatting sqref="AD200">
    <cfRule type="cellIs" dxfId="259" priority="211" operator="equal">
      <formula>"apagado"</formula>
    </cfRule>
  </conditionalFormatting>
  <conditionalFormatting sqref="AD189">
    <cfRule type="cellIs" dxfId="258" priority="210" operator="equal">
      <formula>"apagado"</formula>
    </cfRule>
  </conditionalFormatting>
  <conditionalFormatting sqref="AD176">
    <cfRule type="cellIs" dxfId="257" priority="209" operator="equal">
      <formula>"apagado"</formula>
    </cfRule>
  </conditionalFormatting>
  <conditionalFormatting sqref="AD173">
    <cfRule type="cellIs" dxfId="256" priority="208" operator="equal">
      <formula>"apagado"</formula>
    </cfRule>
  </conditionalFormatting>
  <conditionalFormatting sqref="AD174">
    <cfRule type="cellIs" dxfId="255" priority="207" operator="equal">
      <formula>"apagado"</formula>
    </cfRule>
  </conditionalFormatting>
  <conditionalFormatting sqref="AD152">
    <cfRule type="cellIs" dxfId="254" priority="206" operator="equal">
      <formula>"apagado"</formula>
    </cfRule>
  </conditionalFormatting>
  <conditionalFormatting sqref="AD153">
    <cfRule type="cellIs" dxfId="253" priority="205" operator="equal">
      <formula>"apagado"</formula>
    </cfRule>
  </conditionalFormatting>
  <conditionalFormatting sqref="AD154">
    <cfRule type="cellIs" dxfId="252" priority="204" operator="equal">
      <formula>"apagado"</formula>
    </cfRule>
  </conditionalFormatting>
  <conditionalFormatting sqref="AD143">
    <cfRule type="cellIs" dxfId="251" priority="203" operator="equal">
      <formula>"apagado"</formula>
    </cfRule>
  </conditionalFormatting>
  <conditionalFormatting sqref="AD145">
    <cfRule type="cellIs" dxfId="250" priority="202" operator="equal">
      <formula>"apagado"</formula>
    </cfRule>
  </conditionalFormatting>
  <conditionalFormatting sqref="AD121">
    <cfRule type="cellIs" dxfId="249" priority="201" operator="equal">
      <formula>"apagado"</formula>
    </cfRule>
  </conditionalFormatting>
  <conditionalFormatting sqref="AD122">
    <cfRule type="cellIs" dxfId="248" priority="200" operator="equal">
      <formula>"apagado"</formula>
    </cfRule>
  </conditionalFormatting>
  <conditionalFormatting sqref="AD126:AD130">
    <cfRule type="cellIs" dxfId="247" priority="199" operator="equal">
      <formula>"apagado"</formula>
    </cfRule>
  </conditionalFormatting>
  <conditionalFormatting sqref="AD131">
    <cfRule type="cellIs" dxfId="246" priority="198" operator="equal">
      <formula>"apagado"</formula>
    </cfRule>
  </conditionalFormatting>
  <conditionalFormatting sqref="AD103:AD104">
    <cfRule type="cellIs" dxfId="245" priority="197" operator="equal">
      <formula>"apagado"</formula>
    </cfRule>
  </conditionalFormatting>
  <conditionalFormatting sqref="AD98">
    <cfRule type="cellIs" dxfId="244" priority="195" operator="lessThan">
      <formula>0.8</formula>
    </cfRule>
    <cfRule type="cellIs" dxfId="243" priority="196" operator="greaterThan">
      <formula>0.8</formula>
    </cfRule>
  </conditionalFormatting>
  <conditionalFormatting sqref="AD98">
    <cfRule type="notContainsText" dxfId="242" priority="193" operator="notContains" text="Caida">
      <formula>ISERROR(SEARCH("Caida",AD98))</formula>
    </cfRule>
    <cfRule type="containsText" dxfId="241" priority="194" operator="containsText" text="Caida">
      <formula>NOT(ISERROR(SEARCH("Caida",AD98)))</formula>
    </cfRule>
  </conditionalFormatting>
  <conditionalFormatting sqref="AD98">
    <cfRule type="cellIs" dxfId="240" priority="192" operator="equal">
      <formula>"apagado"</formula>
    </cfRule>
  </conditionalFormatting>
  <conditionalFormatting sqref="AD100">
    <cfRule type="cellIs" dxfId="239" priority="191" operator="equal">
      <formula>"apagado"</formula>
    </cfRule>
  </conditionalFormatting>
  <conditionalFormatting sqref="E397:E403">
    <cfRule type="containsText" dxfId="238" priority="158" operator="containsText" text="fija">
      <formula>NOT(ISERROR(SEARCH("fija",E397)))</formula>
    </cfRule>
    <cfRule type="containsText" dxfId="237" priority="159" operator="containsText" text="domo">
      <formula>NOT(ISERROR(SEARCH("domo",E397)))</formula>
    </cfRule>
  </conditionalFormatting>
  <conditionalFormatting sqref="F397:F403">
    <cfRule type="cellIs" dxfId="236" priority="156" operator="equal">
      <formula>"PTP A FO"</formula>
    </cfRule>
  </conditionalFormatting>
  <conditionalFormatting sqref="F1:F1048576">
    <cfRule type="cellIs" dxfId="235" priority="101" operator="equal">
      <formula>$F$10</formula>
    </cfRule>
    <cfRule type="cellIs" dxfId="234" priority="102" operator="equal">
      <formula>"PTP A FO"</formula>
    </cfRule>
  </conditionalFormatting>
  <conditionalFormatting sqref="E1:E1048576">
    <cfRule type="cellIs" dxfId="233" priority="100" operator="equal">
      <formula>$E$7</formula>
    </cfRule>
  </conditionalFormatting>
  <conditionalFormatting sqref="C1:C1048576">
    <cfRule type="cellIs" dxfId="232" priority="98" operator="equal">
      <formula>$C$204</formula>
    </cfRule>
    <cfRule type="cellIs" dxfId="231" priority="99" operator="equal">
      <formula>$C$192</formula>
    </cfRule>
  </conditionalFormatting>
  <conditionalFormatting sqref="AE67">
    <cfRule type="containsText" dxfId="230" priority="93" operator="containsText" text="Instaladas en Funcionamiento Caida">
      <formula>NOT(ISERROR(SEARCH("Instaladas en Funcionamiento Caida",AE67)))</formula>
    </cfRule>
  </conditionalFormatting>
  <conditionalFormatting sqref="AE7">
    <cfRule type="cellIs" dxfId="229" priority="91" operator="lessThan">
      <formula>0.8</formula>
    </cfRule>
    <cfRule type="cellIs" dxfId="228" priority="92" operator="greaterThan">
      <formula>0.8</formula>
    </cfRule>
  </conditionalFormatting>
  <conditionalFormatting sqref="AE7">
    <cfRule type="notContainsText" dxfId="227" priority="89" operator="notContains" text="Caida">
      <formula>ISERROR(SEARCH("Caida",AE7))</formula>
    </cfRule>
    <cfRule type="containsText" dxfId="226" priority="90" operator="containsText" text="Caida">
      <formula>NOT(ISERROR(SEARCH("Caida",AE7)))</formula>
    </cfRule>
  </conditionalFormatting>
  <conditionalFormatting sqref="AE97:AE99">
    <cfRule type="cellIs" dxfId="225" priority="82" operator="lessThan">
      <formula>0.8</formula>
    </cfRule>
    <cfRule type="cellIs" dxfId="224" priority="83" operator="greaterThan">
      <formula>0.8</formula>
    </cfRule>
  </conditionalFormatting>
  <conditionalFormatting sqref="AE97:AE99">
    <cfRule type="notContainsText" dxfId="223" priority="80" operator="notContains" text="Caida">
      <formula>ISERROR(SEARCH("Caida",AE97))</formula>
    </cfRule>
    <cfRule type="containsText" dxfId="222" priority="81" operator="containsText" text="Caida">
      <formula>NOT(ISERROR(SEARCH("Caida",AE97)))</formula>
    </cfRule>
  </conditionalFormatting>
  <conditionalFormatting sqref="AA81">
    <cfRule type="cellIs" dxfId="221" priority="71" operator="equal">
      <formula>"apagado"</formula>
    </cfRule>
  </conditionalFormatting>
  <conditionalFormatting sqref="AB100">
    <cfRule type="cellIs" dxfId="220" priority="69" operator="lessThan">
      <formula>0.8</formula>
    </cfRule>
    <cfRule type="cellIs" dxfId="219" priority="70" operator="greaterThan">
      <formula>0.8</formula>
    </cfRule>
  </conditionalFormatting>
  <conditionalFormatting sqref="AB100">
    <cfRule type="notContainsText" dxfId="218" priority="67" operator="notContains" text="Caida">
      <formula>ISERROR(SEARCH("Caida",AB100))</formula>
    </cfRule>
    <cfRule type="containsText" dxfId="217" priority="68" operator="containsText" text="Caida">
      <formula>NOT(ISERROR(SEARCH("Caida",AB100)))</formula>
    </cfRule>
  </conditionalFormatting>
  <conditionalFormatting sqref="AB100">
    <cfRule type="cellIs" dxfId="216" priority="66" operator="equal">
      <formula>"apagado"</formula>
    </cfRule>
  </conditionalFormatting>
  <conditionalFormatting sqref="AB144">
    <cfRule type="cellIs" dxfId="215" priority="65" operator="equal">
      <formula>"apagado"</formula>
    </cfRule>
  </conditionalFormatting>
  <conditionalFormatting sqref="AB166">
    <cfRule type="cellIs" dxfId="214" priority="64" operator="equal">
      <formula>"apagado"</formula>
    </cfRule>
  </conditionalFormatting>
  <conditionalFormatting sqref="AB168">
    <cfRule type="cellIs" dxfId="213" priority="63" operator="equal">
      <formula>"apagado"</formula>
    </cfRule>
  </conditionalFormatting>
  <conditionalFormatting sqref="AB173">
    <cfRule type="cellIs" dxfId="212" priority="62" operator="equal">
      <formula>"apagado"</formula>
    </cfRule>
  </conditionalFormatting>
  <conditionalFormatting sqref="AB176">
    <cfRule type="cellIs" dxfId="211" priority="61" operator="equal">
      <formula>"apagado"</formula>
    </cfRule>
  </conditionalFormatting>
  <conditionalFormatting sqref="AB82">
    <cfRule type="cellIs" dxfId="210" priority="59" operator="lessThan">
      <formula>0.8</formula>
    </cfRule>
    <cfRule type="cellIs" dxfId="209" priority="60" operator="greaterThan">
      <formula>0.8</formula>
    </cfRule>
  </conditionalFormatting>
  <conditionalFormatting sqref="AB82">
    <cfRule type="notContainsText" dxfId="208" priority="57" operator="notContains" text="Caida">
      <formula>ISERROR(SEARCH("Caida",AB82))</formula>
    </cfRule>
    <cfRule type="containsText" dxfId="207" priority="58" operator="containsText" text="Caida">
      <formula>NOT(ISERROR(SEARCH("Caida",AB82)))</formula>
    </cfRule>
  </conditionalFormatting>
  <conditionalFormatting sqref="AB82">
    <cfRule type="cellIs" dxfId="206" priority="56" operator="equal">
      <formula>"apagado"</formula>
    </cfRule>
  </conditionalFormatting>
  <conditionalFormatting sqref="AB200">
    <cfRule type="cellIs" dxfId="205" priority="55" operator="equal">
      <formula>"apagado"</formula>
    </cfRule>
  </conditionalFormatting>
  <conditionalFormatting sqref="AB270">
    <cfRule type="cellIs" dxfId="204" priority="54" operator="equal">
      <formula>"apagado"</formula>
    </cfRule>
  </conditionalFormatting>
  <conditionalFormatting sqref="AB271">
    <cfRule type="cellIs" dxfId="203" priority="53" operator="equal">
      <formula>"apagado"</formula>
    </cfRule>
  </conditionalFormatting>
  <conditionalFormatting sqref="AB309">
    <cfRule type="cellIs" dxfId="202" priority="52" operator="equal">
      <formula>"apagado"</formula>
    </cfRule>
  </conditionalFormatting>
  <conditionalFormatting sqref="AB310">
    <cfRule type="cellIs" dxfId="201" priority="51" operator="equal">
      <formula>"apagado"</formula>
    </cfRule>
  </conditionalFormatting>
  <conditionalFormatting sqref="AB307">
    <cfRule type="cellIs" dxfId="200" priority="50" operator="equal">
      <formula>"apagado"</formula>
    </cfRule>
  </conditionalFormatting>
  <conditionalFormatting sqref="AB308:AB310">
    <cfRule type="cellIs" dxfId="199" priority="49" operator="equal">
      <formula>"apagado"</formula>
    </cfRule>
  </conditionalFormatting>
  <conditionalFormatting sqref="AB335">
    <cfRule type="cellIs" dxfId="198" priority="48" operator="equal">
      <formula>"apagado"</formula>
    </cfRule>
  </conditionalFormatting>
  <conditionalFormatting sqref="AB344">
    <cfRule type="cellIs" dxfId="197" priority="47" operator="equal">
      <formula>"apagado"</formula>
    </cfRule>
  </conditionalFormatting>
  <conditionalFormatting sqref="AB345">
    <cfRule type="cellIs" dxfId="196" priority="46" operator="equal">
      <formula>"apagado"</formula>
    </cfRule>
  </conditionalFormatting>
  <conditionalFormatting sqref="AB362">
    <cfRule type="cellIs" dxfId="195" priority="45" operator="equal">
      <formula>"apagado"</formula>
    </cfRule>
  </conditionalFormatting>
  <conditionalFormatting sqref="AB378">
    <cfRule type="cellIs" dxfId="194" priority="44" operator="equal">
      <formula>"apagado"</formula>
    </cfRule>
  </conditionalFormatting>
  <conditionalFormatting sqref="AB379:AB381">
    <cfRule type="cellIs" dxfId="193" priority="43" operator="equal">
      <formula>"apagado"</formula>
    </cfRule>
  </conditionalFormatting>
  <conditionalFormatting sqref="AB384">
    <cfRule type="cellIs" dxfId="192" priority="42" operator="equal">
      <formula>"apagado"</formula>
    </cfRule>
  </conditionalFormatting>
  <conditionalFormatting sqref="AB385">
    <cfRule type="cellIs" dxfId="191" priority="41" operator="equal">
      <formula>"apagado"</formula>
    </cfRule>
  </conditionalFormatting>
  <conditionalFormatting sqref="AB393">
    <cfRule type="cellIs" dxfId="190" priority="40" operator="equal">
      <formula>"apagado"</formula>
    </cfRule>
  </conditionalFormatting>
  <conditionalFormatting sqref="AB223">
    <cfRule type="cellIs" dxfId="189" priority="39" operator="equal">
      <formula>"apagado"</formula>
    </cfRule>
  </conditionalFormatting>
  <conditionalFormatting sqref="AB224">
    <cfRule type="cellIs" dxfId="188" priority="38" operator="equal">
      <formula>"apagado"</formula>
    </cfRule>
  </conditionalFormatting>
  <conditionalFormatting sqref="AB225">
    <cfRule type="cellIs" dxfId="187" priority="37" operator="equal">
      <formula>"apagado"</formula>
    </cfRule>
  </conditionalFormatting>
  <conditionalFormatting sqref="AB226">
    <cfRule type="cellIs" dxfId="186" priority="36" operator="equal">
      <formula>"apagado"</formula>
    </cfRule>
  </conditionalFormatting>
  <conditionalFormatting sqref="AB234">
    <cfRule type="cellIs" dxfId="185" priority="35" operator="equal">
      <formula>"apagado"</formula>
    </cfRule>
  </conditionalFormatting>
  <conditionalFormatting sqref="AB227">
    <cfRule type="cellIs" dxfId="184" priority="34" operator="equal">
      <formula>"apagado"</formula>
    </cfRule>
  </conditionalFormatting>
  <conditionalFormatting sqref="AB220">
    <cfRule type="cellIs" dxfId="183" priority="33" operator="equal">
      <formula>"apagado"</formula>
    </cfRule>
  </conditionalFormatting>
  <conditionalFormatting sqref="E417:E418">
    <cfRule type="containsText" dxfId="182" priority="31" operator="containsText" text="fija">
      <formula>NOT(ISERROR(SEARCH("fija",E417)))</formula>
    </cfRule>
    <cfRule type="containsText" dxfId="181" priority="32" operator="containsText" text="domo">
      <formula>NOT(ISERROR(SEARCH("domo",E417)))</formula>
    </cfRule>
  </conditionalFormatting>
  <conditionalFormatting sqref="E405">
    <cfRule type="containsText" dxfId="180" priority="30" operator="containsText" text="Radio">
      <formula>NOT(ISERROR(SEARCH("Radio",E405)))</formula>
    </cfRule>
  </conditionalFormatting>
  <conditionalFormatting sqref="E405">
    <cfRule type="containsText" dxfId="179" priority="28" operator="containsText" text="fija">
      <formula>NOT(ISERROR(SEARCH("fija",E405)))</formula>
    </cfRule>
    <cfRule type="containsText" dxfId="178" priority="29" operator="containsText" text="domo">
      <formula>NOT(ISERROR(SEARCH("domo",E405)))</formula>
    </cfRule>
  </conditionalFormatting>
  <conditionalFormatting sqref="E405">
    <cfRule type="containsText" dxfId="177" priority="26" operator="containsText" text="fija">
      <formula>NOT(ISERROR(SEARCH("fija",E405)))</formula>
    </cfRule>
    <cfRule type="containsText" dxfId="176" priority="27" operator="containsText" text="domo">
      <formula>NOT(ISERROR(SEARCH("domo",E405)))</formula>
    </cfRule>
  </conditionalFormatting>
  <conditionalFormatting sqref="E406">
    <cfRule type="containsText" dxfId="175" priority="25" operator="containsText" text="Radio">
      <formula>NOT(ISERROR(SEARCH("Radio",E406)))</formula>
    </cfRule>
  </conditionalFormatting>
  <conditionalFormatting sqref="E406">
    <cfRule type="containsText" dxfId="174" priority="23" operator="containsText" text="fija">
      <formula>NOT(ISERROR(SEARCH("fija",E406)))</formula>
    </cfRule>
    <cfRule type="containsText" dxfId="173" priority="24" operator="containsText" text="domo">
      <formula>NOT(ISERROR(SEARCH("domo",E406)))</formula>
    </cfRule>
  </conditionalFormatting>
  <conditionalFormatting sqref="E406">
    <cfRule type="containsText" dxfId="172" priority="21" operator="containsText" text="fija">
      <formula>NOT(ISERROR(SEARCH("fija",E406)))</formula>
    </cfRule>
    <cfRule type="containsText" dxfId="171" priority="22" operator="containsText" text="domo">
      <formula>NOT(ISERROR(SEARCH("domo",E406)))</formula>
    </cfRule>
  </conditionalFormatting>
  <conditionalFormatting sqref="E409">
    <cfRule type="containsText" dxfId="170" priority="20" operator="containsText" text="Radio">
      <formula>NOT(ISERROR(SEARCH("Radio",E409)))</formula>
    </cfRule>
  </conditionalFormatting>
  <conditionalFormatting sqref="E409">
    <cfRule type="containsText" dxfId="169" priority="18" operator="containsText" text="fija">
      <formula>NOT(ISERROR(SEARCH("fija",E409)))</formula>
    </cfRule>
    <cfRule type="containsText" dxfId="168" priority="19" operator="containsText" text="domo">
      <formula>NOT(ISERROR(SEARCH("domo",E409)))</formula>
    </cfRule>
  </conditionalFormatting>
  <conditionalFormatting sqref="E409">
    <cfRule type="containsText" dxfId="167" priority="16" operator="containsText" text="fija">
      <formula>NOT(ISERROR(SEARCH("fija",E409)))</formula>
    </cfRule>
    <cfRule type="containsText" dxfId="166" priority="17" operator="containsText" text="domo">
      <formula>NOT(ISERROR(SEARCH("domo",E409)))</formula>
    </cfRule>
  </conditionalFormatting>
  <conditionalFormatting sqref="E410">
    <cfRule type="containsText" dxfId="165" priority="15" operator="containsText" text="Radio">
      <formula>NOT(ISERROR(SEARCH("Radio",E410)))</formula>
    </cfRule>
  </conditionalFormatting>
  <conditionalFormatting sqref="E410">
    <cfRule type="containsText" dxfId="164" priority="13" operator="containsText" text="fija">
      <formula>NOT(ISERROR(SEARCH("fija",E410)))</formula>
    </cfRule>
    <cfRule type="containsText" dxfId="163" priority="14" operator="containsText" text="domo">
      <formula>NOT(ISERROR(SEARCH("domo",E410)))</formula>
    </cfRule>
  </conditionalFormatting>
  <conditionalFormatting sqref="E410">
    <cfRule type="containsText" dxfId="162" priority="11" operator="containsText" text="fija">
      <formula>NOT(ISERROR(SEARCH("fija",E410)))</formula>
    </cfRule>
    <cfRule type="containsText" dxfId="161" priority="12" operator="containsText" text="domo">
      <formula>NOT(ISERROR(SEARCH("domo",E410)))</formula>
    </cfRule>
  </conditionalFormatting>
  <conditionalFormatting sqref="E411">
    <cfRule type="containsText" dxfId="160" priority="10" operator="containsText" text="Radio">
      <formula>NOT(ISERROR(SEARCH("Radio",E411)))</formula>
    </cfRule>
  </conditionalFormatting>
  <conditionalFormatting sqref="E411">
    <cfRule type="containsText" dxfId="159" priority="8" operator="containsText" text="fija">
      <formula>NOT(ISERROR(SEARCH("fija",E411)))</formula>
    </cfRule>
    <cfRule type="containsText" dxfId="158" priority="9" operator="containsText" text="domo">
      <formula>NOT(ISERROR(SEARCH("domo",E411)))</formula>
    </cfRule>
  </conditionalFormatting>
  <conditionalFormatting sqref="E411">
    <cfRule type="containsText" dxfId="157" priority="6" operator="containsText" text="fija">
      <formula>NOT(ISERROR(SEARCH("fija",E411)))</formula>
    </cfRule>
    <cfRule type="containsText" dxfId="156" priority="7" operator="containsText" text="domo">
      <formula>NOT(ISERROR(SEARCH("domo",E411)))</formula>
    </cfRule>
  </conditionalFormatting>
  <conditionalFormatting sqref="E412">
    <cfRule type="containsText" dxfId="155" priority="5" operator="containsText" text="Radio">
      <formula>NOT(ISERROR(SEARCH("Radio",E412)))</formula>
    </cfRule>
  </conditionalFormatting>
  <conditionalFormatting sqref="E412">
    <cfRule type="containsText" dxfId="154" priority="3" operator="containsText" text="fija">
      <formula>NOT(ISERROR(SEARCH("fija",E412)))</formula>
    </cfRule>
    <cfRule type="containsText" dxfId="153" priority="4" operator="containsText" text="domo">
      <formula>NOT(ISERROR(SEARCH("domo",E412)))</formula>
    </cfRule>
  </conditionalFormatting>
  <conditionalFormatting sqref="E412">
    <cfRule type="containsText" dxfId="152" priority="1" operator="containsText" text="fija">
      <formula>NOT(ISERROR(SEARCH("fija",E412)))</formula>
    </cfRule>
    <cfRule type="containsText" dxfId="151" priority="2" operator="containsText" text="domo">
      <formula>NOT(ISERROR(SEARCH("domo",E412)))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9" customFormat="1" x14ac:dyDescent="0.3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44805</v>
      </c>
      <c r="G1" s="19">
        <f>'RESUMEN TOTAL'!L4</f>
        <v>44806</v>
      </c>
      <c r="H1" s="19">
        <f>'RESUMEN TOTAL'!M4</f>
        <v>44807</v>
      </c>
      <c r="I1" s="19">
        <f>'RESUMEN TOTAL'!N4</f>
        <v>44808</v>
      </c>
      <c r="J1" s="19">
        <f>'RESUMEN TOTAL'!O4</f>
        <v>44809</v>
      </c>
      <c r="K1" s="19">
        <f>'RESUMEN TOTAL'!P4</f>
        <v>44810</v>
      </c>
      <c r="L1" s="19">
        <f>'RESUMEN TOTAL'!Q4</f>
        <v>44811</v>
      </c>
      <c r="M1" s="19">
        <f>'RESUMEN TOTAL'!R4</f>
        <v>44812</v>
      </c>
      <c r="N1" s="19">
        <f>'RESUMEN TOTAL'!S4</f>
        <v>44813</v>
      </c>
      <c r="O1" s="19">
        <f>'RESUMEN TOTAL'!T4</f>
        <v>44814</v>
      </c>
      <c r="P1" s="19">
        <f>'RESUMEN TOTAL'!U4</f>
        <v>44815</v>
      </c>
      <c r="Q1" s="19">
        <f>'RESUMEN TOTAL'!V4</f>
        <v>44816</v>
      </c>
      <c r="R1" s="19">
        <f>'RESUMEN TOTAL'!W4</f>
        <v>44817</v>
      </c>
      <c r="S1" s="19">
        <f>'RESUMEN TOTAL'!X4</f>
        <v>44818</v>
      </c>
      <c r="T1" s="19">
        <f>'RESUMEN TOTAL'!Y4</f>
        <v>44819</v>
      </c>
      <c r="U1" s="19">
        <f>'RESUMEN TOTAL'!Z4</f>
        <v>44820</v>
      </c>
      <c r="V1" s="19">
        <f>'RESUMEN TOTAL'!AA4</f>
        <v>44821</v>
      </c>
      <c r="W1" s="19">
        <f>'RESUMEN TOTAL'!AB4</f>
        <v>44822</v>
      </c>
      <c r="X1" s="19">
        <f>'RESUMEN TOTAL'!AC4</f>
        <v>44823</v>
      </c>
      <c r="Y1" s="19">
        <f>'RESUMEN TOTAL'!AD4</f>
        <v>44824</v>
      </c>
      <c r="Z1" s="19">
        <f>'RESUMEN TOTAL'!AE4</f>
        <v>44825</v>
      </c>
      <c r="AA1" s="19">
        <f>'RESUMEN TOTAL'!AF4</f>
        <v>44826</v>
      </c>
      <c r="AB1" s="19">
        <f>'RESUMEN TOTAL'!AG4</f>
        <v>44827</v>
      </c>
      <c r="AC1" s="19">
        <f>'RESUMEN TOTAL'!AH4</f>
        <v>44828</v>
      </c>
      <c r="AD1" s="19">
        <f>'RESUMEN TOTAL'!AI4</f>
        <v>44829</v>
      </c>
      <c r="AE1" s="19">
        <f>'RESUMEN TOTAL'!AJ4</f>
        <v>44830</v>
      </c>
      <c r="AF1" s="19">
        <f>'RESUMEN TOTAL'!AK4</f>
        <v>44831</v>
      </c>
      <c r="AG1" s="19">
        <f>'RESUMEN TOTAL'!AL4</f>
        <v>44832</v>
      </c>
      <c r="AH1" s="19">
        <f>'RESUMEN TOTAL'!AM4</f>
        <v>44833</v>
      </c>
      <c r="AI1" s="19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>
        <f>'RESUMEN TOTAL'!M5</f>
        <v>0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>
        <f>'RESUMEN TOTAL'!M6</f>
        <v>0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 t="str">
        <f>'RESUMEN TOTAL'!AG7</f>
        <v>APAGADO</v>
      </c>
      <c r="AC4" s="29" t="str">
        <f>'RESUMEN TOTAL'!AH7</f>
        <v>APAGADO</v>
      </c>
      <c r="AD4" s="29" t="str">
        <f>'RESUMEN TOTAL'!AI7</f>
        <v>APAGADO</v>
      </c>
      <c r="AE4" s="29" t="str">
        <f>'RESUMEN TOTAL'!AJ7</f>
        <v>APAGADO</v>
      </c>
      <c r="AF4" s="29" t="str">
        <f>'RESUMEN TOTAL'!AK7</f>
        <v>APAGADO</v>
      </c>
      <c r="AG4" s="29" t="str">
        <f>'RESUMEN TOTAL'!AL7</f>
        <v>APAGADO</v>
      </c>
      <c r="AH4" s="29" t="str">
        <f>'RESUMEN TOTAL'!AM7</f>
        <v>APAGADO</v>
      </c>
      <c r="AI4" s="29" t="str">
        <f>'RESUMEN TOTAL'!AN7</f>
        <v>APAGADO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>
        <f>'RESUMEN TOTAL'!K8</f>
        <v>0</v>
      </c>
      <c r="G5" s="29">
        <f>'RESUMEN TOTAL'!L8</f>
        <v>0</v>
      </c>
      <c r="H5" s="29">
        <f>'RESUMEN TOTAL'!M8</f>
        <v>0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 t="str">
        <f>'RESUMEN TOTAL'!R8</f>
        <v>APAGADO</v>
      </c>
      <c r="N5" s="29" t="str">
        <f>'RESUMEN TOTAL'!S8</f>
        <v>APAGADO</v>
      </c>
      <c r="O5" s="29" t="str">
        <f>'RESUMEN TOTAL'!T8</f>
        <v>APAGADO</v>
      </c>
      <c r="P5" s="29" t="str">
        <f>'RESUMEN TOTAL'!U8</f>
        <v>APAGADO</v>
      </c>
      <c r="Q5" s="29" t="str">
        <f>'RESUMEN TOTAL'!V8</f>
        <v>APAGADO</v>
      </c>
      <c r="R5" s="29" t="str">
        <f>'RESUMEN TOTAL'!W8</f>
        <v>APAGADO</v>
      </c>
      <c r="S5" s="29" t="str">
        <f>'RESUMEN TOTAL'!X8</f>
        <v>APAGADO</v>
      </c>
      <c r="T5" s="29" t="str">
        <f>'RESUMEN TOTAL'!Y8</f>
        <v>APAGADO</v>
      </c>
      <c r="U5" s="29" t="str">
        <f>'RESUMEN TOTAL'!Z8</f>
        <v>APAGADO</v>
      </c>
      <c r="V5" s="29" t="str">
        <f>'RESUMEN TOTAL'!AA8</f>
        <v>APAGADO</v>
      </c>
      <c r="W5" s="29" t="str">
        <f>'RESUMEN TOTAL'!AB8</f>
        <v>APAGADO</v>
      </c>
      <c r="X5" s="29" t="str">
        <f>'RESUMEN TOTAL'!AC8</f>
        <v>APAGADO</v>
      </c>
      <c r="Y5" s="29" t="str">
        <f>'RESUMEN TOTAL'!AD8</f>
        <v>APAGADO</v>
      </c>
      <c r="Z5" s="29" t="str">
        <f>'RESUMEN TOTAL'!AE8</f>
        <v>APAGADO</v>
      </c>
      <c r="AA5" s="29" t="str">
        <f>'RESUMEN TOTAL'!AF8</f>
        <v>APAGADO</v>
      </c>
      <c r="AB5" s="29" t="str">
        <f>'RESUMEN TOTAL'!AG8</f>
        <v>APAGADO</v>
      </c>
      <c r="AC5" s="29" t="str">
        <f>'RESUMEN TOTAL'!AH8</f>
        <v>APAGADO</v>
      </c>
      <c r="AD5" s="29" t="str">
        <f>'RESUMEN TOTAL'!AI8</f>
        <v>APAGADO</v>
      </c>
      <c r="AE5" s="29" t="str">
        <f>'RESUMEN TOTAL'!AJ8</f>
        <v>APAGADO</v>
      </c>
      <c r="AF5" s="29" t="str">
        <f>'RESUMEN TOTAL'!AK8</f>
        <v>APAGADO</v>
      </c>
      <c r="AG5" s="29" t="str">
        <f>'RESUMEN TOTAL'!AL8</f>
        <v>APAGADO</v>
      </c>
      <c r="AH5" s="29" t="str">
        <f>'RESUMEN TOTAL'!AM8</f>
        <v>APAGADO</v>
      </c>
      <c r="AI5" s="29" t="str">
        <f>'RESUMEN TOTAL'!AN8</f>
        <v>APAGADO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 t="str">
        <f>'RESUMEN TOTAL'!P9</f>
        <v>APAGADO</v>
      </c>
      <c r="L6" s="29" t="str">
        <f>'RESUMEN TOTAL'!Q9</f>
        <v>APAGADO</v>
      </c>
      <c r="M6" s="29" t="str">
        <f>'RESUMEN TOTAL'!R9</f>
        <v>APAGADO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 t="str">
        <f>'RESUMEN TOTAL'!AA9</f>
        <v>APAGADO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 t="str">
        <f>'RESUMEN TOTAL'!AG9</f>
        <v>APAGADO</v>
      </c>
      <c r="AC6" s="29" t="str">
        <f>'RESUMEN TOTAL'!AH9</f>
        <v>APAGADO</v>
      </c>
      <c r="AD6" s="29" t="str">
        <f>'RESUMEN TOTAL'!AI9</f>
        <v>APAGADO</v>
      </c>
      <c r="AE6" s="29" t="str">
        <f>'RESUMEN TOTAL'!AJ9</f>
        <v>APAGADO</v>
      </c>
      <c r="AF6" s="29" t="str">
        <f>'RESUMEN TOTAL'!AK9</f>
        <v>APAGADO</v>
      </c>
      <c r="AG6" s="29" t="str">
        <f>'RESUMEN TOTAL'!AL9</f>
        <v>APAGADO</v>
      </c>
      <c r="AH6" s="29" t="str">
        <f>'RESUMEN TOTAL'!AM9</f>
        <v>APAGADO</v>
      </c>
      <c r="AI6" s="29" t="str">
        <f>'RESUMEN TOTAL'!AN9</f>
        <v>APAGADO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>
        <f>'RESUMEN TOTAL'!M10</f>
        <v>0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 t="str">
        <f>'RESUMEN TOTAL'!AG10</f>
        <v>APAGADO</v>
      </c>
      <c r="AC7" s="29" t="str">
        <f>'RESUMEN TOTAL'!AH10</f>
        <v>APAGADO</v>
      </c>
      <c r="AD7" s="29" t="str">
        <f>'RESUMEN TOTAL'!AI10</f>
        <v>APAGADO</v>
      </c>
      <c r="AE7" s="29" t="str">
        <f>'RESUMEN TOTAL'!AJ10</f>
        <v>APAGADO</v>
      </c>
      <c r="AF7" s="29" t="str">
        <f>'RESUMEN TOTAL'!AK10</f>
        <v>APAGADO</v>
      </c>
      <c r="AG7" s="29" t="str">
        <f>'RESUMEN TOTAL'!AL10</f>
        <v>APAGADO</v>
      </c>
      <c r="AH7" s="29" t="str">
        <f>'RESUMEN TOTAL'!AM10</f>
        <v>APAGADO</v>
      </c>
      <c r="AI7" s="29" t="str">
        <f>'RESUMEN TOTAL'!AN10</f>
        <v>APAGADO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 t="str">
        <f>'RESUMEN TOTAL'!AG12</f>
        <v>APAGADO</v>
      </c>
      <c r="AC9" s="29" t="str">
        <f>'RESUMEN TOTAL'!AH12</f>
        <v>APAGADO</v>
      </c>
      <c r="AD9" s="29" t="str">
        <f>'RESUMEN TOTAL'!AI12</f>
        <v>APAGADO</v>
      </c>
      <c r="AE9" s="29" t="str">
        <f>'RESUMEN TOTAL'!AJ12</f>
        <v>APAGADO</v>
      </c>
      <c r="AF9" s="29" t="str">
        <f>'RESUMEN TOTAL'!AK12</f>
        <v>APAGADO</v>
      </c>
      <c r="AG9" s="29" t="str">
        <f>'RESUMEN TOTAL'!AL12</f>
        <v>APAGADO</v>
      </c>
      <c r="AH9" s="29" t="str">
        <f>'RESUMEN TOTAL'!AM12</f>
        <v>APAGADO</v>
      </c>
      <c r="AI9" s="29" t="str">
        <f>'RESUMEN TOTAL'!AN12</f>
        <v>APAGADO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 t="str">
        <f>'RESUMEN TOTAL'!AG13</f>
        <v>APAGADO</v>
      </c>
      <c r="AC10" s="29" t="str">
        <f>'RESUMEN TOTAL'!AH13</f>
        <v>APAGADO</v>
      </c>
      <c r="AD10" s="29" t="str">
        <f>'RESUMEN TOTAL'!AI13</f>
        <v>APAGADO</v>
      </c>
      <c r="AE10" s="29" t="str">
        <f>'RESUMEN TOTAL'!AJ13</f>
        <v>APAGADO</v>
      </c>
      <c r="AF10" s="29" t="str">
        <f>'RESUMEN TOTAL'!AK13</f>
        <v>APAGADO</v>
      </c>
      <c r="AG10" s="29" t="str">
        <f>'RESUMEN TOTAL'!AL13</f>
        <v>APAGADO</v>
      </c>
      <c r="AH10" s="29" t="str">
        <f>'RESUMEN TOTAL'!AM13</f>
        <v>APAGADO</v>
      </c>
      <c r="AI10" s="29" t="str">
        <f>'RESUMEN TOTAL'!AN13</f>
        <v>APAGADO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 t="str">
        <f>'RESUMEN TOTAL'!P14</f>
        <v>APAGADO</v>
      </c>
      <c r="L11" s="29" t="str">
        <f>'RESUMEN TOTAL'!Q14</f>
        <v>APAGADO</v>
      </c>
      <c r="M11" s="29" t="str">
        <f>'RESUMEN TOTAL'!R14</f>
        <v>APAGADO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 t="str">
        <f>'RESUMEN TOTAL'!AA14</f>
        <v>APAGADO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 t="str">
        <f>'RESUMEN TOTAL'!AG14</f>
        <v>APAGADO</v>
      </c>
      <c r="AC11" s="29" t="str">
        <f>'RESUMEN TOTAL'!AH14</f>
        <v>APAGADO</v>
      </c>
      <c r="AD11" s="29" t="str">
        <f>'RESUMEN TOTAL'!AI14</f>
        <v>APAGADO</v>
      </c>
      <c r="AE11" s="29" t="str">
        <f>'RESUMEN TOTAL'!AJ14</f>
        <v>APAGADO</v>
      </c>
      <c r="AF11" s="29" t="str">
        <f>'RESUMEN TOTAL'!AK14</f>
        <v>APAGADO</v>
      </c>
      <c r="AG11" s="29" t="str">
        <f>'RESUMEN TOTAL'!AL14</f>
        <v>APAGADO</v>
      </c>
      <c r="AH11" s="29" t="str">
        <f>'RESUMEN TOTAL'!AM14</f>
        <v>APAGADO</v>
      </c>
      <c r="AI11" s="29" t="str">
        <f>'RESUMEN TOTAL'!AN14</f>
        <v>APAGADO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>
        <f>'RESUMEN TOTAL'!M15</f>
        <v>0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 t="str">
        <f>'RESUMEN TOTAL'!AK15</f>
        <v>APAGADO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>
        <f>'RESUMEN TOTAL'!M16</f>
        <v>0</v>
      </c>
      <c r="I13" s="29">
        <f>'RESUMEN TOTAL'!N16</f>
        <v>0</v>
      </c>
      <c r="J13" s="29" t="str">
        <f>'RESUMEN TOTAL'!O16</f>
        <v>APAGADO</v>
      </c>
      <c r="K13" s="29" t="str">
        <f>'RESUMEN TOTAL'!P16</f>
        <v>APAGADO</v>
      </c>
      <c r="L13" s="29" t="str">
        <f>'RESUMEN TOTAL'!Q16</f>
        <v>APAGADO</v>
      </c>
      <c r="M13" s="29" t="str">
        <f>'RESUMEN TOTAL'!R16</f>
        <v>APAGADO</v>
      </c>
      <c r="N13" s="29" t="str">
        <f>'RESUMEN TOTAL'!S16</f>
        <v>APAGADO</v>
      </c>
      <c r="O13" s="29" t="str">
        <f>'RESUMEN TOTAL'!T16</f>
        <v>APAGADO</v>
      </c>
      <c r="P13" s="29">
        <f>'RESUMEN TOTAL'!U16</f>
        <v>0</v>
      </c>
      <c r="Q13" s="29" t="str">
        <f>'RESUMEN TOTAL'!V16</f>
        <v>APAGADO</v>
      </c>
      <c r="R13" s="29">
        <f>'RESUMEN TOTAL'!W16</f>
        <v>0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 t="str">
        <f>'RESUMEN TOTAL'!AA16</f>
        <v>APAGADO</v>
      </c>
      <c r="W13" s="29" t="str">
        <f>'RESUMEN TOTAL'!AB16</f>
        <v>APAGADO</v>
      </c>
      <c r="X13" s="29" t="str">
        <f>'RESUMEN TOTAL'!AC16</f>
        <v>APAGADO</v>
      </c>
      <c r="Y13" s="29">
        <f>'RESUMEN TOTAL'!AD16</f>
        <v>0</v>
      </c>
      <c r="Z13" s="29" t="str">
        <f>'RESUMEN TOTAL'!AE16</f>
        <v>APAGADO</v>
      </c>
      <c r="AA13" s="29" t="str">
        <f>'RESUMEN TOTAL'!AF16</f>
        <v>APAGADO</v>
      </c>
      <c r="AB13" s="29">
        <f>'RESUMEN TOTAL'!AG16</f>
        <v>0</v>
      </c>
      <c r="AC13" s="29" t="str">
        <f>'RESUMEN TOTAL'!AH16</f>
        <v>APAGADO</v>
      </c>
      <c r="AD13" s="29" t="str">
        <f>'RESUMEN TOTAL'!AI16</f>
        <v>APAGADO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 t="str">
        <f>'RESUMEN TOTAL'!AM16</f>
        <v>APAGADO</v>
      </c>
      <c r="AI13" s="29" t="str">
        <f>'RESUMEN TOTAL'!AN16</f>
        <v>APAGADO</v>
      </c>
    </row>
    <row r="14" spans="1:35" x14ac:dyDescent="0.3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 t="str">
        <f>'RESUMEN TOTAL'!N17</f>
        <v>APAGADO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 t="str">
        <f>'RESUMEN TOTAL'!N18</f>
        <v>APAGADO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>
        <f>'RESUMEN TOTAL'!M19</f>
        <v>0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>
        <f>'RESUMEN TOTAL'!M21</f>
        <v>0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>
        <f>'RESUMEN TOTAL'!M22</f>
        <v>0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 t="str">
        <f>'RESUMEN TOTAL'!N23</f>
        <v>APAGADO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 t="str">
        <f>'RESUMEN TOTAL'!S23</f>
        <v>APAGADO</v>
      </c>
      <c r="O20" s="29" t="str">
        <f>'RESUMEN TOTAL'!T23</f>
        <v>APAGADO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>
        <f>'RESUMEN TOTAL'!M26</f>
        <v>0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>
        <f>'RESUMEN TOTAL'!M29</f>
        <v>0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>
        <f>'RESUMEN TOTAL'!K31</f>
        <v>0</v>
      </c>
      <c r="G28" s="29">
        <f>'RESUMEN TOTAL'!L31</f>
        <v>0</v>
      </c>
      <c r="H28" s="29">
        <f>'RESUMEN TOTAL'!M31</f>
        <v>0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 t="str">
        <f>'RESUMEN TOTAL'!AJ31</f>
        <v>APAGADO</v>
      </c>
      <c r="AF28" s="29">
        <f>'RESUMEN TOTAL'!AK31</f>
        <v>0</v>
      </c>
      <c r="AG28" s="29">
        <f>'RESUMEN TOTAL'!AL31</f>
        <v>0</v>
      </c>
      <c r="AH28" s="29" t="str">
        <f>'RESUMEN TOTAL'!AM31</f>
        <v>APAGADO</v>
      </c>
      <c r="AI28" s="29" t="str">
        <f>'RESUMEN TOTAL'!AN31</f>
        <v>APAGADO</v>
      </c>
    </row>
    <row r="29" spans="1:35" x14ac:dyDescent="0.3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>
        <f>'RESUMEN TOTAL'!M32</f>
        <v>0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 t="str">
        <f>'RESUMEN TOTAL'!N33</f>
        <v>APAGADO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>
        <f>'RESUMEN TOTAL'!K34</f>
        <v>0</v>
      </c>
      <c r="G31" s="29">
        <f>'RESUMEN TOTAL'!L34</f>
        <v>0</v>
      </c>
      <c r="H31" s="29">
        <f>'RESUMEN TOTAL'!M34</f>
        <v>0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 t="str">
        <f>'RESUMEN TOTAL'!AL34</f>
        <v>APAGADO</v>
      </c>
      <c r="AH31" s="29" t="str">
        <f>'RESUMEN TOTAL'!AM34</f>
        <v>APAGADO</v>
      </c>
      <c r="AI31" s="29" t="str">
        <f>'RESUMEN TOTAL'!AN34</f>
        <v>APAGADO</v>
      </c>
    </row>
    <row r="32" spans="1:35" x14ac:dyDescent="0.3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 t="str">
        <f>'RESUMEN TOTAL'!U35</f>
        <v>APAGADO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3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>
        <f>'RESUMEN TOTAL'!K36</f>
        <v>0</v>
      </c>
      <c r="G33" s="29">
        <f>'RESUMEN TOTAL'!L36</f>
        <v>0</v>
      </c>
      <c r="H33" s="29">
        <f>'RESUMEN TOTAL'!M36</f>
        <v>0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>
        <f>'RESUMEN TOTAL'!M37</f>
        <v>0</v>
      </c>
      <c r="I34" s="29" t="str">
        <f>'RESUMEN TOTAL'!N37</f>
        <v>APAGADO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>
        <f>'RESUMEN TOTAL'!M39</f>
        <v>0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>
        <f>'RESUMEN TOTAL'!L40</f>
        <v>0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 t="str">
        <f>'RESUMEN TOTAL'!R40</f>
        <v>APAGADO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 t="str">
        <f>'RESUMEN TOTAL'!Z40</f>
        <v>APAGADO</v>
      </c>
      <c r="V37" s="29" t="str">
        <f>'RESUMEN TOTAL'!AA40</f>
        <v>APAGADO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 t="str">
        <f>'RESUMEN TOTAL'!AF40</f>
        <v>APAGADO</v>
      </c>
      <c r="AB37" s="29">
        <f>'RESUMEN TOTAL'!AG40</f>
        <v>0</v>
      </c>
      <c r="AC37" s="29" t="str">
        <f>'RESUMEN TOTAL'!AH40</f>
        <v>APAGADO</v>
      </c>
      <c r="AD37" s="29" t="str">
        <f>'RESUMEN TOTAL'!AI40</f>
        <v>APAGADO</v>
      </c>
      <c r="AE37" s="29" t="str">
        <f>'RESUMEN TOTAL'!AJ40</f>
        <v>APAGADO</v>
      </c>
      <c r="AF37" s="29" t="str">
        <f>'RESUMEN TOTAL'!AK40</f>
        <v>APAGADO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 t="str">
        <f>'RESUMEN TOTAL'!L41</f>
        <v>APAGADO</v>
      </c>
      <c r="H38" s="29">
        <f>'RESUMEN TOTAL'!M41</f>
        <v>0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>
        <f>'RESUMEN TOTAL'!L42</f>
        <v>0</v>
      </c>
      <c r="H39" s="29">
        <f>'RESUMEN TOTAL'!M42</f>
        <v>0</v>
      </c>
      <c r="I39" s="29" t="str">
        <f>'RESUMEN TOTAL'!N42</f>
        <v>APAGADO</v>
      </c>
      <c r="J39" s="29" t="str">
        <f>'RESUMEN TOTAL'!O42</f>
        <v>APAGADO</v>
      </c>
      <c r="K39" s="29" t="str">
        <f>'RESUMEN TOTAL'!P42</f>
        <v>APAGADO</v>
      </c>
      <c r="L39" s="29" t="str">
        <f>'RESUMEN TOTAL'!Q42</f>
        <v>APAGADO</v>
      </c>
      <c r="M39" s="29" t="str">
        <f>'RESUMEN TOTAL'!R42</f>
        <v>APAGADO</v>
      </c>
      <c r="N39" s="29" t="str">
        <f>'RESUMEN TOTAL'!S42</f>
        <v>APAGADO</v>
      </c>
      <c r="O39" s="29">
        <f>'RESUMEN TOTAL'!T42</f>
        <v>0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 t="str">
        <f>'RESUMEN TOTAL'!AA42</f>
        <v>APAGADO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 t="str">
        <f>'RESUMEN TOTAL'!AG42</f>
        <v>APAGADO</v>
      </c>
      <c r="AC39" s="29" t="str">
        <f>'RESUMEN TOTAL'!AH42</f>
        <v>APAGADO</v>
      </c>
      <c r="AD39" s="29" t="str">
        <f>'RESUMEN TOTAL'!AI42</f>
        <v>APAGADO</v>
      </c>
      <c r="AE39" s="29" t="str">
        <f>'RESUMEN TOTAL'!AJ42</f>
        <v>APAGADO</v>
      </c>
      <c r="AF39" s="29" t="str">
        <f>'RESUMEN TOTAL'!AK42</f>
        <v>APAGADO</v>
      </c>
      <c r="AG39" s="29" t="str">
        <f>'RESUMEN TOTAL'!AL42</f>
        <v>APAGADO</v>
      </c>
      <c r="AH39" s="29" t="str">
        <f>'RESUMEN TOTAL'!AM42</f>
        <v>APAGADO</v>
      </c>
      <c r="AI39" s="29" t="str">
        <f>'RESUMEN TOTAL'!AN42</f>
        <v>APAGADO</v>
      </c>
    </row>
    <row r="40" spans="1:35" x14ac:dyDescent="0.3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TOTAL'!AB43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>
        <f>'RESUMEN TOTAL'!M44</f>
        <v>0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TOTAL'!AB44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 t="str">
        <f>'RESUMEN TOTAL'!N45</f>
        <v>APAGADO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>
        <f>'RESUMEN TOTAL'!AB45</f>
        <v>0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 t="str">
        <f>'RESUMEN TOTAL'!N46</f>
        <v>APAGADO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>
        <f>'RESUMEN TOTAL'!M47</f>
        <v>0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 t="str">
        <f>'RESUMEN TOTAL'!N48</f>
        <v>APAGADO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>
        <f>'RESUMEN TOTAL'!M49</f>
        <v>0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3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 t="str">
        <f>'RESUMEN TOTAL'!K50</f>
        <v>APAGADO</v>
      </c>
      <c r="G47" s="29" t="str">
        <f>'RESUMEN TOTAL'!L50</f>
        <v>APAGADO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 t="str">
        <f>'RESUMEN TOTAL'!P50</f>
        <v>APAGADO</v>
      </c>
      <c r="L47" s="29" t="str">
        <f>'RESUMEN TOTAL'!Q50</f>
        <v>APAGADO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 t="str">
        <f>'RESUMEN TOTAL'!AE50</f>
        <v>APAGADO</v>
      </c>
      <c r="AA47" s="29" t="str">
        <f>'RESUMEN TOTAL'!AF50</f>
        <v>APAGADO</v>
      </c>
      <c r="AB47" s="29" t="str">
        <f>'RESUMEN TOTAL'!AG50</f>
        <v>APAGADO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 t="str">
        <f>'RESUMEN TOTAL'!AM50</f>
        <v>APAGADO</v>
      </c>
      <c r="AI47" s="29" t="str">
        <f>'RESUMEN TOTAL'!AN50</f>
        <v>APAGADO</v>
      </c>
    </row>
    <row r="48" spans="1:35" x14ac:dyDescent="0.3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>
        <f>'RESUMEN TOTAL'!M51</f>
        <v>0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3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>
        <f>'RESUMEN TOTAL'!M53</f>
        <v>0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>
        <f>'RESUMEN TOTAL'!M55</f>
        <v>0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 t="str">
        <f>'RESUMEN TOTAL'!P57</f>
        <v>APAGADO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 t="str">
        <f>'RESUMEN TOTAL'!M60</f>
        <v>APAGADO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 t="str">
        <f>'RESUMEN TOTAL'!T60</f>
        <v>APAGADO</v>
      </c>
      <c r="P57" s="29" t="str">
        <f>'RESUMEN TOTAL'!U60</f>
        <v>APAGADO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 t="str">
        <f>'RESUMEN TOTAL'!P63</f>
        <v>APAGADO</v>
      </c>
      <c r="L60" s="29" t="str">
        <f>'RESUMEN TOTAL'!Q63</f>
        <v>APAGADO</v>
      </c>
      <c r="M60" s="29" t="str">
        <f>'RESUMEN TOTAL'!R63</f>
        <v>APAGADO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 t="str">
        <f>'RESUMEN TOTAL'!AA63</f>
        <v>APAGADO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 t="str">
        <f>'RESUMEN TOTAL'!AG63</f>
        <v>APAGADO</v>
      </c>
      <c r="AC60" s="29" t="str">
        <f>'RESUMEN TOTAL'!AH63</f>
        <v>APAGADO</v>
      </c>
      <c r="AD60" s="29" t="str">
        <f>'RESUMEN TOTAL'!AI63</f>
        <v>APAGADO</v>
      </c>
      <c r="AE60" s="29" t="str">
        <f>'RESUMEN TOTAL'!AJ63</f>
        <v>APAGADO</v>
      </c>
      <c r="AF60" s="29" t="str">
        <f>'RESUMEN TOTAL'!AK63</f>
        <v>APAGADO</v>
      </c>
      <c r="AG60" s="29" t="str">
        <f>'RESUMEN TOTAL'!AL63</f>
        <v>APAGADO</v>
      </c>
      <c r="AH60" s="29" t="str">
        <f>'RESUMEN TOTAL'!AM63</f>
        <v>APAGADO</v>
      </c>
      <c r="AI60" s="29" t="str">
        <f>'RESUMEN TOTAL'!AN63</f>
        <v>APAGADO</v>
      </c>
    </row>
    <row r="61" spans="1:35" x14ac:dyDescent="0.3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>
        <f>'RESUMEN TOTAL'!M65</f>
        <v>0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>
        <f>'RESUMEN TOTAL'!K66</f>
        <v>0</v>
      </c>
      <c r="G63" s="29">
        <f>'RESUMEN TOTAL'!L66</f>
        <v>0</v>
      </c>
      <c r="H63" s="29" t="str">
        <f>'RESUMEN TOTAL'!M66</f>
        <v>APAGADO</v>
      </c>
      <c r="I63" s="29" t="str">
        <f>'RESUMEN TOTAL'!N66</f>
        <v>APAGADO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 t="str">
        <f>'RESUMEN TOTAL'!AD66</f>
        <v>APAGADO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 t="str">
        <f>'RESUMEN TOTAL'!AN66</f>
        <v>APAGADO</v>
      </c>
    </row>
    <row r="64" spans="1:35" x14ac:dyDescent="0.3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 t="str">
        <f>'RESUMEN TOTAL'!S69</f>
        <v>APAGADO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 t="str">
        <f>'RESUMEN TOTAL'!Y69</f>
        <v>APAGADO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 t="str">
        <f>'RESUMEN TOTAL'!AF69</f>
        <v>APAGADO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 t="str">
        <f>'RESUMEN TOTAL'!R70</f>
        <v>APAGADO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>
        <f>'RESUMEN TOTAL'!K71</f>
        <v>0</v>
      </c>
      <c r="G68" s="29">
        <f>'RESUMEN TOTAL'!L71</f>
        <v>0</v>
      </c>
      <c r="H68" s="29" t="str">
        <f>'RESUMEN TOTAL'!M71</f>
        <v>APAGADO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 t="str">
        <f>'RESUMEN TOTAL'!R71</f>
        <v>APAGADO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 t="str">
        <f>'RESUMEN TOTAL'!AF71</f>
        <v>APAGADO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 t="str">
        <f>'RESUMEN TOTAL'!AK71</f>
        <v>APAGADO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>
        <f>'RESUMEN TOTAL'!M77</f>
        <v>0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 t="str">
        <f>'RESUMEN TOTAL'!AA77</f>
        <v>APAGADO</v>
      </c>
      <c r="W74" s="29" t="str">
        <f>'RESUMEN TOTAL'!AB77</f>
        <v>APAGADO</v>
      </c>
      <c r="X74" s="29" t="str">
        <f>'RESUMEN TOTAL'!AC77</f>
        <v>APAGADO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>
        <f>'RESUMEN TOTAL'!K81</f>
        <v>0</v>
      </c>
      <c r="G78" s="29" t="str">
        <f>'RESUMEN TOTAL'!L81</f>
        <v>APAGADO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 t="str">
        <f>'RESUMEN TOTAL'!U81</f>
        <v>APAGADO</v>
      </c>
      <c r="Q78" s="29">
        <f>'RESUMEN TOTAL'!V81</f>
        <v>0</v>
      </c>
      <c r="R78" s="29" t="str">
        <f>'RESUMEN TOTAL'!W81</f>
        <v>APAGADO</v>
      </c>
      <c r="S78" s="29" t="str">
        <f>'RESUMEN TOTAL'!X81</f>
        <v>APAGADO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 t="str">
        <f>'RESUMEN TOTAL'!AD81</f>
        <v>APAGADO</v>
      </c>
      <c r="Z78" s="29" t="str">
        <f>'RESUMEN TOTAL'!AE81</f>
        <v>APAGADO</v>
      </c>
      <c r="AA78" s="29">
        <f>'RESUMEN TOTAL'!AF81</f>
        <v>0</v>
      </c>
      <c r="AB78" s="29" t="str">
        <f>'RESUMEN TOTAL'!AG81</f>
        <v>APAGADO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 t="str">
        <f>'RESUMEN TOTAL'!AL81</f>
        <v>APAGADO</v>
      </c>
      <c r="AH78" s="29" t="str">
        <f>'RESUMEN TOTAL'!AM81</f>
        <v>APAGADO</v>
      </c>
      <c r="AI78" s="29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>
        <f>'RESUMEN TOTAL'!K82</f>
        <v>0</v>
      </c>
      <c r="G79" s="29" t="str">
        <f>'RESUMEN TOTAL'!L82</f>
        <v>APAGADO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 t="str">
        <f>'RESUMEN TOTAL'!U82</f>
        <v>APAGADO</v>
      </c>
      <c r="Q79" s="29">
        <f>'RESUMEN TOTAL'!V82</f>
        <v>0</v>
      </c>
      <c r="R79" s="29" t="str">
        <f>'RESUMEN TOTAL'!W82</f>
        <v>APAGADO</v>
      </c>
      <c r="S79" s="29" t="str">
        <f>'RESUMEN TOTAL'!X82</f>
        <v>APAGADO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 t="str">
        <f>'RESUMEN TOTAL'!AD82</f>
        <v>APAGADO</v>
      </c>
      <c r="Z79" s="29" t="str">
        <f>'RESUMEN TOTAL'!AE82</f>
        <v>APAGADO</v>
      </c>
      <c r="AA79" s="29">
        <f>'RESUMEN TOTAL'!AF82</f>
        <v>0</v>
      </c>
      <c r="AB79" s="29" t="str">
        <f>'RESUMEN TOTAL'!AG82</f>
        <v>APAGADO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 t="str">
        <f>'RESUMEN TOTAL'!AL82</f>
        <v>APAGADO</v>
      </c>
      <c r="AH79" s="29" t="str">
        <f>'RESUMEN TOTAL'!AM82</f>
        <v>APAGADO</v>
      </c>
      <c r="AI79" s="2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 t="str">
        <f>'RESUMEN TOTAL'!P88</f>
        <v>APAGADO</v>
      </c>
      <c r="L85" s="29" t="str">
        <f>'RESUMEN TOTAL'!Q88</f>
        <v>APAGADO</v>
      </c>
      <c r="M85" s="29" t="str">
        <f>'RESUMEN TOTAL'!R88</f>
        <v>APAGADO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 t="str">
        <f>'RESUMEN TOTAL'!AA88</f>
        <v>APAGADO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 t="str">
        <f>'RESUMEN TOTAL'!AG88</f>
        <v>APAGADO</v>
      </c>
      <c r="AC85" s="29" t="str">
        <f>'RESUMEN TOTAL'!AH88</f>
        <v>APAGADO</v>
      </c>
      <c r="AD85" s="29" t="str">
        <f>'RESUMEN TOTAL'!AI88</f>
        <v>APAGADO</v>
      </c>
      <c r="AE85" s="29" t="str">
        <f>'RESUMEN TOTAL'!AJ88</f>
        <v>APAGADO</v>
      </c>
      <c r="AF85" s="29" t="str">
        <f>'RESUMEN TOTAL'!AK88</f>
        <v>APAGADO</v>
      </c>
      <c r="AG85" s="29" t="str">
        <f>'RESUMEN TOTAL'!AL88</f>
        <v>APAGADO</v>
      </c>
      <c r="AH85" s="29" t="str">
        <f>'RESUMEN TOTAL'!AM88</f>
        <v>APAGADO</v>
      </c>
      <c r="AI85" s="29" t="str">
        <f>'RESUMEN TOTAL'!AN88</f>
        <v>APAGADO</v>
      </c>
    </row>
    <row r="86" spans="1:35" x14ac:dyDescent="0.3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 t="str">
        <f>'RESUMEN TOTAL'!N89</f>
        <v>APAGADO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>
        <f>'RESUMEN TOTAL'!M92</f>
        <v>0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3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>
        <f>'RESUMEN TOTAL'!M93</f>
        <v>0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3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3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>
        <f>'RESUMEN TOTAL'!K95</f>
        <v>0</v>
      </c>
      <c r="G92" s="29">
        <f>'RESUMEN TOTAL'!L95</f>
        <v>0</v>
      </c>
      <c r="H92" s="29">
        <f>'RESUMEN TOTAL'!M95</f>
        <v>0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 t="str">
        <f>'RESUMEN TOTAL'!AE95</f>
        <v>APAGADO</v>
      </c>
      <c r="AA92" s="29" t="str">
        <f>'RESUMEN TOTAL'!AF95</f>
        <v>APAGADO</v>
      </c>
      <c r="AB92" s="29" t="str">
        <f>'RESUMEN TOTAL'!AG95</f>
        <v>APAGADO</v>
      </c>
      <c r="AC92" s="29" t="str">
        <f>'RESUMEN TOTAL'!AH95</f>
        <v>APAGADO</v>
      </c>
      <c r="AD92" s="29" t="str">
        <f>'RESUMEN TOTAL'!AI95</f>
        <v>APAGADO</v>
      </c>
      <c r="AE92" s="29" t="str">
        <f>'RESUMEN TOTAL'!AJ95</f>
        <v>APAGADO</v>
      </c>
      <c r="AF92" s="29" t="str">
        <f>'RESUMEN TOTAL'!AK95</f>
        <v>APAGADO</v>
      </c>
      <c r="AG92" s="29" t="str">
        <f>'RESUMEN TOTAL'!AL95</f>
        <v>APAGADO</v>
      </c>
      <c r="AH92" s="29" t="str">
        <f>'RESUMEN TOTAL'!AM95</f>
        <v>APAGADO</v>
      </c>
      <c r="AI92" s="29" t="str">
        <f>'RESUMEN TOTAL'!AN95</f>
        <v>APAGADO</v>
      </c>
    </row>
    <row r="93" spans="1:35" x14ac:dyDescent="0.3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>
        <f>'RESUMEN TOTAL'!K96</f>
        <v>0</v>
      </c>
      <c r="G93" s="29">
        <f>'RESUMEN TOTAL'!L96</f>
        <v>0</v>
      </c>
      <c r="H93" s="29">
        <f>'RESUMEN TOTAL'!M96</f>
        <v>0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 t="str">
        <f>'RESUMEN TOTAL'!AE96</f>
        <v>APAGADO</v>
      </c>
      <c r="AA93" s="29" t="str">
        <f>'RESUMEN TOTAL'!AF96</f>
        <v>APAGADO</v>
      </c>
      <c r="AB93" s="29" t="str">
        <f>'RESUMEN TOTAL'!AG96</f>
        <v>APAGADO</v>
      </c>
      <c r="AC93" s="29" t="str">
        <f>'RESUMEN TOTAL'!AH96</f>
        <v>APAGADO</v>
      </c>
      <c r="AD93" s="29" t="str">
        <f>'RESUMEN TOTAL'!AI96</f>
        <v>APAGADO</v>
      </c>
      <c r="AE93" s="29" t="str">
        <f>'RESUMEN TOTAL'!AJ96</f>
        <v>APAGADO</v>
      </c>
      <c r="AF93" s="29" t="str">
        <f>'RESUMEN TOTAL'!AK96</f>
        <v>APAGADO</v>
      </c>
      <c r="AG93" s="29" t="str">
        <f>'RESUMEN TOTAL'!AL96</f>
        <v>APAGADO</v>
      </c>
      <c r="AH93" s="29" t="str">
        <f>'RESUMEN TOTAL'!AM96</f>
        <v>APAGADO</v>
      </c>
      <c r="AI93" s="29" t="str">
        <f>'RESUMEN TOTAL'!AN96</f>
        <v>APAGADO</v>
      </c>
    </row>
    <row r="94" spans="1:35" x14ac:dyDescent="0.3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3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>
        <f>'RESUMEN TOTAL'!M98</f>
        <v>0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3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>
        <f>'RESUMEN TOTAL'!M99</f>
        <v>0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3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 t="str">
        <f>'RESUMEN TOTAL'!P100</f>
        <v>APAGADO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 t="str">
        <f>'RESUMEN TOTAL'!AL100</f>
        <v>APAGADO</v>
      </c>
      <c r="AH97" s="29" t="str">
        <f>'RESUMEN TOTAL'!AM100</f>
        <v>APAGADO</v>
      </c>
      <c r="AI97" s="29" t="str">
        <f>'RESUMEN TOTAL'!AN100</f>
        <v>APAGADO</v>
      </c>
    </row>
    <row r="98" spans="1:35" x14ac:dyDescent="0.3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3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3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>
        <f>'RESUMEN TOTAL'!M103</f>
        <v>0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 t="str">
        <f>'RESUMEN TOTAL'!U104</f>
        <v>APAGADO</v>
      </c>
      <c r="Q101" s="29" t="str">
        <f>'RESUMEN TOTAL'!V104</f>
        <v>APAGADO</v>
      </c>
      <c r="R101" s="29" t="str">
        <f>'RESUMEN TOTAL'!W104</f>
        <v>APAGADO</v>
      </c>
      <c r="S101" s="29" t="str">
        <f>'RESUMEN TOTAL'!X104</f>
        <v>APAGADO</v>
      </c>
      <c r="T101" s="29" t="str">
        <f>'RESUMEN TOTAL'!Y104</f>
        <v>APAGADO</v>
      </c>
      <c r="U101" s="29" t="str">
        <f>'RESUMEN TOTAL'!Z104</f>
        <v>APAGADO</v>
      </c>
      <c r="V101" s="29" t="str">
        <f>'RESUMEN TOTAL'!AA104</f>
        <v>APAGADO</v>
      </c>
      <c r="W101" s="29" t="str">
        <f>'RESUMEN TOTAL'!AB104</f>
        <v>APAGADO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3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3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3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 t="str">
        <f>'RESUMEN TOTAL'!N107</f>
        <v>APAGADO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3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 t="str">
        <f>'RESUMEN TOTAL'!N108</f>
        <v>APAGADO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3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3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3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3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3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3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 t="str">
        <f>'RESUMEN TOTAL'!N115</f>
        <v>APAGADO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3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 t="str">
        <f>'RESUMEN TOTAL'!AK117</f>
        <v>APAGADO</v>
      </c>
      <c r="AG114" s="29" t="str">
        <f>'RESUMEN TOTAL'!AL117</f>
        <v>APAGADO</v>
      </c>
      <c r="AH114" s="29" t="str">
        <f>'RESUMEN TOTAL'!AM117</f>
        <v>APAGADO</v>
      </c>
      <c r="AI114" s="29" t="str">
        <f>'RESUMEN TOTAL'!AN117</f>
        <v>APAGADO</v>
      </c>
    </row>
    <row r="115" spans="1:35" x14ac:dyDescent="0.3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 t="str">
        <f>'RESUMEN TOTAL'!N118</f>
        <v>APAGADO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 t="str">
        <f>'RESUMEN TOTAL'!AK118</f>
        <v>APAGADO</v>
      </c>
      <c r="AG115" s="29" t="str">
        <f>'RESUMEN TOTAL'!AL118</f>
        <v>APAGADO</v>
      </c>
      <c r="AH115" s="29" t="str">
        <f>'RESUMEN TOTAL'!AM118</f>
        <v>APAGADO</v>
      </c>
      <c r="AI115" s="29" t="str">
        <f>'RESUMEN TOTAL'!AN118</f>
        <v>APAGADO</v>
      </c>
    </row>
    <row r="116" spans="1:35" x14ac:dyDescent="0.3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>
        <f>'RESUMEN TOTAL'!M120</f>
        <v>0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3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>
        <f>'RESUMEN TOTAL'!M121</f>
        <v>0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3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>
        <f>'RESUMEN TOTAL'!M122</f>
        <v>0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 t="str">
        <f>'RESUMEN TOTAL'!U122</f>
        <v>APAGADO</v>
      </c>
      <c r="Q119" s="29" t="str">
        <f>'RESUMEN TOTAL'!V122</f>
        <v>APAGADO</v>
      </c>
      <c r="R119" s="29" t="str">
        <f>'RESUMEN TOTAL'!W122</f>
        <v>APAGADO</v>
      </c>
      <c r="S119" s="29" t="str">
        <f>'RESUMEN TOTAL'!X122</f>
        <v>APAGADO</v>
      </c>
      <c r="T119" s="29" t="str">
        <f>'RESUMEN TOTAL'!Y122</f>
        <v>APAGADO</v>
      </c>
      <c r="U119" s="29" t="str">
        <f>'RESUMEN TOTAL'!Z122</f>
        <v>APAGADO</v>
      </c>
      <c r="V119" s="29" t="str">
        <f>'RESUMEN TOTAL'!AA122</f>
        <v>APAGADO</v>
      </c>
      <c r="W119" s="29" t="str">
        <f>'RESUMEN TOTAL'!AB122</f>
        <v>APAGADO</v>
      </c>
      <c r="X119" s="29" t="str">
        <f>'RESUMEN TOTAL'!AC122</f>
        <v>APAGADO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 t="str">
        <f>'RESUMEN TOTAL'!AK122</f>
        <v>APAGADO</v>
      </c>
      <c r="AG119" s="29" t="str">
        <f>'RESUMEN TOTAL'!AL122</f>
        <v>APAGADO</v>
      </c>
      <c r="AH119" s="29" t="str">
        <f>'RESUMEN TOTAL'!AM122</f>
        <v>APAGADO</v>
      </c>
      <c r="AI119" s="29" t="str">
        <f>'RESUMEN TOTAL'!AN122</f>
        <v>APAGADO</v>
      </c>
    </row>
    <row r="120" spans="1:35" x14ac:dyDescent="0.3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3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3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 t="str">
        <f>'RESUMEN TOTAL'!AK125</f>
        <v>APAGADO</v>
      </c>
      <c r="AG122" s="29" t="str">
        <f>'RESUMEN TOTAL'!AL125</f>
        <v>APAGADO</v>
      </c>
      <c r="AH122" s="29" t="str">
        <f>'RESUMEN TOTAL'!AM125</f>
        <v>APAGADO</v>
      </c>
      <c r="AI122" s="29">
        <f>'RESUMEN TOTAL'!AN125</f>
        <v>0</v>
      </c>
    </row>
    <row r="123" spans="1:35" x14ac:dyDescent="0.3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 t="str">
        <f>'RESUMEN TOTAL'!AK126</f>
        <v>APAGADO</v>
      </c>
      <c r="AG123" s="29" t="str">
        <f>'RESUMEN TOTAL'!AL126</f>
        <v>APAGADO</v>
      </c>
      <c r="AH123" s="29" t="str">
        <f>'RESUMEN TOTAL'!AM126</f>
        <v>APAGADO</v>
      </c>
      <c r="AI123" s="29">
        <f>'RESUMEN TOTAL'!AN126</f>
        <v>0</v>
      </c>
    </row>
    <row r="124" spans="1:35" x14ac:dyDescent="0.3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3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 t="str">
        <f>'RESUMEN TOTAL'!M132</f>
        <v>APAGADO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3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>
        <f>'RESUMEN TOTAL'!M133</f>
        <v>0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3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3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 t="str">
        <f>'RESUMEN TOTAL'!S135</f>
        <v>APAGADO</v>
      </c>
      <c r="O128" s="29" t="str">
        <f>'RESUMEN TOTAL'!T135</f>
        <v>APAGADO</v>
      </c>
      <c r="P128" s="29" t="str">
        <f>'RESUMEN TOTAL'!U135</f>
        <v>APAGADO</v>
      </c>
      <c r="Q128" s="29">
        <f>'RESUMEN TOTAL'!V135</f>
        <v>0</v>
      </c>
      <c r="R128" s="29" t="str">
        <f>'RESUMEN TOTAL'!W135</f>
        <v>APAGADO</v>
      </c>
      <c r="S128" s="29" t="str">
        <f>'RESUMEN TOTAL'!X135</f>
        <v>APAGADO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3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3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3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3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3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3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3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>
        <f>'RESUMEN TOTAL'!M142</f>
        <v>0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 t="str">
        <f>'RESUMEN TOTAL'!U142</f>
        <v>APAGADO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3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>
        <f>'RESUMEN TOTAL'!M143</f>
        <v>0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3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 t="str">
        <f>'RESUMEN TOTAL'!K144</f>
        <v>APAGADO</v>
      </c>
      <c r="G137" s="29" t="str">
        <f>'RESUMEN TOTAL'!L144</f>
        <v>APAGADO</v>
      </c>
      <c r="H137" s="29" t="str">
        <f>'RESUMEN TOTAL'!M144</f>
        <v>APAGADO</v>
      </c>
      <c r="I137" s="29" t="str">
        <f>'RESUMEN TOTAL'!N144</f>
        <v>APAGADO</v>
      </c>
      <c r="J137" s="29" t="str">
        <f>'RESUMEN TOTAL'!O144</f>
        <v>APAGADO</v>
      </c>
      <c r="K137" s="29" t="str">
        <f>'RESUMEN TOTAL'!P144</f>
        <v>APAGADO</v>
      </c>
      <c r="L137" s="29" t="str">
        <f>'RESUMEN TOTAL'!Q144</f>
        <v>APAGADO</v>
      </c>
      <c r="M137" s="29" t="str">
        <f>'RESUMEN TOTAL'!R144</f>
        <v>APAGADO</v>
      </c>
      <c r="N137" s="29" t="str">
        <f>'RESUMEN TOTAL'!S144</f>
        <v>APAGADO</v>
      </c>
      <c r="O137" s="29" t="str">
        <f>'RESUMEN TOTAL'!T144</f>
        <v>APAGADO</v>
      </c>
      <c r="P137" s="29" t="str">
        <f>'RESUMEN TOTAL'!U144</f>
        <v>APAGADO</v>
      </c>
      <c r="Q137" s="29" t="str">
        <f>'RESUMEN TOTAL'!V144</f>
        <v>APAGADO</v>
      </c>
      <c r="R137" s="29" t="str">
        <f>'RESUMEN TOTAL'!W144</f>
        <v>APAGADO</v>
      </c>
      <c r="S137" s="29" t="str">
        <f>'RESUMEN TOTAL'!X144</f>
        <v>APAGADO</v>
      </c>
      <c r="T137" s="29" t="str">
        <f>'RESUMEN TOTAL'!Y144</f>
        <v>APAGADO</v>
      </c>
      <c r="U137" s="29" t="str">
        <f>'RESUMEN TOTAL'!Z144</f>
        <v>APAGADO</v>
      </c>
      <c r="V137" s="29" t="str">
        <f>'RESUMEN TOTAL'!AA144</f>
        <v>APAGADO</v>
      </c>
      <c r="W137" s="29" t="str">
        <f>'RESUMEN TOTAL'!AB144</f>
        <v>APAGADO</v>
      </c>
      <c r="X137" s="29" t="str">
        <f>'RESUMEN TOTAL'!AC144</f>
        <v>APAGADO</v>
      </c>
      <c r="Y137" s="29" t="str">
        <f>'RESUMEN TOTAL'!AD144</f>
        <v>APAGADO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 t="str">
        <f>'RESUMEN TOTAL'!AH144</f>
        <v>APAGADO</v>
      </c>
      <c r="AD137" s="29" t="str">
        <f>'RESUMEN TOTAL'!AI144</f>
        <v>APAGADO</v>
      </c>
      <c r="AE137" s="29" t="str">
        <f>'RESUMEN TOTAL'!AJ144</f>
        <v>APAGADO</v>
      </c>
      <c r="AF137" s="29" t="str">
        <f>'RESUMEN TOTAL'!AK144</f>
        <v>APAGADO</v>
      </c>
      <c r="AG137" s="29" t="str">
        <f>'RESUMEN TOTAL'!AL144</f>
        <v>APAGADO</v>
      </c>
      <c r="AH137" s="29">
        <f>'RESUMEN TOTAL'!AM144</f>
        <v>0</v>
      </c>
      <c r="AI137" s="29">
        <f>'RESUMEN TOTAL'!AN144</f>
        <v>0</v>
      </c>
    </row>
    <row r="138" spans="1:35" x14ac:dyDescent="0.3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>
        <f>'RESUMEN TOTAL'!U145</f>
        <v>0</v>
      </c>
      <c r="Q138" s="29">
        <f>'RESUMEN TOTAL'!V145</f>
        <v>0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 t="str">
        <f>'RESUMEN TOTAL'!AM145</f>
        <v>APAGADO</v>
      </c>
      <c r="AI138" s="29">
        <f>'RESUMEN TOTAL'!AN145</f>
        <v>0</v>
      </c>
    </row>
    <row r="139" spans="1:35" x14ac:dyDescent="0.3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>
        <f>'RESUMEN TOTAL'!M146</f>
        <v>0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3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>
        <f>'RESUMEN TOTAL'!T147</f>
        <v>0</v>
      </c>
      <c r="P140" s="29">
        <f>'RESUMEN TOTAL'!U147</f>
        <v>0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3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 t="str">
        <f>'RESUMEN TOTAL'!AF148</f>
        <v>APAGADO</v>
      </c>
      <c r="AB141" s="29" t="str">
        <f>'RESUMEN TOTAL'!AG148</f>
        <v>APAGADO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3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3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3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 t="str">
        <f>'RESUMEN TOTAL'!N151</f>
        <v>APAGADO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3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 t="str">
        <f>'RESUMEN TOTAL'!N152</f>
        <v>APAGADO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3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 t="str">
        <f>'RESUMEN TOTAL'!N153</f>
        <v>APAGADO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 t="str">
        <f>'RESUMEN TOTAL'!AL153</f>
        <v>APAGADO</v>
      </c>
      <c r="AH146" s="29" t="str">
        <f>'RESUMEN TOTAL'!AM153</f>
        <v>APAGADO</v>
      </c>
      <c r="AI146" s="29">
        <f>'RESUMEN TOTAL'!AN153</f>
        <v>0</v>
      </c>
    </row>
    <row r="147" spans="1:35" x14ac:dyDescent="0.3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>
        <f>'RESUMEN TOTAL'!M154</f>
        <v>0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3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3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>
        <f>'RESUMEN TOTAL'!S156</f>
        <v>0</v>
      </c>
      <c r="O149" s="29">
        <f>'RESUMEN TOTAL'!T156</f>
        <v>0</v>
      </c>
      <c r="P149" s="29">
        <f>'RESUMEN TOTAL'!U156</f>
        <v>0</v>
      </c>
      <c r="Q149" s="29">
        <f>'RESUMEN TOTAL'!V156</f>
        <v>0</v>
      </c>
      <c r="R149" s="29">
        <f>'RESUMEN TOTAL'!W156</f>
        <v>0</v>
      </c>
      <c r="S149" s="29">
        <f>'RESUMEN TOTAL'!X156</f>
        <v>0</v>
      </c>
      <c r="T149" s="29">
        <f>'RESUMEN TOTAL'!Y156</f>
        <v>0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3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>
        <f>'RESUMEN TOTAL'!S157</f>
        <v>0</v>
      </c>
      <c r="O150" s="29">
        <f>'RESUMEN TOTAL'!T157</f>
        <v>0</v>
      </c>
      <c r="P150" s="29">
        <f>'RESUMEN TOTAL'!U157</f>
        <v>0</v>
      </c>
      <c r="Q150" s="29">
        <f>'RESUMEN TOTAL'!V157</f>
        <v>0</v>
      </c>
      <c r="R150" s="29">
        <f>'RESUMEN TOTAL'!W157</f>
        <v>0</v>
      </c>
      <c r="S150" s="29">
        <f>'RESUMEN TOTAL'!X157</f>
        <v>0</v>
      </c>
      <c r="T150" s="29">
        <f>'RESUMEN TOTAL'!Y157</f>
        <v>0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3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3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3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3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>
        <f>'RESUMEN TOTAL'!K161</f>
        <v>0</v>
      </c>
      <c r="G154" s="29">
        <f>'RESUMEN TOTAL'!L161</f>
        <v>0</v>
      </c>
      <c r="H154" s="29">
        <f>'RESUMEN TOTAL'!M161</f>
        <v>0</v>
      </c>
      <c r="I154" s="29">
        <f>'RESUMEN TOTAL'!N161</f>
        <v>0</v>
      </c>
      <c r="J154" s="29">
        <f>'RESUMEN TOTAL'!O161</f>
        <v>0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 t="str">
        <f>'RESUMEN TOTAL'!AG161</f>
        <v>APAGADO</v>
      </c>
      <c r="AC154" s="29" t="str">
        <f>'RESUMEN TOTAL'!AH161</f>
        <v>APAGADO</v>
      </c>
      <c r="AD154" s="29" t="str">
        <f>'RESUMEN TOTAL'!AI161</f>
        <v>APAGADO</v>
      </c>
      <c r="AE154" s="29" t="str">
        <f>'RESUMEN TOTAL'!AJ161</f>
        <v>APAGADO</v>
      </c>
      <c r="AF154" s="29" t="str">
        <f>'RESUMEN TOTAL'!AK161</f>
        <v>APAGADO</v>
      </c>
      <c r="AG154" s="29" t="str">
        <f>'RESUMEN TOTAL'!AL161</f>
        <v>APAGADO</v>
      </c>
      <c r="AH154" s="29" t="str">
        <f>'RESUMEN TOTAL'!AM161</f>
        <v>APAGADO</v>
      </c>
      <c r="AI154" s="29" t="str">
        <f>'RESUMEN TOTAL'!AN161</f>
        <v>APAGADO</v>
      </c>
    </row>
    <row r="155" spans="1:35" x14ac:dyDescent="0.3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 t="str">
        <f>'RESUMEN TOTAL'!V162</f>
        <v>APAGADO</v>
      </c>
      <c r="R155" s="29" t="str">
        <f>'RESUMEN TOTAL'!W162</f>
        <v>APAGADO</v>
      </c>
      <c r="S155" s="29" t="str">
        <f>'RESUMEN TOTAL'!X162</f>
        <v>APAGADO</v>
      </c>
      <c r="T155" s="29" t="str">
        <f>'RESUMEN TOTAL'!Y162</f>
        <v>APAGADO</v>
      </c>
      <c r="U155" s="29" t="str">
        <f>'RESUMEN TOTAL'!Z162</f>
        <v>APAGADO</v>
      </c>
      <c r="V155" s="29" t="str">
        <f>'RESUMEN TOTAL'!AA162</f>
        <v>APAGADO</v>
      </c>
      <c r="W155" s="29" t="str">
        <f>'RESUMEN TOTAL'!AB162</f>
        <v>APAGADO</v>
      </c>
      <c r="X155" s="29" t="str">
        <f>'RESUMEN TOTAL'!AC162</f>
        <v>APAGADO</v>
      </c>
      <c r="Y155" s="29" t="str">
        <f>'RESUMEN TOTAL'!AD162</f>
        <v>APAGADO</v>
      </c>
      <c r="Z155" s="29" t="str">
        <f>'RESUMEN TOTAL'!AE162</f>
        <v>APAGADO</v>
      </c>
      <c r="AA155" s="29" t="str">
        <f>'RESUMEN TOTAL'!AF162</f>
        <v>APAGADO</v>
      </c>
      <c r="AB155" s="29" t="str">
        <f>'RESUMEN TOTAL'!AG162</f>
        <v>APAGADO</v>
      </c>
      <c r="AC155" s="29" t="str">
        <f>'RESUMEN TOTAL'!AH162</f>
        <v>APAGADO</v>
      </c>
      <c r="AD155" s="29" t="str">
        <f>'RESUMEN TOTAL'!AI162</f>
        <v>APAGADO</v>
      </c>
      <c r="AE155" s="29" t="str">
        <f>'RESUMEN TOTAL'!AJ162</f>
        <v>APAGADO</v>
      </c>
      <c r="AF155" s="29" t="str">
        <f>'RESUMEN TOTAL'!AK162</f>
        <v>APAGADO</v>
      </c>
      <c r="AG155" s="29" t="str">
        <f>'RESUMEN TOTAL'!AL162</f>
        <v>APAGADO</v>
      </c>
      <c r="AH155" s="29" t="str">
        <f>'RESUMEN TOTAL'!AM162</f>
        <v>APAGADO</v>
      </c>
      <c r="AI155" s="29">
        <f>'RESUMEN TOTAL'!AN162</f>
        <v>0</v>
      </c>
    </row>
    <row r="156" spans="1:35" x14ac:dyDescent="0.3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3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 t="str">
        <f>'RESUMEN TOTAL'!O164</f>
        <v>APAGADO</v>
      </c>
      <c r="K157" s="29" t="str">
        <f>'RESUMEN TOTAL'!P164</f>
        <v>APAGADO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 t="str">
        <f>'RESUMEN TOTAL'!V164</f>
        <v>APAGADO</v>
      </c>
      <c r="R157" s="29" t="str">
        <f>'RESUMEN TOTAL'!W164</f>
        <v>APAGADO</v>
      </c>
      <c r="S157" s="29" t="str">
        <f>'RESUMEN TOTAL'!X164</f>
        <v>APAGADO</v>
      </c>
      <c r="T157" s="29" t="str">
        <f>'RESUMEN TOTAL'!Y164</f>
        <v>APAGADO</v>
      </c>
      <c r="U157" s="29" t="str">
        <f>'RESUMEN TOTAL'!Z164</f>
        <v>APAGADO</v>
      </c>
      <c r="V157" s="29" t="str">
        <f>'RESUMEN TOTAL'!AA164</f>
        <v>APAGADO</v>
      </c>
      <c r="W157" s="29" t="str">
        <f>'RESUMEN TOTAL'!AB164</f>
        <v>APAGADO</v>
      </c>
      <c r="X157" s="29" t="str">
        <f>'RESUMEN TOTAL'!AC164</f>
        <v>APAGADO</v>
      </c>
      <c r="Y157" s="29" t="str">
        <f>'RESUMEN TOTAL'!AD164</f>
        <v>APAGADO</v>
      </c>
      <c r="Z157" s="29" t="str">
        <f>'RESUMEN TOTAL'!AE164</f>
        <v>APAGADO</v>
      </c>
      <c r="AA157" s="29" t="str">
        <f>'RESUMEN TOTAL'!AF164</f>
        <v>APAGADO</v>
      </c>
      <c r="AB157" s="29" t="str">
        <f>'RESUMEN TOTAL'!AG164</f>
        <v>APAGADO</v>
      </c>
      <c r="AC157" s="29" t="str">
        <f>'RESUMEN TOTAL'!AH164</f>
        <v>APAGADO</v>
      </c>
      <c r="AD157" s="29" t="str">
        <f>'RESUMEN TOTAL'!AI164</f>
        <v>APAGADO</v>
      </c>
      <c r="AE157" s="29" t="str">
        <f>'RESUMEN TOTAL'!AJ164</f>
        <v>APAGADO</v>
      </c>
      <c r="AF157" s="29" t="str">
        <f>'RESUMEN TOTAL'!AK164</f>
        <v>APAGADO</v>
      </c>
      <c r="AG157" s="29" t="str">
        <f>'RESUMEN TOTAL'!AL164</f>
        <v>APAGADO</v>
      </c>
      <c r="AH157" s="29" t="str">
        <f>'RESUMEN TOTAL'!AM164</f>
        <v>APAGADO</v>
      </c>
      <c r="AI157" s="29">
        <f>'RESUMEN TOTAL'!AN164</f>
        <v>0</v>
      </c>
    </row>
    <row r="158" spans="1:35" x14ac:dyDescent="0.3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 t="str">
        <f>'RESUMEN TOTAL'!O165</f>
        <v>APAGADO</v>
      </c>
      <c r="K158" s="29" t="str">
        <f>'RESUMEN TOTAL'!P165</f>
        <v>APAGADO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 t="str">
        <f>'RESUMEN TOTAL'!V165</f>
        <v>APAGADO</v>
      </c>
      <c r="R158" s="29" t="str">
        <f>'RESUMEN TOTAL'!W165</f>
        <v>APAGADO</v>
      </c>
      <c r="S158" s="29" t="str">
        <f>'RESUMEN TOTAL'!X165</f>
        <v>APAGADO</v>
      </c>
      <c r="T158" s="29" t="str">
        <f>'RESUMEN TOTAL'!Y165</f>
        <v>APAGADO</v>
      </c>
      <c r="U158" s="29" t="str">
        <f>'RESUMEN TOTAL'!Z165</f>
        <v>APAGADO</v>
      </c>
      <c r="V158" s="29" t="str">
        <f>'RESUMEN TOTAL'!AA165</f>
        <v>APAGADO</v>
      </c>
      <c r="W158" s="29" t="str">
        <f>'RESUMEN TOTAL'!AB165</f>
        <v>APAGADO</v>
      </c>
      <c r="X158" s="29" t="str">
        <f>'RESUMEN TOTAL'!AC165</f>
        <v>APAGADO</v>
      </c>
      <c r="Y158" s="29" t="str">
        <f>'RESUMEN TOTAL'!AD165</f>
        <v>APAGADO</v>
      </c>
      <c r="Z158" s="29" t="str">
        <f>'RESUMEN TOTAL'!AE165</f>
        <v>APAGADO</v>
      </c>
      <c r="AA158" s="29" t="str">
        <f>'RESUMEN TOTAL'!AF165</f>
        <v>APAGADO</v>
      </c>
      <c r="AB158" s="29" t="str">
        <f>'RESUMEN TOTAL'!AG165</f>
        <v>APAGADO</v>
      </c>
      <c r="AC158" s="29" t="str">
        <f>'RESUMEN TOTAL'!AH165</f>
        <v>APAGADO</v>
      </c>
      <c r="AD158" s="29" t="str">
        <f>'RESUMEN TOTAL'!AI165</f>
        <v>APAGADO</v>
      </c>
      <c r="AE158" s="29" t="str">
        <f>'RESUMEN TOTAL'!AJ165</f>
        <v>APAGADO</v>
      </c>
      <c r="AF158" s="29" t="str">
        <f>'RESUMEN TOTAL'!AK165</f>
        <v>APAGADO</v>
      </c>
      <c r="AG158" s="29" t="str">
        <f>'RESUMEN TOTAL'!AL165</f>
        <v>APAGADO</v>
      </c>
      <c r="AH158" s="29" t="str">
        <f>'RESUMEN TOTAL'!AM165</f>
        <v>APAGADO</v>
      </c>
      <c r="AI158" s="29">
        <f>'RESUMEN TOTAL'!AN165</f>
        <v>0</v>
      </c>
    </row>
    <row r="159" spans="1:35" x14ac:dyDescent="0.3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 t="str">
        <f>'RESUMEN TOTAL'!P166</f>
        <v>APAGADO</v>
      </c>
      <c r="L159" s="29" t="str">
        <f>'RESUMEN TOTAL'!Q166</f>
        <v>APAGADO</v>
      </c>
      <c r="M159" s="29" t="str">
        <f>'RESUMEN TOTAL'!R166</f>
        <v>APAGADO</v>
      </c>
      <c r="N159" s="29" t="str">
        <f>'RESUMEN TOTAL'!S166</f>
        <v>APAGADO</v>
      </c>
      <c r="O159" s="29">
        <f>'RESUMEN TOTAL'!T166</f>
        <v>0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 t="str">
        <f>'RESUMEN TOTAL'!Y166</f>
        <v>APAGADO</v>
      </c>
      <c r="U159" s="29" t="str">
        <f>'RESUMEN TOTAL'!Z166</f>
        <v>APAGADO</v>
      </c>
      <c r="V159" s="29" t="str">
        <f>'RESUMEN TOTAL'!AA166</f>
        <v>APAGADO</v>
      </c>
      <c r="W159" s="29" t="str">
        <f>'RESUMEN TOTAL'!AB166</f>
        <v>APAGADO</v>
      </c>
      <c r="X159" s="29" t="str">
        <f>'RESUMEN TOTAL'!AC166</f>
        <v>APAGADO</v>
      </c>
      <c r="Y159" s="29" t="str">
        <f>'RESUMEN TOTAL'!AD166</f>
        <v>APAGADO</v>
      </c>
      <c r="Z159" s="29" t="str">
        <f>'RESUMEN TOTAL'!AE166</f>
        <v>APAGADO</v>
      </c>
      <c r="AA159" s="29" t="str">
        <f>'RESUMEN TOTAL'!AF166</f>
        <v>APAGADO</v>
      </c>
      <c r="AB159" s="29" t="str">
        <f>'RESUMEN TOTAL'!AG166</f>
        <v>APAGADO</v>
      </c>
      <c r="AC159" s="29" t="str">
        <f>'RESUMEN TOTAL'!AH166</f>
        <v>APAGADO</v>
      </c>
      <c r="AD159" s="29" t="str">
        <f>'RESUMEN TOTAL'!AI166</f>
        <v>APAGADO</v>
      </c>
      <c r="AE159" s="29" t="str">
        <f>'RESUMEN TOTAL'!AJ166</f>
        <v>APAGADO</v>
      </c>
      <c r="AF159" s="29" t="str">
        <f>'RESUMEN TOTAL'!AK166</f>
        <v>APAGADO</v>
      </c>
      <c r="AG159" s="29" t="str">
        <f>'RESUMEN TOTAL'!AL166</f>
        <v>APAGADO</v>
      </c>
      <c r="AH159" s="29" t="str">
        <f>'RESUMEN TOTAL'!AM166</f>
        <v>APAGADO</v>
      </c>
      <c r="AI159" s="29" t="str">
        <f>'RESUMEN TOTAL'!AN166</f>
        <v>APAGADO</v>
      </c>
    </row>
    <row r="160" spans="1:35" x14ac:dyDescent="0.3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 t="str">
        <f>'RESUMEN TOTAL'!K167</f>
        <v>APAGADO</v>
      </c>
      <c r="G160" s="29" t="str">
        <f>'RESUMEN TOTAL'!L167</f>
        <v>APAGADO</v>
      </c>
      <c r="H160" s="29" t="str">
        <f>'RESUMEN TOTAL'!M167</f>
        <v>APAGADO</v>
      </c>
      <c r="I160" s="29" t="str">
        <f>'RESUMEN TOTAL'!N167</f>
        <v>APAGADO</v>
      </c>
      <c r="J160" s="29" t="str">
        <f>'RESUMEN TOTAL'!O167</f>
        <v>APAGADO</v>
      </c>
      <c r="K160" s="29" t="str">
        <f>'RESUMEN TOTAL'!P167</f>
        <v>APAGADO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3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 t="str">
        <f>'RESUMEN TOTAL'!P168</f>
        <v>APAGADO</v>
      </c>
      <c r="L161" s="29" t="str">
        <f>'RESUMEN TOTAL'!Q168</f>
        <v>APAGADO</v>
      </c>
      <c r="M161" s="29" t="str">
        <f>'RESUMEN TOTAL'!R168</f>
        <v>APAGADO</v>
      </c>
      <c r="N161" s="29" t="str">
        <f>'RESUMEN TOTAL'!S168</f>
        <v>APAGADO</v>
      </c>
      <c r="O161" s="29" t="str">
        <f>'RESUMEN TOTAL'!T168</f>
        <v>APAGADO</v>
      </c>
      <c r="P161" s="29">
        <f>'RESUMEN TOTAL'!U168</f>
        <v>0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 t="str">
        <f>'RESUMEN TOTAL'!Y168</f>
        <v>APAGADO</v>
      </c>
      <c r="U161" s="29" t="str">
        <f>'RESUMEN TOTAL'!Z168</f>
        <v>APAGADO</v>
      </c>
      <c r="V161" s="29" t="str">
        <f>'RESUMEN TOTAL'!AA168</f>
        <v>APAGADO</v>
      </c>
      <c r="W161" s="29" t="str">
        <f>'RESUMEN TOTAL'!AB168</f>
        <v>APAGADO</v>
      </c>
      <c r="X161" s="29" t="str">
        <f>'RESUMEN TOTAL'!AC168</f>
        <v>APAGADO</v>
      </c>
      <c r="Y161" s="29" t="str">
        <f>'RESUMEN TOTAL'!AD168</f>
        <v>APAGADO</v>
      </c>
      <c r="Z161" s="29" t="str">
        <f>'RESUMEN TOTAL'!AE168</f>
        <v>APAGADO</v>
      </c>
      <c r="AA161" s="29" t="str">
        <f>'RESUMEN TOTAL'!AF168</f>
        <v>APAGADO</v>
      </c>
      <c r="AB161" s="29" t="str">
        <f>'RESUMEN TOTAL'!AG168</f>
        <v>APAGADO</v>
      </c>
      <c r="AC161" s="29" t="str">
        <f>'RESUMEN TOTAL'!AH168</f>
        <v>APAGADO</v>
      </c>
      <c r="AD161" s="29" t="str">
        <f>'RESUMEN TOTAL'!AI168</f>
        <v>APAGADO</v>
      </c>
      <c r="AE161" s="29" t="str">
        <f>'RESUMEN TOTAL'!AJ168</f>
        <v>APAGADO</v>
      </c>
      <c r="AF161" s="29" t="str">
        <f>'RESUMEN TOTAL'!AK168</f>
        <v>APAGADO</v>
      </c>
      <c r="AG161" s="29" t="str">
        <f>'RESUMEN TOTAL'!AL168</f>
        <v>APAGADO</v>
      </c>
      <c r="AH161" s="29" t="str">
        <f>'RESUMEN TOTAL'!AM168</f>
        <v>APAGADO</v>
      </c>
      <c r="AI161" s="29" t="str">
        <f>'RESUMEN TOTAL'!AN168</f>
        <v>APAGADO</v>
      </c>
    </row>
    <row r="162" spans="1:35" x14ac:dyDescent="0.3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 t="str">
        <f>'RESUMEN TOTAL'!M169</f>
        <v>APAGADO</v>
      </c>
      <c r="I162" s="29" t="str">
        <f>'RESUMEN TOTAL'!N169</f>
        <v>APAGADO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3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>
        <f>'RESUMEN TOTAL'!L170</f>
        <v>0</v>
      </c>
      <c r="H163" s="29">
        <f>'RESUMEN TOTAL'!M170</f>
        <v>0</v>
      </c>
      <c r="I163" s="29">
        <f>'RESUMEN TOTAL'!N170</f>
        <v>0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3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 t="str">
        <f>'RESUMEN TOTAL'!V171</f>
        <v>APAGADO</v>
      </c>
      <c r="R164" s="29" t="str">
        <f>'RESUMEN TOTAL'!W171</f>
        <v>APAGADO</v>
      </c>
      <c r="S164" s="29" t="str">
        <f>'RESUMEN TOTAL'!X171</f>
        <v>APAGADO</v>
      </c>
      <c r="T164" s="29" t="str">
        <f>'RESUMEN TOTAL'!Y171</f>
        <v>APAGADO</v>
      </c>
      <c r="U164" s="29" t="str">
        <f>'RESUMEN TOTAL'!Z171</f>
        <v>APAGADO</v>
      </c>
      <c r="V164" s="29" t="str">
        <f>'RESUMEN TOTAL'!AA171</f>
        <v>APAGADO</v>
      </c>
      <c r="W164" s="29" t="str">
        <f>'RESUMEN TOTAL'!AB171</f>
        <v>APAGADO</v>
      </c>
      <c r="X164" s="29" t="str">
        <f>'RESUMEN TOTAL'!AC171</f>
        <v>APAGADO</v>
      </c>
      <c r="Y164" s="29" t="str">
        <f>'RESUMEN TOTAL'!AD171</f>
        <v>APAGADO</v>
      </c>
      <c r="Z164" s="29" t="str">
        <f>'RESUMEN TOTAL'!AE171</f>
        <v>APAGADO</v>
      </c>
      <c r="AA164" s="29" t="str">
        <f>'RESUMEN TOTAL'!AF171</f>
        <v>APAGADO</v>
      </c>
      <c r="AB164" s="29" t="str">
        <f>'RESUMEN TOTAL'!AG171</f>
        <v>APAGADO</v>
      </c>
      <c r="AC164" s="29" t="str">
        <f>'RESUMEN TOTAL'!AH171</f>
        <v>APAGADO</v>
      </c>
      <c r="AD164" s="29" t="str">
        <f>'RESUMEN TOTAL'!AI171</f>
        <v>APAGADO</v>
      </c>
      <c r="AE164" s="29" t="str">
        <f>'RESUMEN TOTAL'!AJ171</f>
        <v>APAGADO</v>
      </c>
      <c r="AF164" s="29" t="str">
        <f>'RESUMEN TOTAL'!AK171</f>
        <v>APAGADO</v>
      </c>
      <c r="AG164" s="29" t="str">
        <f>'RESUMEN TOTAL'!AL171</f>
        <v>APAGADO</v>
      </c>
      <c r="AH164" s="29" t="str">
        <f>'RESUMEN TOTAL'!AM171</f>
        <v>APAGADO</v>
      </c>
      <c r="AI164" s="29">
        <f>'RESUMEN TOTAL'!AN171</f>
        <v>0</v>
      </c>
    </row>
    <row r="165" spans="1:35" x14ac:dyDescent="0.3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 t="str">
        <f>'RESUMEN TOTAL'!L172</f>
        <v>APAGADO</v>
      </c>
      <c r="H165" s="29" t="str">
        <f>'RESUMEN TOTAL'!M172</f>
        <v>APAGADO</v>
      </c>
      <c r="I165" s="29">
        <f>'RESUMEN TOTAL'!N172</f>
        <v>0</v>
      </c>
      <c r="J165" s="29" t="str">
        <f>'RESUMEN TOTAL'!O172</f>
        <v>APAGADO</v>
      </c>
      <c r="K165" s="29" t="str">
        <f>'RESUMEN TOTAL'!P172</f>
        <v>APAGADO</v>
      </c>
      <c r="L165" s="29" t="str">
        <f>'RESUMEN TOTAL'!Q172</f>
        <v>APAGADO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 t="str">
        <f>'RESUMEN TOTAL'!V172</f>
        <v>APAGADO</v>
      </c>
      <c r="R165" s="29" t="str">
        <f>'RESUMEN TOTAL'!W172</f>
        <v>APAGADO</v>
      </c>
      <c r="S165" s="29" t="str">
        <f>'RESUMEN TOTAL'!X172</f>
        <v>APAGADO</v>
      </c>
      <c r="T165" s="29" t="str">
        <f>'RESUMEN TOTAL'!Y172</f>
        <v>APAGADO</v>
      </c>
      <c r="U165" s="29" t="str">
        <f>'RESUMEN TOTAL'!Z172</f>
        <v>APAGADO</v>
      </c>
      <c r="V165" s="29" t="str">
        <f>'RESUMEN TOTAL'!AA172</f>
        <v>APAGADO</v>
      </c>
      <c r="W165" s="29" t="str">
        <f>'RESUMEN TOTAL'!AB172</f>
        <v>APAGADO</v>
      </c>
      <c r="X165" s="29" t="str">
        <f>'RESUMEN TOTAL'!AC172</f>
        <v>APAGADO</v>
      </c>
      <c r="Y165" s="29" t="str">
        <f>'RESUMEN TOTAL'!AD172</f>
        <v>APAGADO</v>
      </c>
      <c r="Z165" s="29" t="str">
        <f>'RESUMEN TOTAL'!AE172</f>
        <v>APAGADO</v>
      </c>
      <c r="AA165" s="29" t="str">
        <f>'RESUMEN TOTAL'!AF172</f>
        <v>APAGADO</v>
      </c>
      <c r="AB165" s="29" t="str">
        <f>'RESUMEN TOTAL'!AG172</f>
        <v>APAGADO</v>
      </c>
      <c r="AC165" s="29" t="str">
        <f>'RESUMEN TOTAL'!AH172</f>
        <v>APAGADO</v>
      </c>
      <c r="AD165" s="29" t="str">
        <f>'RESUMEN TOTAL'!AI172</f>
        <v>APAGADO</v>
      </c>
      <c r="AE165" s="29" t="str">
        <f>'RESUMEN TOTAL'!AJ172</f>
        <v>APAGADO</v>
      </c>
      <c r="AF165" s="29" t="str">
        <f>'RESUMEN TOTAL'!AK172</f>
        <v>APAGADO</v>
      </c>
      <c r="AG165" s="29" t="str">
        <f>'RESUMEN TOTAL'!AL172</f>
        <v>APAGADO</v>
      </c>
      <c r="AH165" s="29" t="str">
        <f>'RESUMEN TOTAL'!AM172</f>
        <v>APAGADO</v>
      </c>
      <c r="AI165" s="29">
        <f>'RESUMEN TOTAL'!AN172</f>
        <v>0</v>
      </c>
    </row>
    <row r="166" spans="1:35" x14ac:dyDescent="0.3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 t="str">
        <f>'RESUMEN TOTAL'!M173</f>
        <v>APAGADO</v>
      </c>
      <c r="I166" s="29" t="str">
        <f>'RESUMEN TOTAL'!N173</f>
        <v>APAGADO</v>
      </c>
      <c r="J166" s="29" t="str">
        <f>'RESUMEN TOTAL'!O173</f>
        <v>APAGADO</v>
      </c>
      <c r="K166" s="29" t="str">
        <f>'RESUMEN TOTAL'!P173</f>
        <v>APAGADO</v>
      </c>
      <c r="L166" s="29" t="str">
        <f>'RESUMEN TOTAL'!Q173</f>
        <v>APAGADO</v>
      </c>
      <c r="M166" s="29" t="str">
        <f>'RESUMEN TOTAL'!R173</f>
        <v>APAGADO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 t="str">
        <f>'RESUMEN TOTAL'!Y173</f>
        <v>APAGADO</v>
      </c>
      <c r="U166" s="29" t="str">
        <f>'RESUMEN TOTAL'!Z173</f>
        <v>APAGADO</v>
      </c>
      <c r="V166" s="29" t="str">
        <f>'RESUMEN TOTAL'!AA173</f>
        <v>APAGADO</v>
      </c>
      <c r="W166" s="29" t="str">
        <f>'RESUMEN TOTAL'!AB173</f>
        <v>APAGADO</v>
      </c>
      <c r="X166" s="29" t="str">
        <f>'RESUMEN TOTAL'!AC173</f>
        <v>APAGADO</v>
      </c>
      <c r="Y166" s="29" t="str">
        <f>'RESUMEN TOTAL'!AD173</f>
        <v>APAGADO</v>
      </c>
      <c r="Z166" s="29" t="str">
        <f>'RESUMEN TOTAL'!AE173</f>
        <v>APAGADO</v>
      </c>
      <c r="AA166" s="29" t="str">
        <f>'RESUMEN TOTAL'!AF173</f>
        <v>APAGADO</v>
      </c>
      <c r="AB166" s="29" t="str">
        <f>'RESUMEN TOTAL'!AG173</f>
        <v>APAGADO</v>
      </c>
      <c r="AC166" s="29" t="str">
        <f>'RESUMEN TOTAL'!AH173</f>
        <v>APAGADO</v>
      </c>
      <c r="AD166" s="29" t="str">
        <f>'RESUMEN TOTAL'!AI173</f>
        <v>APAGADO</v>
      </c>
      <c r="AE166" s="29" t="str">
        <f>'RESUMEN TOTAL'!AJ173</f>
        <v>APAGADO</v>
      </c>
      <c r="AF166" s="29" t="str">
        <f>'RESUMEN TOTAL'!AK173</f>
        <v>APAGADO</v>
      </c>
      <c r="AG166" s="29" t="str">
        <f>'RESUMEN TOTAL'!AL173</f>
        <v>APAGADO</v>
      </c>
      <c r="AH166" s="29" t="str">
        <f>'RESUMEN TOTAL'!AM173</f>
        <v>APAGADO</v>
      </c>
      <c r="AI166" s="29">
        <f>'RESUMEN TOTAL'!AN173</f>
        <v>0</v>
      </c>
    </row>
    <row r="167" spans="1:35" x14ac:dyDescent="0.3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3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 t="str">
        <f>'RESUMEN TOTAL'!N175</f>
        <v>APAGADO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3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 t="str">
        <f>'RESUMEN TOTAL'!P176</f>
        <v>APAGADO</v>
      </c>
      <c r="L169" s="29" t="str">
        <f>'RESUMEN TOTAL'!Q176</f>
        <v>APAGADO</v>
      </c>
      <c r="M169" s="29" t="str">
        <f>'RESUMEN TOTAL'!R176</f>
        <v>APAGADO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 t="str">
        <f>'RESUMEN TOTAL'!Y176</f>
        <v>APAGADO</v>
      </c>
      <c r="U169" s="29" t="str">
        <f>'RESUMEN TOTAL'!Z176</f>
        <v>APAGADO</v>
      </c>
      <c r="V169" s="29" t="str">
        <f>'RESUMEN TOTAL'!AA176</f>
        <v>APAGADO</v>
      </c>
      <c r="W169" s="29" t="str">
        <f>'RESUMEN TOTAL'!AB176</f>
        <v>APAGADO</v>
      </c>
      <c r="X169" s="29" t="str">
        <f>'RESUMEN TOTAL'!AC176</f>
        <v>APAGADO</v>
      </c>
      <c r="Y169" s="29" t="str">
        <f>'RESUMEN TOTAL'!AD176</f>
        <v>APAGADO</v>
      </c>
      <c r="Z169" s="29" t="str">
        <f>'RESUMEN TOTAL'!AE176</f>
        <v>APAGADO</v>
      </c>
      <c r="AA169" s="29" t="str">
        <f>'RESUMEN TOTAL'!AF176</f>
        <v>APAGADO</v>
      </c>
      <c r="AB169" s="29" t="str">
        <f>'RESUMEN TOTAL'!AG176</f>
        <v>APAGADO</v>
      </c>
      <c r="AC169" s="29" t="str">
        <f>'RESUMEN TOTAL'!AH176</f>
        <v>APAGADO</v>
      </c>
      <c r="AD169" s="29" t="str">
        <f>'RESUMEN TOTAL'!AI176</f>
        <v>APAGADO</v>
      </c>
      <c r="AE169" s="29" t="str">
        <f>'RESUMEN TOTAL'!AJ176</f>
        <v>APAGADO</v>
      </c>
      <c r="AF169" s="29" t="str">
        <f>'RESUMEN TOTAL'!AK176</f>
        <v>APAGADO</v>
      </c>
      <c r="AG169" s="29" t="str">
        <f>'RESUMEN TOTAL'!AL176</f>
        <v>APAGADO</v>
      </c>
      <c r="AH169" s="29" t="str">
        <f>'RESUMEN TOTAL'!AM176</f>
        <v>APAGADO</v>
      </c>
      <c r="AI169" s="29" t="str">
        <f>'RESUMEN TOTAL'!AN176</f>
        <v>APAGADO</v>
      </c>
    </row>
    <row r="170" spans="1:35" x14ac:dyDescent="0.3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3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3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3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3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3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>
        <f>'RESUMEN TOTAL'!M182</f>
        <v>0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3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3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 t="str">
        <f>'RESUMEN TOTAL'!N184</f>
        <v>APAGADO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3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 t="str">
        <f>'RESUMEN TOTAL'!N185</f>
        <v>APAGADO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3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3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 t="str">
        <f>'RESUMEN TOTAL'!AG187</f>
        <v>APAGADO</v>
      </c>
      <c r="AC180" s="29" t="str">
        <f>'RESUMEN TOTAL'!AH187</f>
        <v>APAGADO</v>
      </c>
      <c r="AD180" s="29" t="str">
        <f>'RESUMEN TOTAL'!AI187</f>
        <v>APAGADO</v>
      </c>
      <c r="AE180" s="29" t="str">
        <f>'RESUMEN TOTAL'!AJ187</f>
        <v>APAGADO</v>
      </c>
      <c r="AF180" s="29" t="str">
        <f>'RESUMEN TOTAL'!AK187</f>
        <v>APAGADO</v>
      </c>
      <c r="AG180" s="29" t="str">
        <f>'RESUMEN TOTAL'!AL187</f>
        <v>APAGADO</v>
      </c>
      <c r="AH180" s="29" t="str">
        <f>'RESUMEN TOTAL'!AM187</f>
        <v>APAGADO</v>
      </c>
      <c r="AI180" s="29" t="str">
        <f>'RESUMEN TOTAL'!AN187</f>
        <v>APAGADO</v>
      </c>
    </row>
    <row r="181" spans="1:35" x14ac:dyDescent="0.3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 t="str">
        <f>'RESUMEN TOTAL'!N188</f>
        <v>APAGADO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3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>
        <f>'RESUMEN TOTAL'!L189</f>
        <v>0</v>
      </c>
      <c r="H182" s="29">
        <f>'RESUMEN TOTAL'!M189</f>
        <v>0</v>
      </c>
      <c r="I182" s="29">
        <f>'RESUMEN TOTAL'!N189</f>
        <v>0</v>
      </c>
      <c r="J182" s="29">
        <f>'RESUMEN TOTAL'!O189</f>
        <v>0</v>
      </c>
      <c r="K182" s="29" t="str">
        <f>'RESUMEN TOTAL'!P189</f>
        <v>APAGADO</v>
      </c>
      <c r="L182" s="29">
        <f>'RESUMEN TOTAL'!Q189</f>
        <v>0</v>
      </c>
      <c r="M182" s="29">
        <f>'RESUMEN TOTAL'!R189</f>
        <v>0</v>
      </c>
      <c r="N182" s="29">
        <f>'RESUMEN TOTAL'!S189</f>
        <v>0</v>
      </c>
      <c r="O182" s="29">
        <f>'RESUMEN TOTAL'!T189</f>
        <v>0</v>
      </c>
      <c r="P182" s="29">
        <f>'RESUMEN TOTAL'!U189</f>
        <v>0</v>
      </c>
      <c r="Q182" s="29">
        <f>'RESUMEN TOTAL'!V189</f>
        <v>0</v>
      </c>
      <c r="R182" s="29">
        <f>'RESUMEN TOTAL'!W189</f>
        <v>0</v>
      </c>
      <c r="S182" s="29">
        <f>'RESUMEN TOTAL'!X189</f>
        <v>0</v>
      </c>
      <c r="T182" s="29">
        <f>'RESUMEN TOTAL'!Y189</f>
        <v>0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 t="str">
        <f>'RESUMEN TOTAL'!AG189</f>
        <v>APAGADO</v>
      </c>
      <c r="AC182" s="29" t="str">
        <f>'RESUMEN TOTAL'!AH189</f>
        <v>APAGADO</v>
      </c>
      <c r="AD182" s="29" t="str">
        <f>'RESUMEN TOTAL'!AI189</f>
        <v>APAGADO</v>
      </c>
      <c r="AE182" s="29" t="str">
        <f>'RESUMEN TOTAL'!AJ189</f>
        <v>APAGADO</v>
      </c>
      <c r="AF182" s="29" t="str">
        <f>'RESUMEN TOTAL'!AK189</f>
        <v>APAGADO</v>
      </c>
      <c r="AG182" s="29" t="str">
        <f>'RESUMEN TOTAL'!AL189</f>
        <v>APAGADO</v>
      </c>
      <c r="AH182" s="29" t="str">
        <f>'RESUMEN TOTAL'!AM189</f>
        <v>APAGADO</v>
      </c>
      <c r="AI182" s="29" t="str">
        <f>'RESUMEN TOTAL'!AN189</f>
        <v>APAGADO</v>
      </c>
    </row>
    <row r="183" spans="1:35" x14ac:dyDescent="0.3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>
        <f>'RESUMEN TOTAL'!M190</f>
        <v>0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 t="str">
        <f>'RESUMEN TOTAL'!AG190</f>
        <v>APAGADO</v>
      </c>
      <c r="AC183" s="29" t="str">
        <f>'RESUMEN TOTAL'!AH190</f>
        <v>APAGADO</v>
      </c>
      <c r="AD183" s="29" t="str">
        <f>'RESUMEN TOTAL'!AI190</f>
        <v>APAGADO</v>
      </c>
      <c r="AE183" s="29" t="str">
        <f>'RESUMEN TOTAL'!AJ190</f>
        <v>APAGADO</v>
      </c>
      <c r="AF183" s="29" t="str">
        <f>'RESUMEN TOTAL'!AK190</f>
        <v>APAGADO</v>
      </c>
      <c r="AG183" s="29" t="str">
        <f>'RESUMEN TOTAL'!AL190</f>
        <v>APAGADO</v>
      </c>
      <c r="AH183" s="29" t="str">
        <f>'RESUMEN TOTAL'!AM190</f>
        <v>APAGADO</v>
      </c>
      <c r="AI183" s="29" t="str">
        <f>'RESUMEN TOTAL'!AN190</f>
        <v>APAGADO</v>
      </c>
    </row>
    <row r="184" spans="1:35" x14ac:dyDescent="0.3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>
        <f>'RESUMEN TOTAL'!M191</f>
        <v>0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3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 t="str">
        <f>'RESUMEN TOTAL'!N192</f>
        <v>APAGADO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 t="str">
        <f>'RESUMEN TOTAL'!X192</f>
        <v>APAGADO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3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 t="str">
        <f>'RESUMEN TOTAL'!N193</f>
        <v>APAGADO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3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>
        <f>'RESUMEN TOTAL'!M194</f>
        <v>0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3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 t="str">
        <f>'RESUMEN TOTAL'!N195</f>
        <v>APAGADO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3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 t="str">
        <f>'RESUMEN TOTAL'!N196</f>
        <v>APAGADO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3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 t="str">
        <f>'RESUMEN TOTAL'!N197</f>
        <v>APAGADO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3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>
        <f>'RESUMEN TOTAL'!M198</f>
        <v>0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3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>
        <f>'RESUMEN TOTAL'!M199</f>
        <v>0</v>
      </c>
      <c r="I192" s="29">
        <f>'RESUMEN TOTAL'!N199</f>
        <v>0</v>
      </c>
      <c r="J192" s="29">
        <f>'RESUMEN TOTAL'!O199</f>
        <v>0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3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>
        <f>'RESUMEN TOTAL'!S200</f>
        <v>0</v>
      </c>
      <c r="O193" s="29" t="str">
        <f>'RESUMEN TOTAL'!T200</f>
        <v>APAGADO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3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>
        <f>'RESUMEN TOTAL'!M201</f>
        <v>0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3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 t="str">
        <f>'RESUMEN TOTAL'!N202</f>
        <v>APAGADO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>
        <f>'RESUMEN TOTAL'!W202</f>
        <v>0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3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3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>
        <f>'RESUMEN TOTAL'!M204</f>
        <v>0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3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3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3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3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3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3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>
        <f>'RESUMEN TOTAL'!M210</f>
        <v>0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3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3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 t="str">
        <f>'RESUMEN TOTAL'!AI212</f>
        <v>APAGADO</v>
      </c>
      <c r="AE205" s="29">
        <f>'RESUMEN TOTAL'!AJ212</f>
        <v>0</v>
      </c>
      <c r="AF205" s="29" t="str">
        <f>'RESUMEN TOTAL'!AK212</f>
        <v>APAGADO</v>
      </c>
      <c r="AG205" s="29" t="str">
        <f>'RESUMEN TOTAL'!AL212</f>
        <v>APAGADO</v>
      </c>
      <c r="AH205" s="29" t="str">
        <f>'RESUMEN TOTAL'!AM212</f>
        <v>APAGADO</v>
      </c>
      <c r="AI205" s="29">
        <f>'RESUMEN TOTAL'!AN212</f>
        <v>0</v>
      </c>
    </row>
    <row r="206" spans="1:35" x14ac:dyDescent="0.3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3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3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 t="str">
        <f>'RESUMEN TOTAL'!U215</f>
        <v>APAGADO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 t="str">
        <f>'RESUMEN TOTAL'!Y215</f>
        <v>APAGADO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 t="str">
        <f>'RESUMEN TOTAL'!AF215</f>
        <v>APAGADO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3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 t="str">
        <f>'RESUMEN TOTAL'!U216</f>
        <v>APAGADO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 t="str">
        <f>'RESUMEN TOTAL'!Y216</f>
        <v>APAGADO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 t="str">
        <f>'RESUMEN TOTAL'!AF216</f>
        <v>APAGADO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3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3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 t="str">
        <f>'RESUMEN TOTAL'!S218</f>
        <v>APAGADO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 t="str">
        <f>'RESUMEN TOTAL'!Z218</f>
        <v>APAGADO</v>
      </c>
      <c r="V211" s="29" t="str">
        <f>'RESUMEN TOTAL'!AA218</f>
        <v>APAGADO</v>
      </c>
      <c r="W211" s="29" t="str">
        <f>'RESUMEN TOTAL'!AB218</f>
        <v>APAGADO</v>
      </c>
      <c r="X211" s="29" t="str">
        <f>'RESUMEN TOTAL'!AC218</f>
        <v>APAGADO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 t="str">
        <f>'RESUMEN TOTAL'!AG218</f>
        <v>APAGADO</v>
      </c>
      <c r="AC211" s="29">
        <f>'RESUMEN TOTAL'!AH218</f>
        <v>0</v>
      </c>
      <c r="AD211" s="29">
        <f>'RESUMEN TOTAL'!AI218</f>
        <v>0</v>
      </c>
      <c r="AE211" s="29" t="str">
        <f>'RESUMEN TOTAL'!AJ218</f>
        <v>APAGADO</v>
      </c>
      <c r="AF211" s="29" t="str">
        <f>'RESUMEN TOTAL'!AK218</f>
        <v>APAGADO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3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 t="str">
        <f>'RESUMEN TOTAL'!S219</f>
        <v>APAGADO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 t="str">
        <f>'RESUMEN TOTAL'!AA219</f>
        <v>APAGADO</v>
      </c>
      <c r="W212" s="29" t="str">
        <f>'RESUMEN TOTAL'!AB219</f>
        <v>APAGADO</v>
      </c>
      <c r="X212" s="29" t="str">
        <f>'RESUMEN TOTAL'!AC219</f>
        <v>APAGADO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 t="str">
        <f>'RESUMEN TOTAL'!AG219</f>
        <v>APAGADO</v>
      </c>
      <c r="AC212" s="29">
        <f>'RESUMEN TOTAL'!AH219</f>
        <v>0</v>
      </c>
      <c r="AD212" s="29">
        <f>'RESUMEN TOTAL'!AI219</f>
        <v>0</v>
      </c>
      <c r="AE212" s="29" t="str">
        <f>'RESUMEN TOTAL'!AJ219</f>
        <v>APAGADO</v>
      </c>
      <c r="AF212" s="29" t="str">
        <f>'RESUMEN TOTAL'!AK219</f>
        <v>APAGADO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3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 t="str">
        <f>'RESUMEN TOTAL'!P220</f>
        <v>APAGADO</v>
      </c>
      <c r="L213" s="29" t="str">
        <f>'RESUMEN TOTAL'!Q220</f>
        <v>APAGADO</v>
      </c>
      <c r="M213" s="29" t="str">
        <f>'RESUMEN TOTAL'!R220</f>
        <v>APAGADO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 t="str">
        <f>'RESUMEN TOTAL'!Y220</f>
        <v>APAGADO</v>
      </c>
      <c r="U213" s="29" t="str">
        <f>'RESUMEN TOTAL'!Z220</f>
        <v>APAGADO</v>
      </c>
      <c r="V213" s="29" t="str">
        <f>'RESUMEN TOTAL'!AA220</f>
        <v>APAGADO</v>
      </c>
      <c r="W213" s="29" t="str">
        <f>'RESUMEN TOTAL'!AB220</f>
        <v>APAGADO</v>
      </c>
      <c r="X213" s="29" t="str">
        <f>'RESUMEN TOTAL'!AC220</f>
        <v>APAGADO</v>
      </c>
      <c r="Y213" s="29" t="str">
        <f>'RESUMEN TOTAL'!AD220</f>
        <v>APAGADO</v>
      </c>
      <c r="Z213" s="29" t="str">
        <f>'RESUMEN TOTAL'!AE220</f>
        <v>APAGADO</v>
      </c>
      <c r="AA213" s="29" t="str">
        <f>'RESUMEN TOTAL'!AF220</f>
        <v>APAGADO</v>
      </c>
      <c r="AB213" s="29" t="str">
        <f>'RESUMEN TOTAL'!AG220</f>
        <v>APAGADO</v>
      </c>
      <c r="AC213" s="29" t="str">
        <f>'RESUMEN TOTAL'!AH220</f>
        <v>APAGADO</v>
      </c>
      <c r="AD213" s="29" t="str">
        <f>'RESUMEN TOTAL'!AI220</f>
        <v>APAGADO</v>
      </c>
      <c r="AE213" s="29" t="str">
        <f>'RESUMEN TOTAL'!AJ220</f>
        <v>APAGADO</v>
      </c>
      <c r="AF213" s="29" t="str">
        <f>'RESUMEN TOTAL'!AK220</f>
        <v>APAGADO</v>
      </c>
      <c r="AG213" s="29" t="str">
        <f>'RESUMEN TOTAL'!AL220</f>
        <v>APAGADO</v>
      </c>
      <c r="AH213" s="29" t="str">
        <f>'RESUMEN TOTAL'!AM220</f>
        <v>APAGADO</v>
      </c>
      <c r="AI213" s="29" t="str">
        <f>'RESUMEN TOTAL'!AN220</f>
        <v>APAGADO</v>
      </c>
    </row>
    <row r="214" spans="1:35" x14ac:dyDescent="0.3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 t="str">
        <f>'RESUMEN TOTAL'!AD221</f>
        <v>APAGADO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3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 t="str">
        <f>'RESUMEN TOTAL'!AD222</f>
        <v>APAGADO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3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 t="str">
        <f>'RESUMEN TOTAL'!N223</f>
        <v>APAGADO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3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>
        <f>'RESUMEN TOTAL'!L224</f>
        <v>0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 t="str">
        <f>'RESUMEN TOTAL'!AJ224</f>
        <v>APAGADO</v>
      </c>
      <c r="AF217" s="29" t="str">
        <f>'RESUMEN TOTAL'!AK224</f>
        <v>APAGADO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3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 t="str">
        <f>'RESUMEN TOTAL'!S225</f>
        <v>APAGADO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3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 t="str">
        <f>'RESUMEN TOTAL'!K226</f>
        <v>APAGADO</v>
      </c>
      <c r="G219" s="29" t="str">
        <f>'RESUMEN TOTAL'!L226</f>
        <v>APAGADO</v>
      </c>
      <c r="H219" s="29" t="str">
        <f>'RESUMEN TOTAL'!M226</f>
        <v>APAGADO</v>
      </c>
      <c r="I219" s="29" t="str">
        <f>'RESUMEN TOTAL'!N226</f>
        <v>APAGADO</v>
      </c>
      <c r="J219" s="29" t="str">
        <f>'RESUMEN TOTAL'!O226</f>
        <v>APAGADO</v>
      </c>
      <c r="K219" s="29" t="str">
        <f>'RESUMEN TOTAL'!P226</f>
        <v>APAGADO</v>
      </c>
      <c r="L219" s="29" t="str">
        <f>'RESUMEN TOTAL'!Q226</f>
        <v>APAGADO</v>
      </c>
      <c r="M219" s="29" t="str">
        <f>'RESUMEN TOTAL'!R226</f>
        <v>APAGADO</v>
      </c>
      <c r="N219" s="29" t="str">
        <f>'RESUMEN TOTAL'!S226</f>
        <v>APAGADO</v>
      </c>
      <c r="O219" s="29" t="str">
        <f>'RESUMEN TOTAL'!T226</f>
        <v>APAGADO</v>
      </c>
      <c r="P219" s="29" t="str">
        <f>'RESUMEN TOTAL'!U226</f>
        <v>APAGADO</v>
      </c>
      <c r="Q219" s="29" t="str">
        <f>'RESUMEN TOTAL'!V226</f>
        <v>APAGADO</v>
      </c>
      <c r="R219" s="29" t="str">
        <f>'RESUMEN TOTAL'!W226</f>
        <v>APAGADO</v>
      </c>
      <c r="S219" s="29" t="str">
        <f>'RESUMEN TOTAL'!X226</f>
        <v>APAGADO</v>
      </c>
      <c r="T219" s="29" t="str">
        <f>'RESUMEN TOTAL'!Y226</f>
        <v>APAGADO</v>
      </c>
      <c r="U219" s="29" t="str">
        <f>'RESUMEN TOTAL'!Z226</f>
        <v>APAGADO</v>
      </c>
      <c r="V219" s="29" t="str">
        <f>'RESUMEN TOTAL'!AA226</f>
        <v>APAGADO</v>
      </c>
      <c r="W219" s="29" t="str">
        <f>'RESUMEN TOTAL'!AB226</f>
        <v>APAGADO</v>
      </c>
      <c r="X219" s="29" t="str">
        <f>'RESUMEN TOTAL'!AC226</f>
        <v>APAGADO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3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>
        <f>'RESUMEN TOTAL'!N227</f>
        <v>0</v>
      </c>
      <c r="J220" s="29" t="str">
        <f>'RESUMEN TOTAL'!O227</f>
        <v>APAGADO</v>
      </c>
      <c r="K220" s="29" t="str">
        <f>'RESUMEN TOTAL'!P227</f>
        <v>APAGADO</v>
      </c>
      <c r="L220" s="29" t="str">
        <f>'RESUMEN TOTAL'!Q227</f>
        <v>APAGADO</v>
      </c>
      <c r="M220" s="29" t="str">
        <f>'RESUMEN TOTAL'!R227</f>
        <v>APAGADO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 t="str">
        <f>'RESUMEN TOTAL'!V227</f>
        <v>APAGADO</v>
      </c>
      <c r="R220" s="29" t="str">
        <f>'RESUMEN TOTAL'!W227</f>
        <v>APAGADO</v>
      </c>
      <c r="S220" s="29" t="str">
        <f>'RESUMEN TOTAL'!X227</f>
        <v>APAGADO</v>
      </c>
      <c r="T220" s="29" t="str">
        <f>'RESUMEN TOTAL'!Y227</f>
        <v>APAGADO</v>
      </c>
      <c r="U220" s="29" t="str">
        <f>'RESUMEN TOTAL'!Z227</f>
        <v>APAGADO</v>
      </c>
      <c r="V220" s="29" t="str">
        <f>'RESUMEN TOTAL'!AA227</f>
        <v>APAGADO</v>
      </c>
      <c r="W220" s="29" t="str">
        <f>'RESUMEN TOTAL'!AB227</f>
        <v>APAGADO</v>
      </c>
      <c r="X220" s="29">
        <f>'RESUMEN TOTAL'!AC227</f>
        <v>0</v>
      </c>
      <c r="Y220" s="29" t="str">
        <f>'RESUMEN TOTAL'!AD227</f>
        <v>APAGADO</v>
      </c>
      <c r="Z220" s="29" t="str">
        <f>'RESUMEN TOTAL'!AE227</f>
        <v>APAGADO</v>
      </c>
      <c r="AA220" s="29" t="str">
        <f>'RESUMEN TOTAL'!AF227</f>
        <v>APAGADO</v>
      </c>
      <c r="AB220" s="29" t="str">
        <f>'RESUMEN TOTAL'!AG227</f>
        <v>APAGADO</v>
      </c>
      <c r="AC220" s="29" t="str">
        <f>'RESUMEN TOTAL'!AH227</f>
        <v>APAGADO</v>
      </c>
      <c r="AD220" s="29" t="str">
        <f>'RESUMEN TOTAL'!AI227</f>
        <v>APAGADO</v>
      </c>
      <c r="AE220" s="29" t="str">
        <f>'RESUMEN TOTAL'!AJ227</f>
        <v>APAGADO</v>
      </c>
      <c r="AF220" s="29" t="str">
        <f>'RESUMEN TOTAL'!AK227</f>
        <v>APAGADO</v>
      </c>
      <c r="AG220" s="29" t="str">
        <f>'RESUMEN TOTAL'!AL227</f>
        <v>APAGADO</v>
      </c>
      <c r="AH220" s="29" t="str">
        <f>'RESUMEN TOTAL'!AM227</f>
        <v>APAGADO</v>
      </c>
      <c r="AI220" s="29" t="str">
        <f>'RESUMEN TOTAL'!AN227</f>
        <v>APAGADO</v>
      </c>
    </row>
    <row r="221" spans="1:35" x14ac:dyDescent="0.3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 t="str">
        <f>'RESUMEN TOTAL'!AL228</f>
        <v>APAGADO</v>
      </c>
      <c r="AH221" s="29">
        <f>'RESUMEN TOTAL'!AM228</f>
        <v>0</v>
      </c>
      <c r="AI221" s="29">
        <f>'RESUMEN TOTAL'!AN228</f>
        <v>0</v>
      </c>
    </row>
    <row r="222" spans="1:35" x14ac:dyDescent="0.3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3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>
        <f>'RESUMEN TOTAL'!W230</f>
        <v>0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3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3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 t="str">
        <f>'RESUMEN TOTAL'!S232</f>
        <v>APAGADO</v>
      </c>
      <c r="O225" s="29">
        <f>'RESUMEN TOTAL'!T232</f>
        <v>0</v>
      </c>
      <c r="P225" s="29">
        <f>'RESUMEN TOTAL'!U232</f>
        <v>0</v>
      </c>
      <c r="Q225" s="29" t="str">
        <f>'RESUMEN TOTAL'!V232</f>
        <v>APAGADO</v>
      </c>
      <c r="R225" s="29" t="str">
        <f>'RESUMEN TOTAL'!W232</f>
        <v>APAGADO</v>
      </c>
      <c r="S225" s="29" t="str">
        <f>'RESUMEN TOTAL'!X232</f>
        <v>APAGADO</v>
      </c>
      <c r="T225" s="29" t="str">
        <f>'RESUMEN TOTAL'!Y232</f>
        <v>APAGADO</v>
      </c>
      <c r="U225" s="29">
        <f>'RESUMEN TOTAL'!Z232</f>
        <v>0</v>
      </c>
      <c r="V225" s="29" t="str">
        <f>'RESUMEN TOTAL'!AA232</f>
        <v>APAGADO</v>
      </c>
      <c r="W225" s="29" t="str">
        <f>'RESUMEN TOTAL'!AB232</f>
        <v>APAGADO</v>
      </c>
      <c r="X225" s="29" t="str">
        <f>'RESUMEN TOTAL'!AC232</f>
        <v>APAGADO</v>
      </c>
      <c r="Y225" s="29">
        <f>'RESUMEN TOTAL'!AD232</f>
        <v>0</v>
      </c>
      <c r="Z225" s="29">
        <f>'RESUMEN TOTAL'!AE232</f>
        <v>0</v>
      </c>
      <c r="AA225" s="29" t="str">
        <f>'RESUMEN TOTAL'!AF232</f>
        <v>APAGADO</v>
      </c>
      <c r="AB225" s="29" t="str">
        <f>'RESUMEN TOTAL'!AG232</f>
        <v>APAGADO</v>
      </c>
      <c r="AC225" s="29">
        <f>'RESUMEN TOTAL'!AH232</f>
        <v>0</v>
      </c>
      <c r="AD225" s="29">
        <f>'RESUMEN TOTAL'!AI232</f>
        <v>0</v>
      </c>
      <c r="AE225" s="29" t="str">
        <f>'RESUMEN TOTAL'!AJ232</f>
        <v>APAGADO</v>
      </c>
      <c r="AF225" s="29" t="str">
        <f>'RESUMEN TOTAL'!AK232</f>
        <v>APAGADO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3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 t="str">
        <f>'RESUMEN TOTAL'!AD233</f>
        <v>APAGADO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3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3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 t="str">
        <f>'RESUMEN TOTAL'!S235</f>
        <v>APAGADO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3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 t="str">
        <f>'RESUMEN TOTAL'!U236</f>
        <v>APAGADO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 t="str">
        <f>'RESUMEN TOTAL'!Y236</f>
        <v>APAGADO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 t="str">
        <f>'RESUMEN TOTAL'!AF236</f>
        <v>APAGADO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3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3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3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3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3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3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 t="str">
        <f>'RESUMEN TOTAL'!N242</f>
        <v>APAGADO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3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3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3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3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3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3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3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3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3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 t="str">
        <f>'RESUMEN TOTAL'!N246</f>
        <v>APAGADO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3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3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3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3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 t="str">
        <f>'RESUMEN TOTAL'!K257</f>
        <v>APAGADO</v>
      </c>
      <c r="G248" s="29" t="str">
        <f>'RESUMEN TOTAL'!L257</f>
        <v>APAGADO</v>
      </c>
      <c r="H248" s="29" t="str">
        <f>'RESUMEN TOTAL'!M257</f>
        <v>APAGADO</v>
      </c>
      <c r="I248" s="29" t="str">
        <f>'RESUMEN TOTAL'!N257</f>
        <v>APAGADO</v>
      </c>
      <c r="J248" s="29" t="str">
        <f>'RESUMEN TOTAL'!O257</f>
        <v>APAGADO</v>
      </c>
      <c r="K248" s="29" t="str">
        <f>'RESUMEN TOTAL'!P257</f>
        <v>APAGADO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 t="str">
        <f>'RESUMEN TOTAL'!V257</f>
        <v>APAGADO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3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 t="str">
        <f>'RESUMEN TOTAL'!K258</f>
        <v>APAGADO</v>
      </c>
      <c r="G249" s="29" t="str">
        <f>'RESUMEN TOTAL'!L258</f>
        <v>APAGADO</v>
      </c>
      <c r="H249" s="29" t="str">
        <f>'RESUMEN TOTAL'!M258</f>
        <v>APAGADO</v>
      </c>
      <c r="I249" s="29" t="str">
        <f>'RESUMEN TOTAL'!N258</f>
        <v>APAGADO</v>
      </c>
      <c r="J249" s="29" t="str">
        <f>'RESUMEN TOTAL'!O258</f>
        <v>APAGADO</v>
      </c>
      <c r="K249" s="29" t="str">
        <f>'RESUMEN TOTAL'!P258</f>
        <v>APAGADO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 t="str">
        <f>'RESUMEN TOTAL'!V258</f>
        <v>APAGADO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3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>
        <f>'RESUMEN TOTAL'!M259</f>
        <v>0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3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>
        <f>'RESUMEN TOTAL'!M260</f>
        <v>0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3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3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3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>
        <f>'RESUMEN TOTAL'!M263</f>
        <v>0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3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>
        <f>'RESUMEN TOTAL'!M264</f>
        <v>0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3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 t="str">
        <f>'RESUMEN TOTAL'!L265</f>
        <v>APAGADO</v>
      </c>
      <c r="H256" s="29" t="str">
        <f>'RESUMEN TOTAL'!M265</f>
        <v>APAGADO</v>
      </c>
      <c r="I256" s="29" t="str">
        <f>'RESUMEN TOTAL'!N265</f>
        <v>APAGADO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 t="str">
        <f>'RESUMEN TOTAL'!X265</f>
        <v>APAGADO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3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3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3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 t="str">
        <f>'RESUMEN TOTAL'!L268</f>
        <v>APAGADO</v>
      </c>
      <c r="H259" s="29" t="str">
        <f>'RESUMEN TOTAL'!M268</f>
        <v>APAGADO</v>
      </c>
      <c r="I259" s="29" t="str">
        <f>'RESUMEN TOTAL'!N268</f>
        <v>APAGADO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3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>
        <f>'RESUMEN TOTAL'!K269</f>
        <v>0</v>
      </c>
      <c r="G260" s="29">
        <f>'RESUMEN TOTAL'!L269</f>
        <v>0</v>
      </c>
      <c r="H260" s="29">
        <f>'RESUMEN TOTAL'!M269</f>
        <v>0</v>
      </c>
      <c r="I260" s="29">
        <f>'RESUMEN TOTAL'!N269</f>
        <v>0</v>
      </c>
      <c r="J260" s="29">
        <f>'RESUMEN TOTAL'!O269</f>
        <v>0</v>
      </c>
      <c r="K260" s="29">
        <f>'RESUMEN TOTAL'!P269</f>
        <v>0</v>
      </c>
      <c r="L260" s="29">
        <f>'RESUMEN TOTAL'!Q269</f>
        <v>0</v>
      </c>
      <c r="M260" s="29" t="str">
        <f>'RESUMEN TOTAL'!R269</f>
        <v>APAGADO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 t="str">
        <f>'RESUMEN TOTAL'!W269</f>
        <v>APAGADO</v>
      </c>
      <c r="S260" s="29" t="str">
        <f>'RESUMEN TOTAL'!X269</f>
        <v>APAGADO</v>
      </c>
      <c r="T260" s="29" t="str">
        <f>'RESUMEN TOTAL'!Y269</f>
        <v>APAGADO</v>
      </c>
      <c r="U260" s="29" t="str">
        <f>'RESUMEN TOTAL'!Z269</f>
        <v>APAGADO</v>
      </c>
      <c r="V260" s="29" t="str">
        <f>'RESUMEN TOTAL'!AA269</f>
        <v>APAGADO</v>
      </c>
      <c r="W260" s="29" t="str">
        <f>'RESUMEN TOTAL'!AB269</f>
        <v>APAGADO</v>
      </c>
      <c r="X260" s="29" t="str">
        <f>'RESUMEN TOTAL'!AC269</f>
        <v>APAGADO</v>
      </c>
      <c r="Y260" s="29" t="str">
        <f>'RESUMEN TOTAL'!AD269</f>
        <v>APAGADO</v>
      </c>
      <c r="Z260" s="29" t="str">
        <f>'RESUMEN TOTAL'!AE269</f>
        <v>APAGADO</v>
      </c>
      <c r="AA260" s="29" t="str">
        <f>'RESUMEN TOTAL'!AF269</f>
        <v>APAGADO</v>
      </c>
      <c r="AB260" s="29" t="str">
        <f>'RESUMEN TOTAL'!AG269</f>
        <v>APAGADO</v>
      </c>
      <c r="AC260" s="29" t="str">
        <f>'RESUMEN TOTAL'!AH269</f>
        <v>APAGADO</v>
      </c>
      <c r="AD260" s="29" t="str">
        <f>'RESUMEN TOTAL'!AI269</f>
        <v>APAGADO</v>
      </c>
      <c r="AE260" s="29" t="str">
        <f>'RESUMEN TOTAL'!AJ269</f>
        <v>APAGADO</v>
      </c>
      <c r="AF260" s="29" t="str">
        <f>'RESUMEN TOTAL'!AK269</f>
        <v>APAGADO</v>
      </c>
      <c r="AG260" s="29" t="str">
        <f>'RESUMEN TOTAL'!AL269</f>
        <v>APAGADO</v>
      </c>
      <c r="AH260" s="29" t="str">
        <f>'RESUMEN TOTAL'!AM269</f>
        <v>APAGADO</v>
      </c>
      <c r="AI260" s="29" t="str">
        <f>'RESUMEN TOTAL'!AN269</f>
        <v>APAGADO</v>
      </c>
    </row>
    <row r="261" spans="1:35" x14ac:dyDescent="0.3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 t="str">
        <f>'RESUMEN TOTAL'!K270</f>
        <v>APAGADO</v>
      </c>
      <c r="G261" s="29" t="str">
        <f>'RESUMEN TOTAL'!L270</f>
        <v>APAGADO</v>
      </c>
      <c r="H261" s="29" t="str">
        <f>'RESUMEN TOTAL'!M270</f>
        <v>APAGADO</v>
      </c>
      <c r="I261" s="29" t="str">
        <f>'RESUMEN TOTAL'!N270</f>
        <v>APAGADO</v>
      </c>
      <c r="J261" s="29" t="str">
        <f>'RESUMEN TOTAL'!O270</f>
        <v>APAGADO</v>
      </c>
      <c r="K261" s="29" t="str">
        <f>'RESUMEN TOTAL'!P270</f>
        <v>APAGADO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3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 t="str">
        <f>'RESUMEN TOTAL'!K271</f>
        <v>APAGADO</v>
      </c>
      <c r="G262" s="29" t="str">
        <f>'RESUMEN TOTAL'!L271</f>
        <v>APAGADO</v>
      </c>
      <c r="H262" s="29" t="str">
        <f>'RESUMEN TOTAL'!M271</f>
        <v>APAGADO</v>
      </c>
      <c r="I262" s="29" t="str">
        <f>'RESUMEN TOTAL'!N271</f>
        <v>APAGADO</v>
      </c>
      <c r="J262" s="29" t="str">
        <f>'RESUMEN TOTAL'!O271</f>
        <v>APAGADO</v>
      </c>
      <c r="K262" s="29" t="str">
        <f>'RESUMEN TOTAL'!P271</f>
        <v>APAGADO</v>
      </c>
      <c r="L262" s="29" t="str">
        <f>'RESUMEN TOTAL'!Q271</f>
        <v>APAGADO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3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3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>
        <f>'RESUMEN TOTAL'!M273</f>
        <v>0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3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3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 t="str">
        <f>'RESUMEN TOTAL'!L275</f>
        <v>APAGADO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3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 t="str">
        <f>'RESUMEN TOTAL'!L276</f>
        <v>APAGADO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3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 t="str">
        <f>'RESUMEN TOTAL'!L277</f>
        <v>APAGADO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3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 t="str">
        <f>'RESUMEN TOTAL'!L278</f>
        <v>APAGADO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>
        <f>'RESUMEN TOTAL'!W278</f>
        <v>0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3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 t="str">
        <f>'RESUMEN TOTAL'!L279</f>
        <v>APAGADO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>
        <f>'RESUMEN TOTAL'!W279</f>
        <v>0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3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 t="str">
        <f>'RESUMEN TOTAL'!L280</f>
        <v>APAGADO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3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 t="str">
        <f>'RESUMEN TOTAL'!L281</f>
        <v>APAGADO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3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 t="str">
        <f>'RESUMEN TOTAL'!L282</f>
        <v>APAGADO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3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 t="str">
        <f>'RESUMEN TOTAL'!L283</f>
        <v>APAGADO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3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 t="str">
        <f>'RESUMEN TOTAL'!L284</f>
        <v>APAGADO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>
        <f>'RESUMEN TOTAL'!W284</f>
        <v>0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3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 t="str">
        <f>'RESUMEN TOTAL'!L285</f>
        <v>APAGADO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3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 t="str">
        <f>'RESUMEN TOTAL'!L286</f>
        <v>APAGADO</v>
      </c>
      <c r="H277" s="29" t="str">
        <f>'RESUMEN TOTAL'!M286</f>
        <v>APAGADO</v>
      </c>
      <c r="I277" s="29" t="str">
        <f>'RESUMEN TOTAL'!N286</f>
        <v>APAGADO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>
        <f>'RESUMEN TOTAL'!W286</f>
        <v>0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3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 t="str">
        <f>'RESUMEN TOTAL'!N287</f>
        <v>APAGADO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>
        <f>'RESUMEN TOTAL'!S287</f>
        <v>0</v>
      </c>
      <c r="O278" s="29">
        <f>'RESUMEN TOTAL'!T287</f>
        <v>0</v>
      </c>
      <c r="P278" s="29">
        <f>'RESUMEN TOTAL'!U287</f>
        <v>0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3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 t="str">
        <f>'RESUMEN TOTAL'!N288</f>
        <v>APAGADO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3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>
        <f>'RESUMEN TOTAL'!M289</f>
        <v>0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3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>
        <f>'RESUMEN TOTAL'!M290</f>
        <v>0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3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>
        <f>'RESUMEN TOTAL'!K291</f>
        <v>0</v>
      </c>
      <c r="G282" s="29">
        <f>'RESUMEN TOTAL'!L291</f>
        <v>0</v>
      </c>
      <c r="H282" s="29">
        <f>'RESUMEN TOTAL'!M291</f>
        <v>0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>
        <f>'RESUMEN TOTAL'!S291</f>
        <v>0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3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 t="str">
        <f>'RESUMEN TOTAL'!N292</f>
        <v>APAGADO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 t="str">
        <f>'RESUMEN TOTAL'!AA292</f>
        <v>APAGADO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3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 t="str">
        <f>'RESUMEN TOTAL'!S293</f>
        <v>APAGADO</v>
      </c>
      <c r="O284" s="29" t="str">
        <f>'RESUMEN TOTAL'!T293</f>
        <v>APAGADO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 t="str">
        <f>'RESUMEN TOTAL'!AD293</f>
        <v>APAGADO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3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 t="str">
        <f>'RESUMEN TOTAL'!S294</f>
        <v>APAGADO</v>
      </c>
      <c r="O285" s="29" t="str">
        <f>'RESUMEN TOTAL'!T294</f>
        <v>APAGADO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 t="str">
        <f>'RESUMEN TOTAL'!AD294</f>
        <v>APAGADO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3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 t="str">
        <f>'RESUMEN TOTAL'!S295</f>
        <v>APAGADO</v>
      </c>
      <c r="O286" s="29" t="str">
        <f>'RESUMEN TOTAL'!T295</f>
        <v>APAGADO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 t="str">
        <f>'RESUMEN TOTAL'!AD295</f>
        <v>APAGADO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3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 t="str">
        <f>'RESUMEN TOTAL'!S296</f>
        <v>APAGADO</v>
      </c>
      <c r="O287" s="29" t="str">
        <f>'RESUMEN TOTAL'!T296</f>
        <v>APAGADO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 t="str">
        <f>'RESUMEN TOTAL'!AD296</f>
        <v>APAGADO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3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 t="str">
        <f>'RESUMEN TOTAL'!N297</f>
        <v>APAGADO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>
        <f>'RESUMEN TOTAL'!W297</f>
        <v>0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3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>
        <f>'RESUMEN TOTAL'!M298</f>
        <v>0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>
        <f>'RESUMEN TOTAL'!W298</f>
        <v>0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3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3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3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>
        <f>'RESUMEN TOTAL'!M301</f>
        <v>0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>
        <f>'RESUMEN TOTAL'!W301</f>
        <v>0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3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>
        <f>'RESUMEN TOTAL'!M302</f>
        <v>0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3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>
        <f>'RESUMEN TOTAL'!M303</f>
        <v>0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3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3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>
        <f>'RESUMEN TOTAL'!M305</f>
        <v>0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3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3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 t="str">
        <f>'RESUMEN TOTAL'!P307</f>
        <v>APAGADO</v>
      </c>
      <c r="L298" s="29">
        <f>'RESUMEN TOTAL'!Q307</f>
        <v>0</v>
      </c>
      <c r="M298" s="29">
        <f>'RESUMEN TOTAL'!R307</f>
        <v>0</v>
      </c>
      <c r="N298" s="29">
        <f>'RESUMEN TOTAL'!S307</f>
        <v>0</v>
      </c>
      <c r="O298" s="29">
        <f>'RESUMEN TOTAL'!T307</f>
        <v>0</v>
      </c>
      <c r="P298" s="29">
        <f>'RESUMEN TOTAL'!U307</f>
        <v>0</v>
      </c>
      <c r="Q298" s="29">
        <f>'RESUMEN TOTAL'!V307</f>
        <v>0</v>
      </c>
      <c r="R298" s="29">
        <f>'RESUMEN TOTAL'!W307</f>
        <v>0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 t="str">
        <f>'RESUMEN TOTAL'!AL307</f>
        <v>APAGADO</v>
      </c>
      <c r="AH298" s="29" t="str">
        <f>'RESUMEN TOTAL'!AM307</f>
        <v>APAGADO</v>
      </c>
      <c r="AI298" s="29" t="str">
        <f>'RESUMEN TOTAL'!AN307</f>
        <v>APAGADO</v>
      </c>
    </row>
    <row r="299" spans="1:35" x14ac:dyDescent="0.3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 t="str">
        <f>'RESUMEN TOTAL'!P308</f>
        <v>APAGADO</v>
      </c>
      <c r="L299" s="29">
        <f>'RESUMEN TOTAL'!Q308</f>
        <v>0</v>
      </c>
      <c r="M299" s="29">
        <f>'RESUMEN TOTAL'!R308</f>
        <v>0</v>
      </c>
      <c r="N299" s="29">
        <f>'RESUMEN TOTAL'!S308</f>
        <v>0</v>
      </c>
      <c r="O299" s="29">
        <f>'RESUMEN TOTAL'!T308</f>
        <v>0</v>
      </c>
      <c r="P299" s="29">
        <f>'RESUMEN TOTAL'!U308</f>
        <v>0</v>
      </c>
      <c r="Q299" s="29">
        <f>'RESUMEN TOTAL'!V308</f>
        <v>0</v>
      </c>
      <c r="R299" s="29">
        <f>'RESUMEN TOTAL'!W308</f>
        <v>0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 t="str">
        <f>'RESUMEN TOTAL'!AL308</f>
        <v>APAGADO</v>
      </c>
      <c r="AH299" s="29" t="str">
        <f>'RESUMEN TOTAL'!AM308</f>
        <v>APAGADO</v>
      </c>
      <c r="AI299" s="29" t="str">
        <f>'RESUMEN TOTAL'!AN308</f>
        <v>APAGADO</v>
      </c>
    </row>
    <row r="300" spans="1:35" x14ac:dyDescent="0.3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 t="str">
        <f>'RESUMEN TOTAL'!P309</f>
        <v>APAGADO</v>
      </c>
      <c r="L300" s="29">
        <f>'RESUMEN TOTAL'!Q309</f>
        <v>0</v>
      </c>
      <c r="M300" s="29">
        <f>'RESUMEN TOTAL'!R309</f>
        <v>0</v>
      </c>
      <c r="N300" s="29">
        <f>'RESUMEN TOTAL'!S309</f>
        <v>0</v>
      </c>
      <c r="O300" s="29">
        <f>'RESUMEN TOTAL'!T309</f>
        <v>0</v>
      </c>
      <c r="P300" s="29">
        <f>'RESUMEN TOTAL'!U309</f>
        <v>0</v>
      </c>
      <c r="Q300" s="29">
        <f>'RESUMEN TOTAL'!V309</f>
        <v>0</v>
      </c>
      <c r="R300" s="29">
        <f>'RESUMEN TOTAL'!W309</f>
        <v>0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 t="str">
        <f>'RESUMEN TOTAL'!AL309</f>
        <v>APAGADO</v>
      </c>
      <c r="AH300" s="29" t="str">
        <f>'RESUMEN TOTAL'!AM309</f>
        <v>APAGADO</v>
      </c>
      <c r="AI300" s="29" t="str">
        <f>'RESUMEN TOTAL'!AN309</f>
        <v>APAGADO</v>
      </c>
    </row>
    <row r="301" spans="1:35" x14ac:dyDescent="0.3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 t="str">
        <f>'RESUMEN TOTAL'!P310</f>
        <v>APAGADO</v>
      </c>
      <c r="L301" s="29">
        <f>'RESUMEN TOTAL'!Q310</f>
        <v>0</v>
      </c>
      <c r="M301" s="29">
        <f>'RESUMEN TOTAL'!R310</f>
        <v>0</v>
      </c>
      <c r="N301" s="29">
        <f>'RESUMEN TOTAL'!S310</f>
        <v>0</v>
      </c>
      <c r="O301" s="29">
        <f>'RESUMEN TOTAL'!T310</f>
        <v>0</v>
      </c>
      <c r="P301" s="29">
        <f>'RESUMEN TOTAL'!U310</f>
        <v>0</v>
      </c>
      <c r="Q301" s="29">
        <f>'RESUMEN TOTAL'!V310</f>
        <v>0</v>
      </c>
      <c r="R301" s="29">
        <f>'RESUMEN TOTAL'!W310</f>
        <v>0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 t="str">
        <f>'RESUMEN TOTAL'!AL310</f>
        <v>APAGADO</v>
      </c>
      <c r="AH301" s="29" t="str">
        <f>'RESUMEN TOTAL'!AM310</f>
        <v>APAGADO</v>
      </c>
      <c r="AI301" s="29" t="str">
        <f>'RESUMEN TOTAL'!AN310</f>
        <v>APAGADO</v>
      </c>
    </row>
    <row r="302" spans="1:35" x14ac:dyDescent="0.3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>
        <f>'RESUMEN TOTAL'!N311</f>
        <v>0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 t="str">
        <f>'RESUMEN TOTAL'!AL311</f>
        <v>APAGADO</v>
      </c>
      <c r="AH302" s="29">
        <f>'RESUMEN TOTAL'!AM311</f>
        <v>0</v>
      </c>
      <c r="AI302" s="29" t="str">
        <f>'RESUMEN TOTAL'!AN311</f>
        <v>APAGADO</v>
      </c>
    </row>
    <row r="303" spans="1:35" x14ac:dyDescent="0.3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 t="str">
        <f>'RESUMEN TOTAL'!N312</f>
        <v>APAGADO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 t="str">
        <f>'RESUMEN TOTAL'!AK312</f>
        <v>APAGADO</v>
      </c>
      <c r="AG303" s="29" t="str">
        <f>'RESUMEN TOTAL'!AL312</f>
        <v>APAGADO</v>
      </c>
      <c r="AH303" s="29" t="str">
        <f>'RESUMEN TOTAL'!AM312</f>
        <v>APAGADO</v>
      </c>
      <c r="AI303" s="29">
        <f>'RESUMEN TOTAL'!AN312</f>
        <v>0</v>
      </c>
    </row>
    <row r="304" spans="1:35" x14ac:dyDescent="0.3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3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3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 t="str">
        <f>'RESUMEN TOTAL'!AK315</f>
        <v>APAGADO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3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 t="str">
        <f>'RESUMEN TOTAL'!S316</f>
        <v>APAGADO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3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 t="str">
        <f>'RESUMEN TOTAL'!S317</f>
        <v>APAGADO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3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>
        <f>'RESUMEN TOTAL'!M318</f>
        <v>0</v>
      </c>
      <c r="I309" s="29" t="str">
        <f>'RESUMEN TOTAL'!N318</f>
        <v>APAGADO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3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3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3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 t="str">
        <f>'RESUMEN TOTAL'!N321</f>
        <v>APAGADO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3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 t="str">
        <f>'RESUMEN TOTAL'!N322</f>
        <v>APAGADO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 t="str">
        <f>'RESUMEN TOTAL'!AK322</f>
        <v>APAGADO</v>
      </c>
      <c r="AG313" s="29" t="str">
        <f>'RESUMEN TOTAL'!AL322</f>
        <v>APAGADO</v>
      </c>
      <c r="AH313" s="29" t="str">
        <f>'RESUMEN TOTAL'!AM322</f>
        <v>APAGADO</v>
      </c>
      <c r="AI313" s="29">
        <f>'RESUMEN TOTAL'!AN322</f>
        <v>0</v>
      </c>
    </row>
    <row r="314" spans="1:35" x14ac:dyDescent="0.3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 t="str">
        <f>'RESUMEN TOTAL'!M323</f>
        <v>APAGADO</v>
      </c>
      <c r="I314" s="29" t="str">
        <f>'RESUMEN TOTAL'!N323</f>
        <v>APAGADO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 t="str">
        <f>'RESUMEN TOTAL'!AK323</f>
        <v>APAGADO</v>
      </c>
      <c r="AG314" s="29" t="str">
        <f>'RESUMEN TOTAL'!AL323</f>
        <v>APAGADO</v>
      </c>
      <c r="AH314" s="29" t="str">
        <f>'RESUMEN TOTAL'!AM323</f>
        <v>APAGADO</v>
      </c>
      <c r="AI314" s="29" t="str">
        <f>'RESUMEN TOTAL'!AN323</f>
        <v>APAGADO</v>
      </c>
    </row>
    <row r="315" spans="1:35" x14ac:dyDescent="0.3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>
        <f>'RESUMEN TOTAL'!M324</f>
        <v>0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3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3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3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3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 t="str">
        <f>'RESUMEN TOTAL'!AK328</f>
        <v>APAGADO</v>
      </c>
      <c r="AG319" s="29" t="str">
        <f>'RESUMEN TOTAL'!AL328</f>
        <v>APAGADO</v>
      </c>
      <c r="AH319" s="29" t="str">
        <f>'RESUMEN TOTAL'!AM328</f>
        <v>APAGADO</v>
      </c>
      <c r="AI319" s="29">
        <f>'RESUMEN TOTAL'!AN328</f>
        <v>0</v>
      </c>
    </row>
    <row r="320" spans="1:35" x14ac:dyDescent="0.3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 t="str">
        <f>'RESUMEN TOTAL'!AK329</f>
        <v>APAGADO</v>
      </c>
      <c r="AG320" s="29" t="str">
        <f>'RESUMEN TOTAL'!AL329</f>
        <v>APAGADO</v>
      </c>
      <c r="AH320" s="29" t="str">
        <f>'RESUMEN TOTAL'!AM329</f>
        <v>APAGADO</v>
      </c>
      <c r="AI320" s="29">
        <f>'RESUMEN TOTAL'!AN329</f>
        <v>0</v>
      </c>
    </row>
    <row r="321" spans="1:35" x14ac:dyDescent="0.3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3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3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>
        <f>'RESUMEN TOTAL'!M332</f>
        <v>0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3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3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>
        <f>'RESUMEN TOTAL'!Q334</f>
        <v>0</v>
      </c>
      <c r="M325" s="29">
        <f>'RESUMEN TOTAL'!R334</f>
        <v>0</v>
      </c>
      <c r="N325" s="29">
        <f>'RESUMEN TOTAL'!S334</f>
        <v>0</v>
      </c>
      <c r="O325" s="29">
        <f>'RESUMEN TOTAL'!T334</f>
        <v>0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3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>
        <f>'RESUMEN TOTAL'!K335</f>
        <v>0</v>
      </c>
      <c r="G326" s="29">
        <f>'RESUMEN TOTAL'!L335</f>
        <v>0</v>
      </c>
      <c r="H326" s="29" t="str">
        <f>'RESUMEN TOTAL'!M335</f>
        <v>APAGADO</v>
      </c>
      <c r="I326" s="29" t="str">
        <f>'RESUMEN TOTAL'!N335</f>
        <v>APAGADO</v>
      </c>
      <c r="J326" s="29">
        <f>'RESUMEN TOTAL'!O335</f>
        <v>0</v>
      </c>
      <c r="K326" s="29">
        <f>'RESUMEN TOTAL'!P335</f>
        <v>0</v>
      </c>
      <c r="L326" s="29">
        <f>'RESUMEN TOTAL'!Q335</f>
        <v>0</v>
      </c>
      <c r="M326" s="29">
        <f>'RESUMEN TOTAL'!R335</f>
        <v>0</v>
      </c>
      <c r="N326" s="29">
        <f>'RESUMEN TOTAL'!S335</f>
        <v>0</v>
      </c>
      <c r="O326" s="29">
        <f>'RESUMEN TOTAL'!T335</f>
        <v>0</v>
      </c>
      <c r="P326" s="29">
        <f>'RESUMEN TOTAL'!U335</f>
        <v>0</v>
      </c>
      <c r="Q326" s="29">
        <f>'RESUMEN TOTAL'!V335</f>
        <v>0</v>
      </c>
      <c r="R326" s="29">
        <f>'RESUMEN TOTAL'!W335</f>
        <v>0</v>
      </c>
      <c r="S326" s="29">
        <f>'RESUMEN TOTAL'!X335</f>
        <v>0</v>
      </c>
      <c r="T326" s="29" t="str">
        <f>'RESUMEN TOTAL'!Y335</f>
        <v>APAGADO</v>
      </c>
      <c r="U326" s="29" t="str">
        <f>'RESUMEN TOTAL'!Z335</f>
        <v>APAGADO</v>
      </c>
      <c r="V326" s="29" t="str">
        <f>'RESUMEN TOTAL'!AA335</f>
        <v>APAGADO</v>
      </c>
      <c r="W326" s="29" t="str">
        <f>'RESUMEN TOTAL'!AB335</f>
        <v>APAGADO</v>
      </c>
      <c r="X326" s="29" t="str">
        <f>'RESUMEN TOTAL'!AC335</f>
        <v>APAGADO</v>
      </c>
      <c r="Y326" s="29" t="str">
        <f>'RESUMEN TOTAL'!AD335</f>
        <v>APAGADO</v>
      </c>
      <c r="Z326" s="29" t="str">
        <f>'RESUMEN TOTAL'!AE335</f>
        <v>APAGADO</v>
      </c>
      <c r="AA326" s="29" t="str">
        <f>'RESUMEN TOTAL'!AF335</f>
        <v>APAGADO</v>
      </c>
      <c r="AB326" s="29" t="str">
        <f>'RESUMEN TOTAL'!AG335</f>
        <v>APAGADO</v>
      </c>
      <c r="AC326" s="29" t="str">
        <f>'RESUMEN TOTAL'!AH335</f>
        <v>APAGADO</v>
      </c>
      <c r="AD326" s="29" t="str">
        <f>'RESUMEN TOTAL'!AI335</f>
        <v>APAGADO</v>
      </c>
      <c r="AE326" s="29" t="str">
        <f>'RESUMEN TOTAL'!AJ335</f>
        <v>APAGADO</v>
      </c>
      <c r="AF326" s="29" t="str">
        <f>'RESUMEN TOTAL'!AK335</f>
        <v>APAGADO</v>
      </c>
      <c r="AG326" s="29" t="str">
        <f>'RESUMEN TOTAL'!AL335</f>
        <v>APAGADO</v>
      </c>
      <c r="AH326" s="29" t="str">
        <f>'RESUMEN TOTAL'!AM335</f>
        <v>APAGADO</v>
      </c>
      <c r="AI326" s="29" t="str">
        <f>'RESUMEN TOTAL'!AN335</f>
        <v>APAGADO</v>
      </c>
    </row>
    <row r="327" spans="1:35" x14ac:dyDescent="0.3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>
        <f>'RESUMEN TOTAL'!K336</f>
        <v>0</v>
      </c>
      <c r="G327" s="29">
        <f>'RESUMEN TOTAL'!L336</f>
        <v>0</v>
      </c>
      <c r="H327" s="29">
        <f>'RESUMEN TOTAL'!M336</f>
        <v>0</v>
      </c>
      <c r="I327" s="29">
        <f>'RESUMEN TOTAL'!N336</f>
        <v>0</v>
      </c>
      <c r="J327" s="29">
        <f>'RESUMEN TOTAL'!O336</f>
        <v>0</v>
      </c>
      <c r="K327" s="29">
        <f>'RESUMEN TOTAL'!P336</f>
        <v>0</v>
      </c>
      <c r="L327" s="29">
        <f>'RESUMEN TOTAL'!Q336</f>
        <v>0</v>
      </c>
      <c r="M327" s="29">
        <f>'RESUMEN TOTAL'!R336</f>
        <v>0</v>
      </c>
      <c r="N327" s="29">
        <f>'RESUMEN TOTAL'!S336</f>
        <v>0</v>
      </c>
      <c r="O327" s="29">
        <f>'RESUMEN TOTAL'!T336</f>
        <v>0</v>
      </c>
      <c r="P327" s="29">
        <f>'RESUMEN TOTAL'!U336</f>
        <v>0</v>
      </c>
      <c r="Q327" s="29">
        <f>'RESUMEN TOTAL'!V336</f>
        <v>0</v>
      </c>
      <c r="R327" s="29">
        <f>'RESUMEN TOTAL'!W336</f>
        <v>0</v>
      </c>
      <c r="S327" s="29">
        <f>'RESUMEN TOTAL'!X336</f>
        <v>0</v>
      </c>
      <c r="T327" s="29" t="str">
        <f>'RESUMEN TOTAL'!Y336</f>
        <v>APAGADO</v>
      </c>
      <c r="U327" s="29" t="str">
        <f>'RESUMEN TOTAL'!Z336</f>
        <v>APAGADO</v>
      </c>
      <c r="V327" s="29" t="str">
        <f>'RESUMEN TOTAL'!AA336</f>
        <v>APAGADO</v>
      </c>
      <c r="W327" s="29" t="str">
        <f>'RESUMEN TOTAL'!AB336</f>
        <v>APAGADO</v>
      </c>
      <c r="X327" s="29" t="str">
        <f>'RESUMEN TOTAL'!AC336</f>
        <v>APAGADO</v>
      </c>
      <c r="Y327" s="29" t="str">
        <f>'RESUMEN TOTAL'!AD336</f>
        <v>APAGADO</v>
      </c>
      <c r="Z327" s="29" t="str">
        <f>'RESUMEN TOTAL'!AE336</f>
        <v>APAGADO</v>
      </c>
      <c r="AA327" s="29" t="str">
        <f>'RESUMEN TOTAL'!AF336</f>
        <v>APAGADO</v>
      </c>
      <c r="AB327" s="29" t="str">
        <f>'RESUMEN TOTAL'!AG336</f>
        <v>APAGADO</v>
      </c>
      <c r="AC327" s="29" t="str">
        <f>'RESUMEN TOTAL'!AH336</f>
        <v>APAGADO</v>
      </c>
      <c r="AD327" s="29" t="str">
        <f>'RESUMEN TOTAL'!AI336</f>
        <v>APAGADO</v>
      </c>
      <c r="AE327" s="29" t="str">
        <f>'RESUMEN TOTAL'!AJ336</f>
        <v>APAGADO</v>
      </c>
      <c r="AF327" s="29" t="str">
        <f>'RESUMEN TOTAL'!AK336</f>
        <v>APAGADO</v>
      </c>
      <c r="AG327" s="29" t="str">
        <f>'RESUMEN TOTAL'!AL336</f>
        <v>APAGADO</v>
      </c>
      <c r="AH327" s="29" t="str">
        <f>'RESUMEN TOTAL'!AM336</f>
        <v>APAGADO</v>
      </c>
      <c r="AI327" s="29" t="str">
        <f>'RESUMEN TOTAL'!AN336</f>
        <v>APAGADO</v>
      </c>
    </row>
    <row r="328" spans="1:35" x14ac:dyDescent="0.3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>
        <f>'RESUMEN TOTAL'!K337</f>
        <v>0</v>
      </c>
      <c r="G328" s="29">
        <f>'RESUMEN TOTAL'!L337</f>
        <v>0</v>
      </c>
      <c r="H328" s="29">
        <f>'RESUMEN TOTAL'!M337</f>
        <v>0</v>
      </c>
      <c r="I328" s="29">
        <f>'RESUMEN TOTAL'!N337</f>
        <v>0</v>
      </c>
      <c r="J328" s="29">
        <f>'RESUMEN TOTAL'!O337</f>
        <v>0</v>
      </c>
      <c r="K328" s="29">
        <f>'RESUMEN TOTAL'!P337</f>
        <v>0</v>
      </c>
      <c r="L328" s="29">
        <f>'RESUMEN TOTAL'!Q337</f>
        <v>0</v>
      </c>
      <c r="M328" s="29">
        <f>'RESUMEN TOTAL'!R337</f>
        <v>0</v>
      </c>
      <c r="N328" s="29">
        <f>'RESUMEN TOTAL'!S337</f>
        <v>0</v>
      </c>
      <c r="O328" s="29">
        <f>'RESUMEN TOTAL'!T337</f>
        <v>0</v>
      </c>
      <c r="P328" s="29">
        <f>'RESUMEN TOTAL'!U337</f>
        <v>0</v>
      </c>
      <c r="Q328" s="29">
        <f>'RESUMEN TOTAL'!V337</f>
        <v>0</v>
      </c>
      <c r="R328" s="29">
        <f>'RESUMEN TOTAL'!W337</f>
        <v>0</v>
      </c>
      <c r="S328" s="29">
        <f>'RESUMEN TOTAL'!X337</f>
        <v>0</v>
      </c>
      <c r="T328" s="29" t="str">
        <f>'RESUMEN TOTAL'!Y337</f>
        <v>APAGADO</v>
      </c>
      <c r="U328" s="29" t="str">
        <f>'RESUMEN TOTAL'!Z337</f>
        <v>APAGADO</v>
      </c>
      <c r="V328" s="29" t="str">
        <f>'RESUMEN TOTAL'!AA337</f>
        <v>APAGADO</v>
      </c>
      <c r="W328" s="29" t="str">
        <f>'RESUMEN TOTAL'!AB337</f>
        <v>APAGADO</v>
      </c>
      <c r="X328" s="29" t="str">
        <f>'RESUMEN TOTAL'!AC337</f>
        <v>APAGADO</v>
      </c>
      <c r="Y328" s="29" t="str">
        <f>'RESUMEN TOTAL'!AD337</f>
        <v>APAGADO</v>
      </c>
      <c r="Z328" s="29" t="str">
        <f>'RESUMEN TOTAL'!AE337</f>
        <v>APAGADO</v>
      </c>
      <c r="AA328" s="29" t="str">
        <f>'RESUMEN TOTAL'!AF337</f>
        <v>APAGADO</v>
      </c>
      <c r="AB328" s="29" t="str">
        <f>'RESUMEN TOTAL'!AG337</f>
        <v>APAGADO</v>
      </c>
      <c r="AC328" s="29" t="str">
        <f>'RESUMEN TOTAL'!AH337</f>
        <v>APAGADO</v>
      </c>
      <c r="AD328" s="29" t="str">
        <f>'RESUMEN TOTAL'!AI337</f>
        <v>APAGADO</v>
      </c>
      <c r="AE328" s="29" t="str">
        <f>'RESUMEN TOTAL'!AJ337</f>
        <v>APAGADO</v>
      </c>
      <c r="AF328" s="29" t="str">
        <f>'RESUMEN TOTAL'!AK337</f>
        <v>APAGADO</v>
      </c>
      <c r="AG328" s="29" t="str">
        <f>'RESUMEN TOTAL'!AL337</f>
        <v>APAGADO</v>
      </c>
      <c r="AH328" s="29" t="str">
        <f>'RESUMEN TOTAL'!AM337</f>
        <v>APAGADO</v>
      </c>
      <c r="AI328" s="29" t="str">
        <f>'RESUMEN TOTAL'!AN337</f>
        <v>APAGADO</v>
      </c>
    </row>
    <row r="329" spans="1:35" x14ac:dyDescent="0.3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>
        <f>'RESUMEN TOTAL'!K338</f>
        <v>0</v>
      </c>
      <c r="G329" s="29">
        <f>'RESUMEN TOTAL'!L338</f>
        <v>0</v>
      </c>
      <c r="H329" s="29">
        <f>'RESUMEN TOTAL'!M338</f>
        <v>0</v>
      </c>
      <c r="I329" s="29">
        <f>'RESUMEN TOTAL'!N338</f>
        <v>0</v>
      </c>
      <c r="J329" s="29">
        <f>'RESUMEN TOTAL'!O338</f>
        <v>0</v>
      </c>
      <c r="K329" s="29">
        <f>'RESUMEN TOTAL'!P338</f>
        <v>0</v>
      </c>
      <c r="L329" s="29">
        <f>'RESUMEN TOTAL'!Q338</f>
        <v>0</v>
      </c>
      <c r="M329" s="29">
        <f>'RESUMEN TOTAL'!R338</f>
        <v>0</v>
      </c>
      <c r="N329" s="29">
        <f>'RESUMEN TOTAL'!S338</f>
        <v>0</v>
      </c>
      <c r="O329" s="29">
        <f>'RESUMEN TOTAL'!T338</f>
        <v>0</v>
      </c>
      <c r="P329" s="29">
        <f>'RESUMEN TOTAL'!U338</f>
        <v>0</v>
      </c>
      <c r="Q329" s="29">
        <f>'RESUMEN TOTAL'!V338</f>
        <v>0</v>
      </c>
      <c r="R329" s="29">
        <f>'RESUMEN TOTAL'!W338</f>
        <v>0</v>
      </c>
      <c r="S329" s="29">
        <f>'RESUMEN TOTAL'!X338</f>
        <v>0</v>
      </c>
      <c r="T329" s="29" t="str">
        <f>'RESUMEN TOTAL'!Y338</f>
        <v>APAGADO</v>
      </c>
      <c r="U329" s="29" t="str">
        <f>'RESUMEN TOTAL'!Z338</f>
        <v>APAGADO</v>
      </c>
      <c r="V329" s="29" t="str">
        <f>'RESUMEN TOTAL'!AA338</f>
        <v>APAGADO</v>
      </c>
      <c r="W329" s="29" t="str">
        <f>'RESUMEN TOTAL'!AB338</f>
        <v>APAGADO</v>
      </c>
      <c r="X329" s="29" t="str">
        <f>'RESUMEN TOTAL'!AC338</f>
        <v>APAGADO</v>
      </c>
      <c r="Y329" s="29" t="str">
        <f>'RESUMEN TOTAL'!AD338</f>
        <v>APAGADO</v>
      </c>
      <c r="Z329" s="29" t="str">
        <f>'RESUMEN TOTAL'!AE338</f>
        <v>APAGADO</v>
      </c>
      <c r="AA329" s="29" t="str">
        <f>'RESUMEN TOTAL'!AF338</f>
        <v>APAGADO</v>
      </c>
      <c r="AB329" s="29" t="str">
        <f>'RESUMEN TOTAL'!AG338</f>
        <v>APAGADO</v>
      </c>
      <c r="AC329" s="29" t="str">
        <f>'RESUMEN TOTAL'!AH338</f>
        <v>APAGADO</v>
      </c>
      <c r="AD329" s="29" t="str">
        <f>'RESUMEN TOTAL'!AI338</f>
        <v>APAGADO</v>
      </c>
      <c r="AE329" s="29" t="str">
        <f>'RESUMEN TOTAL'!AJ338</f>
        <v>APAGADO</v>
      </c>
      <c r="AF329" s="29" t="str">
        <f>'RESUMEN TOTAL'!AK338</f>
        <v>APAGADO</v>
      </c>
      <c r="AG329" s="29" t="str">
        <f>'RESUMEN TOTAL'!AL338</f>
        <v>APAGADO</v>
      </c>
      <c r="AH329" s="29" t="str">
        <f>'RESUMEN TOTAL'!AM338</f>
        <v>APAGADO</v>
      </c>
      <c r="AI329" s="29" t="str">
        <f>'RESUMEN TOTAL'!AN338</f>
        <v>APAGADO</v>
      </c>
    </row>
    <row r="330" spans="1:35" x14ac:dyDescent="0.3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>
        <f>'RESUMEN TOTAL'!K339</f>
        <v>0</v>
      </c>
      <c r="G330" s="29">
        <f>'RESUMEN TOTAL'!L339</f>
        <v>0</v>
      </c>
      <c r="H330" s="29">
        <f>'RESUMEN TOTAL'!M339</f>
        <v>0</v>
      </c>
      <c r="I330" s="29">
        <f>'RESUMEN TOTAL'!N339</f>
        <v>0</v>
      </c>
      <c r="J330" s="29">
        <f>'RESUMEN TOTAL'!O339</f>
        <v>0</v>
      </c>
      <c r="K330" s="29">
        <f>'RESUMEN TOTAL'!P339</f>
        <v>0</v>
      </c>
      <c r="L330" s="29">
        <f>'RESUMEN TOTAL'!Q339</f>
        <v>0</v>
      </c>
      <c r="M330" s="29">
        <f>'RESUMEN TOTAL'!R339</f>
        <v>0</v>
      </c>
      <c r="N330" s="29">
        <f>'RESUMEN TOTAL'!S339</f>
        <v>0</v>
      </c>
      <c r="O330" s="29">
        <f>'RESUMEN TOTAL'!T339</f>
        <v>0</v>
      </c>
      <c r="P330" s="29">
        <f>'RESUMEN TOTAL'!U339</f>
        <v>0</v>
      </c>
      <c r="Q330" s="29">
        <f>'RESUMEN TOTAL'!V339</f>
        <v>0</v>
      </c>
      <c r="R330" s="29">
        <f>'RESUMEN TOTAL'!W339</f>
        <v>0</v>
      </c>
      <c r="S330" s="29">
        <f>'RESUMEN TOTAL'!X339</f>
        <v>0</v>
      </c>
      <c r="T330" s="29" t="str">
        <f>'RESUMEN TOTAL'!Y339</f>
        <v>APAGADO</v>
      </c>
      <c r="U330" s="29" t="str">
        <f>'RESUMEN TOTAL'!Z339</f>
        <v>APAGADO</v>
      </c>
      <c r="V330" s="29" t="str">
        <f>'RESUMEN TOTAL'!AA339</f>
        <v>APAGADO</v>
      </c>
      <c r="W330" s="29" t="str">
        <f>'RESUMEN TOTAL'!AB339</f>
        <v>APAGADO</v>
      </c>
      <c r="X330" s="29" t="str">
        <f>'RESUMEN TOTAL'!AC339</f>
        <v>APAGADO</v>
      </c>
      <c r="Y330" s="29" t="str">
        <f>'RESUMEN TOTAL'!AD339</f>
        <v>APAGADO</v>
      </c>
      <c r="Z330" s="29" t="str">
        <f>'RESUMEN TOTAL'!AE339</f>
        <v>APAGADO</v>
      </c>
      <c r="AA330" s="29" t="str">
        <f>'RESUMEN TOTAL'!AF339</f>
        <v>APAGADO</v>
      </c>
      <c r="AB330" s="29" t="str">
        <f>'RESUMEN TOTAL'!AG339</f>
        <v>APAGADO</v>
      </c>
      <c r="AC330" s="29" t="str">
        <f>'RESUMEN TOTAL'!AH339</f>
        <v>APAGADO</v>
      </c>
      <c r="AD330" s="29" t="str">
        <f>'RESUMEN TOTAL'!AI339</f>
        <v>APAGADO</v>
      </c>
      <c r="AE330" s="29" t="str">
        <f>'RESUMEN TOTAL'!AJ339</f>
        <v>APAGADO</v>
      </c>
      <c r="AF330" s="29" t="str">
        <f>'RESUMEN TOTAL'!AK339</f>
        <v>APAGADO</v>
      </c>
      <c r="AG330" s="29" t="str">
        <f>'RESUMEN TOTAL'!AL339</f>
        <v>APAGADO</v>
      </c>
      <c r="AH330" s="29" t="str">
        <f>'RESUMEN TOTAL'!AM339</f>
        <v>APAGADO</v>
      </c>
      <c r="AI330" s="29" t="str">
        <f>'RESUMEN TOTAL'!AN339</f>
        <v>APAGADO</v>
      </c>
    </row>
    <row r="331" spans="1:35" x14ac:dyDescent="0.3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>
        <f>'RESUMEN TOTAL'!K340</f>
        <v>0</v>
      </c>
      <c r="G331" s="29">
        <f>'RESUMEN TOTAL'!L340</f>
        <v>0</v>
      </c>
      <c r="H331" s="29">
        <f>'RESUMEN TOTAL'!M340</f>
        <v>0</v>
      </c>
      <c r="I331" s="29">
        <f>'RESUMEN TOTAL'!N340</f>
        <v>0</v>
      </c>
      <c r="J331" s="29">
        <f>'RESUMEN TOTAL'!O340</f>
        <v>0</v>
      </c>
      <c r="K331" s="29">
        <f>'RESUMEN TOTAL'!P340</f>
        <v>0</v>
      </c>
      <c r="L331" s="29">
        <f>'RESUMEN TOTAL'!Q340</f>
        <v>0</v>
      </c>
      <c r="M331" s="29">
        <f>'RESUMEN TOTAL'!R340</f>
        <v>0</v>
      </c>
      <c r="N331" s="29">
        <f>'RESUMEN TOTAL'!S340</f>
        <v>0</v>
      </c>
      <c r="O331" s="29">
        <f>'RESUMEN TOTAL'!T340</f>
        <v>0</v>
      </c>
      <c r="P331" s="29">
        <f>'RESUMEN TOTAL'!U340</f>
        <v>0</v>
      </c>
      <c r="Q331" s="29">
        <f>'RESUMEN TOTAL'!V340</f>
        <v>0</v>
      </c>
      <c r="R331" s="29">
        <f>'RESUMEN TOTAL'!W340</f>
        <v>0</v>
      </c>
      <c r="S331" s="29">
        <f>'RESUMEN TOTAL'!X340</f>
        <v>0</v>
      </c>
      <c r="T331" s="29" t="str">
        <f>'RESUMEN TOTAL'!Y340</f>
        <v>APAGADO</v>
      </c>
      <c r="U331" s="29" t="str">
        <f>'RESUMEN TOTAL'!Z340</f>
        <v>APAGADO</v>
      </c>
      <c r="V331" s="29" t="str">
        <f>'RESUMEN TOTAL'!AA340</f>
        <v>APAGADO</v>
      </c>
      <c r="W331" s="29" t="str">
        <f>'RESUMEN TOTAL'!AB340</f>
        <v>APAGADO</v>
      </c>
      <c r="X331" s="29" t="str">
        <f>'RESUMEN TOTAL'!AC340</f>
        <v>APAGADO</v>
      </c>
      <c r="Y331" s="29" t="str">
        <f>'RESUMEN TOTAL'!AD340</f>
        <v>APAGADO</v>
      </c>
      <c r="Z331" s="29" t="str">
        <f>'RESUMEN TOTAL'!AE340</f>
        <v>APAGADO</v>
      </c>
      <c r="AA331" s="29" t="str">
        <f>'RESUMEN TOTAL'!AF340</f>
        <v>APAGADO</v>
      </c>
      <c r="AB331" s="29" t="str">
        <f>'RESUMEN TOTAL'!AG340</f>
        <v>APAGADO</v>
      </c>
      <c r="AC331" s="29" t="str">
        <f>'RESUMEN TOTAL'!AH340</f>
        <v>APAGADO</v>
      </c>
      <c r="AD331" s="29" t="str">
        <f>'RESUMEN TOTAL'!AI340</f>
        <v>APAGADO</v>
      </c>
      <c r="AE331" s="29" t="str">
        <f>'RESUMEN TOTAL'!AJ340</f>
        <v>APAGADO</v>
      </c>
      <c r="AF331" s="29" t="str">
        <f>'RESUMEN TOTAL'!AK340</f>
        <v>APAGADO</v>
      </c>
      <c r="AG331" s="29" t="str">
        <f>'RESUMEN TOTAL'!AL340</f>
        <v>APAGADO</v>
      </c>
      <c r="AH331" s="29" t="str">
        <f>'RESUMEN TOTAL'!AM340</f>
        <v>APAGADO</v>
      </c>
      <c r="AI331" s="29" t="str">
        <f>'RESUMEN TOTAL'!AN340</f>
        <v>APAGADO</v>
      </c>
    </row>
    <row r="332" spans="1:35" x14ac:dyDescent="0.3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>
        <f>'RESUMEN TOTAL'!K341</f>
        <v>0</v>
      </c>
      <c r="G332" s="29">
        <f>'RESUMEN TOTAL'!L341</f>
        <v>0</v>
      </c>
      <c r="H332" s="29">
        <f>'RESUMEN TOTAL'!M341</f>
        <v>0</v>
      </c>
      <c r="I332" s="29">
        <f>'RESUMEN TOTAL'!N341</f>
        <v>0</v>
      </c>
      <c r="J332" s="29">
        <f>'RESUMEN TOTAL'!O341</f>
        <v>0</v>
      </c>
      <c r="K332" s="29">
        <f>'RESUMEN TOTAL'!P341</f>
        <v>0</v>
      </c>
      <c r="L332" s="29">
        <f>'RESUMEN TOTAL'!Q341</f>
        <v>0</v>
      </c>
      <c r="M332" s="29">
        <f>'RESUMEN TOTAL'!R341</f>
        <v>0</v>
      </c>
      <c r="N332" s="29">
        <f>'RESUMEN TOTAL'!S341</f>
        <v>0</v>
      </c>
      <c r="O332" s="29">
        <f>'RESUMEN TOTAL'!T341</f>
        <v>0</v>
      </c>
      <c r="P332" s="29">
        <f>'RESUMEN TOTAL'!U341</f>
        <v>0</v>
      </c>
      <c r="Q332" s="29">
        <f>'RESUMEN TOTAL'!V341</f>
        <v>0</v>
      </c>
      <c r="R332" s="29">
        <f>'RESUMEN TOTAL'!W341</f>
        <v>0</v>
      </c>
      <c r="S332" s="29">
        <f>'RESUMEN TOTAL'!X341</f>
        <v>0</v>
      </c>
      <c r="T332" s="29" t="str">
        <f>'RESUMEN TOTAL'!Y341</f>
        <v>APAGADO</v>
      </c>
      <c r="U332" s="29" t="str">
        <f>'RESUMEN TOTAL'!Z341</f>
        <v>APAGADO</v>
      </c>
      <c r="V332" s="29" t="str">
        <f>'RESUMEN TOTAL'!AA341</f>
        <v>APAGADO</v>
      </c>
      <c r="W332" s="29" t="str">
        <f>'RESUMEN TOTAL'!AB341</f>
        <v>APAGADO</v>
      </c>
      <c r="X332" s="29" t="str">
        <f>'RESUMEN TOTAL'!AC341</f>
        <v>APAGADO</v>
      </c>
      <c r="Y332" s="29" t="str">
        <f>'RESUMEN TOTAL'!AD341</f>
        <v>APAGADO</v>
      </c>
      <c r="Z332" s="29" t="str">
        <f>'RESUMEN TOTAL'!AE341</f>
        <v>APAGADO</v>
      </c>
      <c r="AA332" s="29" t="str">
        <f>'RESUMEN TOTAL'!AF341</f>
        <v>APAGADO</v>
      </c>
      <c r="AB332" s="29" t="str">
        <f>'RESUMEN TOTAL'!AG341</f>
        <v>APAGADO</v>
      </c>
      <c r="AC332" s="29" t="str">
        <f>'RESUMEN TOTAL'!AH341</f>
        <v>APAGADO</v>
      </c>
      <c r="AD332" s="29" t="str">
        <f>'RESUMEN TOTAL'!AI341</f>
        <v>APAGADO</v>
      </c>
      <c r="AE332" s="29" t="str">
        <f>'RESUMEN TOTAL'!AJ341</f>
        <v>APAGADO</v>
      </c>
      <c r="AF332" s="29" t="str">
        <f>'RESUMEN TOTAL'!AK341</f>
        <v>APAGADO</v>
      </c>
      <c r="AG332" s="29" t="str">
        <f>'RESUMEN TOTAL'!AL341</f>
        <v>APAGADO</v>
      </c>
      <c r="AH332" s="29" t="str">
        <f>'RESUMEN TOTAL'!AM341</f>
        <v>APAGADO</v>
      </c>
      <c r="AI332" s="29" t="str">
        <f>'RESUMEN TOTAL'!AN341</f>
        <v>APAGADO</v>
      </c>
    </row>
    <row r="333" spans="1:35" x14ac:dyDescent="0.3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>
        <f>'RESUMEN TOTAL'!M342</f>
        <v>0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3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 t="str">
        <f>'RESUMEN TOTAL'!K343</f>
        <v>APAGADO</v>
      </c>
      <c r="G334" s="29">
        <f>'RESUMEN TOTAL'!L343</f>
        <v>0</v>
      </c>
      <c r="H334" s="29" t="str">
        <f>'RESUMEN TOTAL'!M343</f>
        <v>APAGADO</v>
      </c>
      <c r="I334" s="29" t="str">
        <f>'RESUMEN TOTAL'!N343</f>
        <v>APAGADO</v>
      </c>
      <c r="J334" s="29" t="str">
        <f>'RESUMEN TOTAL'!O343</f>
        <v>APAGADO</v>
      </c>
      <c r="K334" s="29">
        <f>'RESUMEN TOTAL'!P343</f>
        <v>0</v>
      </c>
      <c r="L334" s="29" t="str">
        <f>'RESUMEN TOTAL'!Q343</f>
        <v>APAGADO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3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 t="str">
        <f>'RESUMEN TOTAL'!K344</f>
        <v>APAGADO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 t="str">
        <f>'RESUMEN TOTAL'!U344</f>
        <v>APAGADO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 t="str">
        <f>'RESUMEN TOTAL'!Y344</f>
        <v>APAGADO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 t="str">
        <f>'RESUMEN TOTAL'!AH344</f>
        <v>APAGADO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3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 t="str">
        <f>'RESUMEN TOTAL'!K345</f>
        <v>APAGADO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 t="str">
        <f>'RESUMEN TOTAL'!Y345</f>
        <v>APAGADO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 t="str">
        <f>'RESUMEN TOTAL'!AH345</f>
        <v>APAGADO</v>
      </c>
      <c r="AD336" s="29">
        <f>'RESUMEN TOTAL'!AI345</f>
        <v>0</v>
      </c>
      <c r="AE336" s="29">
        <f>'RESUMEN TOTAL'!AJ345</f>
        <v>0</v>
      </c>
      <c r="AF336" s="29" t="str">
        <f>'RESUMEN TOTAL'!AK345</f>
        <v>APAGADO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3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 t="str">
        <f>'RESUMEN TOTAL'!AH346</f>
        <v>APAGADO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3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 t="str">
        <f>'RESUMEN TOTAL'!AH347</f>
        <v>APAGADO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3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 t="str">
        <f>'RESUMEN TOTAL'!U348</f>
        <v>APAGADO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 t="str">
        <f>'RESUMEN TOTAL'!Y348</f>
        <v>APAGADO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 t="str">
        <f>'RESUMEN TOTAL'!AF348</f>
        <v>APAGADO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3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3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3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3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3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3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3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 t="str">
        <f>'RESUMEN TOTAL'!U355</f>
        <v>APAGADO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 t="str">
        <f>'RESUMEN TOTAL'!Y355</f>
        <v>APAGADO</v>
      </c>
      <c r="U346" s="29">
        <f>'RESUMEN TOTAL'!Z355</f>
        <v>0</v>
      </c>
      <c r="V346" s="29">
        <f>'RESUMEN TOTAL'!AA355</f>
        <v>0</v>
      </c>
      <c r="W346" s="29" t="str">
        <f>'RESUMEN TOTAL'!AB355</f>
        <v>APAGADO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 t="str">
        <f>'RESUMEN TOTAL'!AF355</f>
        <v>APAGADO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3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3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 t="str">
        <f>'RESUMEN TOTAL'!N357</f>
        <v>APAGADO</v>
      </c>
      <c r="J348" s="29">
        <f>'RESUMEN TOTAL'!O357</f>
        <v>0</v>
      </c>
      <c r="K348" s="29">
        <f>'RESUMEN TOTAL'!P357</f>
        <v>0</v>
      </c>
      <c r="L348" s="29">
        <f>'RESUMEN TOTAL'!Q357</f>
        <v>0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3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 t="str">
        <f>'RESUMEN TOTAL'!N358</f>
        <v>APAGADO</v>
      </c>
      <c r="J349" s="29" t="str">
        <f>'RESUMEN TOTAL'!O358</f>
        <v>APAGADO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3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>
        <f>'RESUMEN TOTAL'!M359</f>
        <v>0</v>
      </c>
      <c r="I350" s="29" t="str">
        <f>'RESUMEN TOTAL'!N359</f>
        <v>APAGADO</v>
      </c>
      <c r="J350" s="29" t="str">
        <f>'RESUMEN TOTAL'!O359</f>
        <v>APAGADO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3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3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 t="str">
        <f>'RESUMEN TOTAL'!N361</f>
        <v>APAGADO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 t="str">
        <f>'RESUMEN TOTAL'!AJ361</f>
        <v>APAGADO</v>
      </c>
      <c r="AF352" s="29" t="str">
        <f>'RESUMEN TOTAL'!AK361</f>
        <v>APAGADO</v>
      </c>
      <c r="AG352" s="29" t="str">
        <f>'RESUMEN TOTAL'!AL361</f>
        <v>APAGADO</v>
      </c>
      <c r="AH352" s="29">
        <f>'RESUMEN TOTAL'!AM361</f>
        <v>0</v>
      </c>
      <c r="AI352" s="29">
        <f>'RESUMEN TOTAL'!AN361</f>
        <v>0</v>
      </c>
    </row>
    <row r="353" spans="1:35" x14ac:dyDescent="0.3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 t="str">
        <f>'RESUMEN TOTAL'!L362</f>
        <v>APAGADO</v>
      </c>
      <c r="H353" s="29" t="str">
        <f>'RESUMEN TOTAL'!M362</f>
        <v>APAGADO</v>
      </c>
      <c r="I353" s="29" t="str">
        <f>'RESUMEN TOTAL'!N362</f>
        <v>APAGADO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 t="str">
        <f>'RESUMEN TOTAL'!T362</f>
        <v>APAGADO</v>
      </c>
      <c r="P353" s="29" t="str">
        <f>'RESUMEN TOTAL'!U362</f>
        <v>APAGADO</v>
      </c>
      <c r="Q353" s="29">
        <f>'RESUMEN TOTAL'!V362</f>
        <v>0</v>
      </c>
      <c r="R353" s="29" t="str">
        <f>'RESUMEN TOTAL'!W362</f>
        <v>APAGADO</v>
      </c>
      <c r="S353" s="29" t="str">
        <f>'RESUMEN TOTAL'!X362</f>
        <v>APAGADO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 t="str">
        <f>'RESUMEN TOTAL'!AD362</f>
        <v>APAGADO</v>
      </c>
      <c r="Z353" s="29" t="str">
        <f>'RESUMEN TOTAL'!AE362</f>
        <v>APAGADO</v>
      </c>
      <c r="AA353" s="29">
        <f>'RESUMEN TOTAL'!AF362</f>
        <v>0</v>
      </c>
      <c r="AB353" s="29" t="str">
        <f>'RESUMEN TOTAL'!AG362</f>
        <v>APAGADO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 t="str">
        <f>'RESUMEN TOTAL'!AL362</f>
        <v>APAGADO</v>
      </c>
      <c r="AH353" s="29" t="str">
        <f>'RESUMEN TOTAL'!AM362</f>
        <v>APAGADO</v>
      </c>
      <c r="AI353" s="29">
        <f>'RESUMEN TOTAL'!AN362</f>
        <v>0</v>
      </c>
    </row>
    <row r="354" spans="1:35" x14ac:dyDescent="0.3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3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3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 t="str">
        <f>'RESUMEN TOTAL'!N365</f>
        <v>APAGADO</v>
      </c>
      <c r="J356" s="29" t="str">
        <f>'RESUMEN TOTAL'!O365</f>
        <v>APAGADO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3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 t="str">
        <f>'RESUMEN TOTAL'!N366</f>
        <v>APAGADO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>
        <f>'RESUMEN TOTAL'!S366</f>
        <v>0</v>
      </c>
      <c r="O357" s="29">
        <f>'RESUMEN TOTAL'!T366</f>
        <v>0</v>
      </c>
      <c r="P357" s="29">
        <f>'RESUMEN TOTAL'!U366</f>
        <v>0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3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>
        <f>'RESUMEN TOTAL'!L367</f>
        <v>0</v>
      </c>
      <c r="H358" s="29">
        <f>'RESUMEN TOTAL'!M367</f>
        <v>0</v>
      </c>
      <c r="I358" s="29">
        <f>'RESUMEN TOTAL'!N367</f>
        <v>0</v>
      </c>
      <c r="J358" s="29">
        <f>'RESUMEN TOTAL'!O367</f>
        <v>0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>
        <f>'RESUMEN TOTAL'!S367</f>
        <v>0</v>
      </c>
      <c r="O358" s="29">
        <f>'RESUMEN TOTAL'!T367</f>
        <v>0</v>
      </c>
      <c r="P358" s="29">
        <f>'RESUMEN TOTAL'!U367</f>
        <v>0</v>
      </c>
      <c r="Q358" s="29">
        <f>'RESUMEN TOTAL'!V367</f>
        <v>0</v>
      </c>
      <c r="R358" s="29">
        <f>'RESUMEN TOTAL'!W367</f>
        <v>0</v>
      </c>
      <c r="S358" s="29">
        <f>'RESUMEN TOTAL'!X367</f>
        <v>0</v>
      </c>
      <c r="T358" s="29">
        <f>'RESUMEN TOTAL'!Y367</f>
        <v>0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 t="str">
        <f>'RESUMEN TOTAL'!AM367</f>
        <v>APAGADO</v>
      </c>
      <c r="AI358" s="29">
        <f>'RESUMEN TOTAL'!AN367</f>
        <v>0</v>
      </c>
    </row>
    <row r="359" spans="1:35" x14ac:dyDescent="0.3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>
        <f>'RESUMEN TOTAL'!Y368</f>
        <v>0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3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>
        <f>'RESUMEN TOTAL'!S369</f>
        <v>0</v>
      </c>
      <c r="O360" s="29">
        <f>'RESUMEN TOTAL'!T369</f>
        <v>0</v>
      </c>
      <c r="P360" s="29">
        <f>'RESUMEN TOTAL'!U369</f>
        <v>0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3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 t="str">
        <f>'RESUMEN TOTAL'!N370</f>
        <v>APAGADO</v>
      </c>
      <c r="J361" s="29" t="str">
        <f>'RESUMEN TOTAL'!O370</f>
        <v>APAGADO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3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 t="str">
        <f>'RESUMEN TOTAL'!N371</f>
        <v>APAGADO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3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3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 t="str">
        <f>'RESUMEN TOTAL'!N373</f>
        <v>APAGADO</v>
      </c>
      <c r="J364" s="29" t="str">
        <f>'RESUMEN TOTAL'!O373</f>
        <v>APAGADO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3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3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 t="str">
        <f>'RESUMEN TOTAL'!N375</f>
        <v>APAGADO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3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 t="str">
        <f>'RESUMEN TOTAL'!N376</f>
        <v>APAGADO</v>
      </c>
      <c r="J367" s="29" t="str">
        <f>'RESUMEN TOTAL'!O376</f>
        <v>APAGADO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3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 t="str">
        <f>'RESUMEN TOTAL'!N377</f>
        <v>APAGADO</v>
      </c>
      <c r="J368" s="29" t="str">
        <f>'RESUMEN TOTAL'!O377</f>
        <v>APAGADO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3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 t="str">
        <f>'RESUMEN TOTAL'!L378</f>
        <v>APAGADO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 t="str">
        <f>'RESUMEN TOTAL'!T378</f>
        <v>APAGADO</v>
      </c>
      <c r="P369" s="29" t="str">
        <f>'RESUMEN TOTAL'!U378</f>
        <v>APAGADO</v>
      </c>
      <c r="Q369" s="29">
        <f>'RESUMEN TOTAL'!V378</f>
        <v>0</v>
      </c>
      <c r="R369" s="29" t="str">
        <f>'RESUMEN TOTAL'!W378</f>
        <v>APAGADO</v>
      </c>
      <c r="S369" s="29" t="str">
        <f>'RESUMEN TOTAL'!X378</f>
        <v>APAGADO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 t="str">
        <f>'RESUMEN TOTAL'!AD378</f>
        <v>APAGADO</v>
      </c>
      <c r="Z369" s="29" t="str">
        <f>'RESUMEN TOTAL'!AE378</f>
        <v>APAGADO</v>
      </c>
      <c r="AA369" s="29">
        <f>'RESUMEN TOTAL'!AF378</f>
        <v>0</v>
      </c>
      <c r="AB369" s="29" t="str">
        <f>'RESUMEN TOTAL'!AG378</f>
        <v>APAGADO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 t="str">
        <f>'RESUMEN TOTAL'!AL378</f>
        <v>APAGADO</v>
      </c>
      <c r="AH369" s="29" t="str">
        <f>'RESUMEN TOTAL'!AM378</f>
        <v>APAGADO</v>
      </c>
      <c r="AI369" s="29">
        <f>'RESUMEN TOTAL'!AN378</f>
        <v>0</v>
      </c>
    </row>
    <row r="370" spans="1:35" x14ac:dyDescent="0.3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 t="str">
        <f>'RESUMEN TOTAL'!L379</f>
        <v>APAGADO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 t="str">
        <f>'RESUMEN TOTAL'!T379</f>
        <v>APAGADO</v>
      </c>
      <c r="P370" s="29" t="str">
        <f>'RESUMEN TOTAL'!U379</f>
        <v>APAGADO</v>
      </c>
      <c r="Q370" s="29">
        <f>'RESUMEN TOTAL'!V379</f>
        <v>0</v>
      </c>
      <c r="R370" s="29" t="str">
        <f>'RESUMEN TOTAL'!W379</f>
        <v>APAGADO</v>
      </c>
      <c r="S370" s="29" t="str">
        <f>'RESUMEN TOTAL'!X379</f>
        <v>APAGADO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 t="str">
        <f>'RESUMEN TOTAL'!AD379</f>
        <v>APAGADO</v>
      </c>
      <c r="Z370" s="29" t="str">
        <f>'RESUMEN TOTAL'!AE379</f>
        <v>APAGADO</v>
      </c>
      <c r="AA370" s="29">
        <f>'RESUMEN TOTAL'!AF379</f>
        <v>0</v>
      </c>
      <c r="AB370" s="29" t="str">
        <f>'RESUMEN TOTAL'!AG379</f>
        <v>APAGADO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 t="str">
        <f>'RESUMEN TOTAL'!AL379</f>
        <v>APAGADO</v>
      </c>
      <c r="AH370" s="29" t="str">
        <f>'RESUMEN TOTAL'!AM379</f>
        <v>APAGADO</v>
      </c>
      <c r="AI370" s="29">
        <f>'RESUMEN TOTAL'!AN379</f>
        <v>0</v>
      </c>
    </row>
    <row r="371" spans="1:35" x14ac:dyDescent="0.3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 t="str">
        <f>'RESUMEN TOTAL'!L382</f>
        <v>APAGADO</v>
      </c>
      <c r="H371" s="29" t="str">
        <f>'RESUMEN TOTAL'!M382</f>
        <v>APAGADO</v>
      </c>
      <c r="I371" s="29" t="str">
        <f>'RESUMEN TOTAL'!N382</f>
        <v>APAGADO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3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 t="str">
        <f>'RESUMEN TOTAL'!L383</f>
        <v>APAGADO</v>
      </c>
      <c r="H372" s="29">
        <f>'RESUMEN TOTAL'!M383</f>
        <v>0</v>
      </c>
      <c r="I372" s="29" t="str">
        <f>'RESUMEN TOTAL'!N383</f>
        <v>APAGADO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3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 t="str">
        <f>'RESUMEN TOTAL'!L384</f>
        <v>APAGADO</v>
      </c>
      <c r="H373" s="29" t="str">
        <f>'RESUMEN TOTAL'!M384</f>
        <v>APAGADO</v>
      </c>
      <c r="I373" s="29" t="str">
        <f>'RESUMEN TOTAL'!N384</f>
        <v>APAGADO</v>
      </c>
      <c r="J373" s="29" t="str">
        <f>'RESUMEN TOTAL'!O384</f>
        <v>APAGADO</v>
      </c>
      <c r="K373" s="29" t="str">
        <f>'RESUMEN TOTAL'!P384</f>
        <v>APAGADO</v>
      </c>
      <c r="L373" s="29" t="str">
        <f>'RESUMEN TOTAL'!Q384</f>
        <v>APAGADO</v>
      </c>
      <c r="M373" s="29" t="str">
        <f>'RESUMEN TOTAL'!R384</f>
        <v>APAGADO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3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 t="str">
        <f>'RESUMEN TOTAL'!L385</f>
        <v>APAGADO</v>
      </c>
      <c r="H374" s="29" t="str">
        <f>'RESUMEN TOTAL'!M385</f>
        <v>APAGADO</v>
      </c>
      <c r="I374" s="29" t="str">
        <f>'RESUMEN TOTAL'!N385</f>
        <v>APAGADO</v>
      </c>
      <c r="J374" s="29" t="str">
        <f>'RESUMEN TOTAL'!O385</f>
        <v>APAGADO</v>
      </c>
      <c r="K374" s="29" t="str">
        <f>'RESUMEN TOTAL'!P385</f>
        <v>APAGADO</v>
      </c>
      <c r="L374" s="29" t="str">
        <f>'RESUMEN TOTAL'!Q385</f>
        <v>APAGADO</v>
      </c>
      <c r="M374" s="29" t="str">
        <f>'RESUMEN TOTAL'!R385</f>
        <v>APAGADO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3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 t="str">
        <f>'RESUMEN TOTAL'!L386</f>
        <v>APAGADO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>
        <f>'RESUMEN TOTAL'!W386</f>
        <v>0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3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 t="str">
        <f>'RESUMEN TOTAL'!L387</f>
        <v>APAGADO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>
        <f>'RESUMEN TOTAL'!W387</f>
        <v>0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3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 t="str">
        <f>'RESUMEN TOTAL'!L388</f>
        <v>APAGADO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>
        <f>'RESUMEN TOTAL'!W388</f>
        <v>0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3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 t="str">
        <f>'RESUMEN TOTAL'!L389</f>
        <v>APAGADO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>
        <f>'RESUMEN TOTAL'!W389</f>
        <v>0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3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>
        <f>'RESUMEN TOTAL'!K390</f>
        <v>0</v>
      </c>
      <c r="G379" s="29">
        <f>'RESUMEN TOTAL'!L390</f>
        <v>0</v>
      </c>
      <c r="H379" s="29">
        <f>'RESUMEN TOTAL'!M390</f>
        <v>0</v>
      </c>
      <c r="I379" s="29">
        <f>'RESUMEN TOTAL'!N390</f>
        <v>0</v>
      </c>
      <c r="J379" s="29">
        <f>'RESUMEN TOTAL'!O390</f>
        <v>0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>
        <f>'RESUMEN TOTAL'!S390</f>
        <v>0</v>
      </c>
      <c r="O379" s="29">
        <f>'RESUMEN TOTAL'!T390</f>
        <v>0</v>
      </c>
      <c r="P379" s="29">
        <f>'RESUMEN TOTAL'!U390</f>
        <v>0</v>
      </c>
      <c r="Q379" s="29">
        <f>'RESUMEN TOTAL'!V390</f>
        <v>0</v>
      </c>
      <c r="R379" s="29">
        <f>'RESUMEN TOTAL'!W390</f>
        <v>0</v>
      </c>
      <c r="S379" s="29">
        <f>'RESUMEN TOTAL'!X390</f>
        <v>0</v>
      </c>
      <c r="T379" s="29" t="str">
        <f>'RESUMEN TOTAL'!Y390</f>
        <v>APAGADO</v>
      </c>
      <c r="U379" s="29" t="str">
        <f>'RESUMEN TOTAL'!Z390</f>
        <v>APAGADO</v>
      </c>
      <c r="V379" s="29" t="str">
        <f>'RESUMEN TOTAL'!AA390</f>
        <v>APAGADO</v>
      </c>
      <c r="W379" s="29" t="str">
        <f>'RESUMEN TOTAL'!AB390</f>
        <v>APAGADO</v>
      </c>
      <c r="X379" s="29" t="str">
        <f>'RESUMEN TOTAL'!AC390</f>
        <v>APAGADO</v>
      </c>
      <c r="Y379" s="29" t="str">
        <f>'RESUMEN TOTAL'!AD390</f>
        <v>APAGADO</v>
      </c>
      <c r="Z379" s="29" t="str">
        <f>'RESUMEN TOTAL'!AE390</f>
        <v>APAGADO</v>
      </c>
      <c r="AA379" s="29" t="str">
        <f>'RESUMEN TOTAL'!AF390</f>
        <v>APAGADO</v>
      </c>
      <c r="AB379" s="29" t="str">
        <f>'RESUMEN TOTAL'!AG390</f>
        <v>APAGADO</v>
      </c>
      <c r="AC379" s="29" t="str">
        <f>'RESUMEN TOTAL'!AH390</f>
        <v>APAGADO</v>
      </c>
      <c r="AD379" s="29" t="str">
        <f>'RESUMEN TOTAL'!AI390</f>
        <v>APAGADO</v>
      </c>
      <c r="AE379" s="29" t="str">
        <f>'RESUMEN TOTAL'!AJ390</f>
        <v>APAGADO</v>
      </c>
      <c r="AF379" s="29" t="str">
        <f>'RESUMEN TOTAL'!AK390</f>
        <v>APAGADO</v>
      </c>
      <c r="AG379" s="29" t="str">
        <f>'RESUMEN TOTAL'!AL390</f>
        <v>APAGADO</v>
      </c>
      <c r="AH379" s="29" t="str">
        <f>'RESUMEN TOTAL'!AM390</f>
        <v>APAGADO</v>
      </c>
      <c r="AI379" s="29" t="str">
        <f>'RESUMEN TOTAL'!AN390</f>
        <v>APAGADO</v>
      </c>
    </row>
    <row r="380" spans="1:35" x14ac:dyDescent="0.3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>
        <f>'RESUMEN TOTAL'!W391</f>
        <v>0</v>
      </c>
      <c r="S380" s="29">
        <f>'RESUMEN TOTAL'!X391</f>
        <v>0</v>
      </c>
      <c r="T380" s="29" t="str">
        <f>'RESUMEN TOTAL'!Y391</f>
        <v>APAGADO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3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>
        <f>'RESUMEN TOTAL'!W392</f>
        <v>0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3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>
        <f>'RESUMEN TOTAL'!K393</f>
        <v>0</v>
      </c>
      <c r="G382" s="29">
        <f>'RESUMEN TOTAL'!L393</f>
        <v>0</v>
      </c>
      <c r="H382" s="29">
        <f>'RESUMEN TOTAL'!M393</f>
        <v>0</v>
      </c>
      <c r="I382" s="29">
        <f>'RESUMEN TOTAL'!N393</f>
        <v>0</v>
      </c>
      <c r="J382" s="29">
        <f>'RESUMEN TOTAL'!O393</f>
        <v>0</v>
      </c>
      <c r="K382" s="29">
        <f>'RESUMEN TOTAL'!P393</f>
        <v>0</v>
      </c>
      <c r="L382" s="29">
        <f>'RESUMEN TOTAL'!Q393</f>
        <v>0</v>
      </c>
      <c r="M382" s="29">
        <f>'RESUMEN TOTAL'!R393</f>
        <v>0</v>
      </c>
      <c r="N382" s="29">
        <f>'RESUMEN TOTAL'!S393</f>
        <v>0</v>
      </c>
      <c r="O382" s="29">
        <f>'RESUMEN TOTAL'!T393</f>
        <v>0</v>
      </c>
      <c r="P382" s="29">
        <f>'RESUMEN TOTAL'!U393</f>
        <v>0</v>
      </c>
      <c r="Q382" s="29">
        <f>'RESUMEN TOTAL'!V393</f>
        <v>0</v>
      </c>
      <c r="R382" s="29">
        <f>'RESUMEN TOTAL'!W393</f>
        <v>0</v>
      </c>
      <c r="S382" s="29">
        <f>'RESUMEN TOTAL'!X393</f>
        <v>0</v>
      </c>
      <c r="T382" s="29" t="str">
        <f>'RESUMEN TOTAL'!Y393</f>
        <v>APAGADO</v>
      </c>
      <c r="U382" s="29" t="str">
        <f>'RESUMEN TOTAL'!Z393</f>
        <v>APAGADO</v>
      </c>
      <c r="V382" s="29" t="str">
        <f>'RESUMEN TOTAL'!AA393</f>
        <v>APAGADO</v>
      </c>
      <c r="W382" s="29" t="str">
        <f>'RESUMEN TOTAL'!AB393</f>
        <v>APAGADO</v>
      </c>
      <c r="X382" s="29" t="str">
        <f>'RESUMEN TOTAL'!AC393</f>
        <v>APAGADO</v>
      </c>
      <c r="Y382" s="29" t="str">
        <f>'RESUMEN TOTAL'!AD393</f>
        <v>APAGADO</v>
      </c>
      <c r="Z382" s="29" t="str">
        <f>'RESUMEN TOTAL'!AE393</f>
        <v>APAGADO</v>
      </c>
      <c r="AA382" s="29" t="str">
        <f>'RESUMEN TOTAL'!AF393</f>
        <v>APAGADO</v>
      </c>
      <c r="AB382" s="29" t="str">
        <f>'RESUMEN TOTAL'!AG393</f>
        <v>APAGADO</v>
      </c>
      <c r="AC382" s="29">
        <f>'RESUMEN TOTAL'!AH393</f>
        <v>0</v>
      </c>
      <c r="AD382" s="29" t="str">
        <f>'RESUMEN TOTAL'!AI393</f>
        <v>APAGADO</v>
      </c>
      <c r="AE382" s="29" t="str">
        <f>'RESUMEN TOTAL'!AJ393</f>
        <v>APAGADO</v>
      </c>
      <c r="AF382" s="29" t="str">
        <f>'RESUMEN TOTAL'!AK393</f>
        <v>APAGADO</v>
      </c>
      <c r="AG382" s="29" t="str">
        <f>'RESUMEN TOTAL'!AL393</f>
        <v>APAGADO</v>
      </c>
      <c r="AH382" s="29" t="str">
        <f>'RESUMEN TOTAL'!AM393</f>
        <v>APAGADO</v>
      </c>
      <c r="AI382" s="29" t="str">
        <f>'RESUMEN TOTAL'!AN393</f>
        <v>APAGADO</v>
      </c>
    </row>
    <row r="383" spans="1:35" x14ac:dyDescent="0.3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>
        <f>'RESUMEN TOTAL'!W394</f>
        <v>0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3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3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3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>
        <f>'RESUMEN TOTAL'!W397</f>
        <v>0</v>
      </c>
      <c r="S386" s="29">
        <f>'RESUMEN TOTAL'!X397</f>
        <v>0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3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>
        <f>'RESUMEN TOTAL'!W398</f>
        <v>0</v>
      </c>
      <c r="S387" s="29">
        <f>'RESUMEN TOTAL'!X398</f>
        <v>0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3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3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 t="str">
        <f>'RESUMEN TOTAL'!AE400</f>
        <v>APAGADO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 t="str">
        <f>'RESUMEN TOTAL'!AK400</f>
        <v>APAGADO</v>
      </c>
      <c r="AG389" s="29" t="str">
        <f>'RESUMEN TOTAL'!AL400</f>
        <v>APAGADO</v>
      </c>
      <c r="AH389" s="29" t="str">
        <f>'RESUMEN TOTAL'!AM400</f>
        <v>APAGADO</v>
      </c>
      <c r="AI389" s="29">
        <f>'RESUMEN TOTAL'!AN400</f>
        <v>0</v>
      </c>
    </row>
    <row r="390" spans="1:35" x14ac:dyDescent="0.3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3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3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3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3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 t="str">
        <f>'RESUMEN TOTAL'!AD405</f>
        <v>APAGADO</v>
      </c>
      <c r="Z394" s="29" t="str">
        <f>'RESUMEN TOTAL'!AE405</f>
        <v>APAGADO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3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3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 t="str">
        <f>'RESUMEN TOTAL'!S407</f>
        <v>APAGADO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 t="str">
        <f>'RESUMEN TOTAL'!X407</f>
        <v>APAGADO</v>
      </c>
      <c r="T396" s="29" t="str">
        <f>'RESUMEN TOTAL'!Y407</f>
        <v>APAGADO</v>
      </c>
      <c r="U396" s="29" t="str">
        <f>'RESUMEN TOTAL'!Z407</f>
        <v>APAGADO</v>
      </c>
      <c r="V396" s="29" t="str">
        <f>'RESUMEN TOTAL'!AA407</f>
        <v>APAGADO</v>
      </c>
      <c r="W396" s="29" t="str">
        <f>'RESUMEN TOTAL'!AB407</f>
        <v>APAGADO</v>
      </c>
      <c r="X396" s="29" t="str">
        <f>'RESUMEN TOTAL'!AC407</f>
        <v>APAGADO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3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 t="str">
        <f>'RESUMEN TOTAL'!X408</f>
        <v>APAGADO</v>
      </c>
      <c r="T397" s="29" t="str">
        <f>'RESUMEN TOTAL'!Y408</f>
        <v>APAGADO</v>
      </c>
      <c r="U397" s="29" t="str">
        <f>'RESUMEN TOTAL'!Z408</f>
        <v>APAGADO</v>
      </c>
      <c r="V397" s="29" t="str">
        <f>'RESUMEN TOTAL'!AA408</f>
        <v>APAGADO</v>
      </c>
      <c r="W397" s="29" t="str">
        <f>'RESUMEN TOTAL'!AB408</f>
        <v>APAGADO</v>
      </c>
      <c r="X397" s="29" t="str">
        <f>'RESUMEN TOTAL'!AC408</f>
        <v>APAGADO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3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3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3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3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3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>
        <f>'RESUMEN TOTAL'!M413</f>
        <v>0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3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3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>
        <f>'RESUMEN TOTAL'!M415</f>
        <v>0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>
        <f>'RESUMEN TOTAL'!X415</f>
        <v>0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3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>
        <f>'RESUMEN TOTAL'!M416</f>
        <v>0</v>
      </c>
      <c r="I405" s="29" t="str">
        <f>'RESUMEN TOTAL'!N416</f>
        <v>APAGADO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3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>
        <f>'RESUMEN TOTAL'!M417</f>
        <v>0</v>
      </c>
      <c r="I406" s="29" t="str">
        <f>'RESUMEN TOTAL'!N417</f>
        <v>APAGADO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3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>
        <f>'RESUMEN TOTAL'!M418</f>
        <v>0</v>
      </c>
      <c r="I407" s="29" t="str">
        <f>'RESUMEN TOTAL'!N418</f>
        <v>APAGADO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3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 t="str">
        <f>'RESUMEN TOTAL'!N419</f>
        <v>APAGADO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>
        <f>'RESUMEN TOTAL'!W419</f>
        <v>0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3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>
        <f>'RESUMEN TOTAL'!M420</f>
        <v>0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>
        <f>'RESUMEN TOTAL'!W420</f>
        <v>0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3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>
        <f>'RESUMEN TOTAL'!W421</f>
        <v>0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3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>
        <f>'RESUMEN TOTAL'!W422</f>
        <v>0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3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3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3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3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3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>
        <f>'RESUMEN TOTAL'!M127</f>
        <v>0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3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>
        <f>'RESUMEN TOTAL'!M128</f>
        <v>0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3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3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3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3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3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3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3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3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3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3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3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3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3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3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3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3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3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3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3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85</v>
      </c>
      <c r="I1" s="25">
        <f t="shared" si="0"/>
        <v>86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37</v>
      </c>
      <c r="Y1" s="25">
        <f t="shared" si="0"/>
        <v>42</v>
      </c>
      <c r="Z1" s="25">
        <f t="shared" si="0"/>
        <v>38</v>
      </c>
      <c r="AA1" s="25">
        <f t="shared" si="0"/>
        <v>41</v>
      </c>
      <c r="AB1" s="25">
        <f t="shared" si="0"/>
        <v>47</v>
      </c>
      <c r="AC1" s="25">
        <f t="shared" si="0"/>
        <v>43</v>
      </c>
      <c r="AD1" s="25">
        <f t="shared" si="0"/>
        <v>41</v>
      </c>
      <c r="AE1" s="25">
        <f t="shared" si="0"/>
        <v>45</v>
      </c>
      <c r="AF1" s="25">
        <f t="shared" si="0"/>
        <v>60</v>
      </c>
      <c r="AG1" s="25">
        <f t="shared" si="0"/>
        <v>65</v>
      </c>
      <c r="AH1" s="25">
        <f t="shared" ref="AH1:AI1" si="1">COUNTIF(AH3:AH400, "APAGADO")</f>
        <v>66</v>
      </c>
      <c r="AI1" s="25">
        <f t="shared" si="1"/>
        <v>46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 s="50" t="str">
        <f>ESTADISTICA!AH4</f>
        <v>APAGADO</v>
      </c>
      <c r="AI5" s="50" t="str">
        <f>ESTADISTICA!AI4</f>
        <v>APAGADO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 t="str">
        <f>ESTADISTICA!AG5</f>
        <v>APAGADO</v>
      </c>
      <c r="AH6" s="50" t="str">
        <f>ESTADISTICA!AH5</f>
        <v>APAGADO</v>
      </c>
      <c r="AI6" s="50" t="str">
        <f>ESTADISTICA!AI5</f>
        <v>APAGADO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 t="str">
        <f>ESTADISTICA!AF6</f>
        <v>APAGADO</v>
      </c>
      <c r="AG7" t="str">
        <f>ESTADISTICA!AG6</f>
        <v>APAGADO</v>
      </c>
      <c r="AH7" s="50" t="str">
        <f>ESTADISTICA!AH6</f>
        <v>APAGADO</v>
      </c>
      <c r="AI7" s="50" t="str">
        <f>ESTADISTICA!AI6</f>
        <v>APAGADO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  <c r="AH8" s="50" t="str">
        <f>ESTADISTICA!AH7</f>
        <v>APAGADO</v>
      </c>
      <c r="AI8" s="50" t="str">
        <f>ESTADISTICA!AI7</f>
        <v>APAGADO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 t="str">
        <f>ESTADISTICA!AF9</f>
        <v>APAGADO</v>
      </c>
      <c r="AG10" t="str">
        <f>ESTADISTICA!AG9</f>
        <v>APAGADO</v>
      </c>
      <c r="AH10" s="50" t="str">
        <f>ESTADISTICA!AH9</f>
        <v>APAGADO</v>
      </c>
      <c r="AI10" s="50" t="str">
        <f>ESTADISTICA!AI9</f>
        <v>APAGADO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 s="50" t="str">
        <f>ESTADISTICA!AH10</f>
        <v>APAGADO</v>
      </c>
      <c r="AI11" s="50" t="str">
        <f>ESTADISTICA!AI10</f>
        <v>APAGADO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 s="50" t="str">
        <f>ESTADISTICA!AH11</f>
        <v>APAGADO</v>
      </c>
      <c r="AI12" s="50" t="str">
        <f>ESTADISTICA!AI11</f>
        <v>APAGADO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 t="str">
        <f>ESTADISTICA!AF12</f>
        <v>APAGADO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 s="50" t="str">
        <f>ESTADISTICA!AH13</f>
        <v>APAGADO</v>
      </c>
      <c r="AI14" s="50" t="str">
        <f>ESTADISTICA!AI13</f>
        <v>APAGADO</v>
      </c>
    </row>
    <row r="15" spans="1:35" x14ac:dyDescent="0.3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 t="str">
        <f>ESTADISTICA!AE28</f>
        <v>APAGADO</v>
      </c>
      <c r="AF29">
        <f>ESTADISTICA!AF28</f>
        <v>0</v>
      </c>
      <c r="AG29">
        <f>ESTADISTICA!AG28</f>
        <v>0</v>
      </c>
      <c r="AH29" s="50" t="str">
        <f>ESTADISTICA!AH28</f>
        <v>APAGADO</v>
      </c>
      <c r="AI29" s="50" t="str">
        <f>ESTADISTICA!AI28</f>
        <v>APAGADO</v>
      </c>
    </row>
    <row r="30" spans="1:35" x14ac:dyDescent="0.3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 t="str">
        <f>ESTADISTICA!AG31</f>
        <v>APAGADO</v>
      </c>
      <c r="AH32" s="50" t="str">
        <f>ESTADISTICA!AH31</f>
        <v>APAGADO</v>
      </c>
      <c r="AI32" s="50" t="str">
        <f>ESTADISTICA!AI31</f>
        <v>APAGADO</v>
      </c>
    </row>
    <row r="33" spans="1:35" x14ac:dyDescent="0.3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 t="str">
        <f>ESTADISTICA!P32</f>
        <v>APAGADO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>
        <f>ESTADISTICA!H34</f>
        <v>0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 t="str">
        <f>ESTADISTICA!M37</f>
        <v>APAGADO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 t="str">
        <f>ESTADISTICA!U37</f>
        <v>APAGADO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 t="str">
        <f>ESTADISTICA!AA37</f>
        <v>APAGADO</v>
      </c>
      <c r="AB38">
        <f>ESTADISTICA!AB37</f>
        <v>0</v>
      </c>
      <c r="AC38" t="str">
        <f>ESTADISTICA!AC37</f>
        <v>APAGADO</v>
      </c>
      <c r="AD38" t="str">
        <f>ESTADISTICA!AD37</f>
        <v>APAGADO</v>
      </c>
      <c r="AE38" t="str">
        <f>ESTADISTICA!AE37</f>
        <v>APAGADO</v>
      </c>
      <c r="AF38" t="str">
        <f>ESTADISTICA!AF37</f>
        <v>APAGADO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>
        <f>ESTADISTICA!O39</f>
        <v>0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 t="str">
        <f>ESTADISTICA!AE39</f>
        <v>APAGADO</v>
      </c>
      <c r="AF40" t="str">
        <f>ESTADISTICA!AF39</f>
        <v>APAGADO</v>
      </c>
      <c r="AG40" t="str">
        <f>ESTADISTICA!AG39</f>
        <v>APAGADO</v>
      </c>
      <c r="AH40" s="50" t="str">
        <f>ESTADISTICA!AH39</f>
        <v>APAGADO</v>
      </c>
      <c r="AI40" s="50" t="str">
        <f>ESTADISTICA!AI39</f>
        <v>APAGADO</v>
      </c>
    </row>
    <row r="41" spans="1:35" x14ac:dyDescent="0.3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 t="str">
        <f>ESTADISTICA!I43</f>
        <v>APAGADO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 t="str">
        <f>ESTADISTICA!AH47</f>
        <v>APAGADO</v>
      </c>
      <c r="AI48" s="50" t="str">
        <f>ESTADISTICA!AI47</f>
        <v>APAGADO</v>
      </c>
    </row>
    <row r="49" spans="1:35" x14ac:dyDescent="0.3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 t="str">
        <f>ESTADISTICA!AE60</f>
        <v>APAGADO</v>
      </c>
      <c r="AF61" t="str">
        <f>ESTADISTICA!AF60</f>
        <v>APAGADO</v>
      </c>
      <c r="AG61" t="str">
        <f>ESTADISTICA!AG60</f>
        <v>APAGADO</v>
      </c>
      <c r="AH61" s="50" t="str">
        <f>ESTADISTICA!AH60</f>
        <v>APAGADO</v>
      </c>
      <c r="AI61" s="50" t="str">
        <f>ESTADISTICA!AI60</f>
        <v>APAGADO</v>
      </c>
    </row>
    <row r="62" spans="1:35" x14ac:dyDescent="0.3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>
        <f>ESTADISTICA!F63</f>
        <v>0</v>
      </c>
      <c r="G64">
        <f>ESTADISTICA!G63</f>
        <v>0</v>
      </c>
      <c r="H64" t="str">
        <f>ESTADISTICA!H63</f>
        <v>APAGADO</v>
      </c>
      <c r="I64" t="str">
        <f>ESTADISTICA!I63</f>
        <v>APAGADO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 t="str">
        <f>ESTADISTICA!AI63</f>
        <v>APAGADO</v>
      </c>
    </row>
    <row r="65" spans="1:35" x14ac:dyDescent="0.3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 t="str">
        <f>ESTADISTICA!N66</f>
        <v>APAGADO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 t="str">
        <f>ESTADISTICA!AA66</f>
        <v>APAGADO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 t="str">
        <f>ESTADISTICA!AA68</f>
        <v>APAGADO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 t="str">
        <f>ESTADISTICA!AF68</f>
        <v>APAGADO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>APAGADO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 t="str">
        <f>ESTADISTICA!S78</f>
        <v>APAGADO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 t="str">
        <f>ESTADISTICA!Y78</f>
        <v>APAGADO</v>
      </c>
      <c r="Z79" t="str">
        <f>ESTADISTICA!Z78</f>
        <v>APAGADO</v>
      </c>
      <c r="AA79">
        <f>ESTADISTICA!AA78</f>
        <v>0</v>
      </c>
      <c r="AB79" t="str">
        <f>ESTADISTICA!AB78</f>
        <v>APAGADO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 t="str">
        <f>ESTADISTICA!AG78</f>
        <v>APAGADO</v>
      </c>
      <c r="AH79" s="50" t="str">
        <f>ESTADISTICA!AH78</f>
        <v>APAGADO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 t="str">
        <f>ESTADISTICA!G79</f>
        <v>APAGADO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 t="str">
        <f>ESTADISTICA!P79</f>
        <v>APAGADO</v>
      </c>
      <c r="Q80">
        <f>ESTADISTICA!Q79</f>
        <v>0</v>
      </c>
      <c r="R80" t="str">
        <f>ESTADISTICA!R79</f>
        <v>APAGADO</v>
      </c>
      <c r="S80" t="str">
        <f>ESTADISTICA!S79</f>
        <v>APAGADO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 t="str">
        <f>ESTADISTICA!Y79</f>
        <v>APAGADO</v>
      </c>
      <c r="Z80" t="str">
        <f>ESTADISTICA!Z79</f>
        <v>APAGADO</v>
      </c>
      <c r="AA80">
        <f>ESTADISTICA!AA79</f>
        <v>0</v>
      </c>
      <c r="AB80" t="str">
        <f>ESTADISTICA!AB79</f>
        <v>APAGADO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 t="str">
        <f>ESTADISTICA!AG79</f>
        <v>APAGADO</v>
      </c>
      <c r="AH80" s="50" t="str">
        <f>ESTADISTICA!AH79</f>
        <v>APAGADO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 t="str">
        <f>ESTADISTICA!AF85</f>
        <v>APAGADO</v>
      </c>
      <c r="AG86" t="str">
        <f>ESTADISTICA!AG85</f>
        <v>APAGADO</v>
      </c>
      <c r="AH86" s="50" t="str">
        <f>ESTADISTICA!AH85</f>
        <v>APAGADO</v>
      </c>
      <c r="AI86" s="50" t="str">
        <f>ESTADISTICA!AI85</f>
        <v>APAGADO</v>
      </c>
    </row>
    <row r="87" spans="1:35" x14ac:dyDescent="0.3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 t="str">
        <f>ESTADISTICA!AG92</f>
        <v>APAGADO</v>
      </c>
      <c r="AH93" s="50" t="str">
        <f>ESTADISTICA!AH92</f>
        <v>APAGADO</v>
      </c>
      <c r="AI93" s="50" t="str">
        <f>ESTADISTICA!AI92</f>
        <v>APAGADO</v>
      </c>
    </row>
    <row r="94" spans="1:35" x14ac:dyDescent="0.3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 t="str">
        <f>ESTADISTICA!AG93</f>
        <v>APAGADO</v>
      </c>
      <c r="AH94" s="50" t="str">
        <f>ESTADISTICA!AH93</f>
        <v>APAGADO</v>
      </c>
      <c r="AI94" s="50" t="str">
        <f>ESTADISTICA!AI93</f>
        <v>APAGADO</v>
      </c>
    </row>
    <row r="95" spans="1:35" x14ac:dyDescent="0.3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 t="str">
        <f>ESTADISTICA!K97</f>
        <v>APAGADO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 t="str">
        <f>ESTADISTICA!AG97</f>
        <v>APAGADO</v>
      </c>
      <c r="AH98" s="50" t="str">
        <f>ESTADISTICA!AH97</f>
        <v>APAGADO</v>
      </c>
      <c r="AI98" s="50" t="str">
        <f>ESTADISTICA!AI97</f>
        <v>APAGADO</v>
      </c>
    </row>
    <row r="99" spans="1:35" x14ac:dyDescent="0.3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 t="str">
        <f>ESTADISTICA!AF114</f>
        <v>APAGADO</v>
      </c>
      <c r="AG115" t="str">
        <f>ESTADISTICA!AG114</f>
        <v>APAGADO</v>
      </c>
      <c r="AH115" s="50" t="str">
        <f>ESTADISTICA!AH114</f>
        <v>APAGADO</v>
      </c>
      <c r="AI115" s="50" t="str">
        <f>ESTADISTICA!AI114</f>
        <v>APAGADO</v>
      </c>
    </row>
    <row r="116" spans="1:35" x14ac:dyDescent="0.3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 t="str">
        <f>ESTADISTICA!AF115</f>
        <v>APAGADO</v>
      </c>
      <c r="AG116" t="str">
        <f>ESTADISTICA!AG115</f>
        <v>APAGADO</v>
      </c>
      <c r="AH116" s="50" t="str">
        <f>ESTADISTICA!AH115</f>
        <v>APAGADO</v>
      </c>
      <c r="AI116" s="50" t="str">
        <f>ESTADISTICA!AI115</f>
        <v>APAGADO</v>
      </c>
    </row>
    <row r="117" spans="1:35" x14ac:dyDescent="0.3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 t="str">
        <f>ESTADISTICA!AG119</f>
        <v>APAGADO</v>
      </c>
      <c r="AH120" s="50" t="str">
        <f>ESTADISTICA!AH119</f>
        <v>APAGADO</v>
      </c>
      <c r="AI120" s="50" t="str">
        <f>ESTADISTICA!AI119</f>
        <v>APAGADO</v>
      </c>
    </row>
    <row r="121" spans="1:35" x14ac:dyDescent="0.3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 t="str">
        <f>ESTADISTICA!AF122</f>
        <v>APAGADO</v>
      </c>
      <c r="AG123" t="str">
        <f>ESTADISTICA!AG122</f>
        <v>APAGADO</v>
      </c>
      <c r="AH123" s="50" t="str">
        <f>ESTADISTICA!AH122</f>
        <v>APAGADO</v>
      </c>
      <c r="AI123" s="50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 t="str">
        <f>ESTADISTICA!AF123</f>
        <v>APAGADO</v>
      </c>
      <c r="AG124" t="str">
        <f>ESTADISTICA!AG123</f>
        <v>APAGADO</v>
      </c>
      <c r="AH124" s="50" t="str">
        <f>ESTADISTICA!AH123</f>
        <v>APAGADO</v>
      </c>
      <c r="AI124" s="50">
        <f>ESTADISTICA!AI123</f>
        <v>0</v>
      </c>
    </row>
    <row r="125" spans="1:35" x14ac:dyDescent="0.3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 t="str">
        <f>ESTADISTICA!N128</f>
        <v>APAGADO</v>
      </c>
      <c r="O129" t="str">
        <f>ESTADISTICA!O128</f>
        <v>APAGADO</v>
      </c>
      <c r="P129" t="str">
        <f>ESTADISTICA!P128</f>
        <v>APAGADO</v>
      </c>
      <c r="Q129">
        <f>ESTADISTICA!Q128</f>
        <v>0</v>
      </c>
      <c r="R129" t="str">
        <f>ESTADISTICA!R128</f>
        <v>APAGADO</v>
      </c>
      <c r="S129" t="str">
        <f>ESTADISTICA!S128</f>
        <v>APAGADO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>
        <f>ESTADISTICA!Z137</f>
        <v>0</v>
      </c>
      <c r="AA138">
        <f>ESTADISTICA!AA137</f>
        <v>0</v>
      </c>
      <c r="AB138">
        <f>ESTADISTICA!AB137</f>
        <v>0</v>
      </c>
      <c r="AC138" t="str">
        <f>ESTADISTICA!AC137</f>
        <v>APAGADO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 t="str">
        <f>ESTADISTICA!AG137</f>
        <v>APAGADO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 t="str">
        <f>ESTADISTICA!AH138</f>
        <v>APAGADO</v>
      </c>
      <c r="AI139" s="5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 t="str">
        <f>ESTADISTICA!AA141</f>
        <v>APAGADO</v>
      </c>
      <c r="AB142" t="str">
        <f>ESTADISTICA!AB141</f>
        <v>APAGADO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 t="str">
        <f>ESTADISTICA!AG146</f>
        <v>APAGADO</v>
      </c>
      <c r="AH147" s="50" t="str">
        <f>ESTADISTICA!AH146</f>
        <v>APAGADO</v>
      </c>
      <c r="AI147" s="50">
        <f>ESTADISTICA!AI146</f>
        <v>0</v>
      </c>
    </row>
    <row r="148" spans="1:35" x14ac:dyDescent="0.3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 t="str">
        <f>ESTADISTICA!AG154</f>
        <v>APAGADO</v>
      </c>
      <c r="AH155" s="50" t="str">
        <f>ESTADISTICA!AH154</f>
        <v>APAGADO</v>
      </c>
      <c r="AI155" s="50" t="str">
        <f>ESTADISTICA!AI154</f>
        <v>APAGADO</v>
      </c>
    </row>
    <row r="156" spans="1:35" x14ac:dyDescent="0.3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 t="str">
        <f>ESTADISTICA!AE155</f>
        <v>APAGADO</v>
      </c>
      <c r="AF156" t="str">
        <f>ESTADISTICA!AF155</f>
        <v>APAGADO</v>
      </c>
      <c r="AG156" t="str">
        <f>ESTADISTICA!AG155</f>
        <v>APAGADO</v>
      </c>
      <c r="AH156" s="50" t="str">
        <f>ESTADISTICA!AH155</f>
        <v>APAGADO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 t="str">
        <f>ESTADISTICA!U157</f>
        <v>APAGADO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 t="str">
        <f>ESTADISTICA!AA157</f>
        <v>APAGADO</v>
      </c>
      <c r="AB158" t="str">
        <f>ESTADISTICA!AB157</f>
        <v>APAGADO</v>
      </c>
      <c r="AC158" t="str">
        <f>ESTADISTICA!AC157</f>
        <v>APAGADO</v>
      </c>
      <c r="AD158" t="str">
        <f>ESTADISTICA!AD157</f>
        <v>APAGADO</v>
      </c>
      <c r="AE158" t="str">
        <f>ESTADISTICA!AE157</f>
        <v>APAGADO</v>
      </c>
      <c r="AF158" t="str">
        <f>ESTADISTICA!AF157</f>
        <v>APAGADO</v>
      </c>
      <c r="AG158" t="str">
        <f>ESTADISTICA!AG157</f>
        <v>APAGADO</v>
      </c>
      <c r="AH158" s="50" t="str">
        <f>ESTADISTICA!AH157</f>
        <v>APAGADO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 t="str">
        <f>ESTADISTICA!AB158</f>
        <v>APAGADO</v>
      </c>
      <c r="AC159" t="str">
        <f>ESTADISTICA!AC158</f>
        <v>APAGADO</v>
      </c>
      <c r="AD159" t="str">
        <f>ESTADISTICA!AD158</f>
        <v>APAGADO</v>
      </c>
      <c r="AE159" t="str">
        <f>ESTADISTICA!AE158</f>
        <v>APAGADO</v>
      </c>
      <c r="AF159" t="str">
        <f>ESTADISTICA!AF158</f>
        <v>APAGADO</v>
      </c>
      <c r="AG159" t="str">
        <f>ESTADISTICA!AG158</f>
        <v>APAGADO</v>
      </c>
      <c r="AH159" s="50" t="str">
        <f>ESTADISTICA!AH158</f>
        <v>APAGADO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 t="str">
        <f>ESTADISTICA!M159</f>
        <v>APAGADO</v>
      </c>
      <c r="N160" t="str">
        <f>ESTADISTICA!N159</f>
        <v>APAGADO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 t="str">
        <f>ESTADISTICA!AE159</f>
        <v>APAGADO</v>
      </c>
      <c r="AF160" t="str">
        <f>ESTADISTICA!AF159</f>
        <v>APAGADO</v>
      </c>
      <c r="AG160" t="str">
        <f>ESTADISTICA!AG159</f>
        <v>APAGADO</v>
      </c>
      <c r="AH160" s="50" t="str">
        <f>ESTADISTICA!AH159</f>
        <v>APAGADO</v>
      </c>
      <c r="AI160" s="50" t="str">
        <f>ESTADISTICA!AI159</f>
        <v>APAGADO</v>
      </c>
    </row>
    <row r="161" spans="1:35" x14ac:dyDescent="0.3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 t="str">
        <f>ESTADISTICA!AE161</f>
        <v>APAGADO</v>
      </c>
      <c r="AF162" t="str">
        <f>ESTADISTICA!AF161</f>
        <v>APAGADO</v>
      </c>
      <c r="AG162" t="str">
        <f>ESTADISTICA!AG161</f>
        <v>APAGADO</v>
      </c>
      <c r="AH162" s="50" t="str">
        <f>ESTADISTICA!AH161</f>
        <v>APAGADO</v>
      </c>
      <c r="AI162" s="50" t="str">
        <f>ESTADISTICA!AI161</f>
        <v>APAGADO</v>
      </c>
    </row>
    <row r="163" spans="1:35" x14ac:dyDescent="0.3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s="50" t="str">
        <f>ESTADISTICA!AH164</f>
        <v>APAGADO</v>
      </c>
      <c r="AI165" s="50">
        <f>ESTADISTICA!AI164</f>
        <v>0</v>
      </c>
    </row>
    <row r="166" spans="1:35" x14ac:dyDescent="0.3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 t="str">
        <f>ESTADISTICA!AE165</f>
        <v>APAGADO</v>
      </c>
      <c r="AF166" t="str">
        <f>ESTADISTICA!AF165</f>
        <v>APAGADO</v>
      </c>
      <c r="AG166" t="str">
        <f>ESTADISTICA!AG165</f>
        <v>APAGADO</v>
      </c>
      <c r="AH166" s="50" t="str">
        <f>ESTADISTICA!AH165</f>
        <v>APAGADO</v>
      </c>
      <c r="AI166" s="50">
        <f>ESTADISTICA!AI165</f>
        <v>0</v>
      </c>
    </row>
    <row r="167" spans="1:35" x14ac:dyDescent="0.3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  <c r="AH167" s="50" t="str">
        <f>ESTADISTICA!AH166</f>
        <v>APAGADO</v>
      </c>
      <c r="AI167" s="50">
        <f>ESTADISTICA!AI166</f>
        <v>0</v>
      </c>
    </row>
    <row r="168" spans="1:35" x14ac:dyDescent="0.3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 t="str">
        <f>ESTADISTICA!V169</f>
        <v>APAGADO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 t="str">
        <f>ESTADISTICA!AA169</f>
        <v>APAGADO</v>
      </c>
      <c r="AB170" t="str">
        <f>ESTADISTICA!AB169</f>
        <v>APAGADO</v>
      </c>
      <c r="AC170" t="str">
        <f>ESTADISTICA!AC169</f>
        <v>APAGADO</v>
      </c>
      <c r="AD170" t="str">
        <f>ESTADISTICA!AD169</f>
        <v>APAGADO</v>
      </c>
      <c r="AE170" t="str">
        <f>ESTADISTICA!AE169</f>
        <v>APAGADO</v>
      </c>
      <c r="AF170" t="str">
        <f>ESTADISTICA!AF169</f>
        <v>APAGADO</v>
      </c>
      <c r="AG170" t="str">
        <f>ESTADISTICA!AG169</f>
        <v>APAGADO</v>
      </c>
      <c r="AH170" s="50" t="str">
        <f>ESTADISTICA!AH169</f>
        <v>APAGADO</v>
      </c>
      <c r="AI170" s="50" t="str">
        <f>ESTADISTICA!AI169</f>
        <v>APAGADO</v>
      </c>
    </row>
    <row r="171" spans="1:35" x14ac:dyDescent="0.3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 t="str">
        <f>ESTADISTICA!AB180</f>
        <v>APAGADO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 t="str">
        <f>ESTADISTICA!AG180</f>
        <v>APAGADO</v>
      </c>
      <c r="AH181" s="50" t="str">
        <f>ESTADISTICA!AH180</f>
        <v>APAGADO</v>
      </c>
      <c r="AI181" s="50" t="str">
        <f>ESTADISTICA!AI180</f>
        <v>APAGADO</v>
      </c>
    </row>
    <row r="182" spans="1:35" x14ac:dyDescent="0.3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 t="str">
        <f>ESTADISTICA!AG182</f>
        <v>APAGADO</v>
      </c>
      <c r="AH183" s="50" t="str">
        <f>ESTADISTICA!AH182</f>
        <v>APAGADO</v>
      </c>
      <c r="AI183" s="50" t="str">
        <f>ESTADISTICA!AI182</f>
        <v>APAGADO</v>
      </c>
    </row>
    <row r="184" spans="1:35" x14ac:dyDescent="0.3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 t="str">
        <f>ESTADISTICA!AG183</f>
        <v>APAGADO</v>
      </c>
      <c r="AH184" s="50" t="str">
        <f>ESTADISTICA!AH183</f>
        <v>APAGADO</v>
      </c>
      <c r="AI184" s="50" t="str">
        <f>ESTADISTICA!AI183</f>
        <v>APAGADO</v>
      </c>
    </row>
    <row r="185" spans="1:35" x14ac:dyDescent="0.3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 t="str">
        <f>ESTADISTICA!AF205</f>
        <v>APAGADO</v>
      </c>
      <c r="AG206" t="str">
        <f>ESTADISTICA!AG205</f>
        <v>APAGADO</v>
      </c>
      <c r="AH206" s="50" t="str">
        <f>ESTADISTICA!AH205</f>
        <v>APAGADO</v>
      </c>
      <c r="AI206" s="50">
        <f>ESTADISTICA!AI205</f>
        <v>0</v>
      </c>
    </row>
    <row r="207" spans="1:35" x14ac:dyDescent="0.3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 t="str">
        <f>ESTADISTICA!T209</f>
        <v>APAGADO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 t="str">
        <f>ESTADISTICA!AB211</f>
        <v>APAGADO</v>
      </c>
      <c r="AC212">
        <f>ESTADISTICA!AC211</f>
        <v>0</v>
      </c>
      <c r="AD212">
        <f>ESTADISTICA!AD211</f>
        <v>0</v>
      </c>
      <c r="AE212" t="str">
        <f>ESTADISTICA!AE211</f>
        <v>APAGADO</v>
      </c>
      <c r="AF212" t="str">
        <f>ESTADISTICA!AF211</f>
        <v>APAGADO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 t="str">
        <f>ESTADISTICA!AE212</f>
        <v>APAGADO</v>
      </c>
      <c r="AF213" t="str">
        <f>ESTADISTICA!AF212</f>
        <v>APAGADO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  <c r="AH214" s="50" t="str">
        <f>ESTADISTICA!AH213</f>
        <v>APAGADO</v>
      </c>
      <c r="AI214" s="50" t="str">
        <f>ESTADISTICA!AI213</f>
        <v>APAGADO</v>
      </c>
    </row>
    <row r="215" spans="1:35" x14ac:dyDescent="0.3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 t="str">
        <f>ESTADISTICA!I216</f>
        <v>APAGADO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 t="str">
        <f>ESTADISTICA!AF217</f>
        <v>APAGADO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 t="str">
        <f>ESTADISTICA!P219</f>
        <v>APAGADO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 t="str">
        <f>ESTADISTICA!U219</f>
        <v>APAGADO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 t="str">
        <f>ESTADISTICA!Y220</f>
        <v>APAGADO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 t="str">
        <f>ESTADISTICA!AE220</f>
        <v>APAGADO</v>
      </c>
      <c r="AF221" t="str">
        <f>ESTADISTICA!AF220</f>
        <v>APAGADO</v>
      </c>
      <c r="AG221" t="str">
        <f>ESTADISTICA!AG220</f>
        <v>APAGADO</v>
      </c>
      <c r="AH221" s="50" t="str">
        <f>ESTADISTICA!AH220</f>
        <v>APAGADO</v>
      </c>
      <c r="AI221" s="50" t="str">
        <f>ESTADISTICA!AI220</f>
        <v>APAGADO</v>
      </c>
    </row>
    <row r="222" spans="1:35" x14ac:dyDescent="0.3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 t="str">
        <f>ESTADISTICA!AG221</f>
        <v>APAGADO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 t="str">
        <f>ESTADISTICA!N225</f>
        <v>APAGADO</v>
      </c>
      <c r="O226">
        <f>ESTADISTICA!O225</f>
        <v>0</v>
      </c>
      <c r="P226">
        <f>ESTADISTICA!P225</f>
        <v>0</v>
      </c>
      <c r="Q226" t="str">
        <f>ESTADISTICA!Q225</f>
        <v>APAGADO</v>
      </c>
      <c r="R226" t="str">
        <f>ESTADISTICA!R225</f>
        <v>APAGADO</v>
      </c>
      <c r="S226" t="str">
        <f>ESTADISTICA!S225</f>
        <v>APAGADO</v>
      </c>
      <c r="T226" t="str">
        <f>ESTADISTICA!T225</f>
        <v>APAGADO</v>
      </c>
      <c r="U226">
        <f>ESTADISTICA!U225</f>
        <v>0</v>
      </c>
      <c r="V226" t="str">
        <f>ESTADISTICA!V225</f>
        <v>APAGADO</v>
      </c>
      <c r="W226" t="str">
        <f>ESTADISTICA!W225</f>
        <v>APAGADO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 t="str">
        <f>ESTADISTICA!AE225</f>
        <v>APAGADO</v>
      </c>
      <c r="AF226" t="str">
        <f>ESTADISTICA!AF225</f>
        <v>APAGADO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 t="str">
        <f>ESTADISTICA!Y226</f>
        <v>APAGADO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 t="str">
        <f>ESTADISTICA!P229</f>
        <v>APAGADO</v>
      </c>
      <c r="Q230">
        <f>ESTADISTICA!Q229</f>
        <v>0</v>
      </c>
      <c r="R230">
        <f>ESTADISTICA!R229</f>
        <v>0</v>
      </c>
      <c r="S230">
        <f>ESTADISTICA!S229</f>
        <v>0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 t="str">
        <f>ESTADISTICA!AA229</f>
        <v>APAGADO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 t="str">
        <f>ESTADISTICA!AD260</f>
        <v>APAGADO</v>
      </c>
      <c r="AE261" t="str">
        <f>ESTADISTICA!AE260</f>
        <v>APAGADO</v>
      </c>
      <c r="AF261" t="str">
        <f>ESTADISTICA!AF260</f>
        <v>APAGADO</v>
      </c>
      <c r="AG261" t="str">
        <f>ESTADISTICA!AG260</f>
        <v>APAGADO</v>
      </c>
      <c r="AH261" s="50" t="str">
        <f>ESTADISTICA!AH260</f>
        <v>APAGADO</v>
      </c>
      <c r="AI261" s="50" t="str">
        <f>ESTADISTICA!AI260</f>
        <v>APAGADO</v>
      </c>
    </row>
    <row r="262" spans="1:35" x14ac:dyDescent="0.3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 t="str">
        <f>ESTADISTICA!G270</f>
        <v>APAGADO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 t="str">
        <f>ESTADISTICA!G271</f>
        <v>APAGADO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 t="str">
        <f>ESTADISTICA!G272</f>
        <v>APAGADO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 t="str">
        <f>ESTADISTICA!G275</f>
        <v>APAGADO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 t="str">
        <f>ESTADISTICA!G276</f>
        <v>APAGADO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 t="str">
        <f>ESTADISTICA!Y287</f>
        <v>APAGADO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 t="str">
        <f>ESTADISTICA!AG298</f>
        <v>APAGADO</v>
      </c>
      <c r="AH299" s="50" t="str">
        <f>ESTADISTICA!AH298</f>
        <v>APAGADO</v>
      </c>
      <c r="AI299" s="50" t="str">
        <f>ESTADISTICA!AI298</f>
        <v>APAGADO</v>
      </c>
    </row>
    <row r="300" spans="1:35" x14ac:dyDescent="0.3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 t="str">
        <f>ESTADISTICA!AG299</f>
        <v>APAGADO</v>
      </c>
      <c r="AH300" s="50" t="str">
        <f>ESTADISTICA!AH299</f>
        <v>APAGADO</v>
      </c>
      <c r="AI300" s="50" t="str">
        <f>ESTADISTICA!AI299</f>
        <v>APAGADO</v>
      </c>
    </row>
    <row r="301" spans="1:35" x14ac:dyDescent="0.3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 t="str">
        <f>ESTADISTICA!AG300</f>
        <v>APAGADO</v>
      </c>
      <c r="AH301" s="50" t="str">
        <f>ESTADISTICA!AH300</f>
        <v>APAGADO</v>
      </c>
      <c r="AI301" s="50" t="str">
        <f>ESTADISTICA!AI300</f>
        <v>APAGADO</v>
      </c>
    </row>
    <row r="302" spans="1:35" x14ac:dyDescent="0.3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 t="str">
        <f>ESTADISTICA!AG301</f>
        <v>APAGADO</v>
      </c>
      <c r="AH302" s="50" t="str">
        <f>ESTADISTICA!AH301</f>
        <v>APAGADO</v>
      </c>
      <c r="AI302" s="50" t="str">
        <f>ESTADISTICA!AI301</f>
        <v>APAGADO</v>
      </c>
    </row>
    <row r="303" spans="1:35" x14ac:dyDescent="0.3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 t="str">
        <f>ESTADISTICA!AG302</f>
        <v>APAGADO</v>
      </c>
      <c r="AH303" s="50">
        <f>ESTADISTICA!AH302</f>
        <v>0</v>
      </c>
      <c r="AI303" s="50" t="str">
        <f>ESTADISTICA!AI302</f>
        <v>APAGADO</v>
      </c>
    </row>
    <row r="304" spans="1:35" x14ac:dyDescent="0.3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 t="str">
        <f>ESTADISTICA!AF303</f>
        <v>APAGADO</v>
      </c>
      <c r="AG304" t="str">
        <f>ESTADISTICA!AG303</f>
        <v>APAGADO</v>
      </c>
      <c r="AH304" s="50" t="str">
        <f>ESTADISTICA!AH303</f>
        <v>APAGADO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 t="str">
        <f>ESTADISTICA!AF306</f>
        <v>APAGADO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 t="str">
        <f>ESTADISTICA!N307</f>
        <v>APAGADO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 t="str">
        <f>ESTADISTICA!N308</f>
        <v>APAGADO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 t="str">
        <f>ESTADISTICA!AF313</f>
        <v>APAGADO</v>
      </c>
      <c r="AG314" t="str">
        <f>ESTADISTICA!AG313</f>
        <v>APAGADO</v>
      </c>
      <c r="AH314" s="50" t="str">
        <f>ESTADISTICA!AH313</f>
        <v>APAGADO</v>
      </c>
      <c r="AI314" s="50">
        <f>ESTADISTICA!AI313</f>
        <v>0</v>
      </c>
    </row>
    <row r="315" spans="1:35" x14ac:dyDescent="0.3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 t="str">
        <f>ESTADISTICA!AF314</f>
        <v>APAGADO</v>
      </c>
      <c r="AG315" t="str">
        <f>ESTADISTICA!AG314</f>
        <v>APAGADO</v>
      </c>
      <c r="AH315" s="50" t="str">
        <f>ESTADISTICA!AH314</f>
        <v>APAGADO</v>
      </c>
      <c r="AI315" s="50" t="str">
        <f>ESTADISTICA!AI314</f>
        <v>APAGADO</v>
      </c>
    </row>
    <row r="316" spans="1:35" x14ac:dyDescent="0.3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 t="str">
        <f>ESTADISTICA!AF319</f>
        <v>APAGADO</v>
      </c>
      <c r="AG320" t="str">
        <f>ESTADISTICA!AG319</f>
        <v>APAGADO</v>
      </c>
      <c r="AH320" s="50" t="str">
        <f>ESTADISTICA!AH319</f>
        <v>APAGADO</v>
      </c>
      <c r="AI320" s="5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 t="str">
        <f>ESTADISTICA!AF320</f>
        <v>APAGADO</v>
      </c>
      <c r="AG321" t="str">
        <f>ESTADISTICA!AG320</f>
        <v>APAGADO</v>
      </c>
      <c r="AH321" s="50" t="str">
        <f>ESTADISTICA!AH320</f>
        <v>APAGADO</v>
      </c>
      <c r="AI321" s="50">
        <f>ESTADISTICA!AI320</f>
        <v>0</v>
      </c>
    </row>
    <row r="322" spans="1:35" x14ac:dyDescent="0.3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 t="str">
        <f>ESTADISTICA!T326</f>
        <v>APAGADO</v>
      </c>
      <c r="U327" t="str">
        <f>ESTADISTICA!U326</f>
        <v>APAGADO</v>
      </c>
      <c r="V327" t="str">
        <f>ESTADISTICA!V326</f>
        <v>APAGADO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 t="str">
        <f>ESTADISTICA!AC326</f>
        <v>APAGADO</v>
      </c>
      <c r="AD327" t="str">
        <f>ESTADISTICA!AD326</f>
        <v>APAGADO</v>
      </c>
      <c r="AE327" t="str">
        <f>ESTADISTICA!AE326</f>
        <v>APAGADO</v>
      </c>
      <c r="AF327" t="str">
        <f>ESTADISTICA!AF326</f>
        <v>APAGADO</v>
      </c>
      <c r="AG327" t="str">
        <f>ESTADISTICA!AG326</f>
        <v>APAGADO</v>
      </c>
      <c r="AH327" s="50" t="str">
        <f>ESTADISTICA!AH326</f>
        <v>APAGADO</v>
      </c>
      <c r="AI327" s="50" t="str">
        <f>ESTADISTICA!AI326</f>
        <v>APAGADO</v>
      </c>
    </row>
    <row r="328" spans="1:35" x14ac:dyDescent="0.3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 t="str">
        <f>ESTADISTICA!T327</f>
        <v>APAGADO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 t="str">
        <f>ESTADISTICA!AE327</f>
        <v>APAGADO</v>
      </c>
      <c r="AF328" t="str">
        <f>ESTADISTICA!AF327</f>
        <v>APAGADO</v>
      </c>
      <c r="AG328" t="str">
        <f>ESTADISTICA!AG327</f>
        <v>APAGADO</v>
      </c>
      <c r="AH328" s="50" t="str">
        <f>ESTADISTICA!AH327</f>
        <v>APAGADO</v>
      </c>
      <c r="AI328" s="50" t="str">
        <f>ESTADISTICA!AI327</f>
        <v>APAGADO</v>
      </c>
    </row>
    <row r="329" spans="1:35" x14ac:dyDescent="0.3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 t="str">
        <f>ESTADISTICA!U328</f>
        <v>APAGADO</v>
      </c>
      <c r="V329" t="str">
        <f>ESTADISTICA!V328</f>
        <v>APAGADO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 t="str">
        <f>ESTADISTICA!AE328</f>
        <v>APAGADO</v>
      </c>
      <c r="AF329" t="str">
        <f>ESTADISTICA!AF328</f>
        <v>APAGADO</v>
      </c>
      <c r="AG329" t="str">
        <f>ESTADISTICA!AG328</f>
        <v>APAGADO</v>
      </c>
      <c r="AH329" s="50" t="str">
        <f>ESTADISTICA!AH328</f>
        <v>APAGADO</v>
      </c>
      <c r="AI329" s="50" t="str">
        <f>ESTADISTICA!AI328</f>
        <v>APAGADO</v>
      </c>
    </row>
    <row r="330" spans="1:35" x14ac:dyDescent="0.3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 t="str">
        <f>ESTADISTICA!AE329</f>
        <v>APAGADO</v>
      </c>
      <c r="AF330" t="str">
        <f>ESTADISTICA!AF329</f>
        <v>APAGADO</v>
      </c>
      <c r="AG330" t="str">
        <f>ESTADISTICA!AG329</f>
        <v>APAGADO</v>
      </c>
      <c r="AH330" s="50" t="str">
        <f>ESTADISTICA!AH329</f>
        <v>APAGADO</v>
      </c>
      <c r="AI330" s="50" t="str">
        <f>ESTADISTICA!AI329</f>
        <v>APAGADO</v>
      </c>
    </row>
    <row r="331" spans="1:35" x14ac:dyDescent="0.3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 t="str">
        <f>ESTADISTICA!AE330</f>
        <v>APAGADO</v>
      </c>
      <c r="AF331" t="str">
        <f>ESTADISTICA!AF330</f>
        <v>APAGADO</v>
      </c>
      <c r="AG331" t="str">
        <f>ESTADISTICA!AG330</f>
        <v>APAGADO</v>
      </c>
      <c r="AH331" s="50" t="str">
        <f>ESTADISTICA!AH330</f>
        <v>APAGADO</v>
      </c>
      <c r="AI331" s="50" t="str">
        <f>ESTADISTICA!AI330</f>
        <v>APAGADO</v>
      </c>
    </row>
    <row r="332" spans="1:35" x14ac:dyDescent="0.3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 t="str">
        <f>ESTADISTICA!T331</f>
        <v>APAGADO</v>
      </c>
      <c r="U332" t="str">
        <f>ESTADISTICA!U331</f>
        <v>APAGADO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 t="str">
        <f>ESTADISTICA!AB331</f>
        <v>APAGADO</v>
      </c>
      <c r="AC332" t="str">
        <f>ESTADISTICA!AC331</f>
        <v>APAGADO</v>
      </c>
      <c r="AD332" t="str">
        <f>ESTADISTICA!AD331</f>
        <v>APAGADO</v>
      </c>
      <c r="AE332" t="str">
        <f>ESTADISTICA!AE331</f>
        <v>APAGADO</v>
      </c>
      <c r="AF332" t="str">
        <f>ESTADISTICA!AF331</f>
        <v>APAGADO</v>
      </c>
      <c r="AG332" t="str">
        <f>ESTADISTICA!AG331</f>
        <v>APAGADO</v>
      </c>
      <c r="AH332" s="50" t="str">
        <f>ESTADISTICA!AH331</f>
        <v>APAGADO</v>
      </c>
      <c r="AI332" s="50" t="str">
        <f>ESTADISTICA!AI331</f>
        <v>APAGADO</v>
      </c>
    </row>
    <row r="333" spans="1:35" x14ac:dyDescent="0.3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 t="str">
        <f>ESTADISTICA!AF332</f>
        <v>APAGADO</v>
      </c>
      <c r="AG333" t="str">
        <f>ESTADISTICA!AG332</f>
        <v>APAGADO</v>
      </c>
      <c r="AH333" s="50" t="str">
        <f>ESTADISTICA!AH332</f>
        <v>APAGADO</v>
      </c>
      <c r="AI333" s="50" t="str">
        <f>ESTADISTICA!AI332</f>
        <v>APAGADO</v>
      </c>
    </row>
    <row r="334" spans="1:35" x14ac:dyDescent="0.3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 t="str">
        <f>ESTADISTICA!J334</f>
        <v>APAGADO</v>
      </c>
      <c r="K335">
        <f>ESTADISTICA!K334</f>
        <v>0</v>
      </c>
      <c r="L335" t="str">
        <f>ESTADISTICA!L334</f>
        <v>APAGADO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 t="str">
        <f>ESTADISTICA!AF336</f>
        <v>APAGADO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 t="str">
        <f>ESTADISTICA!AC337</f>
        <v>APAGADO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 t="str">
        <f>ESTADISTICA!AC338</f>
        <v>APAGADO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 t="str">
        <f>ESTADISTICA!T346</f>
        <v>APAGADO</v>
      </c>
      <c r="U347">
        <f>ESTADISTICA!U346</f>
        <v>0</v>
      </c>
      <c r="V347">
        <f>ESTADISTICA!V346</f>
        <v>0</v>
      </c>
      <c r="W347" t="str">
        <f>ESTADISTICA!W346</f>
        <v>APAGADO</v>
      </c>
      <c r="X347">
        <f>ESTADISTICA!X346</f>
        <v>0</v>
      </c>
      <c r="Y347">
        <f>ESTADISTICA!Y346</f>
        <v>0</v>
      </c>
      <c r="Z347">
        <f>ESTADISTICA!Z346</f>
        <v>0</v>
      </c>
      <c r="AA347" t="str">
        <f>ESTADISTICA!AA346</f>
        <v>APAGADO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 t="str">
        <f>ESTADISTICA!AE352</f>
        <v>APAGADO</v>
      </c>
      <c r="AF353" t="str">
        <f>ESTADISTICA!AF352</f>
        <v>APAGADO</v>
      </c>
      <c r="AG353" t="str">
        <f>ESTADISTICA!AG352</f>
        <v>APAGADO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 t="str">
        <f>ESTADISTICA!AG353</f>
        <v>APAGADO</v>
      </c>
      <c r="AH354" s="50" t="str">
        <f>ESTADISTICA!AH353</f>
        <v>APAGADO</v>
      </c>
      <c r="AI354" s="50">
        <f>ESTADISTICA!AI353</f>
        <v>0</v>
      </c>
    </row>
    <row r="355" spans="1:35" x14ac:dyDescent="0.3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 t="str">
        <f>ESTADISTICA!AH358</f>
        <v>APAGADO</v>
      </c>
      <c r="AI359" s="50">
        <f>ESTADISTICA!AI358</f>
        <v>0</v>
      </c>
    </row>
    <row r="360" spans="1:35" x14ac:dyDescent="0.3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 t="str">
        <f>ESTADISTICA!I367</f>
        <v>APAGADO</v>
      </c>
      <c r="J368" t="str">
        <f>ESTADISTICA!J367</f>
        <v>APAGADO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 t="str">
        <f>ESTADISTICA!AG369</f>
        <v>APAGADO</v>
      </c>
      <c r="AH370" s="50" t="str">
        <f>ESTADISTICA!AH369</f>
        <v>APAGADO</v>
      </c>
      <c r="AI370" s="5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 t="str">
        <f>ESTADISTICA!S370</f>
        <v>APAGADO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>
        <f>ESTADISTICA!AA370</f>
        <v>0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 t="str">
        <f>ESTADISTICA!AG370</f>
        <v>APAGADO</v>
      </c>
      <c r="AH371" s="50" t="str">
        <f>ESTADISTICA!AH370</f>
        <v>APAGADO</v>
      </c>
      <c r="AI371" s="50">
        <f>ESTADISTICA!AI370</f>
        <v>0</v>
      </c>
    </row>
    <row r="372" spans="1:35" x14ac:dyDescent="0.3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 t="str">
        <f>ESTADISTICA!G377</f>
        <v>APAGADO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 t="str">
        <f>ESTADISTICA!T379</f>
        <v>APAGADO</v>
      </c>
      <c r="U380" s="50" t="str">
        <f>ESTADISTICA!U379</f>
        <v>APAGADO</v>
      </c>
      <c r="V380" s="50" t="str">
        <f>ESTADISTICA!V379</f>
        <v>APAGADO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 t="str">
        <f>ESTADISTICA!AA379</f>
        <v>APAGADO</v>
      </c>
      <c r="AB380" s="50" t="str">
        <f>ESTADISTICA!AB379</f>
        <v>APAGADO</v>
      </c>
      <c r="AC380" s="50" t="str">
        <f>ESTADISTICA!AC379</f>
        <v>APAGADO</v>
      </c>
      <c r="AD380" s="50" t="str">
        <f>ESTADISTICA!AD379</f>
        <v>APAGADO</v>
      </c>
      <c r="AE380" s="50" t="str">
        <f>ESTADISTICA!AE379</f>
        <v>APAGADO</v>
      </c>
      <c r="AF380" s="50" t="str">
        <f>ESTADISTICA!AF379</f>
        <v>APAGADO</v>
      </c>
      <c r="AG380" s="50" t="str">
        <f>ESTADISTICA!AG379</f>
        <v>APAGADO</v>
      </c>
      <c r="AH380" s="50" t="str">
        <f>ESTADISTICA!AH379</f>
        <v>APAGADO</v>
      </c>
      <c r="AI380" s="50" t="str">
        <f>ESTADISTICA!AI379</f>
        <v>APAGADO</v>
      </c>
    </row>
    <row r="381" spans="1:35" x14ac:dyDescent="0.3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 t="str">
        <f>ESTADISTICA!T380</f>
        <v>APAGADO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 t="str">
        <f>ESTADISTICA!T382</f>
        <v>APAGADO</v>
      </c>
      <c r="U383" s="50" t="str">
        <f>ESTADISTICA!U382</f>
        <v>APAGADO</v>
      </c>
      <c r="V383" s="50" t="str">
        <f>ESTADISTICA!V382</f>
        <v>APAGADO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 t="str">
        <f>ESTADISTICA!AB382</f>
        <v>APAGADO</v>
      </c>
      <c r="AC383" s="50">
        <f>ESTADISTICA!AC382</f>
        <v>0</v>
      </c>
      <c r="AD383" s="50" t="str">
        <f>ESTADISTICA!AD382</f>
        <v>APAGADO</v>
      </c>
      <c r="AE383" s="50" t="str">
        <f>ESTADISTICA!AE382</f>
        <v>APAGADO</v>
      </c>
      <c r="AF383" s="50" t="str">
        <f>ESTADISTICA!AF382</f>
        <v>APAGADO</v>
      </c>
      <c r="AG383" s="50" t="str">
        <f>ESTADISTICA!AG382</f>
        <v>APAGADO</v>
      </c>
      <c r="AH383" s="50" t="str">
        <f>ESTADISTICA!AH382</f>
        <v>APAGADO</v>
      </c>
      <c r="AI383" s="50" t="str">
        <f>ESTADISTICA!AI382</f>
        <v>APAGADO</v>
      </c>
    </row>
    <row r="384" spans="1:35" x14ac:dyDescent="0.3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 t="str">
        <f>ESTADISTICA!Z389</f>
        <v>APAGADO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 t="str">
        <f>ESTADISTICA!AF389</f>
        <v>APAGADO</v>
      </c>
      <c r="AG390" s="50" t="str">
        <f>ESTADISTICA!AG389</f>
        <v>APAGADO</v>
      </c>
      <c r="AH390" s="50" t="str">
        <f>ESTADISTICA!AH389</f>
        <v>APAGADO</v>
      </c>
      <c r="AI390" s="50">
        <f>ESTADISTICA!AI389</f>
        <v>0</v>
      </c>
    </row>
    <row r="391" spans="1:35" x14ac:dyDescent="0.3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 t="str">
        <f>ESTADISTICA!Y394</f>
        <v>APAGADO</v>
      </c>
      <c r="Z395" s="50" t="str">
        <f>ESTADISTICA!Z394</f>
        <v>APAGADO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 t="str">
        <f>ESTADISTICA!N396</f>
        <v>APAGADO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 t="str">
        <f>ESTADISTICA!S396</f>
        <v>APAGADO</v>
      </c>
      <c r="T397" s="50" t="str">
        <f>ESTADISTICA!T396</f>
        <v>APAGADO</v>
      </c>
      <c r="U397" s="50" t="str">
        <f>ESTADISTICA!U396</f>
        <v>APAGADO</v>
      </c>
      <c r="V397" s="50" t="str">
        <f>ESTADISTICA!V396</f>
        <v>APAGADO</v>
      </c>
      <c r="W397" s="50" t="str">
        <f>ESTADISTICA!W396</f>
        <v>APAGADO</v>
      </c>
      <c r="X397" s="50" t="str">
        <f>ESTADISTICA!X396</f>
        <v>APAGADO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 t="str">
        <f>ESTADISTICA!S397</f>
        <v>APAGADO</v>
      </c>
      <c r="T398" s="50" t="str">
        <f>ESTADISTICA!T397</f>
        <v>APAGADO</v>
      </c>
      <c r="U398" s="50" t="str">
        <f>ESTADISTICA!U397</f>
        <v>APAGADO</v>
      </c>
      <c r="V398" s="50" t="str">
        <f>ESTADISTICA!V397</f>
        <v>APAGADO</v>
      </c>
      <c r="W398" s="50" t="str">
        <f>ESTADISTICA!W397</f>
        <v>APAGADO</v>
      </c>
      <c r="X398" s="50" t="str">
        <f>ESTADISTICA!X397</f>
        <v>APAGADO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271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29</v>
      </c>
      <c r="Y2" s="25">
        <f>COUNTIFS(Y4:Y400, "=APAGADO",E4:E400,"=Fibra Optica")</f>
        <v>33</v>
      </c>
      <c r="Z2" s="25">
        <f>COUNTIFS(Z4:Z400, "=APAGADO",E4:E400,"=Fibra Optica")</f>
        <v>33</v>
      </c>
      <c r="AA2" s="25">
        <f>COUNTIFS(AA4:AA400, "=APAGADO",E4:E400,"=Fibra Optica")</f>
        <v>34</v>
      </c>
      <c r="AB2" s="25">
        <f>COUNTIFS(AB4:AB400, "=APAGADO",E4:E400,"=Fibra Optica")</f>
        <v>40</v>
      </c>
      <c r="AC2" s="25">
        <f>COUNTIFS(AC4:AC400, "=APAGADO",E4:E400,"=Fibra Optica")</f>
        <v>34</v>
      </c>
      <c r="AD2" s="25">
        <f>COUNTIFS(AD4:AD400, "=APAGADO",E4:E400,"=Fibra Optica")</f>
        <v>35</v>
      </c>
      <c r="AE2" s="25">
        <f>COUNTIFS(AE4:AE400, "=APAGADO",E4:E400,"=Fibra Optica")</f>
        <v>39</v>
      </c>
      <c r="AF2" s="25">
        <f>COUNTIFS(AF4:AF400, "=APAGADO",E4:E400,"=Fibra Optica")</f>
        <v>48</v>
      </c>
      <c r="AG2" s="25">
        <f>COUNTIFS(AG4:AG400, "=APAGADO",E4:E400,"=Fibra Optica")</f>
        <v>53</v>
      </c>
      <c r="AH2" s="25">
        <f>COUNTIFS(AH4:AH400, "=APAGADO",E4:E400,"=Fibra Optica")</f>
        <v>54</v>
      </c>
      <c r="AI2" s="25">
        <f>COUNTIFS(AI4:AI400, "=APAGADO",E4:E400,"=Fibra Optica")</f>
        <v>36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s="50" t="str">
        <f>ESTADISTICA!AH4</f>
        <v>APAGADO</v>
      </c>
      <c r="AI6" s="50" t="str">
        <f>ESTADISTICA!AI4</f>
        <v>APAGADO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 t="str">
        <f>ESTADISTICA!AF5</f>
        <v>APAGADO</v>
      </c>
      <c r="AG7" t="str">
        <f>ESTADISTICA!AG5</f>
        <v>APAGADO</v>
      </c>
      <c r="AH7" s="50" t="str">
        <f>ESTADISTICA!AH5</f>
        <v>APAGADO</v>
      </c>
      <c r="AI7" s="50" t="str">
        <f>ESTADISTICA!AI5</f>
        <v>APAGADO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 t="str">
        <f>ESTADISTICA!AF6</f>
        <v>APAGADO</v>
      </c>
      <c r="AG8" t="str">
        <f>ESTADISTICA!AG6</f>
        <v>APAGADO</v>
      </c>
      <c r="AH8" s="50" t="str">
        <f>ESTADISTICA!AH6</f>
        <v>APAGADO</v>
      </c>
      <c r="AI8" s="50" t="str">
        <f>ESTADISTICA!AI6</f>
        <v>APAGADO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s="50" t="str">
        <f>ESTADISTICA!AH7</f>
        <v>APAGADO</v>
      </c>
      <c r="AI9" s="50" t="str">
        <f>ESTADISTICA!AI7</f>
        <v>APAGADO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 t="str">
        <f>ESTADISTICA!AF9</f>
        <v>APAGADO</v>
      </c>
      <c r="AG11" t="str">
        <f>ESTADISTICA!AG9</f>
        <v>APAGADO</v>
      </c>
      <c r="AH11" s="50" t="str">
        <f>ESTADISTICA!AH9</f>
        <v>APAGADO</v>
      </c>
      <c r="AI11" s="50" t="str">
        <f>ESTADISTICA!AI9</f>
        <v>APAGADO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s="50" t="str">
        <f>ESTADISTICA!AH10</f>
        <v>APAGADO</v>
      </c>
      <c r="AI12" s="50" t="str">
        <f>ESTADISTICA!AI10</f>
        <v>APAGADO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s="50" t="str">
        <f>ESTADISTICA!AH11</f>
        <v>APAGADO</v>
      </c>
      <c r="AI13" s="50" t="str">
        <f>ESTADISTICA!AI11</f>
        <v>APAGADO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 s="50" t="str">
        <f>ESTADISTICA!AH13</f>
        <v>APAGADO</v>
      </c>
      <c r="AI15" s="50" t="str">
        <f>ESTADISTICA!AI13</f>
        <v>APAGADO</v>
      </c>
    </row>
    <row r="16" spans="1:35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 s="50" t="str">
        <f>ESTADISTICA!AH28</f>
        <v>APAGADO</v>
      </c>
      <c r="AI30" s="50" t="str">
        <f>ESTADISTICA!AI28</f>
        <v>APAGADO</v>
      </c>
    </row>
    <row r="31" spans="1:35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 t="str">
        <f>ESTADISTICA!AG31</f>
        <v>APAGADO</v>
      </c>
      <c r="AH33" s="50" t="str">
        <f>ESTADISTICA!AH31</f>
        <v>APAGADO</v>
      </c>
      <c r="AI33" s="50" t="str">
        <f>ESTADISTICA!AI31</f>
        <v>APAGADO</v>
      </c>
    </row>
    <row r="34" spans="1:35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 t="str">
        <f>ESTADISTICA!AF37</f>
        <v>APAGADO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 t="str">
        <f>ESTADISTICA!AF39</f>
        <v>APAGADO</v>
      </c>
      <c r="AG41" t="str">
        <f>ESTADISTICA!AG39</f>
        <v>APAGADO</v>
      </c>
      <c r="AH41" s="50" t="str">
        <f>ESTADISTICA!AH39</f>
        <v>APAGADO</v>
      </c>
      <c r="AI41" s="50" t="str">
        <f>ESTADISTICA!AI39</f>
        <v>APAGADO</v>
      </c>
    </row>
    <row r="42" spans="1:35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 t="str">
        <f>ESTADISTICA!AH47</f>
        <v>APAGADO</v>
      </c>
      <c r="AI49" s="50" t="str">
        <f>ESTADISTICA!AI47</f>
        <v>APAGADO</v>
      </c>
    </row>
    <row r="50" spans="1:35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s="50" t="str">
        <f>ESTADISTICA!AH60</f>
        <v>APAGADO</v>
      </c>
      <c r="AI62" s="50" t="str">
        <f>ESTADISTICA!AI60</f>
        <v>APAGADO</v>
      </c>
    </row>
    <row r="63" spans="1:35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 t="str">
        <f>ESTADISTICA!AI63</f>
        <v>APAGADO</v>
      </c>
    </row>
    <row r="66" spans="1:35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 t="str">
        <f>ESTADISTICA!AF68</f>
        <v>APAGADO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 t="str">
        <f>ESTADISTICA!AG78</f>
        <v>APAGADO</v>
      </c>
      <c r="AH80" s="50" t="str">
        <f>ESTADISTICA!AH78</f>
        <v>APAGADO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 t="str">
        <f>ESTADISTICA!AG79</f>
        <v>APAGADO</v>
      </c>
      <c r="AH81" s="50" t="str">
        <f>ESTADISTICA!AH79</f>
        <v>APAGADO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 t="str">
        <f>ESTADISTICA!AF85</f>
        <v>APAGADO</v>
      </c>
      <c r="AG87" t="str">
        <f>ESTADISTICA!AG85</f>
        <v>APAGADO</v>
      </c>
      <c r="AH87" s="50" t="str">
        <f>ESTADISTICA!AH85</f>
        <v>APAGADO</v>
      </c>
      <c r="AI87" s="50" t="str">
        <f>ESTADISTICA!AI85</f>
        <v>APAGADO</v>
      </c>
    </row>
    <row r="88" spans="1:35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s="50" t="str">
        <f>ESTADISTICA!AH92</f>
        <v>APAGADO</v>
      </c>
      <c r="AI94" s="50" t="str">
        <f>ESTADISTICA!AI92</f>
        <v>APAGADO</v>
      </c>
    </row>
    <row r="95" spans="1:35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s="50" t="str">
        <f>ESTADISTICA!AH93</f>
        <v>APAGADO</v>
      </c>
      <c r="AI95" s="50" t="str">
        <f>ESTADISTICA!AI93</f>
        <v>APAGADO</v>
      </c>
    </row>
    <row r="96" spans="1:35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 t="str">
        <f>ESTADISTICA!AG97</f>
        <v>APAGADO</v>
      </c>
      <c r="AH99" s="50" t="str">
        <f>ESTADISTICA!AH97</f>
        <v>APAGADO</v>
      </c>
      <c r="AI99" s="50" t="str">
        <f>ESTADISTICA!AI97</f>
        <v>APAGADO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 t="str">
        <f>ESTADISTICA!AG114</f>
        <v>APAGADO</v>
      </c>
      <c r="AH116" s="50" t="str">
        <f>ESTADISTICA!AH114</f>
        <v>APAGADO</v>
      </c>
      <c r="AI116" s="50" t="str">
        <f>ESTADISTICA!AI114</f>
        <v>APAGADO</v>
      </c>
    </row>
    <row r="117" spans="1:35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s="50" t="str">
        <f>ESTADISTICA!AH115</f>
        <v>APAGADO</v>
      </c>
      <c r="AI117" s="50" t="str">
        <f>ESTADISTICA!AI115</f>
        <v>APAGADO</v>
      </c>
    </row>
    <row r="118" spans="1:35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 t="str">
        <f>ESTADISTICA!AG119</f>
        <v>APAGADO</v>
      </c>
      <c r="AH121" s="50" t="str">
        <f>ESTADISTICA!AH119</f>
        <v>APAGADO</v>
      </c>
      <c r="AI121" s="50" t="str">
        <f>ESTADISTICA!AI119</f>
        <v>APAGADO</v>
      </c>
    </row>
    <row r="122" spans="1:35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 t="str">
        <f>ESTADISTICA!AF122</f>
        <v>APAGADO</v>
      </c>
      <c r="AG124" t="str">
        <f>ESTADISTICA!AG122</f>
        <v>APAGADO</v>
      </c>
      <c r="AH124" s="50" t="str">
        <f>ESTADISTICA!AH122</f>
        <v>APAGADO</v>
      </c>
      <c r="AI124" s="50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 t="str">
        <f>ESTADISTICA!AF123</f>
        <v>APAGADO</v>
      </c>
      <c r="AG125" t="str">
        <f>ESTADISTICA!AG123</f>
        <v>APAGADO</v>
      </c>
      <c r="AH125" s="50" t="str">
        <f>ESTADISTICA!AH123</f>
        <v>APAGADO</v>
      </c>
      <c r="AI125" s="50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 t="str">
        <f>ESTADISTICA!AH138</f>
        <v>APAGADO</v>
      </c>
      <c r="AI140" s="5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 t="str">
        <f>ESTADISTICA!AG146</f>
        <v>APAGADO</v>
      </c>
      <c r="AH148" s="50" t="str">
        <f>ESTADISTICA!AH146</f>
        <v>APAGADO</v>
      </c>
      <c r="AI148" s="50">
        <f>ESTADISTICA!AI146</f>
        <v>0</v>
      </c>
    </row>
    <row r="149" spans="1:35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s="50" t="str">
        <f>ESTADISTICA!AH154</f>
        <v>APAGADO</v>
      </c>
      <c r="AI156" s="50" t="str">
        <f>ESTADISTICA!AI154</f>
        <v>APAGADO</v>
      </c>
    </row>
    <row r="157" spans="1:35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s="50" t="str">
        <f>ESTADISTICA!AH155</f>
        <v>APAGADO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 t="str">
        <f>ESTADISTICA!AF157</f>
        <v>APAGADO</v>
      </c>
      <c r="AG159" t="str">
        <f>ESTADISTICA!AG157</f>
        <v>APAGADO</v>
      </c>
      <c r="AH159" s="50" t="str">
        <f>ESTADISTICA!AH157</f>
        <v>APAGADO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 t="str">
        <f>ESTADISTICA!AG158</f>
        <v>APAGADO</v>
      </c>
      <c r="AH160" s="50" t="str">
        <f>ESTADISTICA!AH158</f>
        <v>APAGADO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 t="str">
        <f>ESTADISTICA!AG159</f>
        <v>APAGADO</v>
      </c>
      <c r="AH161" s="50" t="str">
        <f>ESTADISTICA!AH159</f>
        <v>APAGADO</v>
      </c>
      <c r="AI161" s="50" t="str">
        <f>ESTADISTICA!AI159</f>
        <v>APAGADO</v>
      </c>
    </row>
    <row r="162" spans="1:35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 t="str">
        <f>ESTADISTICA!AG161</f>
        <v>APAGADO</v>
      </c>
      <c r="AH163" s="50" t="str">
        <f>ESTADISTICA!AH161</f>
        <v>APAGADO</v>
      </c>
      <c r="AI163" s="50" t="str">
        <f>ESTADISTICA!AI161</f>
        <v>APAGADO</v>
      </c>
    </row>
    <row r="164" spans="1:35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s="50" t="str">
        <f>ESTADISTICA!AH164</f>
        <v>APAGADO</v>
      </c>
      <c r="AI166" s="50">
        <f>ESTADISTICA!AI164</f>
        <v>0</v>
      </c>
    </row>
    <row r="167" spans="1:35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 t="str">
        <f>ESTADISTICA!AF165</f>
        <v>APAGADO</v>
      </c>
      <c r="AG167" t="str">
        <f>ESTADISTICA!AG165</f>
        <v>APAGADO</v>
      </c>
      <c r="AH167" s="50" t="str">
        <f>ESTADISTICA!AH165</f>
        <v>APAGADO</v>
      </c>
      <c r="AI167" s="50">
        <f>ESTADISTICA!AI165</f>
        <v>0</v>
      </c>
    </row>
    <row r="168" spans="1:35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s="50" t="str">
        <f>ESTADISTICA!AH166</f>
        <v>APAGADO</v>
      </c>
      <c r="AI168" s="50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 t="str">
        <f>ESTADISTICA!AF169</f>
        <v>APAGADO</v>
      </c>
      <c r="AG171" t="str">
        <f>ESTADISTICA!AG169</f>
        <v>APAGADO</v>
      </c>
      <c r="AH171" s="50" t="str">
        <f>ESTADISTICA!AH169</f>
        <v>APAGADO</v>
      </c>
      <c r="AI171" s="50" t="str">
        <f>ESTADISTICA!AI169</f>
        <v>APAGADO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s="50" t="str">
        <f>ESTADISTICA!AH180</f>
        <v>APAGADO</v>
      </c>
      <c r="AI182" s="50" t="str">
        <f>ESTADISTICA!AI180</f>
        <v>APAGADO</v>
      </c>
    </row>
    <row r="183" spans="1:35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s="50" t="str">
        <f>ESTADISTICA!AH182</f>
        <v>APAGADO</v>
      </c>
      <c r="AI184" s="50" t="str">
        <f>ESTADISTICA!AI182</f>
        <v>APAGADO</v>
      </c>
    </row>
    <row r="185" spans="1:35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s="50" t="str">
        <f>ESTADISTICA!AH183</f>
        <v>APAGADO</v>
      </c>
      <c r="AI185" s="50" t="str">
        <f>ESTADISTICA!AI183</f>
        <v>APAGADO</v>
      </c>
    </row>
    <row r="186" spans="1:35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 t="str">
        <f>ESTADISTICA!AF205</f>
        <v>APAGADO</v>
      </c>
      <c r="AG207" t="str">
        <f>ESTADISTICA!AG205</f>
        <v>APAGADO</v>
      </c>
      <c r="AH207" s="50" t="str">
        <f>ESTADISTICA!AH205</f>
        <v>APAGADO</v>
      </c>
      <c r="AI207" s="50">
        <f>ESTADISTICA!AI205</f>
        <v>0</v>
      </c>
    </row>
    <row r="208" spans="1:35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s="50" t="str">
        <f>ESTADISTICA!AH213</f>
        <v>APAGADO</v>
      </c>
      <c r="AI215" s="50" t="str">
        <f>ESTADISTICA!AI213</f>
        <v>APAGADO</v>
      </c>
    </row>
    <row r="216" spans="1:35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 t="str">
        <f>ESTADISTICA!AF217</f>
        <v>APAGADO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 t="str">
        <f>ESTADISTICA!AF220</f>
        <v>APAGADO</v>
      </c>
      <c r="AG222" t="str">
        <f>ESTADISTICA!AG220</f>
        <v>APAGADO</v>
      </c>
      <c r="AH222" s="50" t="str">
        <f>ESTADISTICA!AH220</f>
        <v>APAGADO</v>
      </c>
      <c r="AI222" s="50" t="str">
        <f>ESTADISTICA!AI220</f>
        <v>APAGADO</v>
      </c>
    </row>
    <row r="223" spans="1:35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 t="str">
        <f>ESTADISTICA!AG221</f>
        <v>APAGADO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 t="str">
        <f>ESTADISTICA!AF225</f>
        <v>APAGADO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s="50" t="str">
        <f>ESTADISTICA!AH260</f>
        <v>APAGADO</v>
      </c>
      <c r="AI262" s="50" t="str">
        <f>ESTADISTICA!AI260</f>
        <v>APAGADO</v>
      </c>
    </row>
    <row r="263" spans="1:35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 t="str">
        <f>ESTADISTICA!AG298</f>
        <v>APAGADO</v>
      </c>
      <c r="AH300" s="50" t="str">
        <f>ESTADISTICA!AH298</f>
        <v>APAGADO</v>
      </c>
      <c r="AI300" s="50" t="str">
        <f>ESTADISTICA!AI298</f>
        <v>APAGADO</v>
      </c>
    </row>
    <row r="301" spans="1:35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 t="str">
        <f>ESTADISTICA!AG299</f>
        <v>APAGADO</v>
      </c>
      <c r="AH301" s="50" t="str">
        <f>ESTADISTICA!AH299</f>
        <v>APAGADO</v>
      </c>
      <c r="AI301" s="50" t="str">
        <f>ESTADISTICA!AI299</f>
        <v>APAGADO</v>
      </c>
    </row>
    <row r="302" spans="1:35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 t="str">
        <f>ESTADISTICA!AG300</f>
        <v>APAGADO</v>
      </c>
      <c r="AH302" s="50" t="str">
        <f>ESTADISTICA!AH300</f>
        <v>APAGADO</v>
      </c>
      <c r="AI302" s="50" t="str">
        <f>ESTADISTICA!AI300</f>
        <v>APAGADO</v>
      </c>
    </row>
    <row r="303" spans="1:35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 t="str">
        <f>ESTADISTICA!AG301</f>
        <v>APAGADO</v>
      </c>
      <c r="AH303" s="50" t="str">
        <f>ESTADISTICA!AH301</f>
        <v>APAGADO</v>
      </c>
      <c r="AI303" s="50" t="str">
        <f>ESTADISTICA!AI301</f>
        <v>APAGADO</v>
      </c>
    </row>
    <row r="304" spans="1:35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 t="str">
        <f>ESTADISTICA!AG302</f>
        <v>APAGADO</v>
      </c>
      <c r="AH304" s="50">
        <f>ESTADISTICA!AH302</f>
        <v>0</v>
      </c>
      <c r="AI304" s="50" t="str">
        <f>ESTADISTICA!AI302</f>
        <v>APAGADO</v>
      </c>
    </row>
    <row r="305" spans="1:35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 t="str">
        <f>ESTADISTICA!AG303</f>
        <v>APAGADO</v>
      </c>
      <c r="AH305" s="50" t="str">
        <f>ESTADISTICA!AH303</f>
        <v>APAGADO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 t="str">
        <f>ESTADISTICA!AF306</f>
        <v>APAGADO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 t="str">
        <f>ESTADISTICA!AF313</f>
        <v>APAGADO</v>
      </c>
      <c r="AG315" t="str">
        <f>ESTADISTICA!AG313</f>
        <v>APAGADO</v>
      </c>
      <c r="AH315" s="50" t="str">
        <f>ESTADISTICA!AH313</f>
        <v>APAGADO</v>
      </c>
      <c r="AI315" s="50">
        <f>ESTADISTICA!AI313</f>
        <v>0</v>
      </c>
    </row>
    <row r="316" spans="1:35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 t="str">
        <f>ESTADISTICA!AF314</f>
        <v>APAGADO</v>
      </c>
      <c r="AG316" t="str">
        <f>ESTADISTICA!AG314</f>
        <v>APAGADO</v>
      </c>
      <c r="AH316" s="50" t="str">
        <f>ESTADISTICA!AH314</f>
        <v>APAGADO</v>
      </c>
      <c r="AI316" s="50" t="str">
        <f>ESTADISTICA!AI314</f>
        <v>APAGADO</v>
      </c>
    </row>
    <row r="317" spans="1:35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 t="str">
        <f>ESTADISTICA!AF319</f>
        <v>APAGADO</v>
      </c>
      <c r="AG321" t="str">
        <f>ESTADISTICA!AG319</f>
        <v>APAGADO</v>
      </c>
      <c r="AH321" s="50" t="str">
        <f>ESTADISTICA!AH319</f>
        <v>APAGADO</v>
      </c>
      <c r="AI321" s="50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 t="str">
        <f>ESTADISTICA!AF320</f>
        <v>APAGADO</v>
      </c>
      <c r="AG322" t="str">
        <f>ESTADISTICA!AG320</f>
        <v>APAGADO</v>
      </c>
      <c r="AH322" s="50" t="str">
        <f>ESTADISTICA!AH320</f>
        <v>APAGADO</v>
      </c>
      <c r="AI322" s="50">
        <f>ESTADISTICA!AI320</f>
        <v>0</v>
      </c>
    </row>
    <row r="323" spans="1:35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 t="str">
        <f>ESTADISTICA!AF326</f>
        <v>APAGADO</v>
      </c>
      <c r="AG328" t="str">
        <f>ESTADISTICA!AG326</f>
        <v>APAGADO</v>
      </c>
      <c r="AH328" s="50" t="str">
        <f>ESTADISTICA!AH326</f>
        <v>APAGADO</v>
      </c>
      <c r="AI328" s="50" t="str">
        <f>ESTADISTICA!AI326</f>
        <v>APAGADO</v>
      </c>
    </row>
    <row r="329" spans="1:35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 t="str">
        <f>ESTADISTICA!AF327</f>
        <v>APAGADO</v>
      </c>
      <c r="AG329" t="str">
        <f>ESTADISTICA!AG327</f>
        <v>APAGADO</v>
      </c>
      <c r="AH329" s="50" t="str">
        <f>ESTADISTICA!AH327</f>
        <v>APAGADO</v>
      </c>
      <c r="AI329" s="50" t="str">
        <f>ESTADISTICA!AI327</f>
        <v>APAGADO</v>
      </c>
    </row>
    <row r="330" spans="1:35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 t="str">
        <f>ESTADISTICA!AF328</f>
        <v>APAGADO</v>
      </c>
      <c r="AG330" t="str">
        <f>ESTADISTICA!AG328</f>
        <v>APAGADO</v>
      </c>
      <c r="AH330" s="50" t="str">
        <f>ESTADISTICA!AH328</f>
        <v>APAGADO</v>
      </c>
      <c r="AI330" s="50" t="str">
        <f>ESTADISTICA!AI328</f>
        <v>APAGADO</v>
      </c>
    </row>
    <row r="331" spans="1:35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 t="str">
        <f>ESTADISTICA!AF329</f>
        <v>APAGADO</v>
      </c>
      <c r="AG331" t="str">
        <f>ESTADISTICA!AG329</f>
        <v>APAGADO</v>
      </c>
      <c r="AH331" s="50" t="str">
        <f>ESTADISTICA!AH329</f>
        <v>APAGADO</v>
      </c>
      <c r="AI331" s="50" t="str">
        <f>ESTADISTICA!AI329</f>
        <v>APAGADO</v>
      </c>
    </row>
    <row r="332" spans="1:35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 s="50" t="str">
        <f>ESTADISTICA!AH330</f>
        <v>APAGADO</v>
      </c>
      <c r="AI332" s="50" t="str">
        <f>ESTADISTICA!AI330</f>
        <v>APAGADO</v>
      </c>
    </row>
    <row r="333" spans="1:35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 t="str">
        <f>ESTADISTICA!AF331</f>
        <v>APAGADO</v>
      </c>
      <c r="AG333" t="str">
        <f>ESTADISTICA!AG331</f>
        <v>APAGADO</v>
      </c>
      <c r="AH333" s="50" t="str">
        <f>ESTADISTICA!AH331</f>
        <v>APAGADO</v>
      </c>
      <c r="AI333" s="50" t="str">
        <f>ESTADISTICA!AI331</f>
        <v>APAGADO</v>
      </c>
    </row>
    <row r="334" spans="1:35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s="50" t="str">
        <f>ESTADISTICA!AH332</f>
        <v>APAGADO</v>
      </c>
      <c r="AI334" s="50" t="str">
        <f>ESTADISTICA!AI332</f>
        <v>APAGADO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 t="str">
        <f>ESTADISTICA!AF336</f>
        <v>APAGADO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 s="50" t="str">
        <f>ESTADISTICA!AH353</f>
        <v>APAGADO</v>
      </c>
      <c r="AI355" s="50">
        <f>ESTADISTICA!AI353</f>
        <v>0</v>
      </c>
    </row>
    <row r="356" spans="1:35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 t="str">
        <f>ESTADISTICA!AH358</f>
        <v>APAGADO</v>
      </c>
      <c r="AI360" s="50">
        <f>ESTADISTICA!AI358</f>
        <v>0</v>
      </c>
    </row>
    <row r="361" spans="1:35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 t="str">
        <f>ESTADISTICA!AG369</f>
        <v>APAGADO</v>
      </c>
      <c r="AH371" s="50" t="str">
        <f>ESTADISTICA!AH369</f>
        <v>APAGADO</v>
      </c>
      <c r="AI371" s="50">
        <f>ESTADISTICA!AI369</f>
        <v>0</v>
      </c>
    </row>
    <row r="372" spans="1:35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 t="str">
        <f>ESTADISTICA!AG370</f>
        <v>APAGADO</v>
      </c>
      <c r="AH372" s="50" t="str">
        <f>ESTADISTICA!AH370</f>
        <v>APAGADO</v>
      </c>
      <c r="AI372" s="50">
        <f>ESTADISTICA!AI370</f>
        <v>0</v>
      </c>
    </row>
    <row r="373" spans="1:35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 t="str">
        <f>ESTADISTICA!AF379</f>
        <v>APAGADO</v>
      </c>
      <c r="AG381" s="50" t="str">
        <f>ESTADISTICA!AG379</f>
        <v>APAGADO</v>
      </c>
      <c r="AH381" s="50" t="str">
        <f>ESTADISTICA!AH379</f>
        <v>APAGADO</v>
      </c>
      <c r="AI381" s="50" t="str">
        <f>ESTADISTICA!AI379</f>
        <v>APAGADO</v>
      </c>
    </row>
    <row r="382" spans="1:35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 t="str">
        <f>ESTADISTICA!AF382</f>
        <v>APAGADO</v>
      </c>
      <c r="AG384" s="50" t="str">
        <f>ESTADISTICA!AG382</f>
        <v>APAGADO</v>
      </c>
      <c r="AH384" s="50" t="str">
        <f>ESTADISTICA!AH382</f>
        <v>APAGADO</v>
      </c>
      <c r="AI384" s="50" t="str">
        <f>ESTADISTICA!AI382</f>
        <v>APAGADO</v>
      </c>
    </row>
    <row r="385" spans="1:35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 t="str">
        <f>ESTADISTICA!AF389</f>
        <v>APAGADO</v>
      </c>
      <c r="AG391" s="50" t="str">
        <f>ESTADISTICA!AG389</f>
        <v>APAGADO</v>
      </c>
      <c r="AH391" s="50" t="str">
        <f>ESTADISTICA!AH389</f>
        <v>APAGADO</v>
      </c>
      <c r="AI391" s="50">
        <f>ESTADISTICA!AI389</f>
        <v>0</v>
      </c>
    </row>
    <row r="392" spans="1:35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4</v>
      </c>
      <c r="Y2" s="25">
        <f>COUNTIFS(Y4:Y400, "=APAGADO",E4:E400,"=PTO A FO")</f>
        <v>6</v>
      </c>
      <c r="Z2" s="25">
        <f>COUNTIFS(Z4:Z400, "=APAGADO",E4:E400,"=PTO A FO")</f>
        <v>4</v>
      </c>
      <c r="AA2" s="25">
        <f>COUNTIFS(AA4:AA400, "=APAGADO",E4:E400,"=PTO A FO")</f>
        <v>3</v>
      </c>
      <c r="AB2" s="25">
        <f>COUNTIFS(AB4:AB400, "=APAGADO",E4:E400,"=PTO A FO")</f>
        <v>5</v>
      </c>
      <c r="AC2" s="25">
        <f>COUNTIFS(AC4:AC400, "=APAGADO",E4:E400,"=PTO A FO")</f>
        <v>3</v>
      </c>
      <c r="AD2" s="25">
        <f>COUNTIFS(AD4:AD400, "=APAGADO",E4:E400,"=PTO A FO")</f>
        <v>4</v>
      </c>
      <c r="AE2" s="25">
        <f>COUNTIFS(AE4:AE400, "=APAGADO",E4:E400,"=PTO A FO")</f>
        <v>4</v>
      </c>
      <c r="AF2" s="25">
        <f>COUNTIFS(AF4:AF400, "=APAGADO",E4:E400,"=PTO A FO")</f>
        <v>7</v>
      </c>
      <c r="AG2" s="25">
        <f>COUNTIFS(AG4:AG400, "=APAGADO",E4:E400,"=PTO A FO")</f>
        <v>9</v>
      </c>
      <c r="AH2" s="25">
        <f>COUNTIFS(AH4:AH400, "=APAGADO",E4:E400,"=PTO A FO")</f>
        <v>10</v>
      </c>
      <c r="AI2" s="25">
        <f>COUNTIFS(AI4:AI400, "=APAGADO",E4:E400,"=PTO A FO")</f>
        <v>7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 t="str">
        <f>ESTADISTICA!AI4</f>
        <v>APAGADO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 t="str">
        <f>ESTADISTICA!AF5</f>
        <v>APAGADO</v>
      </c>
      <c r="AG7" t="str">
        <f>ESTADISTICA!AG5</f>
        <v>APAGADO</v>
      </c>
      <c r="AH7" t="str">
        <f>ESTADISTICA!AH5</f>
        <v>APAGADO</v>
      </c>
      <c r="AI7" t="str">
        <f>ESTADISTICA!AI5</f>
        <v>APAGADO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 t="str">
        <f>ESTADISTICA!AF6</f>
        <v>APAGADO</v>
      </c>
      <c r="AG8" t="str">
        <f>ESTADISTICA!AG6</f>
        <v>APAGADO</v>
      </c>
      <c r="AH8" t="str">
        <f>ESTADISTICA!AH6</f>
        <v>APAGADO</v>
      </c>
      <c r="AI8" t="str">
        <f>ESTADISTICA!AI6</f>
        <v>APAGADO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 t="str">
        <f>ESTADISTICA!AI7</f>
        <v>APAGADO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 t="str">
        <f>ESTADISTICA!AF9</f>
        <v>APAGADO</v>
      </c>
      <c r="AG11" t="str">
        <f>ESTADISTICA!AG9</f>
        <v>APAGADO</v>
      </c>
      <c r="AH11" t="str">
        <f>ESTADISTICA!AH9</f>
        <v>APAGADO</v>
      </c>
      <c r="AI11" t="str">
        <f>ESTADISTICA!AI9</f>
        <v>APAGADO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 t="str">
        <f>ESTADISTICA!AI10</f>
        <v>APAGADO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 t="str">
        <f>ESTADISTICA!AI11</f>
        <v>APAGADO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 t="str">
        <f>ESTADISTICA!AH13</f>
        <v>APAGADO</v>
      </c>
      <c r="AI15" t="str">
        <f>ESTADISTICA!AI13</f>
        <v>APAGADO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 t="str">
        <f>ESTADISTICA!AH28</f>
        <v>APAGADO</v>
      </c>
      <c r="AI30" t="str">
        <f>ESTADISTICA!AI28</f>
        <v>APAGADO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 t="str">
        <f>ESTADISTICA!AG31</f>
        <v>APAGADO</v>
      </c>
      <c r="AH33" t="str">
        <f>ESTADISTICA!AH31</f>
        <v>APAGADO</v>
      </c>
      <c r="AI33" t="str">
        <f>ESTADISTICA!AI31</f>
        <v>APAGADO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 t="str">
        <f>ESTADISTICA!AF37</f>
        <v>APAGADO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 t="str">
        <f>ESTADISTICA!AF39</f>
        <v>APAGADO</v>
      </c>
      <c r="AG41" t="str">
        <f>ESTADISTICA!AG39</f>
        <v>APAGADO</v>
      </c>
      <c r="AH41" t="str">
        <f>ESTADISTICA!AH39</f>
        <v>APAGADO</v>
      </c>
      <c r="AI41" t="str">
        <f>ESTADISTICA!AI39</f>
        <v>APAGADO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str">
        <f>ESTADISTICA!AH47</f>
        <v>APAGADO</v>
      </c>
      <c r="AI49" t="str">
        <f>ESTADISTICA!AI47</f>
        <v>APAGADO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 t="str">
        <f>ESTADISTICA!AI60</f>
        <v>APAGADO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 t="str">
        <f>ESTADISTICA!AI63</f>
        <v>APAGADO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 t="str">
        <f>ESTADISTICA!AF68</f>
        <v>APAGADO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 t="str">
        <f>ESTADISTICA!AG78</f>
        <v>APAGADO</v>
      </c>
      <c r="AH80" t="str">
        <f>ESTADISTICA!AH78</f>
        <v>APAGADO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 t="str">
        <f>ESTADISTICA!AG79</f>
        <v>APAGADO</v>
      </c>
      <c r="AH81" t="str">
        <f>ESTADISTICA!AH79</f>
        <v>APAGADO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 t="str">
        <f>ESTADISTICA!AF85</f>
        <v>APAGADO</v>
      </c>
      <c r="AG87" t="str">
        <f>ESTADISTICA!AG85</f>
        <v>APAGADO</v>
      </c>
      <c r="AH87" t="str">
        <f>ESTADISTICA!AH85</f>
        <v>APAGADO</v>
      </c>
      <c r="AI87" t="str">
        <f>ESTADISTICA!AI85</f>
        <v>APAGADO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t="str">
        <f>ESTADISTICA!AH92</f>
        <v>APAGADO</v>
      </c>
      <c r="AI94" t="str">
        <f>ESTADISTICA!AI92</f>
        <v>APAGADO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 t="str">
        <f>ESTADISTICA!AI93</f>
        <v>APAGADO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 t="str">
        <f>ESTADISTICA!AG97</f>
        <v>APAGADO</v>
      </c>
      <c r="AH99" t="str">
        <f>ESTADISTICA!AH97</f>
        <v>APAGADO</v>
      </c>
      <c r="AI99" t="str">
        <f>ESTADISTICA!AI97</f>
        <v>APAGADO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 t="str">
        <f>ESTADISTICA!AG114</f>
        <v>APAGADO</v>
      </c>
      <c r="AH116" t="str">
        <f>ESTADISTICA!AH114</f>
        <v>APAGADO</v>
      </c>
      <c r="AI116" t="str">
        <f>ESTADISTICA!AI114</f>
        <v>APAGADO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t="str">
        <f>ESTADISTICA!AH115</f>
        <v>APAGADO</v>
      </c>
      <c r="AI117" t="str">
        <f>ESTADISTICA!AI115</f>
        <v>APAGADO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 t="str">
        <f>ESTADISTICA!AG119</f>
        <v>APAGADO</v>
      </c>
      <c r="AH121" t="str">
        <f>ESTADISTICA!AH119</f>
        <v>APAGADO</v>
      </c>
      <c r="AI121" t="str">
        <f>ESTADISTICA!AI119</f>
        <v>APAGADO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 t="str">
        <f>ESTADISTICA!AF122</f>
        <v>APAGADO</v>
      </c>
      <c r="AG124" t="str">
        <f>ESTADISTICA!AG122</f>
        <v>APAGADO</v>
      </c>
      <c r="AH124" t="str">
        <f>ESTADISTICA!AH122</f>
        <v>APAGADO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 t="str">
        <f>ESTADISTICA!AF123</f>
        <v>APAGADO</v>
      </c>
      <c r="AG125" t="str">
        <f>ESTADISTICA!AG123</f>
        <v>APAGADO</v>
      </c>
      <c r="AH125" t="str">
        <f>ESTADISTICA!AH123</f>
        <v>APAGADO</v>
      </c>
      <c r="AI125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str">
        <f>ESTADISTICA!AH138</f>
        <v>APAGADO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 t="str">
        <f>ESTADISTICA!AG146</f>
        <v>APAGADO</v>
      </c>
      <c r="AH148" t="str">
        <f>ESTADISTICA!AH146</f>
        <v>APAGADO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t="str">
        <f>ESTADISTICA!AH154</f>
        <v>APAGADO</v>
      </c>
      <c r="AI156" t="str">
        <f>ESTADISTICA!AI154</f>
        <v>APAGADO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t="str">
        <f>ESTADISTICA!AH155</f>
        <v>APAGADO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 t="str">
        <f>ESTADISTICA!AF157</f>
        <v>APAGADO</v>
      </c>
      <c r="AG159" t="str">
        <f>ESTADISTICA!AG157</f>
        <v>APAGADO</v>
      </c>
      <c r="AH159" t="str">
        <f>ESTADISTICA!AH157</f>
        <v>APAGADO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 t="str">
        <f>ESTADISTICA!AG158</f>
        <v>APAGADO</v>
      </c>
      <c r="AH160" t="str">
        <f>ESTADISTICA!AH158</f>
        <v>APAGADO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 t="str">
        <f>ESTADISTICA!AG159</f>
        <v>APAGADO</v>
      </c>
      <c r="AH161" t="str">
        <f>ESTADISTICA!AH159</f>
        <v>APAGADO</v>
      </c>
      <c r="AI161" t="str">
        <f>ESTADISTICA!AI159</f>
        <v>APAGADO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 t="str">
        <f>ESTADISTICA!AG161</f>
        <v>APAGADO</v>
      </c>
      <c r="AH163" t="str">
        <f>ESTADISTICA!AH161</f>
        <v>APAGADO</v>
      </c>
      <c r="AI163" t="str">
        <f>ESTADISTICA!AI161</f>
        <v>APAGADO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 t="str">
        <f>ESTADISTICA!AF165</f>
        <v>APAGADO</v>
      </c>
      <c r="AG167" t="str">
        <f>ESTADISTICA!AG165</f>
        <v>APAGADO</v>
      </c>
      <c r="AH167" t="str">
        <f>ESTADISTICA!AH165</f>
        <v>APAGADO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 t="str">
        <f>ESTADISTICA!AF169</f>
        <v>APAGADO</v>
      </c>
      <c r="AG171" t="str">
        <f>ESTADISTICA!AG169</f>
        <v>APAGADO</v>
      </c>
      <c r="AH171" t="str">
        <f>ESTADISTICA!AH169</f>
        <v>APAGADO</v>
      </c>
      <c r="AI171" t="str">
        <f>ESTADISTICA!AI169</f>
        <v>APAGADO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 t="str">
        <f>ESTADISTICA!AI180</f>
        <v>APAGADO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 t="str">
        <f>ESTADISTICA!AI182</f>
        <v>APAGADO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 t="str">
        <f>ESTADISTICA!AI183</f>
        <v>APAGADO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 t="str">
        <f>ESTADISTICA!AF205</f>
        <v>APAGADO</v>
      </c>
      <c r="AG207" t="str">
        <f>ESTADISTICA!AG205</f>
        <v>APAGADO</v>
      </c>
      <c r="AH207" t="str">
        <f>ESTADISTICA!AH205</f>
        <v>APAGADO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 t="str">
        <f>ESTADISTICA!AF220</f>
        <v>APAGADO</v>
      </c>
      <c r="AG222" t="str">
        <f>ESTADISTICA!AG220</f>
        <v>APAGADO</v>
      </c>
      <c r="AH222" t="str">
        <f>ESTADISTICA!AH220</f>
        <v>APAGADO</v>
      </c>
      <c r="AI222" t="str">
        <f>ESTADISTICA!AI220</f>
        <v>APAGADO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 t="str">
        <f>ESTADISTICA!AG221</f>
        <v>APAGADO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 t="str">
        <f>ESTADISTICA!AF225</f>
        <v>APAGADO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t="str">
        <f>ESTADISTICA!AH260</f>
        <v>APAGADO</v>
      </c>
      <c r="AI262" t="str">
        <f>ESTADISTICA!AI260</f>
        <v>APAGADO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 t="str">
        <f>ESTADISTICA!AG298</f>
        <v>APAGADO</v>
      </c>
      <c r="AH300" t="str">
        <f>ESTADISTICA!AH298</f>
        <v>APAGADO</v>
      </c>
      <c r="AI300" t="str">
        <f>ESTADISTICA!AI298</f>
        <v>APAGADO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 t="str">
        <f>ESTADISTICA!AG299</f>
        <v>APAGADO</v>
      </c>
      <c r="AH301" t="str">
        <f>ESTADISTICA!AH299</f>
        <v>APAGADO</v>
      </c>
      <c r="AI301" t="str">
        <f>ESTADISTICA!AI299</f>
        <v>APAGADO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 t="str">
        <f>ESTADISTICA!AG300</f>
        <v>APAGADO</v>
      </c>
      <c r="AH302" t="str">
        <f>ESTADISTICA!AH300</f>
        <v>APAGADO</v>
      </c>
      <c r="AI302" t="str">
        <f>ESTADISTICA!AI300</f>
        <v>APAGADO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 t="str">
        <f>ESTADISTICA!AG301</f>
        <v>APAGADO</v>
      </c>
      <c r="AH303" t="str">
        <f>ESTADISTICA!AH301</f>
        <v>APAGADO</v>
      </c>
      <c r="AI303" t="str">
        <f>ESTADISTICA!AI301</f>
        <v>APAGADO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 t="str">
        <f>ESTADISTICA!AG302</f>
        <v>APAGADO</v>
      </c>
      <c r="AH304">
        <f>ESTADISTICA!AH302</f>
        <v>0</v>
      </c>
      <c r="AI304" t="str">
        <f>ESTADISTICA!AI302</f>
        <v>APAGADO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 t="str">
        <f>ESTADISTICA!AG303</f>
        <v>APAGADO</v>
      </c>
      <c r="AH305" t="str">
        <f>ESTADISTICA!AH303</f>
        <v>APAGADO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 t="str">
        <f>ESTADISTICA!AF306</f>
        <v>APAGADO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 t="str">
        <f>ESTADISTICA!AF313</f>
        <v>APAGADO</v>
      </c>
      <c r="AG315" t="str">
        <f>ESTADISTICA!AG313</f>
        <v>APAGADO</v>
      </c>
      <c r="AH315" t="str">
        <f>ESTADISTICA!AH313</f>
        <v>APAGADO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 t="str">
        <f>ESTADISTICA!AF314</f>
        <v>APAGADO</v>
      </c>
      <c r="AG316" t="str">
        <f>ESTADISTICA!AG314</f>
        <v>APAGADO</v>
      </c>
      <c r="AH316" t="str">
        <f>ESTADISTICA!AH314</f>
        <v>APAGADO</v>
      </c>
      <c r="AI316" t="str">
        <f>ESTADISTICA!AI314</f>
        <v>APAGADO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 t="str">
        <f>ESTADISTICA!AF319</f>
        <v>APAGADO</v>
      </c>
      <c r="AG321" t="str">
        <f>ESTADISTICA!AG319</f>
        <v>APAGADO</v>
      </c>
      <c r="AH321" t="str">
        <f>ESTADISTICA!AH319</f>
        <v>APAGADO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 t="str">
        <f>ESTADISTICA!AF320</f>
        <v>APAGADO</v>
      </c>
      <c r="AG322" t="str">
        <f>ESTADISTICA!AG320</f>
        <v>APAGADO</v>
      </c>
      <c r="AH322" t="str">
        <f>ESTADISTICA!AH320</f>
        <v>APAGADO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 t="str">
        <f>ESTADISTICA!AF326</f>
        <v>APAGADO</v>
      </c>
      <c r="AG328" t="str">
        <f>ESTADISTICA!AG326</f>
        <v>APAGADO</v>
      </c>
      <c r="AH328" t="str">
        <f>ESTADISTICA!AH326</f>
        <v>APAGADO</v>
      </c>
      <c r="AI328" t="str">
        <f>ESTADISTICA!AI326</f>
        <v>APAGADO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 t="str">
        <f>ESTADISTICA!AF327</f>
        <v>APAGADO</v>
      </c>
      <c r="AG329" t="str">
        <f>ESTADISTICA!AG327</f>
        <v>APAGADO</v>
      </c>
      <c r="AH329" t="str">
        <f>ESTADISTICA!AH327</f>
        <v>APAGADO</v>
      </c>
      <c r="AI329" t="str">
        <f>ESTADISTICA!AI327</f>
        <v>APAGADO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 t="str">
        <f>ESTADISTICA!AF328</f>
        <v>APAGADO</v>
      </c>
      <c r="AG330" t="str">
        <f>ESTADISTICA!AG328</f>
        <v>APAGADO</v>
      </c>
      <c r="AH330" t="str">
        <f>ESTADISTICA!AH328</f>
        <v>APAGADO</v>
      </c>
      <c r="AI330" t="str">
        <f>ESTADISTICA!AI328</f>
        <v>APAGADO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 t="str">
        <f>ESTADISTICA!AF329</f>
        <v>APAGADO</v>
      </c>
      <c r="AG331" t="str">
        <f>ESTADISTICA!AG329</f>
        <v>APAGADO</v>
      </c>
      <c r="AH331" t="str">
        <f>ESTADISTICA!AH329</f>
        <v>APAGADO</v>
      </c>
      <c r="AI331" t="str">
        <f>ESTADISTICA!AI329</f>
        <v>APAGADO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 t="str">
        <f>ESTADISTICA!AH330</f>
        <v>APAGADO</v>
      </c>
      <c r="AI332" t="str">
        <f>ESTADISTICA!AI330</f>
        <v>APAGADO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 t="str">
        <f>ESTADISTICA!AF331</f>
        <v>APAGADO</v>
      </c>
      <c r="AG333" t="str">
        <f>ESTADISTICA!AG331</f>
        <v>APAGADO</v>
      </c>
      <c r="AH333" t="str">
        <f>ESTADISTICA!AH331</f>
        <v>APAGADO</v>
      </c>
      <c r="AI333" t="str">
        <f>ESTADISTICA!AI331</f>
        <v>APAGADO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t="str">
        <f>ESTADISTICA!AH332</f>
        <v>APAGADO</v>
      </c>
      <c r="AI334" t="str">
        <f>ESTADISTICA!AI332</f>
        <v>APAGADO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 t="str">
        <f>ESTADISTICA!AF336</f>
        <v>APAGADO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 t="str">
        <f>ESTADISTICA!AH353</f>
        <v>APAGADO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str">
        <f>ESTADISTICA!AH358</f>
        <v>APAGADO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 t="str">
        <f>ESTADISTICA!AG369</f>
        <v>APAGADO</v>
      </c>
      <c r="AH371" s="50" t="str">
        <f>ESTADISTICA!AH369</f>
        <v>APAGADO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 t="str">
        <f>ESTADISTICA!AG370</f>
        <v>APAGADO</v>
      </c>
      <c r="AH372" s="50" t="str">
        <f>ESTADISTICA!AH370</f>
        <v>APAGADO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 t="str">
        <f>ESTADISTICA!AF379</f>
        <v>APAGADO</v>
      </c>
      <c r="AG381" s="50" t="str">
        <f>ESTADISTICA!AG379</f>
        <v>APAGADO</v>
      </c>
      <c r="AH381" s="50" t="str">
        <f>ESTADISTICA!AH379</f>
        <v>APAGADO</v>
      </c>
      <c r="AI381" s="50" t="str">
        <f>ESTADISTICA!AI379</f>
        <v>APAGADO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 t="str">
        <f>ESTADISTICA!AF382</f>
        <v>APAGADO</v>
      </c>
      <c r="AG384" s="50" t="str">
        <f>ESTADISTICA!AG382</f>
        <v>APAGADO</v>
      </c>
      <c r="AH384" s="50" t="str">
        <f>ESTADISTICA!AH382</f>
        <v>APAGADO</v>
      </c>
      <c r="AI384" s="50" t="str">
        <f>ESTADISTICA!AI382</f>
        <v>APAGADO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 t="str">
        <f>ESTADISTICA!AF389</f>
        <v>APAGADO</v>
      </c>
      <c r="AG391" s="50" t="str">
        <f>ESTADISTICA!AG389</f>
        <v>APAGADO</v>
      </c>
      <c r="AH391" s="50" t="str">
        <f>ESTADISTICA!AH389</f>
        <v>APAGADO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 t="str">
        <f>ESTADISTICA!I405</f>
        <v>APAGADO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 t="str">
        <f>ESTADISTICA!I406</f>
        <v>APAGADO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 t="str">
        <f>ESTADISTICA!I407</f>
        <v>APAGADO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 t="str">
        <f>ESTADISTICA!I408</f>
        <v>APAGADO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3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3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89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20</v>
      </c>
      <c r="I2" s="25">
        <f>COUNTIFS(I4:I500, "=APAGADO",E4:E500,"=radio")</f>
        <v>21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6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4</v>
      </c>
      <c r="Y2" s="25">
        <f>COUNTIFS(Y4:Y367, "=APAGADO",E4:E367,"=radio")</f>
        <v>3</v>
      </c>
      <c r="Z2" s="25">
        <f>COUNTIFS(Z4:Z367, "=APAGADO",E4:E367,"=radio")</f>
        <v>1</v>
      </c>
      <c r="AA2" s="25">
        <f>COUNTIFS(AA4:AA367, "=APAGADO",E4:E367,"=radio")</f>
        <v>4</v>
      </c>
      <c r="AB2" s="25">
        <f>COUNTIFS(AB4:AB367, "=APAGADO",E4:E367,"=radio")</f>
        <v>2</v>
      </c>
      <c r="AC2" s="25">
        <f>COUNTIFS(AC4:AC367, "=APAGADO",E4:E367,"=radio")</f>
        <v>6</v>
      </c>
      <c r="AD2" s="25">
        <f>COUNTIFS(AD4:AD367, "=APAGADO",E4:E367,"=radio")</f>
        <v>2</v>
      </c>
      <c r="AE2" s="25">
        <f>COUNTIFS(AE4:AE367, "=APAGADO",E4:E367,"=radio")</f>
        <v>2</v>
      </c>
      <c r="AF2" s="25">
        <f>COUNTIFS(AF4:AF367, "=APAGADO",E4:E367,"=radio")</f>
        <v>5</v>
      </c>
      <c r="AG2" s="25">
        <f>COUNTIFS(AG4:AG367, "=APAGADO",E4:E367,"=radio")</f>
        <v>3</v>
      </c>
      <c r="AH2" s="25">
        <f>COUNTIFS(AH4:AH400, "=APAGADO",E4:E400,"=radio")</f>
        <v>2</v>
      </c>
      <c r="AI2" s="25">
        <f>COUNTIFS(AI4:AI367, "=APAGADO",E4:E367,"=radio")</f>
        <v>3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 t="str">
        <f>ESTADISTICA!AI4</f>
        <v>APAGADO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 t="str">
        <f>ESTADISTICA!AF5</f>
        <v>APAGADO</v>
      </c>
      <c r="AG7" t="str">
        <f>ESTADISTICA!AG5</f>
        <v>APAGADO</v>
      </c>
      <c r="AH7" t="str">
        <f>ESTADISTICA!AH5</f>
        <v>APAGADO</v>
      </c>
      <c r="AI7" t="str">
        <f>ESTADISTICA!AI5</f>
        <v>APAGADO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 t="str">
        <f>ESTADISTICA!AF6</f>
        <v>APAGADO</v>
      </c>
      <c r="AG8" t="str">
        <f>ESTADISTICA!AG6</f>
        <v>APAGADO</v>
      </c>
      <c r="AH8" t="str">
        <f>ESTADISTICA!AH6</f>
        <v>APAGADO</v>
      </c>
      <c r="AI8" t="str">
        <f>ESTADISTICA!AI6</f>
        <v>APAGADO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 t="str">
        <f>ESTADISTICA!AI7</f>
        <v>APAGADO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 t="str">
        <f>ESTADISTICA!AF9</f>
        <v>APAGADO</v>
      </c>
      <c r="AG11" t="str">
        <f>ESTADISTICA!AG9</f>
        <v>APAGADO</v>
      </c>
      <c r="AH11" t="str">
        <f>ESTADISTICA!AH9</f>
        <v>APAGADO</v>
      </c>
      <c r="AI11" t="str">
        <f>ESTADISTICA!AI9</f>
        <v>APAGADO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 t="str">
        <f>ESTADISTICA!AI10</f>
        <v>APAGADO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 t="str">
        <f>ESTADISTICA!AI11</f>
        <v>APAGADO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 t="str">
        <f>ESTADISTICA!AH13</f>
        <v>APAGADO</v>
      </c>
      <c r="AI15" t="str">
        <f>ESTADISTICA!AI13</f>
        <v>APAGADO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 t="str">
        <f>ESTADISTICA!AH28</f>
        <v>APAGADO</v>
      </c>
      <c r="AI30" t="str">
        <f>ESTADISTICA!AI28</f>
        <v>APAGADO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 t="str">
        <f>ESTADISTICA!AG31</f>
        <v>APAGADO</v>
      </c>
      <c r="AH33" t="str">
        <f>ESTADISTICA!AH31</f>
        <v>APAGADO</v>
      </c>
      <c r="AI33" t="str">
        <f>ESTADISTICA!AI31</f>
        <v>APAGADO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 t="str">
        <f>ESTADISTICA!AF37</f>
        <v>APAGADO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 t="str">
        <f>ESTADISTICA!AF39</f>
        <v>APAGADO</v>
      </c>
      <c r="AG41" t="str">
        <f>ESTADISTICA!AG39</f>
        <v>APAGADO</v>
      </c>
      <c r="AH41" t="str">
        <f>ESTADISTICA!AH39</f>
        <v>APAGADO</v>
      </c>
      <c r="AI41" t="str">
        <f>ESTADISTICA!AI39</f>
        <v>APAGADO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str">
        <f>ESTADISTICA!AH47</f>
        <v>APAGADO</v>
      </c>
      <c r="AI49" t="str">
        <f>ESTADISTICA!AI47</f>
        <v>APAGADO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 t="str">
        <f>ESTADISTICA!AI60</f>
        <v>APAGADO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 t="str">
        <f>ESTADISTICA!AI63</f>
        <v>APAGADO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 t="str">
        <f>ESTADISTICA!AF68</f>
        <v>APAGADO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 t="str">
        <f>ESTADISTICA!AG78</f>
        <v>APAGADO</v>
      </c>
      <c r="AH80" t="str">
        <f>ESTADISTICA!AH78</f>
        <v>APAGADO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 t="str">
        <f>ESTADISTICA!AG79</f>
        <v>APAGADO</v>
      </c>
      <c r="AH81" t="str">
        <f>ESTADISTICA!AH79</f>
        <v>APAGADO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 t="str">
        <f>ESTADISTICA!AF85</f>
        <v>APAGADO</v>
      </c>
      <c r="AG87" t="str">
        <f>ESTADISTICA!AG85</f>
        <v>APAGADO</v>
      </c>
      <c r="AH87" t="str">
        <f>ESTADISTICA!AH85</f>
        <v>APAGADO</v>
      </c>
      <c r="AI87" t="str">
        <f>ESTADISTICA!AI85</f>
        <v>APAGADO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t="str">
        <f>ESTADISTICA!AH92</f>
        <v>APAGADO</v>
      </c>
      <c r="AI94" t="str">
        <f>ESTADISTICA!AI92</f>
        <v>APAGADO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 t="str">
        <f>ESTADISTICA!AI93</f>
        <v>APAGADO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 t="str">
        <f>ESTADISTICA!AG97</f>
        <v>APAGADO</v>
      </c>
      <c r="AH99" t="str">
        <f>ESTADISTICA!AH97</f>
        <v>APAGADO</v>
      </c>
      <c r="AI99" t="str">
        <f>ESTADISTICA!AI97</f>
        <v>APAGADO</v>
      </c>
    </row>
    <row r="100" spans="1:35" hidden="1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 t="str">
        <f>ESTADISTICA!AG114</f>
        <v>APAGADO</v>
      </c>
      <c r="AH116" t="str">
        <f>ESTADISTICA!AH114</f>
        <v>APAGADO</v>
      </c>
      <c r="AI116" t="str">
        <f>ESTADISTICA!AI114</f>
        <v>APAGADO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t="str">
        <f>ESTADISTICA!AH115</f>
        <v>APAGADO</v>
      </c>
      <c r="AI117" t="str">
        <f>ESTADISTICA!AI115</f>
        <v>APAGADO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 t="str">
        <f>ESTADISTICA!AG119</f>
        <v>APAGADO</v>
      </c>
      <c r="AH121" t="str">
        <f>ESTADISTICA!AH119</f>
        <v>APAGADO</v>
      </c>
      <c r="AI121" t="str">
        <f>ESTADISTICA!AI119</f>
        <v>APAGADO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 t="str">
        <f>ESTADISTICA!AF122</f>
        <v>APAGADO</v>
      </c>
      <c r="AG124" t="str">
        <f>ESTADISTICA!AG122</f>
        <v>APAGADO</v>
      </c>
      <c r="AH124" t="str">
        <f>ESTADISTICA!AH122</f>
        <v>APAGADO</v>
      </c>
      <c r="AI124">
        <f>ESTADISTICA!AI122</f>
        <v>0</v>
      </c>
    </row>
    <row r="125" spans="1:35" hidden="1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 t="str">
        <f>ESTADISTICA!AF123</f>
        <v>APAGADO</v>
      </c>
      <c r="AG125" t="str">
        <f>ESTADISTICA!AG123</f>
        <v>APAGADO</v>
      </c>
      <c r="AH125" t="str">
        <f>ESTADISTICA!AH123</f>
        <v>APAGADO</v>
      </c>
      <c r="AI125">
        <f>ESTADISTICA!AI123</f>
        <v>0</v>
      </c>
    </row>
    <row r="126" spans="1:35" hidden="1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str">
        <f>ESTADISTICA!AH138</f>
        <v>APAGADO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 t="str">
        <f>ESTADISTICA!AG146</f>
        <v>APAGADO</v>
      </c>
      <c r="AH148" t="str">
        <f>ESTADISTICA!AH146</f>
        <v>APAGADO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t="str">
        <f>ESTADISTICA!AH154</f>
        <v>APAGADO</v>
      </c>
      <c r="AI156" t="str">
        <f>ESTADISTICA!AI154</f>
        <v>APAGADO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t="str">
        <f>ESTADISTICA!AH155</f>
        <v>APAGADO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 t="str">
        <f>ESTADISTICA!AF157</f>
        <v>APAGADO</v>
      </c>
      <c r="AG159" t="str">
        <f>ESTADISTICA!AG157</f>
        <v>APAGADO</v>
      </c>
      <c r="AH159" t="str">
        <f>ESTADISTICA!AH157</f>
        <v>APAGADO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 t="str">
        <f>ESTADISTICA!AG158</f>
        <v>APAGADO</v>
      </c>
      <c r="AH160" t="str">
        <f>ESTADISTICA!AH158</f>
        <v>APAGADO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 t="str">
        <f>ESTADISTICA!AG159</f>
        <v>APAGADO</v>
      </c>
      <c r="AH161" t="str">
        <f>ESTADISTICA!AH159</f>
        <v>APAGADO</v>
      </c>
      <c r="AI161" t="str">
        <f>ESTADISTICA!AI159</f>
        <v>APAGADO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 t="str">
        <f>ESTADISTICA!AG161</f>
        <v>APAGADO</v>
      </c>
      <c r="AH163" t="str">
        <f>ESTADISTICA!AH161</f>
        <v>APAGADO</v>
      </c>
      <c r="AI163" t="str">
        <f>ESTADISTICA!AI161</f>
        <v>APAGADO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 t="str">
        <f>ESTADISTICA!AF165</f>
        <v>APAGADO</v>
      </c>
      <c r="AG167" t="str">
        <f>ESTADISTICA!AG165</f>
        <v>APAGADO</v>
      </c>
      <c r="AH167" t="str">
        <f>ESTADISTICA!AH165</f>
        <v>APAGADO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 t="str">
        <f>ESTADISTICA!AF169</f>
        <v>APAGADO</v>
      </c>
      <c r="AG171" t="str">
        <f>ESTADISTICA!AG169</f>
        <v>APAGADO</v>
      </c>
      <c r="AH171" t="str">
        <f>ESTADISTICA!AH169</f>
        <v>APAGADO</v>
      </c>
      <c r="AI171" t="str">
        <f>ESTADISTICA!AI169</f>
        <v>APAGADO</v>
      </c>
    </row>
    <row r="172" spans="1:35" hidden="1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 t="str">
        <f>ESTADISTICA!AI180</f>
        <v>APAGADO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 t="str">
        <f>ESTADISTICA!AI182</f>
        <v>APAGADO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 t="str">
        <f>ESTADISTICA!AI183</f>
        <v>APAGADO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 t="str">
        <f>ESTADISTICA!AF205</f>
        <v>APAGADO</v>
      </c>
      <c r="AG207" t="str">
        <f>ESTADISTICA!AG205</f>
        <v>APAGADO</v>
      </c>
      <c r="AH207" t="str">
        <f>ESTADISTICA!AH205</f>
        <v>APAGADO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 t="str">
        <f>ESTADISTICA!AF220</f>
        <v>APAGADO</v>
      </c>
      <c r="AG222" t="str">
        <f>ESTADISTICA!AG220</f>
        <v>APAGADO</v>
      </c>
      <c r="AH222" t="str">
        <f>ESTADISTICA!AH220</f>
        <v>APAGADO</v>
      </c>
      <c r="AI222" t="str">
        <f>ESTADISTICA!AI220</f>
        <v>APAGADO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 t="str">
        <f>ESTADISTICA!AG221</f>
        <v>APAGADO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 t="str">
        <f>ESTADISTICA!AF225</f>
        <v>APAGADO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t="str">
        <f>ESTADISTICA!AH260</f>
        <v>APAGADO</v>
      </c>
      <c r="AI262" t="str">
        <f>ESTADISTICA!AI260</f>
        <v>APAGADO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 t="str">
        <f>ESTADISTICA!AG298</f>
        <v>APAGADO</v>
      </c>
      <c r="AH300" t="str">
        <f>ESTADISTICA!AH298</f>
        <v>APAGADO</v>
      </c>
      <c r="AI300" t="str">
        <f>ESTADISTICA!AI298</f>
        <v>APAGADO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 t="str">
        <f>ESTADISTICA!AG299</f>
        <v>APAGADO</v>
      </c>
      <c r="AH301" t="str">
        <f>ESTADISTICA!AH299</f>
        <v>APAGADO</v>
      </c>
      <c r="AI301" t="str">
        <f>ESTADISTICA!AI299</f>
        <v>APAGADO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 t="str">
        <f>ESTADISTICA!AG300</f>
        <v>APAGADO</v>
      </c>
      <c r="AH302" t="str">
        <f>ESTADISTICA!AH300</f>
        <v>APAGADO</v>
      </c>
      <c r="AI302" t="str">
        <f>ESTADISTICA!AI300</f>
        <v>APAGADO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 t="str">
        <f>ESTADISTICA!AG301</f>
        <v>APAGADO</v>
      </c>
      <c r="AH303" t="str">
        <f>ESTADISTICA!AH301</f>
        <v>APAGADO</v>
      </c>
      <c r="AI303" t="str">
        <f>ESTADISTICA!AI301</f>
        <v>APAGADO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 t="str">
        <f>ESTADISTICA!AG302</f>
        <v>APAGADO</v>
      </c>
      <c r="AH304">
        <f>ESTADISTICA!AH302</f>
        <v>0</v>
      </c>
      <c r="AI304" t="str">
        <f>ESTADISTICA!AI302</f>
        <v>APAGADO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 t="str">
        <f>ESTADISTICA!AG303</f>
        <v>APAGADO</v>
      </c>
      <c r="AH305" t="str">
        <f>ESTADISTICA!AH303</f>
        <v>APAGADO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 t="str">
        <f>ESTADISTICA!AF306</f>
        <v>APAGADO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 t="str">
        <f>ESTADISTICA!AF313</f>
        <v>APAGADO</v>
      </c>
      <c r="AG315" t="str">
        <f>ESTADISTICA!AG313</f>
        <v>APAGADO</v>
      </c>
      <c r="AH315" t="str">
        <f>ESTADISTICA!AH313</f>
        <v>APAGADO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 t="str">
        <f>ESTADISTICA!AF314</f>
        <v>APAGADO</v>
      </c>
      <c r="AG316" t="str">
        <f>ESTADISTICA!AG314</f>
        <v>APAGADO</v>
      </c>
      <c r="AH316" t="str">
        <f>ESTADISTICA!AH314</f>
        <v>APAGADO</v>
      </c>
      <c r="AI316" t="str">
        <f>ESTADISTICA!AI314</f>
        <v>APAGADO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 t="str">
        <f>ESTADISTICA!AF319</f>
        <v>APAGADO</v>
      </c>
      <c r="AG321" t="str">
        <f>ESTADISTICA!AG319</f>
        <v>APAGADO</v>
      </c>
      <c r="AH321" t="str">
        <f>ESTADISTICA!AH319</f>
        <v>APAGADO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 t="str">
        <f>ESTADISTICA!AF320</f>
        <v>APAGADO</v>
      </c>
      <c r="AG322" t="str">
        <f>ESTADISTICA!AG320</f>
        <v>APAGADO</v>
      </c>
      <c r="AH322" t="str">
        <f>ESTADISTICA!AH320</f>
        <v>APAGADO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 t="str">
        <f>ESTADISTICA!AF326</f>
        <v>APAGADO</v>
      </c>
      <c r="AG328" t="str">
        <f>ESTADISTICA!AG326</f>
        <v>APAGADO</v>
      </c>
      <c r="AH328" t="str">
        <f>ESTADISTICA!AH326</f>
        <v>APAGADO</v>
      </c>
      <c r="AI328" t="str">
        <f>ESTADISTICA!AI326</f>
        <v>APAGADO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 t="str">
        <f>ESTADISTICA!AF327</f>
        <v>APAGADO</v>
      </c>
      <c r="AG329" t="str">
        <f>ESTADISTICA!AG327</f>
        <v>APAGADO</v>
      </c>
      <c r="AH329" t="str">
        <f>ESTADISTICA!AH327</f>
        <v>APAGADO</v>
      </c>
      <c r="AI329" t="str">
        <f>ESTADISTICA!AI327</f>
        <v>APAGADO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 t="str">
        <f>ESTADISTICA!AF328</f>
        <v>APAGADO</v>
      </c>
      <c r="AG330" t="str">
        <f>ESTADISTICA!AG328</f>
        <v>APAGADO</v>
      </c>
      <c r="AH330" t="str">
        <f>ESTADISTICA!AH328</f>
        <v>APAGADO</v>
      </c>
      <c r="AI330" t="str">
        <f>ESTADISTICA!AI328</f>
        <v>APAGADO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 t="str">
        <f>ESTADISTICA!AF329</f>
        <v>APAGADO</v>
      </c>
      <c r="AG331" t="str">
        <f>ESTADISTICA!AG329</f>
        <v>APAGADO</v>
      </c>
      <c r="AH331" t="str">
        <f>ESTADISTICA!AH329</f>
        <v>APAGADO</v>
      </c>
      <c r="AI331" t="str">
        <f>ESTADISTICA!AI329</f>
        <v>APAGADO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 t="str">
        <f>ESTADISTICA!AH330</f>
        <v>APAGADO</v>
      </c>
      <c r="AI332" t="str">
        <f>ESTADISTICA!AI330</f>
        <v>APAGADO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 t="str">
        <f>ESTADISTICA!AF331</f>
        <v>APAGADO</v>
      </c>
      <c r="AG333" t="str">
        <f>ESTADISTICA!AG331</f>
        <v>APAGADO</v>
      </c>
      <c r="AH333" t="str">
        <f>ESTADISTICA!AH331</f>
        <v>APAGADO</v>
      </c>
      <c r="AI333" t="str">
        <f>ESTADISTICA!AI331</f>
        <v>APAGADO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t="str">
        <f>ESTADISTICA!AH332</f>
        <v>APAGADO</v>
      </c>
      <c r="AI334" t="str">
        <f>ESTADISTICA!AI332</f>
        <v>APAGADO</v>
      </c>
    </row>
    <row r="335" spans="1:35" hidden="1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 t="str">
        <f>ESTADISTICA!AF336</f>
        <v>APAGADO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 t="str">
        <f>ESTADISTICA!AH353</f>
        <v>APAGADO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str">
        <f>ESTADISTICA!AH358</f>
        <v>APAGADO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 t="str">
        <f>ESTADISTICA!AG369</f>
        <v>APAGADO</v>
      </c>
      <c r="AH371" s="50" t="str">
        <f>ESTADISTICA!AH369</f>
        <v>APAGADO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 t="str">
        <f>ESTADISTICA!AG370</f>
        <v>APAGADO</v>
      </c>
      <c r="AH372" s="50" t="str">
        <f>ESTADISTICA!AH370</f>
        <v>APAGADO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 t="str">
        <f>ESTADISTICA!AF379</f>
        <v>APAGADO</v>
      </c>
      <c r="AG381" s="50" t="str">
        <f>ESTADISTICA!AG379</f>
        <v>APAGADO</v>
      </c>
      <c r="AH381" s="50" t="str">
        <f>ESTADISTICA!AH379</f>
        <v>APAGADO</v>
      </c>
      <c r="AI381" s="50" t="str">
        <f>ESTADISTICA!AI379</f>
        <v>APAGADO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 t="str">
        <f>ESTADISTICA!AF382</f>
        <v>APAGADO</v>
      </c>
      <c r="AG384" s="50" t="str">
        <f>ESTADISTICA!AG382</f>
        <v>APAGADO</v>
      </c>
      <c r="AH384" s="50" t="str">
        <f>ESTADISTICA!AH382</f>
        <v>APAGADO</v>
      </c>
      <c r="AI384" s="50" t="str">
        <f>ESTADISTICA!AI382</f>
        <v>APAGADO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 t="str">
        <f>ESTADISTICA!AF389</f>
        <v>APAGADO</v>
      </c>
      <c r="AG391" s="50" t="str">
        <f>ESTADISTICA!AG389</f>
        <v>APAGADO</v>
      </c>
      <c r="AH391" s="50" t="str">
        <f>ESTADISTICA!AH389</f>
        <v>APAGADO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77"/>
  <sheetViews>
    <sheetView topLeftCell="A43" workbookViewId="0">
      <selection activeCell="A72" sqref="A72:E76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>
        <v>395</v>
      </c>
      <c r="C2" s="88"/>
      <c r="D2" s="89"/>
      <c r="E2" s="143">
        <v>44805</v>
      </c>
    </row>
    <row r="3" spans="1:13" ht="15" customHeight="1" thickTop="1" x14ac:dyDescent="0.3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44"/>
      <c r="G3" s="94"/>
      <c r="H3" s="95"/>
      <c r="I3" s="95"/>
      <c r="J3" s="95"/>
      <c r="K3" s="96"/>
      <c r="L3" s="97"/>
      <c r="M3" s="140"/>
    </row>
    <row r="4" spans="1:13" x14ac:dyDescent="0.3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44"/>
      <c r="G4" s="98"/>
      <c r="H4" s="99"/>
      <c r="I4" s="99"/>
      <c r="J4" s="99"/>
      <c r="K4" s="100"/>
      <c r="L4" s="101"/>
      <c r="M4" s="141"/>
    </row>
    <row r="5" spans="1:13" x14ac:dyDescent="0.3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44"/>
      <c r="G5" s="98"/>
      <c r="H5" s="99"/>
      <c r="I5" s="99"/>
      <c r="J5" s="99"/>
      <c r="K5" s="100"/>
      <c r="L5" s="101"/>
      <c r="M5" s="141"/>
    </row>
    <row r="6" spans="1:13" ht="15" thickBot="1" x14ac:dyDescent="0.35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45"/>
      <c r="G6" s="98"/>
      <c r="H6" s="99"/>
      <c r="I6" s="99"/>
      <c r="J6" s="99"/>
      <c r="K6" s="100"/>
      <c r="L6" s="101"/>
      <c r="M6" s="141"/>
    </row>
    <row r="7" spans="1:13" ht="15" customHeight="1" thickTop="1" x14ac:dyDescent="0.3">
      <c r="A7" s="86" t="s">
        <v>999</v>
      </c>
      <c r="B7" s="87">
        <v>395</v>
      </c>
      <c r="C7" s="88"/>
      <c r="D7" s="89"/>
      <c r="E7" s="143">
        <v>44809</v>
      </c>
      <c r="G7" s="98"/>
      <c r="H7" s="99"/>
      <c r="I7" s="99"/>
      <c r="J7" s="99"/>
      <c r="K7" s="100"/>
      <c r="L7" s="101"/>
      <c r="M7" s="141"/>
    </row>
    <row r="8" spans="1:13" ht="15" thickBot="1" x14ac:dyDescent="0.35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44"/>
      <c r="G8" s="106"/>
      <c r="H8" s="107"/>
      <c r="I8" s="107"/>
      <c r="J8" s="107"/>
      <c r="K8" s="108"/>
      <c r="L8" s="109"/>
      <c r="M8" s="146"/>
    </row>
    <row r="9" spans="1:13" ht="15.6" thickTop="1" thickBot="1" x14ac:dyDescent="0.35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44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44"/>
      <c r="G10" s="114"/>
      <c r="H10" s="115"/>
      <c r="I10" s="115"/>
      <c r="J10" s="115"/>
      <c r="K10" s="116"/>
      <c r="L10" s="117"/>
      <c r="M10" s="140"/>
    </row>
    <row r="11" spans="1:13" ht="15" thickBot="1" x14ac:dyDescent="0.35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45"/>
      <c r="G11" s="118"/>
      <c r="H11" s="111"/>
      <c r="I11" s="111"/>
      <c r="J11" s="111"/>
      <c r="K11" s="112"/>
      <c r="L11" s="119"/>
      <c r="M11" s="141"/>
    </row>
    <row r="12" spans="1:13" ht="15" thickTop="1" x14ac:dyDescent="0.3">
      <c r="A12" s="86" t="s">
        <v>999</v>
      </c>
      <c r="B12" s="87">
        <v>395</v>
      </c>
      <c r="C12" s="88"/>
      <c r="D12" s="89"/>
      <c r="E12" s="143">
        <v>44810</v>
      </c>
      <c r="G12" s="118"/>
      <c r="H12" s="111"/>
      <c r="I12" s="111"/>
      <c r="J12" s="111"/>
      <c r="K12" s="112"/>
      <c r="L12" s="119"/>
      <c r="M12" s="141"/>
    </row>
    <row r="13" spans="1:13" x14ac:dyDescent="0.3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44"/>
      <c r="G13" s="118"/>
      <c r="H13" s="111"/>
      <c r="I13" s="111"/>
      <c r="J13" s="111"/>
      <c r="K13" s="112"/>
      <c r="L13" s="119"/>
      <c r="M13" s="141"/>
    </row>
    <row r="14" spans="1:13" x14ac:dyDescent="0.3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44"/>
      <c r="G14" s="118"/>
      <c r="H14" s="111"/>
      <c r="I14" s="111"/>
      <c r="J14" s="111"/>
      <c r="K14" s="112"/>
      <c r="L14" s="119"/>
      <c r="M14" s="141"/>
    </row>
    <row r="15" spans="1:13" ht="15" customHeight="1" thickBot="1" x14ac:dyDescent="0.35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44"/>
      <c r="G15" s="120"/>
      <c r="H15" s="121"/>
      <c r="I15" s="121"/>
      <c r="J15" s="121"/>
      <c r="K15" s="121"/>
      <c r="L15" s="122"/>
      <c r="M15" s="142"/>
    </row>
    <row r="16" spans="1:13" ht="15.6" thickTop="1" thickBot="1" x14ac:dyDescent="0.35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45"/>
      <c r="G16" s="123"/>
      <c r="H16" s="124"/>
      <c r="I16" s="124"/>
      <c r="J16" s="124"/>
      <c r="K16" s="125"/>
      <c r="L16" s="126"/>
      <c r="M16" s="140"/>
    </row>
    <row r="17" spans="1:14" ht="15" thickTop="1" x14ac:dyDescent="0.3">
      <c r="A17" s="86" t="s">
        <v>999</v>
      </c>
      <c r="B17" s="87">
        <v>396</v>
      </c>
      <c r="C17" s="88"/>
      <c r="D17" s="89"/>
      <c r="E17" s="143">
        <v>44813</v>
      </c>
      <c r="G17" s="127"/>
      <c r="H17" s="111"/>
      <c r="I17" s="111"/>
      <c r="J17" s="111"/>
      <c r="K17" s="112"/>
      <c r="L17" s="128"/>
      <c r="M17" s="141"/>
    </row>
    <row r="18" spans="1:14" x14ac:dyDescent="0.3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44"/>
      <c r="G18" s="127"/>
      <c r="H18" s="111"/>
      <c r="I18" s="111"/>
      <c r="J18" s="111"/>
      <c r="K18" s="112"/>
      <c r="L18" s="128"/>
      <c r="M18" s="141"/>
    </row>
    <row r="19" spans="1:14" x14ac:dyDescent="0.3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44"/>
      <c r="G19" s="127"/>
      <c r="H19" s="111"/>
      <c r="I19" s="111"/>
      <c r="J19" s="111"/>
      <c r="K19" s="112"/>
      <c r="L19" s="128"/>
      <c r="M19" s="141"/>
    </row>
    <row r="20" spans="1:14" x14ac:dyDescent="0.3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44"/>
      <c r="G20" s="127"/>
      <c r="H20" s="111"/>
      <c r="I20" s="111"/>
      <c r="J20" s="111"/>
      <c r="K20" s="112"/>
      <c r="L20" s="128"/>
      <c r="M20" s="141"/>
    </row>
    <row r="21" spans="1:14" ht="15" thickBot="1" x14ac:dyDescent="0.35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45"/>
      <c r="G21" s="120"/>
      <c r="H21" s="121"/>
      <c r="I21" s="121"/>
      <c r="J21" s="121"/>
      <c r="K21" s="121"/>
      <c r="L21" s="122"/>
      <c r="M21" s="142"/>
    </row>
    <row r="22" spans="1:14" ht="15" thickTop="1" x14ac:dyDescent="0.3">
      <c r="A22" s="86" t="s">
        <v>999</v>
      </c>
      <c r="B22" s="87">
        <v>396</v>
      </c>
      <c r="C22" s="88"/>
      <c r="D22" s="89"/>
      <c r="E22" s="143">
        <v>44817</v>
      </c>
    </row>
    <row r="23" spans="1:14" ht="15" thickBot="1" x14ac:dyDescent="0.35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44"/>
    </row>
    <row r="24" spans="1:14" ht="15" thickTop="1" x14ac:dyDescent="0.3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44"/>
      <c r="G24" s="114"/>
      <c r="H24" s="115"/>
      <c r="I24" s="115"/>
      <c r="J24" s="115"/>
      <c r="K24" s="116"/>
      <c r="L24" s="117"/>
      <c r="M24" s="140"/>
    </row>
    <row r="25" spans="1:14" x14ac:dyDescent="0.3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44"/>
      <c r="G25" s="118"/>
      <c r="H25" s="111"/>
      <c r="I25" s="111"/>
      <c r="J25" s="111"/>
      <c r="K25" s="112"/>
      <c r="L25" s="119"/>
      <c r="M25" s="141"/>
    </row>
    <row r="26" spans="1:14" ht="15" thickBot="1" x14ac:dyDescent="0.35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45"/>
      <c r="G26" s="118"/>
      <c r="H26" s="111"/>
      <c r="I26" s="111"/>
      <c r="J26" s="111"/>
      <c r="K26" s="112"/>
      <c r="L26" s="119"/>
      <c r="M26" s="141"/>
    </row>
    <row r="27" spans="1:14" ht="15" thickTop="1" x14ac:dyDescent="0.3">
      <c r="A27" s="86" t="s">
        <v>999</v>
      </c>
      <c r="B27" s="87">
        <v>396</v>
      </c>
      <c r="C27" s="88"/>
      <c r="D27" s="89"/>
      <c r="E27" s="143">
        <v>44818</v>
      </c>
      <c r="G27" s="118"/>
      <c r="H27" s="111"/>
      <c r="I27" s="111"/>
      <c r="J27" s="111"/>
      <c r="K27" s="112"/>
      <c r="L27" s="119"/>
      <c r="M27" s="141"/>
    </row>
    <row r="28" spans="1:14" x14ac:dyDescent="0.3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44"/>
      <c r="G28" s="118"/>
      <c r="H28" s="111"/>
      <c r="I28" s="111"/>
      <c r="J28" s="111"/>
      <c r="K28" s="112"/>
      <c r="L28" s="119"/>
      <c r="M28" s="141"/>
    </row>
    <row r="29" spans="1:14" ht="15" thickBot="1" x14ac:dyDescent="0.35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44"/>
      <c r="G29" s="120"/>
      <c r="H29" s="121"/>
      <c r="I29" s="121"/>
      <c r="J29" s="121"/>
      <c r="K29" s="121"/>
      <c r="L29" s="122"/>
      <c r="M29" s="142"/>
    </row>
    <row r="30" spans="1:14" ht="15.6" thickTop="1" thickBot="1" x14ac:dyDescent="0.35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44"/>
    </row>
    <row r="31" spans="1:14" ht="15.6" thickTop="1" thickBot="1" x14ac:dyDescent="0.35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45"/>
      <c r="G31" s="123"/>
      <c r="H31" s="129"/>
      <c r="I31" s="124"/>
      <c r="J31" s="124"/>
      <c r="K31" s="124"/>
      <c r="L31" s="125"/>
      <c r="M31" s="126"/>
      <c r="N31" s="138"/>
    </row>
    <row r="32" spans="1:14" ht="15" thickTop="1" x14ac:dyDescent="0.3">
      <c r="A32" s="86" t="s">
        <v>999</v>
      </c>
      <c r="B32" s="87">
        <v>396</v>
      </c>
      <c r="C32" s="88"/>
      <c r="D32" s="89"/>
      <c r="E32" s="143">
        <v>44820</v>
      </c>
      <c r="G32" s="127"/>
      <c r="H32" s="110"/>
      <c r="I32" s="111"/>
      <c r="J32" s="111"/>
      <c r="K32" s="111"/>
      <c r="L32" s="112"/>
      <c r="M32" s="128"/>
      <c r="N32" s="139"/>
    </row>
    <row r="33" spans="1:14" ht="15" thickBot="1" x14ac:dyDescent="0.35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44"/>
      <c r="G33" s="130"/>
      <c r="H33" s="131"/>
      <c r="I33" s="121"/>
      <c r="J33" s="121"/>
      <c r="K33" s="121"/>
      <c r="L33" s="132"/>
      <c r="M33" s="122"/>
      <c r="N33" s="139"/>
    </row>
    <row r="34" spans="1:14" ht="15" thickTop="1" x14ac:dyDescent="0.3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44"/>
      <c r="G34" s="133"/>
      <c r="K34" s="134"/>
    </row>
    <row r="35" spans="1:14" x14ac:dyDescent="0.3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44"/>
      <c r="G35" s="133"/>
      <c r="K35" s="134"/>
    </row>
    <row r="36" spans="1:14" ht="15" thickBot="1" x14ac:dyDescent="0.35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45"/>
      <c r="G36" s="133"/>
      <c r="K36" s="134"/>
    </row>
    <row r="37" spans="1:14" ht="15" thickTop="1" x14ac:dyDescent="0.3">
      <c r="A37" s="86" t="s">
        <v>999</v>
      </c>
      <c r="B37" s="87">
        <v>396</v>
      </c>
      <c r="C37" s="88"/>
      <c r="D37" s="89"/>
      <c r="E37" s="143">
        <v>44823</v>
      </c>
      <c r="G37" s="133"/>
      <c r="K37" s="134"/>
    </row>
    <row r="38" spans="1:14" x14ac:dyDescent="0.3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44"/>
      <c r="G38" s="133"/>
      <c r="K38" s="134"/>
      <c r="L38" s="135"/>
    </row>
    <row r="39" spans="1:14" ht="15" thickBot="1" x14ac:dyDescent="0.35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44"/>
    </row>
    <row r="40" spans="1:14" ht="15" thickTop="1" x14ac:dyDescent="0.3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44"/>
      <c r="G40" s="114"/>
      <c r="H40" s="115"/>
      <c r="I40" s="115"/>
      <c r="J40" s="115"/>
      <c r="K40" s="116"/>
      <c r="L40" s="117"/>
      <c r="M40" s="140"/>
    </row>
    <row r="41" spans="1:14" ht="15" thickBot="1" x14ac:dyDescent="0.35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45"/>
      <c r="G41" s="118"/>
      <c r="H41" s="111"/>
      <c r="I41" s="111"/>
      <c r="J41" s="111"/>
      <c r="K41" s="112"/>
      <c r="L41" s="119"/>
      <c r="M41" s="141"/>
    </row>
    <row r="42" spans="1:14" ht="15" customHeight="1" thickTop="1" x14ac:dyDescent="0.3">
      <c r="A42" s="86" t="s">
        <v>999</v>
      </c>
      <c r="B42" s="87">
        <v>402</v>
      </c>
      <c r="C42" s="88"/>
      <c r="D42" s="89"/>
      <c r="E42" s="143">
        <v>44824</v>
      </c>
      <c r="G42" s="118"/>
      <c r="H42" s="111"/>
      <c r="I42" s="111"/>
      <c r="J42" s="111"/>
      <c r="K42" s="112"/>
      <c r="L42" s="119"/>
      <c r="M42" s="141"/>
    </row>
    <row r="43" spans="1:14" x14ac:dyDescent="0.3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44"/>
      <c r="G43" s="118"/>
      <c r="H43" s="111"/>
      <c r="I43" s="111"/>
      <c r="J43" s="111"/>
      <c r="K43" s="112"/>
      <c r="L43" s="119"/>
      <c r="M43" s="141"/>
    </row>
    <row r="44" spans="1:14" x14ac:dyDescent="0.3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44"/>
      <c r="G44" s="118"/>
      <c r="H44" s="111"/>
      <c r="I44" s="111"/>
      <c r="J44" s="111"/>
      <c r="K44" s="112"/>
      <c r="L44" s="119"/>
      <c r="M44" s="141"/>
    </row>
    <row r="45" spans="1:14" ht="15" thickBot="1" x14ac:dyDescent="0.35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44"/>
      <c r="G45" s="120"/>
      <c r="H45" s="121"/>
      <c r="I45" s="121"/>
      <c r="J45" s="121"/>
      <c r="K45" s="121"/>
      <c r="L45" s="122"/>
      <c r="M45" s="142"/>
    </row>
    <row r="46" spans="1:14" ht="15.6" thickTop="1" thickBot="1" x14ac:dyDescent="0.35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45"/>
    </row>
    <row r="47" spans="1:14" ht="15" thickTop="1" x14ac:dyDescent="0.3">
      <c r="A47" s="86" t="s">
        <v>999</v>
      </c>
      <c r="B47" s="87">
        <v>402</v>
      </c>
      <c r="C47" s="88"/>
      <c r="D47" s="89"/>
      <c r="E47" s="143">
        <v>44825</v>
      </c>
      <c r="G47" s="133"/>
      <c r="K47" s="134"/>
    </row>
    <row r="48" spans="1:14" x14ac:dyDescent="0.3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44"/>
      <c r="G48" s="133"/>
      <c r="K48" s="134"/>
    </row>
    <row r="49" spans="1:11" x14ac:dyDescent="0.3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44"/>
      <c r="G49" s="133"/>
      <c r="K49" s="134"/>
    </row>
    <row r="50" spans="1:11" x14ac:dyDescent="0.3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44"/>
      <c r="G50" s="133"/>
      <c r="K50" s="134"/>
    </row>
    <row r="51" spans="1:11" ht="15" thickBot="1" x14ac:dyDescent="0.35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45"/>
      <c r="G51" s="133"/>
      <c r="K51" s="134"/>
    </row>
    <row r="52" spans="1:11" ht="15" thickTop="1" x14ac:dyDescent="0.3">
      <c r="A52" s="86" t="s">
        <v>999</v>
      </c>
      <c r="B52" s="87">
        <v>410</v>
      </c>
      <c r="C52" s="88"/>
      <c r="D52" s="89"/>
      <c r="E52" s="143">
        <v>44826</v>
      </c>
      <c r="G52" s="133"/>
      <c r="K52" s="134"/>
    </row>
    <row r="53" spans="1:11" x14ac:dyDescent="0.3">
      <c r="A53" s="90" t="s">
        <v>6</v>
      </c>
      <c r="B53" s="91">
        <v>41</v>
      </c>
      <c r="C53" s="92">
        <v>41</v>
      </c>
      <c r="D53" s="93">
        <f>C53/B52</f>
        <v>0.1</v>
      </c>
      <c r="E53" s="144"/>
      <c r="G53" s="133"/>
      <c r="K53" s="134"/>
    </row>
    <row r="54" spans="1:11" x14ac:dyDescent="0.3">
      <c r="A54" s="90" t="s">
        <v>1001</v>
      </c>
      <c r="B54" s="91">
        <v>0</v>
      </c>
      <c r="C54" s="92">
        <f>B53-B54</f>
        <v>41</v>
      </c>
      <c r="D54" s="93">
        <f>C54/B52</f>
        <v>0.1</v>
      </c>
      <c r="E54" s="144"/>
    </row>
    <row r="55" spans="1:11" x14ac:dyDescent="0.3">
      <c r="A55" s="90" t="s">
        <v>1000</v>
      </c>
      <c r="B55" s="91">
        <v>2</v>
      </c>
      <c r="C55" s="92">
        <f>C54-B55</f>
        <v>39</v>
      </c>
      <c r="D55" s="93">
        <f>C55/B52</f>
        <v>9.5121951219512196E-2</v>
      </c>
      <c r="E55" s="144"/>
    </row>
    <row r="56" spans="1:11" ht="15" thickBot="1" x14ac:dyDescent="0.35">
      <c r="A56" s="102" t="s">
        <v>16</v>
      </c>
      <c r="B56" s="103">
        <v>4</v>
      </c>
      <c r="C56" s="104">
        <f>C55-B56</f>
        <v>35</v>
      </c>
      <c r="D56" s="105">
        <f>C56/B52</f>
        <v>8.5365853658536592E-2</v>
      </c>
      <c r="E56" s="145"/>
    </row>
    <row r="57" spans="1:11" ht="15" thickTop="1" x14ac:dyDescent="0.3">
      <c r="A57" s="86" t="s">
        <v>999</v>
      </c>
      <c r="B57" s="87">
        <v>412</v>
      </c>
      <c r="C57" s="88"/>
      <c r="D57" s="89"/>
      <c r="E57" s="143">
        <v>44831</v>
      </c>
    </row>
    <row r="58" spans="1:11" x14ac:dyDescent="0.3">
      <c r="A58" s="90" t="s">
        <v>6</v>
      </c>
      <c r="B58" s="91">
        <v>60</v>
      </c>
      <c r="C58" s="92">
        <v>60</v>
      </c>
      <c r="D58" s="93">
        <f>C58/B57</f>
        <v>0.14563106796116504</v>
      </c>
      <c r="E58" s="144"/>
    </row>
    <row r="59" spans="1:11" x14ac:dyDescent="0.3">
      <c r="A59" s="90" t="s">
        <v>1001</v>
      </c>
      <c r="B59" s="91">
        <v>1</v>
      </c>
      <c r="C59" s="92">
        <f>B58-B59</f>
        <v>59</v>
      </c>
      <c r="D59" s="93">
        <f>C59/B57</f>
        <v>0.14320388349514562</v>
      </c>
      <c r="E59" s="144"/>
    </row>
    <row r="60" spans="1:11" x14ac:dyDescent="0.3">
      <c r="A60" s="90" t="s">
        <v>1000</v>
      </c>
      <c r="B60" s="91">
        <v>2</v>
      </c>
      <c r="C60" s="92">
        <f>C59-B60</f>
        <v>57</v>
      </c>
      <c r="D60" s="93">
        <f>C60/B57</f>
        <v>0.13834951456310679</v>
      </c>
      <c r="E60" s="144"/>
    </row>
    <row r="61" spans="1:11" ht="15" thickBot="1" x14ac:dyDescent="0.35">
      <c r="A61" s="102" t="s">
        <v>16</v>
      </c>
      <c r="B61" s="103">
        <v>5</v>
      </c>
      <c r="C61" s="104">
        <f>C60-B61</f>
        <v>52</v>
      </c>
      <c r="D61" s="105">
        <f>C61/B57</f>
        <v>0.12621359223300971</v>
      </c>
      <c r="E61" s="145"/>
    </row>
    <row r="62" spans="1:11" ht="15" thickTop="1" x14ac:dyDescent="0.3">
      <c r="A62" s="86" t="s">
        <v>999</v>
      </c>
      <c r="B62" s="87">
        <v>412</v>
      </c>
      <c r="C62" s="88"/>
      <c r="D62" s="89"/>
      <c r="E62" s="143">
        <v>44832</v>
      </c>
    </row>
    <row r="63" spans="1:11" x14ac:dyDescent="0.3">
      <c r="A63" s="90" t="s">
        <v>6</v>
      </c>
      <c r="B63" s="91">
        <v>65</v>
      </c>
      <c r="C63" s="92">
        <v>65</v>
      </c>
      <c r="D63" s="93">
        <f>C63/B62</f>
        <v>0.15776699029126215</v>
      </c>
      <c r="E63" s="144"/>
    </row>
    <row r="64" spans="1:11" x14ac:dyDescent="0.3">
      <c r="A64" s="90" t="s">
        <v>1001</v>
      </c>
      <c r="B64" s="91">
        <v>2</v>
      </c>
      <c r="C64" s="92">
        <f>B63-B64</f>
        <v>63</v>
      </c>
      <c r="D64" s="93">
        <f>C64/B62</f>
        <v>0.15291262135922329</v>
      </c>
      <c r="E64" s="144"/>
    </row>
    <row r="65" spans="1:5" x14ac:dyDescent="0.3">
      <c r="A65" s="90" t="s">
        <v>1000</v>
      </c>
      <c r="B65" s="91">
        <v>2</v>
      </c>
      <c r="C65" s="92">
        <f>C64-B65</f>
        <v>61</v>
      </c>
      <c r="D65" s="93">
        <f>C65/B62</f>
        <v>0.14805825242718446</v>
      </c>
      <c r="E65" s="144"/>
    </row>
    <row r="66" spans="1:5" ht="15" thickBot="1" x14ac:dyDescent="0.35">
      <c r="A66" s="102" t="s">
        <v>16</v>
      </c>
      <c r="B66" s="103">
        <v>3</v>
      </c>
      <c r="C66" s="104">
        <f>C65-B66</f>
        <v>58</v>
      </c>
      <c r="D66" s="105">
        <f>C66/B62</f>
        <v>0.14077669902912621</v>
      </c>
      <c r="E66" s="145"/>
    </row>
    <row r="67" spans="1:5" ht="15" thickTop="1" x14ac:dyDescent="0.3">
      <c r="A67" s="86" t="s">
        <v>999</v>
      </c>
      <c r="B67" s="87">
        <v>412</v>
      </c>
      <c r="C67" s="88"/>
      <c r="D67" s="89"/>
      <c r="E67" s="143">
        <v>44833</v>
      </c>
    </row>
    <row r="68" spans="1:5" x14ac:dyDescent="0.3">
      <c r="A68" s="90" t="s">
        <v>6</v>
      </c>
      <c r="B68" s="91">
        <v>66</v>
      </c>
      <c r="C68" s="92">
        <v>66</v>
      </c>
      <c r="D68" s="93">
        <f>C68/B67</f>
        <v>0.16019417475728157</v>
      </c>
      <c r="E68" s="144"/>
    </row>
    <row r="69" spans="1:5" x14ac:dyDescent="0.3">
      <c r="A69" s="90" t="s">
        <v>1001</v>
      </c>
      <c r="B69" s="91">
        <v>8</v>
      </c>
      <c r="C69" s="92">
        <f>B68-B69</f>
        <v>58</v>
      </c>
      <c r="D69" s="93">
        <f>C69/B67</f>
        <v>0.14077669902912621</v>
      </c>
      <c r="E69" s="144"/>
    </row>
    <row r="70" spans="1:5" x14ac:dyDescent="0.3">
      <c r="A70" s="90" t="s">
        <v>1000</v>
      </c>
      <c r="B70" s="91">
        <v>2</v>
      </c>
      <c r="C70" s="92">
        <f>C69-B70</f>
        <v>56</v>
      </c>
      <c r="D70" s="93">
        <f>C70/B67</f>
        <v>0.13592233009708737</v>
      </c>
      <c r="E70" s="144"/>
    </row>
    <row r="71" spans="1:5" ht="15" thickBot="1" x14ac:dyDescent="0.35">
      <c r="A71" s="102" t="s">
        <v>16</v>
      </c>
      <c r="B71" s="103">
        <v>2</v>
      </c>
      <c r="C71" s="104">
        <f>C70-B71</f>
        <v>54</v>
      </c>
      <c r="D71" s="105">
        <f>C71/B67</f>
        <v>0.13106796116504854</v>
      </c>
      <c r="E71" s="145"/>
    </row>
    <row r="72" spans="1:5" ht="15" thickTop="1" x14ac:dyDescent="0.3">
      <c r="A72" s="86" t="s">
        <v>999</v>
      </c>
      <c r="B72" s="87">
        <v>412</v>
      </c>
      <c r="C72" s="88"/>
      <c r="D72" s="89"/>
      <c r="E72" s="143">
        <v>44834</v>
      </c>
    </row>
    <row r="73" spans="1:5" x14ac:dyDescent="0.3">
      <c r="A73" s="90" t="s">
        <v>6</v>
      </c>
      <c r="B73" s="91">
        <v>46</v>
      </c>
      <c r="C73" s="92">
        <v>46</v>
      </c>
      <c r="D73" s="93">
        <f>C73/B72</f>
        <v>0.11165048543689321</v>
      </c>
      <c r="E73" s="144"/>
    </row>
    <row r="74" spans="1:5" x14ac:dyDescent="0.3">
      <c r="A74" s="90" t="s">
        <v>1001</v>
      </c>
      <c r="B74" s="91">
        <v>0</v>
      </c>
      <c r="C74" s="92">
        <f>B73-B74</f>
        <v>46</v>
      </c>
      <c r="D74" s="93">
        <f>C74/B72</f>
        <v>0.11165048543689321</v>
      </c>
      <c r="E74" s="144"/>
    </row>
    <row r="75" spans="1:5" x14ac:dyDescent="0.3">
      <c r="A75" s="90" t="s">
        <v>1000</v>
      </c>
      <c r="B75" s="91">
        <v>2</v>
      </c>
      <c r="C75" s="92">
        <f>C74-B75</f>
        <v>44</v>
      </c>
      <c r="D75" s="93">
        <f>C75/B72</f>
        <v>0.10679611650485436</v>
      </c>
      <c r="E75" s="144"/>
    </row>
    <row r="76" spans="1:5" ht="15" thickBot="1" x14ac:dyDescent="0.35">
      <c r="A76" s="102" t="s">
        <v>16</v>
      </c>
      <c r="B76" s="103">
        <v>3</v>
      </c>
      <c r="C76" s="104">
        <f>C75-B76</f>
        <v>41</v>
      </c>
      <c r="D76" s="105">
        <f>C76/B72</f>
        <v>9.9514563106796114E-2</v>
      </c>
      <c r="E76" s="145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42" sqref="E42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426</v>
      </c>
      <c r="G2" s="54">
        <f t="shared" ref="G2" si="1">E2/F2</f>
        <v>6.5727699530516437E-2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426</v>
      </c>
      <c r="G3" s="54">
        <f t="shared" ref="G3:G6" si="3">E3/F3</f>
        <v>0.12441314553990611</v>
      </c>
    </row>
    <row r="4" spans="1:7" x14ac:dyDescent="0.3">
      <c r="A4" s="24">
        <f>'APAGADOS RADIO'!H3</f>
        <v>44807</v>
      </c>
      <c r="B4" s="50">
        <f>'APAGADOS RADIO'!H2+D4</f>
        <v>30</v>
      </c>
      <c r="C4" s="50">
        <f>'APAGADOS FIBRA'!H2</f>
        <v>55</v>
      </c>
      <c r="D4" s="50">
        <f>'APAGADOS ANTENA'!H2</f>
        <v>10</v>
      </c>
      <c r="E4" s="50">
        <f t="shared" si="2"/>
        <v>85</v>
      </c>
      <c r="F4" s="50">
        <f>'RESUMEN TOTAL'!B1</f>
        <v>426</v>
      </c>
      <c r="G4" s="54">
        <f t="shared" si="3"/>
        <v>0.19953051643192488</v>
      </c>
    </row>
    <row r="5" spans="1:7" x14ac:dyDescent="0.3">
      <c r="A5" s="24">
        <f>'APAGADOS RADIO'!I3</f>
        <v>44808</v>
      </c>
      <c r="B5" s="50">
        <f>'APAGADOS RADIO'!H2+D5</f>
        <v>31</v>
      </c>
      <c r="C5" s="50">
        <f>'APAGADOS FIBRA'!I2</f>
        <v>54</v>
      </c>
      <c r="D5" s="50">
        <f>'APAGADOS ANTENA'!I2</f>
        <v>11</v>
      </c>
      <c r="E5" s="50">
        <f t="shared" si="2"/>
        <v>85</v>
      </c>
      <c r="F5" s="50">
        <f>'RESUMEN TOTAL'!B1</f>
        <v>426</v>
      </c>
      <c r="G5" s="54">
        <f t="shared" si="3"/>
        <v>0.19953051643192488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426</v>
      </c>
      <c r="G6" s="54">
        <f t="shared" si="3"/>
        <v>8.9201877934272297E-2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426</v>
      </c>
      <c r="G7" s="54">
        <f t="shared" ref="G7:G8" si="5">E7/F7</f>
        <v>7.5117370892018781E-2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426</v>
      </c>
      <c r="G8" s="54">
        <f t="shared" si="5"/>
        <v>4.9295774647887321E-2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426</v>
      </c>
      <c r="G9" s="54">
        <f t="shared" ref="G9:G10" si="7">E9/F9</f>
        <v>4.9295774647887321E-2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426</v>
      </c>
      <c r="G10" s="54">
        <f t="shared" si="7"/>
        <v>8.6854460093896718E-2</v>
      </c>
    </row>
    <row r="11" spans="1:7" x14ac:dyDescent="0.3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426</v>
      </c>
      <c r="G11" s="54">
        <f t="shared" ref="G11" si="9">E11/F11</f>
        <v>6.1032863849765258E-2</v>
      </c>
    </row>
    <row r="12" spans="1:7" x14ac:dyDescent="0.3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426</v>
      </c>
      <c r="G12" s="54">
        <f t="shared" ref="G12:G14" si="11">E12/F12</f>
        <v>7.2769953051643188E-2</v>
      </c>
    </row>
    <row r="13" spans="1:7" x14ac:dyDescent="0.3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426</v>
      </c>
      <c r="G13" s="54">
        <f t="shared" si="11"/>
        <v>6.3380281690140844E-2</v>
      </c>
    </row>
    <row r="14" spans="1:7" x14ac:dyDescent="0.3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426</v>
      </c>
      <c r="G14" s="54">
        <f t="shared" si="11"/>
        <v>6.8075117370892016E-2</v>
      </c>
    </row>
    <row r="15" spans="1:7" x14ac:dyDescent="0.3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426</v>
      </c>
      <c r="G15" s="54">
        <f t="shared" ref="G15" si="13">E15/F15</f>
        <v>7.9812206572769953E-2</v>
      </c>
    </row>
    <row r="16" spans="1:7" x14ac:dyDescent="0.3">
      <c r="A16" s="24">
        <f>'APAGADOS RADIO'!T3</f>
        <v>44819</v>
      </c>
      <c r="B16" s="50">
        <f>'APAGADOS RADIO'!T2+D16</f>
        <v>10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43</v>
      </c>
      <c r="F16" s="50">
        <f>'RESUMEN TOTAL'!B1</f>
        <v>426</v>
      </c>
      <c r="G16" s="54">
        <f t="shared" ref="G16:G17" si="15">E16/F16</f>
        <v>0.10093896713615023</v>
      </c>
    </row>
    <row r="17" spans="1:7" x14ac:dyDescent="0.3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426</v>
      </c>
      <c r="G17" s="54">
        <f t="shared" si="15"/>
        <v>8.4507042253521125E-2</v>
      </c>
    </row>
    <row r="18" spans="1:7" x14ac:dyDescent="0.3">
      <c r="A18" s="24">
        <f>'APAGADOS RADIO'!V3</f>
        <v>44821</v>
      </c>
      <c r="B18" s="50">
        <f>'APAGADOS RADIO'!V2+D18</f>
        <v>9</v>
      </c>
      <c r="C18" s="50">
        <f>'APAGADOS FIBRA'!V2</f>
        <v>31</v>
      </c>
      <c r="D18" s="50">
        <f>'APAGADOS ANTENA'!V2</f>
        <v>4</v>
      </c>
      <c r="E18" s="50">
        <f t="shared" ref="E18:E20" si="16">B18+C18</f>
        <v>40</v>
      </c>
      <c r="F18" s="50">
        <f>'RESUMEN TOTAL'!B1</f>
        <v>426</v>
      </c>
      <c r="G18" s="54">
        <f t="shared" ref="G18:G20" si="17">E18/F18</f>
        <v>9.3896713615023469E-2</v>
      </c>
    </row>
    <row r="19" spans="1:7" x14ac:dyDescent="0.3">
      <c r="A19" s="24">
        <f>'APAGADOS RADIO'!W3</f>
        <v>44822</v>
      </c>
      <c r="B19" s="50">
        <f>'APAGADOS RADIO'!W2+D19</f>
        <v>8</v>
      </c>
      <c r="C19" s="50">
        <f>'APAGADOS FIBRA'!W2</f>
        <v>31</v>
      </c>
      <c r="D19" s="50">
        <f>'APAGADOS ANTENA'!W2</f>
        <v>4</v>
      </c>
      <c r="E19" s="50">
        <f t="shared" si="16"/>
        <v>39</v>
      </c>
      <c r="F19" s="50">
        <f>'RESUMEN TOTAL'!B1</f>
        <v>426</v>
      </c>
      <c r="G19" s="54">
        <f t="shared" si="17"/>
        <v>9.154929577464789E-2</v>
      </c>
    </row>
    <row r="20" spans="1:7" x14ac:dyDescent="0.3">
      <c r="A20" s="24">
        <f>'APAGADOS RADIO'!X3</f>
        <v>44823</v>
      </c>
      <c r="B20" s="50">
        <f>'APAGADOS RADIO'!X2+D20</f>
        <v>8</v>
      </c>
      <c r="C20" s="50">
        <f>'APAGADOS FIBRA'!X2</f>
        <v>29</v>
      </c>
      <c r="D20" s="50">
        <f>'APAGADOS ANTENA'!X2</f>
        <v>4</v>
      </c>
      <c r="E20" s="50">
        <f t="shared" si="16"/>
        <v>37</v>
      </c>
      <c r="F20" s="50">
        <f>'RESUMEN TOTAL'!B1</f>
        <v>426</v>
      </c>
      <c r="G20" s="54">
        <f t="shared" si="17"/>
        <v>8.6854460093896718E-2</v>
      </c>
    </row>
    <row r="21" spans="1:7" x14ac:dyDescent="0.3">
      <c r="A21" s="24">
        <f>'APAGADOS RADIO'!Y3</f>
        <v>44824</v>
      </c>
      <c r="B21" s="50">
        <f>'APAGADOS RADIO'!Y2+D21</f>
        <v>9</v>
      </c>
      <c r="C21" s="50">
        <f>'APAGADOS FIBRA'!Y2</f>
        <v>33</v>
      </c>
      <c r="D21" s="50">
        <f>'APAGADOS ANTENA'!Y2</f>
        <v>6</v>
      </c>
      <c r="E21" s="50">
        <f t="shared" ref="E21" si="18">B21+C21</f>
        <v>42</v>
      </c>
      <c r="F21" s="50">
        <f>'RESUMEN TOTAL'!B1</f>
        <v>426</v>
      </c>
      <c r="G21" s="54">
        <f t="shared" ref="G21" si="19">E21/F21</f>
        <v>9.8591549295774641E-2</v>
      </c>
    </row>
    <row r="22" spans="1:7" x14ac:dyDescent="0.3">
      <c r="A22" s="24">
        <f>'APAGADOS RADIO'!Z3</f>
        <v>44825</v>
      </c>
      <c r="B22" s="50">
        <f>'APAGADOS RADIO'!Z2+D22</f>
        <v>5</v>
      </c>
      <c r="C22" s="50">
        <f>'APAGADOS FIBRA'!Z2</f>
        <v>33</v>
      </c>
      <c r="D22" s="50">
        <f>'APAGADOS ANTENA'!Z2</f>
        <v>4</v>
      </c>
      <c r="E22" s="50">
        <f t="shared" ref="E22" si="20">B22+C22</f>
        <v>38</v>
      </c>
      <c r="F22" s="50">
        <f>'RESUMEN TOTAL'!B1</f>
        <v>426</v>
      </c>
      <c r="G22" s="54">
        <f t="shared" ref="G22" si="21">E22/F22</f>
        <v>8.9201877934272297E-2</v>
      </c>
    </row>
    <row r="23" spans="1:7" x14ac:dyDescent="0.3">
      <c r="A23" s="24">
        <f>'APAGADOS RADIO'!AA3</f>
        <v>44826</v>
      </c>
      <c r="B23" s="50">
        <f>'APAGADOS RADIO'!AA2+D23</f>
        <v>7</v>
      </c>
      <c r="C23" s="50">
        <f>'APAGADOS FIBRA'!AA2</f>
        <v>34</v>
      </c>
      <c r="D23" s="50">
        <f>'APAGADOS ANTENA'!AA2</f>
        <v>3</v>
      </c>
      <c r="E23" s="50">
        <f t="shared" ref="E23" si="22">B23+C23</f>
        <v>41</v>
      </c>
      <c r="F23" s="50">
        <f>'RESUMEN TOTAL'!B1</f>
        <v>426</v>
      </c>
      <c r="G23" s="54">
        <f t="shared" ref="G23" si="23">E23/F23</f>
        <v>9.6244131455399062E-2</v>
      </c>
    </row>
    <row r="24" spans="1:7" x14ac:dyDescent="0.3">
      <c r="A24" s="24">
        <f>'APAGADOS RADIO'!AB3</f>
        <v>44827</v>
      </c>
      <c r="B24" s="50">
        <f>'APAGADOS RADIO'!AB2+D24</f>
        <v>7</v>
      </c>
      <c r="C24" s="50">
        <f>'APAGADOS FIBRA'!AB2</f>
        <v>40</v>
      </c>
      <c r="D24" s="50">
        <f>'APAGADOS ANTENA'!AB2</f>
        <v>5</v>
      </c>
      <c r="E24" s="50">
        <f t="shared" ref="E24:E28" si="24">B24+C24</f>
        <v>47</v>
      </c>
      <c r="F24" s="50">
        <f>'RESUMEN TOTAL'!B1</f>
        <v>426</v>
      </c>
      <c r="G24" s="54">
        <f t="shared" ref="G24:G28" si="25">E24/F24</f>
        <v>0.11032863849765258</v>
      </c>
    </row>
    <row r="25" spans="1:7" x14ac:dyDescent="0.3">
      <c r="A25" s="24">
        <f>'APAGADOS RADIO'!AC3</f>
        <v>44828</v>
      </c>
      <c r="B25" s="50">
        <f>'APAGADOS RADIO'!AC2+D25</f>
        <v>9</v>
      </c>
      <c r="C25" s="50">
        <f>'APAGADOS FIBRA'!AC2</f>
        <v>34</v>
      </c>
      <c r="D25" s="50">
        <f>'APAGADOS ANTENA'!AC2</f>
        <v>3</v>
      </c>
      <c r="E25" s="50">
        <f t="shared" si="24"/>
        <v>43</v>
      </c>
      <c r="F25" s="50">
        <f>'RESUMEN TOTAL'!B1</f>
        <v>426</v>
      </c>
      <c r="G25" s="54">
        <f t="shared" si="25"/>
        <v>0.10093896713615023</v>
      </c>
    </row>
    <row r="26" spans="1:7" x14ac:dyDescent="0.3">
      <c r="A26" s="24">
        <f>'APAGADOS RADIO'!AD3</f>
        <v>44829</v>
      </c>
      <c r="B26" s="50">
        <f>'APAGADOS RADIO'!AD2+D26</f>
        <v>6</v>
      </c>
      <c r="C26" s="50">
        <f>'APAGADOS FIBRA'!AD2</f>
        <v>35</v>
      </c>
      <c r="D26" s="50">
        <f>'APAGADOS ANTENA'!AD2</f>
        <v>4</v>
      </c>
      <c r="E26" s="50">
        <f t="shared" si="24"/>
        <v>41</v>
      </c>
      <c r="F26" s="50">
        <f>'RESUMEN TOTAL'!B1</f>
        <v>426</v>
      </c>
      <c r="G26" s="54">
        <f t="shared" si="25"/>
        <v>9.6244131455399062E-2</v>
      </c>
    </row>
    <row r="27" spans="1:7" x14ac:dyDescent="0.3">
      <c r="A27" s="24">
        <f>'APAGADOS RADIO'!AE3</f>
        <v>44830</v>
      </c>
      <c r="B27" s="50">
        <f>'APAGADOS RADIO'!AE2+D27</f>
        <v>6</v>
      </c>
      <c r="C27" s="50">
        <f>'APAGADOS FIBRA'!AE2</f>
        <v>39</v>
      </c>
      <c r="D27" s="50">
        <f>'APAGADOS ANTENA'!AE2</f>
        <v>4</v>
      </c>
      <c r="E27" s="50">
        <f t="shared" si="24"/>
        <v>45</v>
      </c>
      <c r="F27" s="50">
        <f>'RESUMEN TOTAL'!B1</f>
        <v>426</v>
      </c>
      <c r="G27" s="54">
        <f t="shared" si="25"/>
        <v>0.10563380281690141</v>
      </c>
    </row>
    <row r="28" spans="1:7" x14ac:dyDescent="0.3">
      <c r="A28" s="24">
        <f>'APAGADOS RADIO'!AF3</f>
        <v>44831</v>
      </c>
      <c r="B28" s="50">
        <f>'APAGADOS RADIO'!AF2+D28</f>
        <v>12</v>
      </c>
      <c r="C28" s="50">
        <f>'APAGADOS FIBRA'!AF2</f>
        <v>48</v>
      </c>
      <c r="D28" s="50">
        <f>'APAGADOS ANTENA'!AF2</f>
        <v>7</v>
      </c>
      <c r="E28" s="50">
        <f t="shared" si="24"/>
        <v>60</v>
      </c>
      <c r="F28" s="50">
        <f>'RESUMEN TOTAL'!B1</f>
        <v>426</v>
      </c>
      <c r="G28" s="54">
        <f t="shared" si="25"/>
        <v>0.14084507042253522</v>
      </c>
    </row>
    <row r="29" spans="1:7" x14ac:dyDescent="0.3">
      <c r="A29" s="24">
        <f>'APAGADOS RADIO'!AG3</f>
        <v>44832</v>
      </c>
      <c r="B29" s="50">
        <f>'APAGADOS RADIO'!AG2+D29</f>
        <v>12</v>
      </c>
      <c r="C29" s="50">
        <f>'APAGADOS FIBRA'!AG2</f>
        <v>53</v>
      </c>
      <c r="D29" s="50">
        <f>'APAGADOS ANTENA'!AG2</f>
        <v>9</v>
      </c>
      <c r="E29" s="50">
        <f t="shared" ref="E29" si="26">B29+C29</f>
        <v>65</v>
      </c>
      <c r="F29" s="50">
        <f>'RESUMEN TOTAL'!B1</f>
        <v>426</v>
      </c>
      <c r="G29" s="54">
        <f t="shared" ref="G29" si="27">E29/F29</f>
        <v>0.15258215962441316</v>
      </c>
    </row>
    <row r="30" spans="1:7" x14ac:dyDescent="0.3">
      <c r="A30" s="24">
        <f>'APAGADOS RADIO'!AH3</f>
        <v>44833</v>
      </c>
      <c r="B30" s="50">
        <f>'APAGADOS RADIO'!AH2+D30</f>
        <v>12</v>
      </c>
      <c r="C30" s="50">
        <f>'APAGADOS FIBRA'!AH2</f>
        <v>54</v>
      </c>
      <c r="D30" s="50">
        <f>'APAGADOS ANTENA'!AH2</f>
        <v>10</v>
      </c>
      <c r="E30" s="50">
        <f t="shared" ref="E30" si="28">B30+C30</f>
        <v>66</v>
      </c>
      <c r="F30" s="50">
        <f>'RESUMEN TOTAL'!B1</f>
        <v>426</v>
      </c>
      <c r="G30" s="54">
        <f t="shared" ref="G30" si="29">E30/F30</f>
        <v>0.15492957746478872</v>
      </c>
    </row>
    <row r="31" spans="1:7" x14ac:dyDescent="0.3">
      <c r="A31" s="24">
        <v>44834</v>
      </c>
      <c r="B31" s="50">
        <f>'APAGADOS RADIO'!AI2+D31</f>
        <v>10</v>
      </c>
      <c r="C31" s="50">
        <f>'APAGADOS FIBRA'!AI2</f>
        <v>36</v>
      </c>
      <c r="D31" s="50">
        <f>'APAGADOS ANTENA'!AI2</f>
        <v>7</v>
      </c>
      <c r="E31" s="50">
        <f t="shared" ref="E31" si="30">B31+C31</f>
        <v>46</v>
      </c>
      <c r="F31" s="50">
        <f>'RESUMEN TOTAL'!B1</f>
        <v>426</v>
      </c>
      <c r="G31" s="54">
        <f t="shared" ref="G31" si="31">E31/F31</f>
        <v>0.107981220657277</v>
      </c>
    </row>
    <row r="32" spans="1:7" x14ac:dyDescent="0.3">
      <c r="A32" s="24"/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67"/>
      <c r="C3" s="71" t="s">
        <v>1168</v>
      </c>
      <c r="D3" s="62">
        <v>44833</v>
      </c>
    </row>
    <row r="4" spans="2:4" ht="15" thickTop="1" x14ac:dyDescent="0.3">
      <c r="B4" s="79" t="s">
        <v>1159</v>
      </c>
      <c r="C4" s="68">
        <f>COUNTIFS('RESUMEN TOTAL'!C6:C501,"=BONOMO")</f>
        <v>223</v>
      </c>
      <c r="D4" s="75">
        <v>51</v>
      </c>
    </row>
    <row r="5" spans="2:4" ht="15" thickBot="1" x14ac:dyDescent="0.35">
      <c r="B5" s="69"/>
      <c r="C5" s="70"/>
      <c r="D5" s="82">
        <v>0.22972972972972974</v>
      </c>
    </row>
    <row r="6" spans="2:4" ht="15" thickTop="1" x14ac:dyDescent="0.3">
      <c r="B6" s="78" t="s">
        <v>1160</v>
      </c>
      <c r="C6" s="68">
        <f>COUNTIFS('RESUMEN TOTAL'!C6:C501,"=COSEIDI")</f>
        <v>203</v>
      </c>
      <c r="D6" s="77">
        <v>15</v>
      </c>
    </row>
    <row r="7" spans="2:4" ht="15" thickBot="1" x14ac:dyDescent="0.35">
      <c r="B7" s="69"/>
      <c r="C7" s="70"/>
      <c r="D7" s="63">
        <v>7.8947368421052627E-2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workbookViewId="0">
      <selection activeCell="D26" sqref="D2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5.6" thickTop="1" thickBot="1" x14ac:dyDescent="0.35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22</v>
      </c>
      <c r="G3" s="74">
        <f>COUNTIFS('RESUMEN TOTAL'!C7:C501, "=BONOMO",'RESUMEN TOTAL'!L7:L501,"=APAGADO")</f>
        <v>50</v>
      </c>
      <c r="H3" s="74">
        <f>COUNTIFS('RESUMEN TOTAL'!C7:C501, "=BONOMO",'RESUMEN TOTAL'!M7:M501,"=APAGADO")</f>
        <v>60</v>
      </c>
      <c r="I3" s="74">
        <f>COUNTIFS('RESUMEN TOTAL'!C7:C501, "=BONOMO",'RESUMEN TOTAL'!N7:N501,"=APAGADO")</f>
        <v>55</v>
      </c>
      <c r="J3" s="74">
        <f>COUNTIFS('RESUMEN TOTAL'!C7:C501, "=BONOMO",'RESUMEN TOTAL'!O7:O501,"=APAGADO")</f>
        <v>27</v>
      </c>
      <c r="K3" s="74">
        <f>COUNTIFS('RESUMEN TOTAL'!C7:C501, "=BONOMO",'RESUMEN TOTAL'!P7:P501,"=APAGADO")</f>
        <v>29</v>
      </c>
      <c r="L3" s="74">
        <f>COUNTIFS('RESUMEN TOTAL'!C7:C501, "=BONOMO",'RESUMEN TOTAL'!Q7:Q501,"=APAGADO")</f>
        <v>17</v>
      </c>
      <c r="M3" s="74">
        <f>COUNTIFS('RESUMEN TOTAL'!C7:C501, "=BONOMO",'RESUMEN TOTAL'!R7:R501,"=APAGADO")</f>
        <v>18</v>
      </c>
      <c r="N3" s="74">
        <f>COUNTIFS('RESUMEN TOTAL'!C7:C501, "=BONOMO",'RESUMEN TOTAL'!S7:S501,"=APAGADO")</f>
        <v>22</v>
      </c>
      <c r="O3" s="74">
        <f>COUNTIFS('RESUMEN TOTAL'!C7:C501, "=BONOMO",'RESUMEN TOTAL'!T7:T501,"=APAGADO")</f>
        <v>20</v>
      </c>
      <c r="P3" s="75">
        <f>COUNTIFS('RESUMEN TOTAL'!C7:C501, "=BONOMO",'RESUMEN TOTAL'!U7:U501,"=APAGADO")</f>
        <v>22</v>
      </c>
      <c r="Q3" s="75">
        <f>COUNTIFS('RESUMEN TOTAL'!C7:C501, "=BONOMO",'RESUMEN TOTAL'!V7:V501,"=APAGADO")</f>
        <v>21</v>
      </c>
      <c r="R3" s="75">
        <f>COUNTIFS('RESUMEN TOTAL'!C7:C501, "=BONOMO",'RESUMEN TOTAL'!W7:W501,"=APAGADO")</f>
        <v>24</v>
      </c>
      <c r="S3" s="75">
        <f>COUNTIFS('RESUMEN TOTAL'!C7:C501, "=BONOMO",'RESUMEN TOTAL'!X7:X501,"=APAGADO")</f>
        <v>27</v>
      </c>
      <c r="T3" s="75">
        <f>COUNTIFS('RESUMEN TOTAL'!C7:C501, "=BONOMO",'RESUMEN TOTAL'!Y7:Y501,"=APAGADO")</f>
        <v>30</v>
      </c>
      <c r="U3" s="75">
        <f>COUNTIFS('RESUMEN TOTAL'!C7:C501, "=BONOMO",'RESUMEN TOTAL'!Z7:Z501,"=APAGADO")</f>
        <v>29</v>
      </c>
      <c r="V3" s="75">
        <f>COUNTIFS('RESUMEN TOTAL'!C7:C501, "=BONOMO",'RESUMEN TOTAL'!AA7:AA501,"=APAGADO")</f>
        <v>30</v>
      </c>
      <c r="W3" s="75">
        <f>COUNTIFS('RESUMEN TOTAL'!C7:C501, "=BONOMO",'RESUMEN TOTAL'!AB7:AB501,"=APAGADO")</f>
        <v>29</v>
      </c>
      <c r="X3" s="75">
        <f>COUNTIFS('RESUMEN TOTAL'!C7:C501, "=BONOMO",'RESUMEN TOTAL'!AC7:AC501,"=APAGADO")</f>
        <v>28</v>
      </c>
      <c r="Y3" s="75">
        <f>COUNTIFS('RESUMEN TOTAL'!C7:C501, "=BONOMO",'RESUMEN TOTAL'!AD7:AD501,"=APAGADO")</f>
        <v>32</v>
      </c>
      <c r="Z3" s="75">
        <f>COUNTIFS('RESUMEN TOTAL'!C7:C501, "=BONOMO",'RESUMEN TOTAL'!AE7:AE501,"=APAGADO")</f>
        <v>34</v>
      </c>
      <c r="AA3" s="75">
        <f>COUNTIFS('RESUMEN TOTAL'!C7:C501, "=BONOMO",'RESUMEN TOTAL'!AF7:AF501,"=APAGADO")</f>
        <v>33</v>
      </c>
      <c r="AB3" s="75">
        <f>COUNTIFS('RESUMEN TOTAL'!C7:C501, "=BONOMO",'RESUMEN TOTAL'!AG7:AG501,"=APAGADO")</f>
        <v>42</v>
      </c>
      <c r="AC3" s="75">
        <f>COUNTIFS('RESUMEN TOTAL'!C7:C501, "=BONOMO",'RESUMEN TOTAL'!AH7:AH501,"=APAGADO")</f>
        <v>37</v>
      </c>
      <c r="AD3" s="75">
        <f>COUNTIFS('RESUMEN TOTAL'!C7:C501, "=BONOMO",'RESUMEN TOTAL'!AI7:AI501,"=APAGADO")</f>
        <v>38</v>
      </c>
      <c r="AE3" s="75">
        <f>COUNTIFS('RESUMEN TOTAL'!C7:C501, "=BONOMO",'RESUMEN TOTAL'!AJ7:AJ501,"=APAGADO")</f>
        <v>38</v>
      </c>
      <c r="AF3" s="75">
        <f>COUNTIFS('RESUMEN TOTAL'!C7:C501, "=BONOMO",'RESUMEN TOTAL'!AK7:AK501,"=APAGADO")</f>
        <v>38</v>
      </c>
      <c r="AG3" s="75">
        <f>COUNTIFS('RESUMEN TOTAL'!C7:C501, "=BONOMO",'RESUMEN TOTAL'!AL7:AL501,"=APAGADO")</f>
        <v>48</v>
      </c>
      <c r="AH3" s="75">
        <f>COUNTIFS('RESUMEN TOTAL'!C7:C501, "=BONOMO",'RESUMEN TOTAL'!AM7:AM501,"=APAGADO")</f>
        <v>51</v>
      </c>
      <c r="AI3" s="75">
        <f>COUNTIFS('RESUMEN TOTAL'!C7:C501, "=BONOMO",'RESUMEN TOTAL'!AN7:AN501,"=APAGADO")</f>
        <v>39</v>
      </c>
    </row>
    <row r="4" spans="1:35" s="50" customFormat="1" ht="15.6" thickTop="1" thickBot="1" x14ac:dyDescent="0.35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9.8214285714285712E-2</v>
      </c>
      <c r="G4" s="81">
        <f t="shared" si="0"/>
        <v>0.22321428571428573</v>
      </c>
      <c r="H4" s="81">
        <f t="shared" si="0"/>
        <v>0.26785714285714285</v>
      </c>
      <c r="I4" s="81">
        <f t="shared" si="0"/>
        <v>0.24553571428571427</v>
      </c>
      <c r="J4" s="81">
        <f t="shared" si="0"/>
        <v>0.12053571428571429</v>
      </c>
      <c r="K4" s="81">
        <f t="shared" si="0"/>
        <v>0.12946428571428573</v>
      </c>
      <c r="L4" s="81">
        <f t="shared" si="0"/>
        <v>7.5892857142857137E-2</v>
      </c>
      <c r="M4" s="81">
        <f t="shared" si="0"/>
        <v>8.0357142857142863E-2</v>
      </c>
      <c r="N4" s="81">
        <f t="shared" si="0"/>
        <v>9.8214285714285712E-2</v>
      </c>
      <c r="O4" s="81">
        <f t="shared" si="0"/>
        <v>8.9285714285714288E-2</v>
      </c>
      <c r="P4" s="82">
        <f t="shared" si="0"/>
        <v>9.8214285714285712E-2</v>
      </c>
      <c r="Q4" s="82">
        <f t="shared" ref="Q4" si="1">Q3/BONOMOcam</f>
        <v>9.375E-2</v>
      </c>
      <c r="R4" s="82">
        <f t="shared" si="0"/>
        <v>0.10714285714285714</v>
      </c>
      <c r="S4" s="82">
        <f t="shared" si="0"/>
        <v>0.12053571428571429</v>
      </c>
      <c r="T4" s="82">
        <f t="shared" si="0"/>
        <v>0.13392857142857142</v>
      </c>
      <c r="U4" s="82">
        <f t="shared" si="0"/>
        <v>0.12946428571428573</v>
      </c>
      <c r="V4" s="82">
        <f t="shared" si="0"/>
        <v>0.13392857142857142</v>
      </c>
      <c r="W4" s="82">
        <f t="shared" si="0"/>
        <v>0.12946428571428573</v>
      </c>
      <c r="X4" s="82">
        <f t="shared" si="0"/>
        <v>0.125</v>
      </c>
      <c r="Y4" s="82">
        <f t="shared" si="0"/>
        <v>0.14285714285714285</v>
      </c>
      <c r="Z4" s="82">
        <f t="shared" si="0"/>
        <v>0.15178571428571427</v>
      </c>
      <c r="AA4" s="82">
        <f t="shared" si="0"/>
        <v>0.14732142857142858</v>
      </c>
      <c r="AB4" s="82">
        <f t="shared" si="0"/>
        <v>0.1875</v>
      </c>
      <c r="AC4" s="82">
        <f t="shared" si="0"/>
        <v>0.16517857142857142</v>
      </c>
      <c r="AD4" s="82">
        <f t="shared" si="0"/>
        <v>0.16964285714285715</v>
      </c>
      <c r="AE4" s="82">
        <f t="shared" si="0"/>
        <v>0.16964285714285715</v>
      </c>
      <c r="AF4" s="82">
        <f t="shared" si="0"/>
        <v>0.16964285714285715</v>
      </c>
      <c r="AG4" s="82">
        <f t="shared" si="0"/>
        <v>0.21428571428571427</v>
      </c>
      <c r="AH4" s="82">
        <f t="shared" si="0"/>
        <v>0.22767857142857142</v>
      </c>
      <c r="AI4" s="82">
        <f t="shared" si="0"/>
        <v>0.17410714285714285</v>
      </c>
    </row>
    <row r="5" spans="1:35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6</v>
      </c>
      <c r="G5" s="77">
        <f>COUNTIFS('RESUMEN TOTAL'!C10:C421, "=COSEIDI",'RESUMEN TOTAL'!L10:L421,"=APAGADO")</f>
        <v>3</v>
      </c>
      <c r="H5" s="77">
        <f>COUNTIFS('RESUMEN TOTAL'!C10:C421, "=COSEIDI",'RESUMEN TOTAL'!M10:M421,"=APAGADO")</f>
        <v>26</v>
      </c>
      <c r="I5" s="77">
        <f>COUNTIFS('RESUMEN TOTAL'!C10:C421, "=COSEIDI",'RESUMEN TOTAL'!N10:N421,"=APAGADO")</f>
        <v>35</v>
      </c>
      <c r="J5" s="77">
        <f>COUNTIFS('RESUMEN TOTAL'!C10:C421, "=COSEIDI",'RESUMEN TOTAL'!O10:O421,"=APAGADO")</f>
        <v>11</v>
      </c>
      <c r="K5" s="77">
        <f>COUNTIFS('RESUMEN TOTAL'!C10:C421, "=COSEIDI",'RESUMEN TOTAL'!P10:P421,"=APAGADO")</f>
        <v>3</v>
      </c>
      <c r="L5" s="77">
        <f>COUNTIFS('RESUMEN TOTAL'!C10:C421, "=COSEIDI",'RESUMEN TOTAL'!Q10:Q421,"=APAGADO")</f>
        <v>4</v>
      </c>
      <c r="M5" s="77">
        <f>COUNTIFS('RESUMEN TOTAL'!C10:C421, "=COSEIDI",'RESUMEN TOTAL'!R10:R421,"=APAGADO")</f>
        <v>3</v>
      </c>
      <c r="N5" s="77">
        <f>COUNTIFS('RESUMEN TOTAL'!C10:C421, "=COSEIDI",'RESUMEN TOTAL'!S10:S421,"=APAGADO")</f>
        <v>15</v>
      </c>
      <c r="O5" s="77">
        <f>COUNTIFS('RESUMEN TOTAL'!C10:C421, "=COSEIDI",'RESUMEN TOTAL'!T10:T421,"=APAGADO")</f>
        <v>7</v>
      </c>
      <c r="P5" s="77">
        <f>COUNTIFS('RESUMEN TOTAL'!C10:C421, "=COSEIDI",'RESUMEN TOTAL'!U10:U421,"=APAGADO")</f>
        <v>10</v>
      </c>
      <c r="Q5" s="77">
        <f>COUNTIFS('RESUMEN TOTAL'!C10:C421, "=COSEIDI",'RESUMEN TOTAL'!V10:V421,"=APAGADO")</f>
        <v>5</v>
      </c>
      <c r="R5" s="77">
        <f>COUNTIFS('RESUMEN TOTAL'!C10:C421, "=COSEIDI",'RESUMEN TOTAL'!W10:W421,"=APAGADO")</f>
        <v>5</v>
      </c>
      <c r="S5" s="77">
        <f>COUNTIFS('RESUMEN TOTAL'!C10:C421, "=COSEIDI",'RESUMEN TOTAL'!X10:X421,"=APAGADO")</f>
        <v>7</v>
      </c>
      <c r="T5" s="77">
        <f>COUNTIFS('RESUMEN TOTAL'!C10:C421, "=COSEIDI",'RESUMEN TOTAL'!Y10:Y421,"=APAGADO")</f>
        <v>14</v>
      </c>
      <c r="U5" s="77">
        <f>COUNTIFS('RESUMEN TOTAL'!C10:C421, "=COSEIDI",'RESUMEN TOTAL'!Z10:Z421,"=APAGADO")</f>
        <v>7</v>
      </c>
      <c r="V5" s="77">
        <f>COUNTIFS('RESUMEN TOTAL'!C10:C421, "=COSEIDI",'RESUMEN TOTAL'!AA10:AA421,"=APAGADO")</f>
        <v>10</v>
      </c>
      <c r="W5" s="77">
        <f>COUNTIFS('RESUMEN TOTAL'!C10:C421, "=COSEIDI",'RESUMEN TOTAL'!AB10:AB421,"=APAGADO")</f>
        <v>10</v>
      </c>
      <c r="X5" s="77">
        <f>COUNTIFS('RESUMEN TOTAL'!C10:C421, "=COSEIDI",'RESUMEN TOTAL'!AC10:AC421,"=APAGADO")</f>
        <v>9</v>
      </c>
      <c r="Y5" s="77">
        <f>COUNTIFS('RESUMEN TOTAL'!C10:C421, "=COSEIDI",'RESUMEN TOTAL'!AD10:AD421,"=APAGADO")</f>
        <v>10</v>
      </c>
      <c r="Z5" s="77">
        <f>COUNTIFS('RESUMEN TOTAL'!C10:C421, "=COSEIDI",'RESUMEN TOTAL'!AE10:AE421,"=APAGADO")</f>
        <v>4</v>
      </c>
      <c r="AA5" s="77">
        <f>COUNTIFS('RESUMEN TOTAL'!C10:C421, "=COSEIDI",'RESUMEN TOTAL'!AF10:AF421,"=APAGADO")</f>
        <v>8</v>
      </c>
      <c r="AB5" s="77">
        <f>COUNTIFS('RESUMEN TOTAL'!C10:C421, "=COSEIDI",'RESUMEN TOTAL'!AG10:AG421,"=APAGADO")</f>
        <v>5</v>
      </c>
      <c r="AC5" s="77">
        <f>COUNTIFS('RESUMEN TOTAL'!C10:C421, "=COSEIDI",'RESUMEN TOTAL'!AH10:AH421,"=APAGADO")</f>
        <v>6</v>
      </c>
      <c r="AD5" s="77">
        <f>COUNTIFS('RESUMEN TOTAL'!C10:C421, "=COSEIDI",'RESUMEN TOTAL'!AI10:AI421,"=APAGADO")</f>
        <v>3</v>
      </c>
      <c r="AE5" s="77">
        <f>COUNTIFS('RESUMEN TOTAL'!C10:C421, "=COSEIDI",'RESUMEN TOTAL'!AJ10:AJ421,"=APAGADO")</f>
        <v>7</v>
      </c>
      <c r="AF5" s="77">
        <f>COUNTIFS('RESUMEN TOTAL'!C10:C421, "=COSEIDI",'RESUMEN TOTAL'!AK10:AK421,"=APAGADO")</f>
        <v>22</v>
      </c>
      <c r="AG5" s="77">
        <f>COUNTIFS('RESUMEN TOTAL'!C10:C421, "=COSEIDI",'RESUMEN TOTAL'!AL10:AL421,"=APAGADO")</f>
        <v>17</v>
      </c>
      <c r="AH5" s="77">
        <f>COUNTIFS('RESUMEN TOTAL'!C10:C421, "=COSEIDI",'RESUMEN TOTAL'!AM10:AM421,"=APAGADO")</f>
        <v>15</v>
      </c>
      <c r="AI5" s="77">
        <f>COUNTIFS('RESUMEN TOTAL'!C10:C421, "=COSEIDI",'RESUMEN TOTAL'!AN10:AN421,"=APAGADO")</f>
        <v>7</v>
      </c>
    </row>
    <row r="6" spans="1:35" ht="15.6" thickTop="1" thickBot="1" x14ac:dyDescent="0.35">
      <c r="D6" s="66"/>
      <c r="E6" s="64" t="s">
        <v>1172</v>
      </c>
      <c r="F6" s="81">
        <f t="shared" ref="F6:AI6" si="2">F5/COSEIDIcam</f>
        <v>2.9556650246305417E-2</v>
      </c>
      <c r="G6" s="81">
        <f t="shared" si="2"/>
        <v>1.4778325123152709E-2</v>
      </c>
      <c r="H6" s="81">
        <f t="shared" si="2"/>
        <v>0.12807881773399016</v>
      </c>
      <c r="I6" s="81">
        <f t="shared" si="2"/>
        <v>0.17241379310344829</v>
      </c>
      <c r="J6" s="81">
        <f t="shared" si="2"/>
        <v>5.4187192118226604E-2</v>
      </c>
      <c r="K6" s="81">
        <f t="shared" si="2"/>
        <v>1.4778325123152709E-2</v>
      </c>
      <c r="L6" s="81">
        <f t="shared" si="2"/>
        <v>1.9704433497536946E-2</v>
      </c>
      <c r="M6" s="81">
        <f t="shared" si="2"/>
        <v>1.4778325123152709E-2</v>
      </c>
      <c r="N6" s="81">
        <f t="shared" si="2"/>
        <v>7.3891625615763554E-2</v>
      </c>
      <c r="O6" s="81">
        <f t="shared" si="2"/>
        <v>3.4482758620689655E-2</v>
      </c>
      <c r="P6" s="81">
        <f t="shared" si="2"/>
        <v>4.9261083743842367E-2</v>
      </c>
      <c r="Q6" s="81">
        <f t="shared" ref="Q6" si="3">Q5/COSEIDIcam</f>
        <v>2.4630541871921183E-2</v>
      </c>
      <c r="R6" s="81">
        <f t="shared" si="2"/>
        <v>2.4630541871921183E-2</v>
      </c>
      <c r="S6" s="81">
        <f t="shared" si="2"/>
        <v>3.4482758620689655E-2</v>
      </c>
      <c r="T6" s="81">
        <f t="shared" si="2"/>
        <v>6.8965517241379309E-2</v>
      </c>
      <c r="U6" s="81">
        <f t="shared" si="2"/>
        <v>3.4482758620689655E-2</v>
      </c>
      <c r="V6" s="81">
        <f t="shared" si="2"/>
        <v>4.9261083743842367E-2</v>
      </c>
      <c r="W6" s="81">
        <f t="shared" si="2"/>
        <v>4.9261083743842367E-2</v>
      </c>
      <c r="X6" s="81">
        <f t="shared" si="2"/>
        <v>4.4334975369458129E-2</v>
      </c>
      <c r="Y6" s="81">
        <f t="shared" si="2"/>
        <v>4.9261083743842367E-2</v>
      </c>
      <c r="Z6" s="81">
        <f t="shared" si="2"/>
        <v>1.9704433497536946E-2</v>
      </c>
      <c r="AA6" s="81">
        <f t="shared" si="2"/>
        <v>3.9408866995073892E-2</v>
      </c>
      <c r="AB6" s="81">
        <f t="shared" si="2"/>
        <v>2.4630541871921183E-2</v>
      </c>
      <c r="AC6" s="81">
        <f t="shared" si="2"/>
        <v>2.9556650246305417E-2</v>
      </c>
      <c r="AD6" s="81">
        <f t="shared" si="2"/>
        <v>1.4778325123152709E-2</v>
      </c>
      <c r="AE6" s="81">
        <f t="shared" si="2"/>
        <v>3.4482758620689655E-2</v>
      </c>
      <c r="AF6" s="63">
        <f t="shared" si="2"/>
        <v>0.10837438423645321</v>
      </c>
      <c r="AG6" s="63">
        <f t="shared" si="2"/>
        <v>8.3743842364532015E-2</v>
      </c>
      <c r="AH6" s="63">
        <f t="shared" si="2"/>
        <v>7.3891625615763554E-2</v>
      </c>
      <c r="AI6" s="63">
        <f t="shared" si="2"/>
        <v>3.4482758620689655E-2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2022-09-30T14:10:37Z</dcterms:modified>
</cp:coreProperties>
</file>