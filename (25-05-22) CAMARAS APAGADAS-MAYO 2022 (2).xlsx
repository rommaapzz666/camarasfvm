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BABD0069-A995-40EC-96EC-BB3E45DEC89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4" l="1"/>
  <c r="D21" i="14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57" i="2" l="1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<sst xmlns="http://schemas.openxmlformats.org/spreadsheetml/2006/main" count="4055" uniqueCount="1356">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</sst>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690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M200" activePane="bottomRight" state="frozen"/>
      <selection pane="topRight" activeCell="M1" sqref="M1"/>
      <selection pane="bottomLeft" activeCell="A5" sqref="A5"/>
      <selection pane="bottomRight" activeCell="AM207" sqref="AM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0.12600536193029491</v>
      </c>
      <c r="AK1" s="4">
        <f t="shared" si="0"/>
        <v>0.12332439678284182</v>
      </c>
      <c r="AL1" s="4">
        <f t="shared" si="0"/>
        <v>0.13941018766756033</v>
      </c>
      <c r="AM1" s="4">
        <f t="shared" si="0"/>
        <v>0.12868632707774799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326</v>
      </c>
      <c r="AK2" s="10">
        <f t="shared" si="2"/>
        <v>327</v>
      </c>
      <c r="AL2" s="10">
        <f t="shared" si="2"/>
        <v>321</v>
      </c>
      <c r="AM2" s="10">
        <f t="shared" si="2"/>
        <v>325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47</v>
      </c>
      <c r="AK3" s="14">
        <f t="shared" si="3"/>
        <v>46</v>
      </c>
      <c r="AL3" s="14">
        <f t="shared" si="3"/>
        <v>52</v>
      </c>
      <c r="AM3" s="14">
        <f t="shared" si="3"/>
        <v>48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5</v>
      </c>
      <c r="M7" s="17">
        <f t="shared" si="6"/>
        <v>23</v>
      </c>
      <c r="N7" s="18">
        <f t="shared" si="7"/>
        <v>0.17857142857142858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 t="s">
        <v>1348</v>
      </c>
      <c r="AK7" s="8" t="s">
        <v>1348</v>
      </c>
      <c r="AL7" s="8" t="s">
        <v>1348</v>
      </c>
      <c r="AM7" s="8" t="s">
        <v>1348</v>
      </c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22</v>
      </c>
      <c r="M10" s="17">
        <f t="shared" si="6"/>
        <v>6</v>
      </c>
      <c r="N10" s="18">
        <f t="shared" si="7"/>
        <v>0.7857142857142857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 t="s">
        <v>1348</v>
      </c>
      <c r="AK10" s="8" t="s">
        <v>1348</v>
      </c>
      <c r="AL10" s="8" t="s">
        <v>1348</v>
      </c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10</v>
      </c>
      <c r="M11" s="17">
        <f t="shared" si="6"/>
        <v>18</v>
      </c>
      <c r="N11" s="18">
        <f t="shared" si="7"/>
        <v>0.35714285714285715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 t="s">
        <v>1348</v>
      </c>
      <c r="AK11" s="8" t="s">
        <v>1348</v>
      </c>
      <c r="AL11" s="8" t="s">
        <v>1348</v>
      </c>
      <c r="AM11" s="8" t="s">
        <v>1348</v>
      </c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27</v>
      </c>
      <c r="M21" s="17">
        <f t="shared" si="6"/>
        <v>1</v>
      </c>
      <c r="N21" s="18">
        <f t="shared" si="7"/>
        <v>0.9642857142857143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 t="s">
        <v>1348</v>
      </c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16</v>
      </c>
      <c r="M22" s="17">
        <f t="shared" si="6"/>
        <v>12</v>
      </c>
      <c r="N22" s="18">
        <f t="shared" si="7"/>
        <v>0.5714285714285714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 t="s">
        <v>1348</v>
      </c>
      <c r="AK22" s="8" t="s">
        <v>1348</v>
      </c>
      <c r="AL22" s="8" t="s">
        <v>1348</v>
      </c>
      <c r="AM22" s="8" t="s">
        <v>1348</v>
      </c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16</v>
      </c>
      <c r="M30" s="17">
        <f t="shared" si="6"/>
        <v>12</v>
      </c>
      <c r="N30" s="18">
        <f t="shared" si="7"/>
        <v>0.5714285714285714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 t="s">
        <v>1348</v>
      </c>
      <c r="AK30" s="8" t="s">
        <v>1348</v>
      </c>
      <c r="AL30" s="8" t="s">
        <v>1348</v>
      </c>
      <c r="AM30" s="8" t="s">
        <v>1348</v>
      </c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27</v>
      </c>
      <c r="M43" s="17">
        <f t="shared" si="6"/>
        <v>1</v>
      </c>
      <c r="N43" s="18">
        <f t="shared" si="7"/>
        <v>0.9642857142857143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 t="s">
        <v>1348</v>
      </c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23</v>
      </c>
      <c r="M51" s="17">
        <f t="shared" si="6"/>
        <v>5</v>
      </c>
      <c r="N51" s="18">
        <f t="shared" si="7"/>
        <v>0.8214285714285714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 t="s">
        <v>1348</v>
      </c>
      <c r="AK51" s="8" t="s">
        <v>1348</v>
      </c>
      <c r="AL51" s="8" t="s">
        <v>1348</v>
      </c>
      <c r="AM51" s="8" t="s">
        <v>1348</v>
      </c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21</v>
      </c>
      <c r="M52" s="17">
        <f t="shared" si="6"/>
        <v>7</v>
      </c>
      <c r="N52" s="18">
        <f t="shared" si="7"/>
        <v>0.75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 t="s">
        <v>1348</v>
      </c>
      <c r="AL52" s="8" t="s">
        <v>1348</v>
      </c>
      <c r="AM52" s="8" t="s">
        <v>1348</v>
      </c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12</v>
      </c>
      <c r="M56" s="17">
        <f t="shared" si="6"/>
        <v>16</v>
      </c>
      <c r="N56" s="18">
        <f t="shared" si="7"/>
        <v>0.42857142857142855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 t="s">
        <v>1348</v>
      </c>
      <c r="AK56" s="8" t="s">
        <v>1348</v>
      </c>
      <c r="AL56" s="8" t="s">
        <v>1348</v>
      </c>
      <c r="AM56" s="8" t="s">
        <v>1348</v>
      </c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27</v>
      </c>
      <c r="M70" s="17">
        <f t="shared" si="9"/>
        <v>1</v>
      </c>
      <c r="N70" s="18">
        <f t="shared" si="10"/>
        <v>0.9642857142857143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5</v>
      </c>
      <c r="M80" s="17">
        <f t="shared" si="9"/>
        <v>23</v>
      </c>
      <c r="N80" s="18">
        <f t="shared" si="10"/>
        <v>0.17857142857142858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 t="s">
        <v>1348</v>
      </c>
      <c r="AK80" s="8" t="s">
        <v>1348</v>
      </c>
      <c r="AL80" s="8" t="s">
        <v>1348</v>
      </c>
      <c r="AM80" s="8" t="s">
        <v>1348</v>
      </c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16</v>
      </c>
      <c r="M94" s="17">
        <f t="shared" si="9"/>
        <v>12</v>
      </c>
      <c r="N94" s="18">
        <f t="shared" si="10"/>
        <v>0.5714285714285714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 t="s">
        <v>1348</v>
      </c>
      <c r="AK94" s="8" t="s">
        <v>1348</v>
      </c>
      <c r="AL94" s="8" t="s">
        <v>1348</v>
      </c>
      <c r="AM94" s="8" t="s">
        <v>1348</v>
      </c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21</v>
      </c>
      <c r="M96" s="17">
        <f t="shared" si="9"/>
        <v>7</v>
      </c>
      <c r="N96" s="18">
        <f t="shared" si="10"/>
        <v>0.75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 t="s">
        <v>1348</v>
      </c>
      <c r="AK96" s="8" t="s">
        <v>1348</v>
      </c>
      <c r="AL96" s="8" t="s">
        <v>1348</v>
      </c>
      <c r="AM96" s="8" t="s">
        <v>1348</v>
      </c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16</v>
      </c>
      <c r="M99" s="17">
        <f t="shared" si="9"/>
        <v>12</v>
      </c>
      <c r="N99" s="18">
        <f t="shared" si="10"/>
        <v>0.5714285714285714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 t="s">
        <v>1348</v>
      </c>
      <c r="AK99" s="8" t="s">
        <v>1348</v>
      </c>
      <c r="AL99" s="8" t="s">
        <v>1348</v>
      </c>
      <c r="AM99" s="8" t="s">
        <v>1348</v>
      </c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8</v>
      </c>
      <c r="M115" s="17">
        <f t="shared" si="9"/>
        <v>20</v>
      </c>
      <c r="N115" s="18">
        <f t="shared" si="10"/>
        <v>0.2857142857142857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 t="s">
        <v>1348</v>
      </c>
      <c r="AK115" s="8" t="s">
        <v>1348</v>
      </c>
      <c r="AL115" s="8" t="s">
        <v>1348</v>
      </c>
      <c r="AM115" s="8" t="s">
        <v>1348</v>
      </c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8</v>
      </c>
      <c r="M116" s="17">
        <f t="shared" si="9"/>
        <v>20</v>
      </c>
      <c r="N116" s="18">
        <f t="shared" si="10"/>
        <v>0.2857142857142857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 t="s">
        <v>1348</v>
      </c>
      <c r="AK116" s="8" t="s">
        <v>1348</v>
      </c>
      <c r="AL116" s="8" t="s">
        <v>1348</v>
      </c>
      <c r="AM116" s="8" t="s">
        <v>1348</v>
      </c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19</v>
      </c>
      <c r="M120" s="17">
        <f t="shared" si="9"/>
        <v>9</v>
      </c>
      <c r="N120" s="18">
        <f t="shared" si="10"/>
        <v>0.6785714285714286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 t="s">
        <v>1348</v>
      </c>
      <c r="AK120" s="8" t="s">
        <v>1348</v>
      </c>
      <c r="AL120" s="8" t="s">
        <v>1348</v>
      </c>
      <c r="AM120" s="8" t="s">
        <v>1348</v>
      </c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20</v>
      </c>
      <c r="M121" s="17">
        <f t="shared" si="9"/>
        <v>8</v>
      </c>
      <c r="N121" s="18">
        <f t="shared" si="10"/>
        <v>0.7142857142857143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 t="s">
        <v>1348</v>
      </c>
      <c r="AK121" s="8" t="s">
        <v>1348</v>
      </c>
      <c r="AL121" s="8" t="s">
        <v>1348</v>
      </c>
      <c r="AM121" s="8" t="s">
        <v>1348</v>
      </c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5</v>
      </c>
      <c r="M133" s="17">
        <f t="shared" ref="M133:M196" si="12">COUNTIF(O133:AP133,"APAGADO")</f>
        <v>23</v>
      </c>
      <c r="N133" s="18">
        <f t="shared" ref="N133:N196" si="13">(L133)/(M133+L133)</f>
        <v>0.17857142857142858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 t="s">
        <v>1348</v>
      </c>
      <c r="AK133" s="8" t="s">
        <v>1348</v>
      </c>
      <c r="AL133" s="8" t="s">
        <v>1348</v>
      </c>
      <c r="AM133" s="8" t="s">
        <v>1348</v>
      </c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6</v>
      </c>
      <c r="M135" s="17">
        <f t="shared" si="12"/>
        <v>22</v>
      </c>
      <c r="N135" s="18">
        <f t="shared" si="13"/>
        <v>0.21428571428571427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 t="s">
        <v>1348</v>
      </c>
      <c r="AK135" s="8" t="s">
        <v>1348</v>
      </c>
      <c r="AL135" s="8" t="s">
        <v>1348</v>
      </c>
      <c r="AM135" s="8" t="s">
        <v>1348</v>
      </c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15</v>
      </c>
      <c r="M142" s="17">
        <f t="shared" si="12"/>
        <v>13</v>
      </c>
      <c r="N142" s="18">
        <f t="shared" si="13"/>
        <v>0.5357142857142857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 t="s">
        <v>1348</v>
      </c>
      <c r="AK142" s="8" t="s">
        <v>1348</v>
      </c>
      <c r="AL142" s="8" t="s">
        <v>1348</v>
      </c>
      <c r="AM142" s="8" t="s">
        <v>1348</v>
      </c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16</v>
      </c>
      <c r="M143" s="17">
        <f t="shared" si="12"/>
        <v>12</v>
      </c>
      <c r="N143" s="18">
        <f t="shared" si="13"/>
        <v>0.5714285714285714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 t="s">
        <v>1348</v>
      </c>
      <c r="AK143" s="8" t="s">
        <v>1348</v>
      </c>
      <c r="AL143" s="8" t="s">
        <v>1348</v>
      </c>
      <c r="AM143" s="8" t="s">
        <v>1348</v>
      </c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10</v>
      </c>
      <c r="M144" s="17">
        <f t="shared" si="12"/>
        <v>18</v>
      </c>
      <c r="N144" s="18">
        <f t="shared" si="13"/>
        <v>0.35714285714285715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 t="s">
        <v>1348</v>
      </c>
      <c r="AK144" s="8" t="s">
        <v>1348</v>
      </c>
      <c r="AL144" s="8" t="s">
        <v>1348</v>
      </c>
      <c r="AM144" s="8" t="s">
        <v>1348</v>
      </c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 t="s">
        <v>1348</v>
      </c>
      <c r="AM156" s="8" t="s">
        <v>1348</v>
      </c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23</v>
      </c>
      <c r="M163" s="17">
        <f t="shared" si="12"/>
        <v>5</v>
      </c>
      <c r="N163" s="18">
        <f t="shared" si="13"/>
        <v>0.8214285714285714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 t="s">
        <v>1348</v>
      </c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23</v>
      </c>
      <c r="M164" s="17">
        <f t="shared" si="12"/>
        <v>5</v>
      </c>
      <c r="N164" s="18">
        <f t="shared" si="13"/>
        <v>0.8214285714285714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 t="s">
        <v>1348</v>
      </c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5</v>
      </c>
      <c r="M166" s="17">
        <f t="shared" si="12"/>
        <v>23</v>
      </c>
      <c r="N166" s="18">
        <f t="shared" si="13"/>
        <v>0.17857142857142858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 t="s">
        <v>1348</v>
      </c>
      <c r="AK166" s="8" t="s">
        <v>1348</v>
      </c>
      <c r="AL166" s="8" t="s">
        <v>1348</v>
      </c>
      <c r="AM166" s="8" t="s">
        <v>1348</v>
      </c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5</v>
      </c>
      <c r="M177" s="17">
        <f t="shared" si="12"/>
        <v>23</v>
      </c>
      <c r="N177" s="18">
        <f t="shared" si="13"/>
        <v>0.17857142857142858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 t="s">
        <v>1348</v>
      </c>
      <c r="AK177" s="8" t="s">
        <v>1348</v>
      </c>
      <c r="AL177" s="8" t="s">
        <v>1348</v>
      </c>
      <c r="AM177" s="8" t="s">
        <v>1348</v>
      </c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25</v>
      </c>
      <c r="M180" s="17">
        <f t="shared" si="12"/>
        <v>3</v>
      </c>
      <c r="N180" s="18">
        <f t="shared" si="13"/>
        <v>0.8928571428571429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 t="s">
        <v>1348</v>
      </c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5</v>
      </c>
      <c r="M191" s="17">
        <f t="shared" si="12"/>
        <v>23</v>
      </c>
      <c r="N191" s="18">
        <f t="shared" si="13"/>
        <v>0.17857142857142858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 t="s">
        <v>1348</v>
      </c>
      <c r="AK191" s="8" t="s">
        <v>1348</v>
      </c>
      <c r="AL191" s="8" t="s">
        <v>1348</v>
      </c>
      <c r="AM191" s="8" t="s">
        <v>1348</v>
      </c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5</v>
      </c>
      <c r="M192" s="17">
        <f t="shared" si="12"/>
        <v>23</v>
      </c>
      <c r="N192" s="18">
        <f t="shared" si="13"/>
        <v>0.17857142857142858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 t="s">
        <v>1348</v>
      </c>
      <c r="AK192" s="8" t="s">
        <v>1348</v>
      </c>
      <c r="AL192" s="8" t="s">
        <v>1348</v>
      </c>
      <c r="AM192" s="8" t="s">
        <v>1348</v>
      </c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11</v>
      </c>
      <c r="M194" s="17">
        <f t="shared" si="12"/>
        <v>17</v>
      </c>
      <c r="N194" s="18">
        <f t="shared" si="13"/>
        <v>0.39285714285714285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 t="s">
        <v>1348</v>
      </c>
      <c r="AL194" s="8" t="s">
        <v>1348</v>
      </c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12</v>
      </c>
      <c r="M198" s="17">
        <f t="shared" si="15"/>
        <v>16</v>
      </c>
      <c r="N198" s="18">
        <f t="shared" si="16"/>
        <v>0.42857142857142855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 t="s">
        <v>1348</v>
      </c>
      <c r="AK198" s="8" t="s">
        <v>1348</v>
      </c>
      <c r="AL198" s="8" t="s">
        <v>1348</v>
      </c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5</v>
      </c>
      <c r="M206" s="17">
        <f t="shared" si="15"/>
        <v>23</v>
      </c>
      <c r="N206" s="18">
        <f t="shared" si="16"/>
        <v>0.17857142857142858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 t="s">
        <v>1348</v>
      </c>
      <c r="AK206" s="8" t="s">
        <v>1348</v>
      </c>
      <c r="AL206" s="8" t="s">
        <v>1348</v>
      </c>
      <c r="AM206" s="8" t="s">
        <v>1348</v>
      </c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10</v>
      </c>
      <c r="M207" s="17">
        <f t="shared" si="15"/>
        <v>18</v>
      </c>
      <c r="N207" s="18">
        <f t="shared" si="16"/>
        <v>0.35714285714285715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 t="s">
        <v>1348</v>
      </c>
      <c r="AK207" s="8" t="s">
        <v>1348</v>
      </c>
      <c r="AL207" s="8" t="s">
        <v>1348</v>
      </c>
      <c r="AM207" s="8" t="s">
        <v>1348</v>
      </c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7</v>
      </c>
      <c r="M211" s="17">
        <f t="shared" si="15"/>
        <v>21</v>
      </c>
      <c r="N211" s="18">
        <f t="shared" si="16"/>
        <v>0.25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 t="s">
        <v>1348</v>
      </c>
      <c r="AK211" s="8" t="s">
        <v>1348</v>
      </c>
      <c r="AL211" s="8" t="s">
        <v>1348</v>
      </c>
      <c r="AM211" s="8" t="s">
        <v>1348</v>
      </c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5</v>
      </c>
      <c r="M212" s="17">
        <f t="shared" si="15"/>
        <v>23</v>
      </c>
      <c r="N212" s="18">
        <f t="shared" si="16"/>
        <v>0.17857142857142858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 t="s">
        <v>1348</v>
      </c>
      <c r="AK212" s="8" t="s">
        <v>1348</v>
      </c>
      <c r="AL212" s="8" t="s">
        <v>1348</v>
      </c>
      <c r="AM212" s="8" t="s">
        <v>1348</v>
      </c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24</v>
      </c>
      <c r="M214" s="17">
        <f t="shared" si="15"/>
        <v>4</v>
      </c>
      <c r="N214" s="18">
        <f t="shared" si="16"/>
        <v>0.8571428571428571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9</v>
      </c>
      <c r="M216" s="17">
        <f t="shared" si="15"/>
        <v>19</v>
      </c>
      <c r="N216" s="18">
        <f t="shared" si="16"/>
        <v>0.32142857142857145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 t="s">
        <v>1348</v>
      </c>
      <c r="AK216" s="8" t="s">
        <v>1348</v>
      </c>
      <c r="AL216" s="8" t="s">
        <v>1348</v>
      </c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7</v>
      </c>
      <c r="M217" s="17">
        <f t="shared" si="15"/>
        <v>21</v>
      </c>
      <c r="N217" s="18">
        <f t="shared" si="16"/>
        <v>0.25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 t="s">
        <v>1348</v>
      </c>
      <c r="AK217" s="8" t="s">
        <v>1348</v>
      </c>
      <c r="AL217" s="8" t="s">
        <v>1348</v>
      </c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8</v>
      </c>
      <c r="M218" s="17">
        <f t="shared" si="15"/>
        <v>20</v>
      </c>
      <c r="N218" s="18">
        <f t="shared" si="16"/>
        <v>0.2857142857142857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 t="s">
        <v>1348</v>
      </c>
      <c r="AK218" s="8" t="s">
        <v>1348</v>
      </c>
      <c r="AL218" s="8" t="s">
        <v>1348</v>
      </c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8</v>
      </c>
      <c r="M219" s="17">
        <f t="shared" si="15"/>
        <v>20</v>
      </c>
      <c r="N219" s="18">
        <f t="shared" si="16"/>
        <v>0.2857142857142857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 t="s">
        <v>1348</v>
      </c>
      <c r="AK219" s="8" t="s">
        <v>1348</v>
      </c>
      <c r="AL219" s="8" t="s">
        <v>1348</v>
      </c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 t="s">
        <v>1348</v>
      </c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27</v>
      </c>
      <c r="M242" s="17">
        <f t="shared" si="15"/>
        <v>1</v>
      </c>
      <c r="N242" s="18">
        <f t="shared" si="16"/>
        <v>0.9642857142857143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 t="s">
        <v>1348</v>
      </c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27</v>
      </c>
      <c r="M243" s="17">
        <f t="shared" si="15"/>
        <v>1</v>
      </c>
      <c r="N243" s="18">
        <f t="shared" si="16"/>
        <v>0.9642857142857143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 t="s">
        <v>1348</v>
      </c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 t="s">
        <v>1348</v>
      </c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25</v>
      </c>
      <c r="M246" s="17">
        <f t="shared" si="15"/>
        <v>3</v>
      </c>
      <c r="N246" s="18">
        <f t="shared" si="16"/>
        <v>0.8928571428571429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 t="s">
        <v>1348</v>
      </c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25</v>
      </c>
      <c r="M257" s="17">
        <f t="shared" si="15"/>
        <v>3</v>
      </c>
      <c r="N257" s="18">
        <f t="shared" si="16"/>
        <v>0.8928571428571429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 t="s">
        <v>1348</v>
      </c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22</v>
      </c>
      <c r="M260" s="17">
        <f t="shared" si="15"/>
        <v>6</v>
      </c>
      <c r="N260" s="18">
        <f t="shared" si="16"/>
        <v>0.7857142857142857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 t="s">
        <v>1348</v>
      </c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16</v>
      </c>
      <c r="M263" s="17">
        <f t="shared" ref="M263:M326" si="18">COUNTIF(O263:AP263,"APAGADO")</f>
        <v>12</v>
      </c>
      <c r="N263" s="18">
        <f t="shared" ref="N263:N326" si="19">(L263)/(M263+L263)</f>
        <v>0.5714285714285714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 t="s">
        <v>1348</v>
      </c>
      <c r="AK263" s="8" t="s">
        <v>1348</v>
      </c>
      <c r="AL263" s="8" t="s">
        <v>1348</v>
      </c>
      <c r="AM263" s="8" t="s">
        <v>1348</v>
      </c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16</v>
      </c>
      <c r="M264" s="17">
        <f t="shared" si="18"/>
        <v>12</v>
      </c>
      <c r="N264" s="18">
        <f t="shared" si="19"/>
        <v>0.5714285714285714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 t="s">
        <v>1348</v>
      </c>
      <c r="AK264" s="8" t="s">
        <v>1348</v>
      </c>
      <c r="AL264" s="8" t="s">
        <v>1348</v>
      </c>
      <c r="AM264" s="8" t="s">
        <v>1348</v>
      </c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16</v>
      </c>
      <c r="M265" s="17">
        <f t="shared" si="18"/>
        <v>12</v>
      </c>
      <c r="N265" s="18">
        <f t="shared" si="19"/>
        <v>0.5714285714285714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 t="s">
        <v>1348</v>
      </c>
      <c r="AK265" s="8" t="s">
        <v>1348</v>
      </c>
      <c r="AL265" s="8" t="s">
        <v>1348</v>
      </c>
      <c r="AM265" s="8" t="s">
        <v>1348</v>
      </c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16</v>
      </c>
      <c r="M266" s="17">
        <f t="shared" si="18"/>
        <v>12</v>
      </c>
      <c r="N266" s="18">
        <f t="shared" si="19"/>
        <v>0.5714285714285714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 t="s">
        <v>1348</v>
      </c>
      <c r="AK266" s="8" t="s">
        <v>1348</v>
      </c>
      <c r="AL266" s="8" t="s">
        <v>1348</v>
      </c>
      <c r="AM266" s="8" t="s">
        <v>1348</v>
      </c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24</v>
      </c>
      <c r="M281" s="17">
        <f t="shared" si="18"/>
        <v>4</v>
      </c>
      <c r="N281" s="18">
        <f t="shared" si="19"/>
        <v>0.8571428571428571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 t="s">
        <v>1348</v>
      </c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23</v>
      </c>
      <c r="M282" s="17">
        <f t="shared" si="18"/>
        <v>5</v>
      </c>
      <c r="N282" s="18">
        <f t="shared" si="19"/>
        <v>0.8214285714285714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 t="s">
        <v>1348</v>
      </c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 t="s">
        <v>1348</v>
      </c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8</v>
      </c>
      <c r="M303" s="17">
        <f t="shared" si="18"/>
        <v>20</v>
      </c>
      <c r="N303" s="18">
        <f t="shared" si="19"/>
        <v>0.2857142857142857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 t="s">
        <v>1348</v>
      </c>
      <c r="AK303" s="8" t="s">
        <v>1348</v>
      </c>
      <c r="AL303" s="8" t="s">
        <v>1348</v>
      </c>
      <c r="AM303" s="8" t="s">
        <v>1348</v>
      </c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27</v>
      </c>
      <c r="M350" s="17">
        <f t="shared" si="21"/>
        <v>1</v>
      </c>
      <c r="N350" s="18">
        <f t="shared" si="22"/>
        <v>0.9642857142857143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 t="s">
        <v>1348</v>
      </c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5</v>
      </c>
      <c r="M352" s="17">
        <f t="shared" si="21"/>
        <v>23</v>
      </c>
      <c r="N352" s="18">
        <f t="shared" si="22"/>
        <v>0.17857142857142858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 t="s">
        <v>1348</v>
      </c>
      <c r="AK352" s="8" t="s">
        <v>1348</v>
      </c>
      <c r="AL352" s="8" t="s">
        <v>1348</v>
      </c>
      <c r="AM352" s="8" t="s">
        <v>1348</v>
      </c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27</v>
      </c>
      <c r="M353" s="17">
        <f t="shared" si="21"/>
        <v>1</v>
      </c>
      <c r="N353" s="18">
        <f t="shared" si="22"/>
        <v>0.9642857142857143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 t="s">
        <v>1348</v>
      </c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23</v>
      </c>
      <c r="M355" s="17">
        <f t="shared" si="21"/>
        <v>5</v>
      </c>
      <c r="N355" s="18">
        <f t="shared" si="22"/>
        <v>0.8214285714285714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 t="s">
        <v>1348</v>
      </c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19</v>
      </c>
      <c r="M359" s="17">
        <f t="shared" si="21"/>
        <v>9</v>
      </c>
      <c r="N359" s="18">
        <f t="shared" si="22"/>
        <v>0.6785714285714286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 t="s">
        <v>1348</v>
      </c>
      <c r="AK359" s="8" t="s">
        <v>1348</v>
      </c>
      <c r="AL359" s="8" t="s">
        <v>1348</v>
      </c>
      <c r="AM359" s="8" t="s">
        <v>1348</v>
      </c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18</v>
      </c>
      <c r="M360" s="17">
        <f t="shared" si="21"/>
        <v>10</v>
      </c>
      <c r="N360" s="18">
        <f t="shared" si="22"/>
        <v>0.6428571428571429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 t="s">
        <v>1348</v>
      </c>
      <c r="AK360" s="8" t="s">
        <v>1348</v>
      </c>
      <c r="AL360" s="8" t="s">
        <v>1348</v>
      </c>
      <c r="AM360" s="8" t="s">
        <v>1348</v>
      </c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18</v>
      </c>
      <c r="M361" s="17">
        <f t="shared" si="21"/>
        <v>10</v>
      </c>
      <c r="N361" s="18">
        <f t="shared" si="22"/>
        <v>0.6428571428571429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 t="s">
        <v>1348</v>
      </c>
      <c r="AK361" s="8" t="s">
        <v>1348</v>
      </c>
      <c r="AL361" s="8" t="s">
        <v>1348</v>
      </c>
      <c r="AM361" s="8" t="s">
        <v>1348</v>
      </c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18</v>
      </c>
      <c r="M362" s="17">
        <f t="shared" si="21"/>
        <v>10</v>
      </c>
      <c r="N362" s="18">
        <f t="shared" si="22"/>
        <v>0.6428571428571429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 t="s">
        <v>1348</v>
      </c>
      <c r="AK362" s="8" t="s">
        <v>1348</v>
      </c>
      <c r="AL362" s="8" t="s">
        <v>1348</v>
      </c>
      <c r="AM362" s="8" t="s">
        <v>1348</v>
      </c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25</v>
      </c>
      <c r="M364" s="17">
        <f t="shared" si="21"/>
        <v>3</v>
      </c>
      <c r="N364" s="18">
        <f t="shared" si="22"/>
        <v>0.8928571428571429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 t="s">
        <v>1348</v>
      </c>
      <c r="AL364" s="8" t="s">
        <v>1348</v>
      </c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689" priority="2071" operator="lessThan">
      <formula>0.8</formula>
    </cfRule>
    <cfRule type="cellIs" dxfId="688" priority="2072" operator="greaterThan">
      <formula>0.8</formula>
    </cfRule>
  </conditionalFormatting>
  <conditionalFormatting sqref="E1:K3 E284:K334 E236:K236 E5:K32 E36:K91 E94:K230 E337:K364 E369:K372 E243:K281 E391:K1048576">
    <cfRule type="containsText" dxfId="687" priority="2070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686" priority="2066" operator="notContains" text="Caida">
      <formula>ISERROR(SEARCH("Caida",O95))</formula>
    </cfRule>
    <cfRule type="containsText" dxfId="685" priority="2067" operator="containsText" text="Caida">
      <formula>NOT(ISERROR(SEARCH("Caida",O95)))</formula>
    </cfRule>
  </conditionalFormatting>
  <conditionalFormatting sqref="E282:K282">
    <cfRule type="containsText" dxfId="684" priority="2039" operator="containsText" text="Radio">
      <formula>NOT(ISERROR(SEARCH("Radio",E282)))</formula>
    </cfRule>
  </conditionalFormatting>
  <conditionalFormatting sqref="E283:K283">
    <cfRule type="containsText" dxfId="683" priority="2014" operator="containsText" text="Radio">
      <formula>NOT(ISERROR(SEARCH("Radio",E283)))</formula>
    </cfRule>
  </conditionalFormatting>
  <conditionalFormatting sqref="E4:K4">
    <cfRule type="containsText" dxfId="682" priority="1989" operator="containsText" text="Radio">
      <formula>NOT(ISERROR(SEARCH("Radio",E4)))</formula>
    </cfRule>
  </conditionalFormatting>
  <conditionalFormatting sqref="E231:K231">
    <cfRule type="containsText" dxfId="681" priority="1988" operator="containsText" text="Radio">
      <formula>NOT(ISERROR(SEARCH("Radio",E231)))</formula>
    </cfRule>
  </conditionalFormatting>
  <conditionalFormatting sqref="E232:K232">
    <cfRule type="containsText" dxfId="680" priority="1963" operator="containsText" text="Radio">
      <formula>NOT(ISERROR(SEARCH("Radio",E232)))</formula>
    </cfRule>
  </conditionalFormatting>
  <conditionalFormatting sqref="E233:K233">
    <cfRule type="containsText" dxfId="679" priority="1938" operator="containsText" text="Radio">
      <formula>NOT(ISERROR(SEARCH("Radio",E233)))</formula>
    </cfRule>
  </conditionalFormatting>
  <conditionalFormatting sqref="E234:K234">
    <cfRule type="containsText" dxfId="678" priority="1913" operator="containsText" text="Radio">
      <formula>NOT(ISERROR(SEARCH("Radio",E234)))</formula>
    </cfRule>
  </conditionalFormatting>
  <conditionalFormatting sqref="E235:K235">
    <cfRule type="containsText" dxfId="677" priority="1888" operator="containsText" text="Radio">
      <formula>NOT(ISERROR(SEARCH("Radio",E235)))</formula>
    </cfRule>
  </conditionalFormatting>
  <conditionalFormatting sqref="E335:K335">
    <cfRule type="containsText" dxfId="676" priority="1839" operator="containsText" text="Radio">
      <formula>NOT(ISERROR(SEARCH("Radio",E335)))</formula>
    </cfRule>
  </conditionalFormatting>
  <conditionalFormatting sqref="E336:K336">
    <cfRule type="containsText" dxfId="675" priority="1814" operator="containsText" text="Radio">
      <formula>NOT(ISERROR(SEARCH("Radio",E336)))</formula>
    </cfRule>
  </conditionalFormatting>
  <conditionalFormatting sqref="E237:K237">
    <cfRule type="containsText" dxfId="674" priority="1789" operator="containsText" text="Radio">
      <formula>NOT(ISERROR(SEARCH("Radio",E237)))</formula>
    </cfRule>
  </conditionalFormatting>
  <conditionalFormatting sqref="E238:K238">
    <cfRule type="containsText" dxfId="673" priority="1764" operator="containsText" text="Radio">
      <formula>NOT(ISERROR(SEARCH("Radio",E238)))</formula>
    </cfRule>
  </conditionalFormatting>
  <conditionalFormatting sqref="E33:K35">
    <cfRule type="containsText" dxfId="672" priority="1739" operator="containsText" text="Radio">
      <formula>NOT(ISERROR(SEARCH("Radio",E33)))</formula>
    </cfRule>
  </conditionalFormatting>
  <conditionalFormatting sqref="E239:K239">
    <cfRule type="containsText" dxfId="671" priority="1714" operator="containsText" text="Radio">
      <formula>NOT(ISERROR(SEARCH("Radio",E239)))</formula>
    </cfRule>
  </conditionalFormatting>
  <conditionalFormatting sqref="E240:K240">
    <cfRule type="containsText" dxfId="670" priority="1689" operator="containsText" text="Radio">
      <formula>NOT(ISERROR(SEARCH("Radio",E240)))</formula>
    </cfRule>
  </conditionalFormatting>
  <conditionalFormatting sqref="E241:K241">
    <cfRule type="containsText" dxfId="669" priority="1664" operator="containsText" text="Radio">
      <formula>NOT(ISERROR(SEARCH("Radio",E241)))</formula>
    </cfRule>
  </conditionalFormatting>
  <conditionalFormatting sqref="E242:K242">
    <cfRule type="containsText" dxfId="668" priority="1639" operator="containsText" text="Radio">
      <formula>NOT(ISERROR(SEARCH("Radio",E242)))</formula>
    </cfRule>
  </conditionalFormatting>
  <conditionalFormatting sqref="P6:P92 P96:P230">
    <cfRule type="cellIs" dxfId="667" priority="1564" operator="lessThan">
      <formula>0.8</formula>
    </cfRule>
    <cfRule type="cellIs" dxfId="666" priority="1565" operator="greaterThan">
      <formula>0.8</formula>
    </cfRule>
  </conditionalFormatting>
  <conditionalFormatting sqref="P6:P92 P96:P230">
    <cfRule type="notContainsText" dxfId="665" priority="1562" operator="notContains" text="Caida">
      <formula>ISERROR(SEARCH("Caida",P6))</formula>
    </cfRule>
    <cfRule type="containsText" dxfId="664" priority="1563" operator="containsText" text="Caida">
      <formula>NOT(ISERROR(SEARCH("Caida",P6)))</formula>
    </cfRule>
  </conditionalFormatting>
  <conditionalFormatting sqref="P337:P366 P284:P334">
    <cfRule type="cellIs" dxfId="663" priority="1560" operator="lessThan">
      <formula>0.8</formula>
    </cfRule>
    <cfRule type="cellIs" dxfId="662" priority="1561" operator="greaterThan">
      <formula>0.8</formula>
    </cfRule>
  </conditionalFormatting>
  <conditionalFormatting sqref="P337:P366 P284:P334 P391:P1048576">
    <cfRule type="notContainsText" dxfId="661" priority="1558" operator="notContains" text="Caida">
      <formula>ISERROR(SEARCH("Caida",P284))</formula>
    </cfRule>
    <cfRule type="containsText" dxfId="660" priority="1559" operator="containsText" text="Caida">
      <formula>NOT(ISERROR(SEARCH("Caida",P284)))</formula>
    </cfRule>
  </conditionalFormatting>
  <conditionalFormatting sqref="O391:O1048576">
    <cfRule type="notContainsText" dxfId="659" priority="1607" operator="notContains" text="Caida">
      <formula>ISERROR(SEARCH("Caida",O391))</formula>
    </cfRule>
    <cfRule type="containsText" dxfId="658" priority="1608" operator="containsText" text="Caida">
      <formula>NOT(ISERROR(SEARCH("Caida",O391)))</formula>
    </cfRule>
  </conditionalFormatting>
  <conditionalFormatting sqref="P336">
    <cfRule type="cellIs" dxfId="657" priority="1519" operator="lessThan">
      <formula>0.8</formula>
    </cfRule>
    <cfRule type="cellIs" dxfId="656" priority="1520" operator="greaterThan">
      <formula>0.8</formula>
    </cfRule>
  </conditionalFormatting>
  <conditionalFormatting sqref="P336">
    <cfRule type="notContainsText" dxfId="655" priority="1517" operator="notContains" text="Caida">
      <formula>ISERROR(SEARCH("Caida",P336))</formula>
    </cfRule>
    <cfRule type="containsText" dxfId="654" priority="1518" operator="containsText" text="Caida">
      <formula>NOT(ISERROR(SEARCH("Caida",P336)))</formula>
    </cfRule>
  </conditionalFormatting>
  <conditionalFormatting sqref="P22">
    <cfRule type="containsText" dxfId="653" priority="1557" operator="containsText" text="Instaladas en Funcionamiento Caida">
      <formula>NOT(ISERROR(SEARCH("Instaladas en Funcionamiento Caida",P22)))</formula>
    </cfRule>
  </conditionalFormatting>
  <conditionalFormatting sqref="P282">
    <cfRule type="cellIs" dxfId="652" priority="1555" operator="lessThan">
      <formula>0.8</formula>
    </cfRule>
    <cfRule type="cellIs" dxfId="651" priority="1556" operator="greaterThan">
      <formula>0.8</formula>
    </cfRule>
  </conditionalFormatting>
  <conditionalFormatting sqref="P282">
    <cfRule type="notContainsText" dxfId="650" priority="1553" operator="notContains" text="Caida">
      <formula>ISERROR(SEARCH("Caida",P282))</formula>
    </cfRule>
    <cfRule type="containsText" dxfId="649" priority="1554" operator="containsText" text="Caida">
      <formula>NOT(ISERROR(SEARCH("Caida",P282)))</formula>
    </cfRule>
  </conditionalFormatting>
  <conditionalFormatting sqref="P283">
    <cfRule type="cellIs" dxfId="648" priority="1551" operator="lessThan">
      <formula>0.8</formula>
    </cfRule>
    <cfRule type="cellIs" dxfId="647" priority="1552" operator="greaterThan">
      <formula>0.8</formula>
    </cfRule>
  </conditionalFormatting>
  <conditionalFormatting sqref="P283">
    <cfRule type="notContainsText" dxfId="646" priority="1549" operator="notContains" text="Caida">
      <formula>ISERROR(SEARCH("Caida",P283))</formula>
    </cfRule>
    <cfRule type="containsText" dxfId="645" priority="1550" operator="containsText" text="Caida">
      <formula>NOT(ISERROR(SEARCH("Caida",P283)))</formula>
    </cfRule>
  </conditionalFormatting>
  <conditionalFormatting sqref="P5">
    <cfRule type="cellIs" dxfId="644" priority="1547" operator="lessThan">
      <formula>0.8</formula>
    </cfRule>
    <cfRule type="cellIs" dxfId="643" priority="1548" operator="greaterThan">
      <formula>0.8</formula>
    </cfRule>
  </conditionalFormatting>
  <conditionalFormatting sqref="P5">
    <cfRule type="notContainsText" dxfId="642" priority="1545" operator="notContains" text="Caida">
      <formula>ISERROR(SEARCH("Caida",P5))</formula>
    </cfRule>
    <cfRule type="containsText" dxfId="641" priority="1546" operator="containsText" text="Caida">
      <formula>NOT(ISERROR(SEARCH("Caida",P5)))</formula>
    </cfRule>
  </conditionalFormatting>
  <conditionalFormatting sqref="P231">
    <cfRule type="cellIs" dxfId="640" priority="1543" operator="lessThan">
      <formula>0.8</formula>
    </cfRule>
    <cfRule type="cellIs" dxfId="639" priority="1544" operator="greaterThan">
      <formula>0.8</formula>
    </cfRule>
  </conditionalFormatting>
  <conditionalFormatting sqref="P231">
    <cfRule type="notContainsText" dxfId="638" priority="1541" operator="notContains" text="Caida">
      <formula>ISERROR(SEARCH("Caida",P231))</formula>
    </cfRule>
    <cfRule type="containsText" dxfId="637" priority="1542" operator="containsText" text="Caida">
      <formula>NOT(ISERROR(SEARCH("Caida",P231)))</formula>
    </cfRule>
  </conditionalFormatting>
  <conditionalFormatting sqref="P232">
    <cfRule type="cellIs" dxfId="636" priority="1539" operator="lessThan">
      <formula>0.8</formula>
    </cfRule>
    <cfRule type="cellIs" dxfId="635" priority="1540" operator="greaterThan">
      <formula>0.8</formula>
    </cfRule>
  </conditionalFormatting>
  <conditionalFormatting sqref="P232">
    <cfRule type="notContainsText" dxfId="634" priority="1537" operator="notContains" text="Caida">
      <formula>ISERROR(SEARCH("Caida",P232))</formula>
    </cfRule>
    <cfRule type="containsText" dxfId="633" priority="1538" operator="containsText" text="Caida">
      <formula>NOT(ISERROR(SEARCH("Caida",P232)))</formula>
    </cfRule>
  </conditionalFormatting>
  <conditionalFormatting sqref="P233">
    <cfRule type="cellIs" dxfId="632" priority="1535" operator="lessThan">
      <formula>0.8</formula>
    </cfRule>
    <cfRule type="cellIs" dxfId="631" priority="1536" operator="greaterThan">
      <formula>0.8</formula>
    </cfRule>
  </conditionalFormatting>
  <conditionalFormatting sqref="P233">
    <cfRule type="notContainsText" dxfId="630" priority="1533" operator="notContains" text="Caida">
      <formula>ISERROR(SEARCH("Caida",P233))</formula>
    </cfRule>
    <cfRule type="containsText" dxfId="629" priority="1534" operator="containsText" text="Caida">
      <formula>NOT(ISERROR(SEARCH("Caida",P233)))</formula>
    </cfRule>
  </conditionalFormatting>
  <conditionalFormatting sqref="P234">
    <cfRule type="cellIs" dxfId="628" priority="1531" operator="lessThan">
      <formula>0.8</formula>
    </cfRule>
    <cfRule type="cellIs" dxfId="627" priority="1532" operator="greaterThan">
      <formula>0.8</formula>
    </cfRule>
  </conditionalFormatting>
  <conditionalFormatting sqref="P234">
    <cfRule type="notContainsText" dxfId="626" priority="1529" operator="notContains" text="Caida">
      <formula>ISERROR(SEARCH("Caida",P234))</formula>
    </cfRule>
    <cfRule type="containsText" dxfId="625" priority="1530" operator="containsText" text="Caida">
      <formula>NOT(ISERROR(SEARCH("Caida",P234)))</formula>
    </cfRule>
  </conditionalFormatting>
  <conditionalFormatting sqref="P235">
    <cfRule type="cellIs" dxfId="624" priority="1527" operator="lessThan">
      <formula>0.8</formula>
    </cfRule>
    <cfRule type="cellIs" dxfId="623" priority="1528" operator="greaterThan">
      <formula>0.8</formula>
    </cfRule>
  </conditionalFormatting>
  <conditionalFormatting sqref="P235">
    <cfRule type="notContainsText" dxfId="622" priority="1525" operator="notContains" text="Caida">
      <formula>ISERROR(SEARCH("Caida",P235))</formula>
    </cfRule>
    <cfRule type="containsText" dxfId="621" priority="1526" operator="containsText" text="Caida">
      <formula>NOT(ISERROR(SEARCH("Caida",P235)))</formula>
    </cfRule>
  </conditionalFormatting>
  <conditionalFormatting sqref="P335">
    <cfRule type="cellIs" dxfId="620" priority="1523" operator="lessThan">
      <formula>0.8</formula>
    </cfRule>
    <cfRule type="cellIs" dxfId="619" priority="1524" operator="greaterThan">
      <formula>0.8</formula>
    </cfRule>
  </conditionalFormatting>
  <conditionalFormatting sqref="P335">
    <cfRule type="notContainsText" dxfId="618" priority="1521" operator="notContains" text="Caida">
      <formula>ISERROR(SEARCH("Caida",P335))</formula>
    </cfRule>
    <cfRule type="containsText" dxfId="617" priority="1522" operator="containsText" text="Caida">
      <formula>NOT(ISERROR(SEARCH("Caida",P335)))</formula>
    </cfRule>
  </conditionalFormatting>
  <conditionalFormatting sqref="Q6:Q92 Q96:Q230">
    <cfRule type="cellIs" dxfId="616" priority="1515" operator="lessThan">
      <formula>0.8</formula>
    </cfRule>
    <cfRule type="cellIs" dxfId="615" priority="1516" operator="greaterThan">
      <formula>0.8</formula>
    </cfRule>
  </conditionalFormatting>
  <conditionalFormatting sqref="Q6:Q92 Q96:Q230">
    <cfRule type="notContainsText" dxfId="614" priority="1513" operator="notContains" text="Caida">
      <formula>ISERROR(SEARCH("Caida",Q6))</formula>
    </cfRule>
    <cfRule type="containsText" dxfId="613" priority="1514" operator="containsText" text="Caida">
      <formula>NOT(ISERROR(SEARCH("Caida",Q6)))</formula>
    </cfRule>
  </conditionalFormatting>
  <conditionalFormatting sqref="Q336">
    <cfRule type="cellIs" dxfId="612" priority="1470" operator="lessThan">
      <formula>0.8</formula>
    </cfRule>
    <cfRule type="cellIs" dxfId="611" priority="1471" operator="greaterThan">
      <formula>0.8</formula>
    </cfRule>
  </conditionalFormatting>
  <conditionalFormatting sqref="Q336">
    <cfRule type="notContainsText" dxfId="610" priority="1468" operator="notContains" text="Caida">
      <formula>ISERROR(SEARCH("Caida",Q336))</formula>
    </cfRule>
    <cfRule type="containsText" dxfId="609" priority="1469" operator="containsText" text="Caida">
      <formula>NOT(ISERROR(SEARCH("Caida",Q336)))</formula>
    </cfRule>
  </conditionalFormatting>
  <conditionalFormatting sqref="Q337:Q366 Q284:Q334">
    <cfRule type="cellIs" dxfId="608" priority="1511" operator="lessThan">
      <formula>0.8</formula>
    </cfRule>
    <cfRule type="cellIs" dxfId="607" priority="1512" operator="greaterThan">
      <formula>0.8</formula>
    </cfRule>
  </conditionalFormatting>
  <conditionalFormatting sqref="Q337:Q366 Q284:Q334 Q391:Q1048576">
    <cfRule type="notContainsText" dxfId="606" priority="1509" operator="notContains" text="Caida">
      <formula>ISERROR(SEARCH("Caida",Q284))</formula>
    </cfRule>
    <cfRule type="containsText" dxfId="605" priority="1510" operator="containsText" text="Caida">
      <formula>NOT(ISERROR(SEARCH("Caida",Q284)))</formula>
    </cfRule>
  </conditionalFormatting>
  <conditionalFormatting sqref="Q22">
    <cfRule type="containsText" dxfId="604" priority="1508" operator="containsText" text="Instaladas en Funcionamiento Caida">
      <formula>NOT(ISERROR(SEARCH("Instaladas en Funcionamiento Caida",Q22)))</formula>
    </cfRule>
  </conditionalFormatting>
  <conditionalFormatting sqref="Q282">
    <cfRule type="cellIs" dxfId="603" priority="1506" operator="lessThan">
      <formula>0.8</formula>
    </cfRule>
    <cfRule type="cellIs" dxfId="602" priority="1507" operator="greaterThan">
      <formula>0.8</formula>
    </cfRule>
  </conditionalFormatting>
  <conditionalFormatting sqref="Q282">
    <cfRule type="notContainsText" dxfId="601" priority="1504" operator="notContains" text="Caida">
      <formula>ISERROR(SEARCH("Caida",Q282))</formula>
    </cfRule>
    <cfRule type="containsText" dxfId="600" priority="1505" operator="containsText" text="Caida">
      <formula>NOT(ISERROR(SEARCH("Caida",Q282)))</formula>
    </cfRule>
  </conditionalFormatting>
  <conditionalFormatting sqref="Q283">
    <cfRule type="cellIs" dxfId="599" priority="1502" operator="lessThan">
      <formula>0.8</formula>
    </cfRule>
    <cfRule type="cellIs" dxfId="598" priority="1503" operator="greaterThan">
      <formula>0.8</formula>
    </cfRule>
  </conditionalFormatting>
  <conditionalFormatting sqref="Q283">
    <cfRule type="notContainsText" dxfId="597" priority="1500" operator="notContains" text="Caida">
      <formula>ISERROR(SEARCH("Caida",Q283))</formula>
    </cfRule>
    <cfRule type="containsText" dxfId="596" priority="1501" operator="containsText" text="Caida">
      <formula>NOT(ISERROR(SEARCH("Caida",Q283)))</formula>
    </cfRule>
  </conditionalFormatting>
  <conditionalFormatting sqref="Q5">
    <cfRule type="cellIs" dxfId="595" priority="1498" operator="lessThan">
      <formula>0.8</formula>
    </cfRule>
    <cfRule type="cellIs" dxfId="594" priority="1499" operator="greaterThan">
      <formula>0.8</formula>
    </cfRule>
  </conditionalFormatting>
  <conditionalFormatting sqref="Q5">
    <cfRule type="notContainsText" dxfId="593" priority="1496" operator="notContains" text="Caida">
      <formula>ISERROR(SEARCH("Caida",Q5))</formula>
    </cfRule>
    <cfRule type="containsText" dxfId="592" priority="1497" operator="containsText" text="Caida">
      <formula>NOT(ISERROR(SEARCH("Caida",Q5)))</formula>
    </cfRule>
  </conditionalFormatting>
  <conditionalFormatting sqref="Q231">
    <cfRule type="cellIs" dxfId="591" priority="1494" operator="lessThan">
      <formula>0.8</formula>
    </cfRule>
    <cfRule type="cellIs" dxfId="590" priority="1495" operator="greaterThan">
      <formula>0.8</formula>
    </cfRule>
  </conditionalFormatting>
  <conditionalFormatting sqref="Q231">
    <cfRule type="notContainsText" dxfId="589" priority="1492" operator="notContains" text="Caida">
      <formula>ISERROR(SEARCH("Caida",Q231))</formula>
    </cfRule>
    <cfRule type="containsText" dxfId="588" priority="1493" operator="containsText" text="Caida">
      <formula>NOT(ISERROR(SEARCH("Caida",Q231)))</formula>
    </cfRule>
  </conditionalFormatting>
  <conditionalFormatting sqref="Q232">
    <cfRule type="cellIs" dxfId="587" priority="1490" operator="lessThan">
      <formula>0.8</formula>
    </cfRule>
    <cfRule type="cellIs" dxfId="586" priority="1491" operator="greaterThan">
      <formula>0.8</formula>
    </cfRule>
  </conditionalFormatting>
  <conditionalFormatting sqref="Q232">
    <cfRule type="notContainsText" dxfId="585" priority="1488" operator="notContains" text="Caida">
      <formula>ISERROR(SEARCH("Caida",Q232))</formula>
    </cfRule>
    <cfRule type="containsText" dxfId="584" priority="1489" operator="containsText" text="Caida">
      <formula>NOT(ISERROR(SEARCH("Caida",Q232)))</formula>
    </cfRule>
  </conditionalFormatting>
  <conditionalFormatting sqref="Q233">
    <cfRule type="cellIs" dxfId="583" priority="1486" operator="lessThan">
      <formula>0.8</formula>
    </cfRule>
    <cfRule type="cellIs" dxfId="582" priority="1487" operator="greaterThan">
      <formula>0.8</formula>
    </cfRule>
  </conditionalFormatting>
  <conditionalFormatting sqref="Q233">
    <cfRule type="notContainsText" dxfId="581" priority="1484" operator="notContains" text="Caida">
      <formula>ISERROR(SEARCH("Caida",Q233))</formula>
    </cfRule>
    <cfRule type="containsText" dxfId="580" priority="1485" operator="containsText" text="Caida">
      <formula>NOT(ISERROR(SEARCH("Caida",Q233)))</formula>
    </cfRule>
  </conditionalFormatting>
  <conditionalFormatting sqref="Q234">
    <cfRule type="cellIs" dxfId="579" priority="1482" operator="lessThan">
      <formula>0.8</formula>
    </cfRule>
    <cfRule type="cellIs" dxfId="578" priority="1483" operator="greaterThan">
      <formula>0.8</formula>
    </cfRule>
  </conditionalFormatting>
  <conditionalFormatting sqref="Q234">
    <cfRule type="notContainsText" dxfId="577" priority="1480" operator="notContains" text="Caida">
      <formula>ISERROR(SEARCH("Caida",Q234))</formula>
    </cfRule>
    <cfRule type="containsText" dxfId="576" priority="1481" operator="containsText" text="Caida">
      <formula>NOT(ISERROR(SEARCH("Caida",Q234)))</formula>
    </cfRule>
  </conditionalFormatting>
  <conditionalFormatting sqref="Q235">
    <cfRule type="cellIs" dxfId="575" priority="1478" operator="lessThan">
      <formula>0.8</formula>
    </cfRule>
    <cfRule type="cellIs" dxfId="574" priority="1479" operator="greaterThan">
      <formula>0.8</formula>
    </cfRule>
  </conditionalFormatting>
  <conditionalFormatting sqref="Q235">
    <cfRule type="notContainsText" dxfId="573" priority="1476" operator="notContains" text="Caida">
      <formula>ISERROR(SEARCH("Caida",Q235))</formula>
    </cfRule>
    <cfRule type="containsText" dxfId="572" priority="1477" operator="containsText" text="Caida">
      <formula>NOT(ISERROR(SEARCH("Caida",Q235)))</formula>
    </cfRule>
  </conditionalFormatting>
  <conditionalFormatting sqref="Q335">
    <cfRule type="cellIs" dxfId="571" priority="1474" operator="lessThan">
      <formula>0.8</formula>
    </cfRule>
    <cfRule type="cellIs" dxfId="570" priority="1475" operator="greaterThan">
      <formula>0.8</formula>
    </cfRule>
  </conditionalFormatting>
  <conditionalFormatting sqref="Q335">
    <cfRule type="notContainsText" dxfId="569" priority="1472" operator="notContains" text="Caida">
      <formula>ISERROR(SEARCH("Caida",Q335))</formula>
    </cfRule>
    <cfRule type="containsText" dxfId="568" priority="1473" operator="containsText" text="Caida">
      <formula>NOT(ISERROR(SEARCH("Caida",Q335)))</formula>
    </cfRule>
  </conditionalFormatting>
  <conditionalFormatting sqref="R6:R92 R96:R230">
    <cfRule type="cellIs" dxfId="567" priority="1466" operator="lessThan">
      <formula>0.8</formula>
    </cfRule>
    <cfRule type="cellIs" dxfId="566" priority="1467" operator="greaterThan">
      <formula>0.8</formula>
    </cfRule>
  </conditionalFormatting>
  <conditionalFormatting sqref="R6:R92 R96:R230">
    <cfRule type="notContainsText" dxfId="565" priority="1464" operator="notContains" text="Caida">
      <formula>ISERROR(SEARCH("Caida",R6))</formula>
    </cfRule>
    <cfRule type="containsText" dxfId="564" priority="1465" operator="containsText" text="Caida">
      <formula>NOT(ISERROR(SEARCH("Caida",R6)))</formula>
    </cfRule>
  </conditionalFormatting>
  <conditionalFormatting sqref="R336:T336">
    <cfRule type="cellIs" dxfId="563" priority="1421" operator="lessThan">
      <formula>0.8</formula>
    </cfRule>
    <cfRule type="cellIs" dxfId="562" priority="1422" operator="greaterThan">
      <formula>0.8</formula>
    </cfRule>
  </conditionalFormatting>
  <conditionalFormatting sqref="R336:T336">
    <cfRule type="notContainsText" dxfId="561" priority="1419" operator="notContains" text="Caida">
      <formula>ISERROR(SEARCH("Caida",R336))</formula>
    </cfRule>
    <cfRule type="containsText" dxfId="560" priority="1420" operator="containsText" text="Caida">
      <formula>NOT(ISERROR(SEARCH("Caida",R336)))</formula>
    </cfRule>
  </conditionalFormatting>
  <conditionalFormatting sqref="R337:R366 R284:R334">
    <cfRule type="cellIs" dxfId="559" priority="1462" operator="lessThan">
      <formula>0.8</formula>
    </cfRule>
    <cfRule type="cellIs" dxfId="558" priority="1463" operator="greaterThan">
      <formula>0.8</formula>
    </cfRule>
  </conditionalFormatting>
  <conditionalFormatting sqref="R337:R366 R284:R334 R391:R1048576">
    <cfRule type="notContainsText" dxfId="557" priority="1460" operator="notContains" text="Caida">
      <formula>ISERROR(SEARCH("Caida",R284))</formula>
    </cfRule>
    <cfRule type="containsText" dxfId="556" priority="1461" operator="containsText" text="Caida">
      <formula>NOT(ISERROR(SEARCH("Caida",R284)))</formula>
    </cfRule>
  </conditionalFormatting>
  <conditionalFormatting sqref="R22:T22">
    <cfRule type="containsText" dxfId="555" priority="1459" operator="containsText" text="Instaladas en Funcionamiento Caida">
      <formula>NOT(ISERROR(SEARCH("Instaladas en Funcionamiento Caida",R22)))</formula>
    </cfRule>
  </conditionalFormatting>
  <conditionalFormatting sqref="R282:T282">
    <cfRule type="cellIs" dxfId="554" priority="1457" operator="lessThan">
      <formula>0.8</formula>
    </cfRule>
    <cfRule type="cellIs" dxfId="553" priority="1458" operator="greaterThan">
      <formula>0.8</formula>
    </cfRule>
  </conditionalFormatting>
  <conditionalFormatting sqref="R282:T282">
    <cfRule type="notContainsText" dxfId="552" priority="1455" operator="notContains" text="Caida">
      <formula>ISERROR(SEARCH("Caida",R282))</formula>
    </cfRule>
    <cfRule type="containsText" dxfId="551" priority="1456" operator="containsText" text="Caida">
      <formula>NOT(ISERROR(SEARCH("Caida",R282)))</formula>
    </cfRule>
  </conditionalFormatting>
  <conditionalFormatting sqref="R283:T283">
    <cfRule type="cellIs" dxfId="550" priority="1453" operator="lessThan">
      <formula>0.8</formula>
    </cfRule>
    <cfRule type="cellIs" dxfId="549" priority="1454" operator="greaterThan">
      <formula>0.8</formula>
    </cfRule>
  </conditionalFormatting>
  <conditionalFormatting sqref="R283:T283">
    <cfRule type="notContainsText" dxfId="548" priority="1451" operator="notContains" text="Caida">
      <formula>ISERROR(SEARCH("Caida",R283))</formula>
    </cfRule>
    <cfRule type="containsText" dxfId="547" priority="1452" operator="containsText" text="Caida">
      <formula>NOT(ISERROR(SEARCH("Caida",R283)))</formula>
    </cfRule>
  </conditionalFormatting>
  <conditionalFormatting sqref="R5:T5">
    <cfRule type="cellIs" dxfId="546" priority="1449" operator="lessThan">
      <formula>0.8</formula>
    </cfRule>
    <cfRule type="cellIs" dxfId="545" priority="1450" operator="greaterThan">
      <formula>0.8</formula>
    </cfRule>
  </conditionalFormatting>
  <conditionalFormatting sqref="R5:T5">
    <cfRule type="notContainsText" dxfId="544" priority="1447" operator="notContains" text="Caida">
      <formula>ISERROR(SEARCH("Caida",R5))</formula>
    </cfRule>
    <cfRule type="containsText" dxfId="543" priority="1448" operator="containsText" text="Caida">
      <formula>NOT(ISERROR(SEARCH("Caida",R5)))</formula>
    </cfRule>
  </conditionalFormatting>
  <conditionalFormatting sqref="R231:T231">
    <cfRule type="cellIs" dxfId="542" priority="1445" operator="lessThan">
      <formula>0.8</formula>
    </cfRule>
    <cfRule type="cellIs" dxfId="541" priority="1446" operator="greaterThan">
      <formula>0.8</formula>
    </cfRule>
  </conditionalFormatting>
  <conditionalFormatting sqref="R231:T231">
    <cfRule type="notContainsText" dxfId="540" priority="1443" operator="notContains" text="Caida">
      <formula>ISERROR(SEARCH("Caida",R231))</formula>
    </cfRule>
    <cfRule type="containsText" dxfId="539" priority="1444" operator="containsText" text="Caida">
      <formula>NOT(ISERROR(SEARCH("Caida",R231)))</formula>
    </cfRule>
  </conditionalFormatting>
  <conditionalFormatting sqref="R232:T232">
    <cfRule type="cellIs" dxfId="538" priority="1441" operator="lessThan">
      <formula>0.8</formula>
    </cfRule>
    <cfRule type="cellIs" dxfId="537" priority="1442" operator="greaterThan">
      <formula>0.8</formula>
    </cfRule>
  </conditionalFormatting>
  <conditionalFormatting sqref="R232:T232">
    <cfRule type="notContainsText" dxfId="536" priority="1439" operator="notContains" text="Caida">
      <formula>ISERROR(SEARCH("Caida",R232))</formula>
    </cfRule>
    <cfRule type="containsText" dxfId="535" priority="1440" operator="containsText" text="Caida">
      <formula>NOT(ISERROR(SEARCH("Caida",R232)))</formula>
    </cfRule>
  </conditionalFormatting>
  <conditionalFormatting sqref="R233:T233">
    <cfRule type="cellIs" dxfId="534" priority="1437" operator="lessThan">
      <formula>0.8</formula>
    </cfRule>
    <cfRule type="cellIs" dxfId="533" priority="1438" operator="greaterThan">
      <formula>0.8</formula>
    </cfRule>
  </conditionalFormatting>
  <conditionalFormatting sqref="R233:T233">
    <cfRule type="notContainsText" dxfId="532" priority="1435" operator="notContains" text="Caida">
      <formula>ISERROR(SEARCH("Caida",R233))</formula>
    </cfRule>
    <cfRule type="containsText" dxfId="531" priority="1436" operator="containsText" text="Caida">
      <formula>NOT(ISERROR(SEARCH("Caida",R233)))</formula>
    </cfRule>
  </conditionalFormatting>
  <conditionalFormatting sqref="R234:T234">
    <cfRule type="cellIs" dxfId="530" priority="1433" operator="lessThan">
      <formula>0.8</formula>
    </cfRule>
    <cfRule type="cellIs" dxfId="529" priority="1434" operator="greaterThan">
      <formula>0.8</formula>
    </cfRule>
  </conditionalFormatting>
  <conditionalFormatting sqref="R234:T234">
    <cfRule type="notContainsText" dxfId="528" priority="1431" operator="notContains" text="Caida">
      <formula>ISERROR(SEARCH("Caida",R234))</formula>
    </cfRule>
    <cfRule type="containsText" dxfId="527" priority="1432" operator="containsText" text="Caida">
      <formula>NOT(ISERROR(SEARCH("Caida",R234)))</formula>
    </cfRule>
  </conditionalFormatting>
  <conditionalFormatting sqref="R235:T235">
    <cfRule type="cellIs" dxfId="526" priority="1429" operator="lessThan">
      <formula>0.8</formula>
    </cfRule>
    <cfRule type="cellIs" dxfId="525" priority="1430" operator="greaterThan">
      <formula>0.8</formula>
    </cfRule>
  </conditionalFormatting>
  <conditionalFormatting sqref="R235:T235">
    <cfRule type="notContainsText" dxfId="524" priority="1427" operator="notContains" text="Caida">
      <formula>ISERROR(SEARCH("Caida",R235))</formula>
    </cfRule>
    <cfRule type="containsText" dxfId="523" priority="1428" operator="containsText" text="Caida">
      <formula>NOT(ISERROR(SEARCH("Caida",R235)))</formula>
    </cfRule>
  </conditionalFormatting>
  <conditionalFormatting sqref="R335:T335">
    <cfRule type="cellIs" dxfId="522" priority="1425" operator="lessThan">
      <formula>0.8</formula>
    </cfRule>
    <cfRule type="cellIs" dxfId="521" priority="1426" operator="greaterThan">
      <formula>0.8</formula>
    </cfRule>
  </conditionalFormatting>
  <conditionalFormatting sqref="R335:T335">
    <cfRule type="notContainsText" dxfId="520" priority="1423" operator="notContains" text="Caida">
      <formula>ISERROR(SEARCH("Caida",R335))</formula>
    </cfRule>
    <cfRule type="containsText" dxfId="519" priority="1424" operator="containsText" text="Caida">
      <formula>NOT(ISERROR(SEARCH("Caida",R335)))</formula>
    </cfRule>
  </conditionalFormatting>
  <conditionalFormatting sqref="S391:S1048576">
    <cfRule type="notContainsText" dxfId="518" priority="1411" operator="notContains" text="Caida">
      <formula>ISERROR(SEARCH("Caida",S391))</formula>
    </cfRule>
    <cfRule type="containsText" dxfId="517" priority="1412" operator="containsText" text="Caida">
      <formula>NOT(ISERROR(SEARCH("Caida",S391)))</formula>
    </cfRule>
  </conditionalFormatting>
  <conditionalFormatting sqref="T391:T1048576">
    <cfRule type="notContainsText" dxfId="516" priority="1362" operator="notContains" text="Caida">
      <formula>ISERROR(SEARCH("Caida",T391))</formula>
    </cfRule>
    <cfRule type="containsText" dxfId="515" priority="1363" operator="containsText" text="Caida">
      <formula>NOT(ISERROR(SEARCH("Caida",T391)))</formula>
    </cfRule>
  </conditionalFormatting>
  <conditionalFormatting sqref="E92:K93">
    <cfRule type="containsText" dxfId="514" priority="1318" operator="containsText" text="Radio">
      <formula>NOT(ISERROR(SEARCH("Radio",E92)))</formula>
    </cfRule>
  </conditionalFormatting>
  <conditionalFormatting sqref="P93:P95">
    <cfRule type="cellIs" dxfId="513" priority="1288" operator="lessThan">
      <formula>0.8</formula>
    </cfRule>
    <cfRule type="cellIs" dxfId="512" priority="1289" operator="greaterThan">
      <formula>0.8</formula>
    </cfRule>
  </conditionalFormatting>
  <conditionalFormatting sqref="P93:P95">
    <cfRule type="notContainsText" dxfId="511" priority="1286" operator="notContains" text="Caida">
      <formula>ISERROR(SEARCH("Caida",P93))</formula>
    </cfRule>
    <cfRule type="containsText" dxfId="510" priority="1287" operator="containsText" text="Caida">
      <formula>NOT(ISERROR(SEARCH("Caida",P93)))</formula>
    </cfRule>
  </conditionalFormatting>
  <conditionalFormatting sqref="Q93:Q95">
    <cfRule type="cellIs" dxfId="509" priority="1284" operator="lessThan">
      <formula>0.8</formula>
    </cfRule>
    <cfRule type="cellIs" dxfId="508" priority="1285" operator="greaterThan">
      <formula>0.8</formula>
    </cfRule>
  </conditionalFormatting>
  <conditionalFormatting sqref="Q93:Q95">
    <cfRule type="notContainsText" dxfId="507" priority="1282" operator="notContains" text="Caida">
      <formula>ISERROR(SEARCH("Caida",Q93))</formula>
    </cfRule>
    <cfRule type="containsText" dxfId="506" priority="1283" operator="containsText" text="Caida">
      <formula>NOT(ISERROR(SEARCH("Caida",Q93)))</formula>
    </cfRule>
  </conditionalFormatting>
  <conditionalFormatting sqref="R93:R95">
    <cfRule type="cellIs" dxfId="505" priority="1280" operator="lessThan">
      <formula>0.8</formula>
    </cfRule>
    <cfRule type="cellIs" dxfId="504" priority="1281" operator="greaterThan">
      <formula>0.8</formula>
    </cfRule>
  </conditionalFormatting>
  <conditionalFormatting sqref="R93:R95">
    <cfRule type="notContainsText" dxfId="503" priority="1278" operator="notContains" text="Caida">
      <formula>ISERROR(SEARCH("Caida",R93))</formula>
    </cfRule>
    <cfRule type="containsText" dxfId="502" priority="1279" operator="containsText" text="Caida">
      <formula>NOT(ISERROR(SEARCH("Caida",R93)))</formula>
    </cfRule>
  </conditionalFormatting>
  <conditionalFormatting sqref="E365:K365">
    <cfRule type="containsText" dxfId="501" priority="1267" operator="containsText" text="Radio">
      <formula>NOT(ISERROR(SEARCH("Radio",E365)))</formula>
    </cfRule>
  </conditionalFormatting>
  <conditionalFormatting sqref="P367">
    <cfRule type="cellIs" dxfId="500" priority="1249" operator="lessThan">
      <formula>0.8</formula>
    </cfRule>
    <cfRule type="cellIs" dxfId="499" priority="1250" operator="greaterThan">
      <formula>0.8</formula>
    </cfRule>
  </conditionalFormatting>
  <conditionalFormatting sqref="P367">
    <cfRule type="notContainsText" dxfId="498" priority="1247" operator="notContains" text="Caida">
      <formula>ISERROR(SEARCH("Caida",P367))</formula>
    </cfRule>
    <cfRule type="containsText" dxfId="497" priority="1248" operator="containsText" text="Caida">
      <formula>NOT(ISERROR(SEARCH("Caida",P367)))</formula>
    </cfRule>
  </conditionalFormatting>
  <conditionalFormatting sqref="Q367">
    <cfRule type="cellIs" dxfId="496" priority="1245" operator="lessThan">
      <formula>0.8</formula>
    </cfRule>
    <cfRule type="cellIs" dxfId="495" priority="1246" operator="greaterThan">
      <formula>0.8</formula>
    </cfRule>
  </conditionalFormatting>
  <conditionalFormatting sqref="Q367">
    <cfRule type="notContainsText" dxfId="494" priority="1243" operator="notContains" text="Caida">
      <formula>ISERROR(SEARCH("Caida",Q367))</formula>
    </cfRule>
    <cfRule type="containsText" dxfId="493" priority="1244" operator="containsText" text="Caida">
      <formula>NOT(ISERROR(SEARCH("Caida",Q367)))</formula>
    </cfRule>
  </conditionalFormatting>
  <conditionalFormatting sqref="R367:T367">
    <cfRule type="cellIs" dxfId="492" priority="1241" operator="lessThan">
      <formula>0.8</formula>
    </cfRule>
    <cfRule type="cellIs" dxfId="491" priority="1242" operator="greaterThan">
      <formula>0.8</formula>
    </cfRule>
  </conditionalFormatting>
  <conditionalFormatting sqref="R367:T367">
    <cfRule type="notContainsText" dxfId="490" priority="1239" operator="notContains" text="Caida">
      <formula>ISERROR(SEARCH("Caida",R367))</formula>
    </cfRule>
    <cfRule type="containsText" dxfId="489" priority="1240" operator="containsText" text="Caida">
      <formula>NOT(ISERROR(SEARCH("Caida",R367)))</formula>
    </cfRule>
  </conditionalFormatting>
  <conditionalFormatting sqref="E366:K366">
    <cfRule type="containsText" dxfId="488" priority="1228" operator="containsText" text="Radio">
      <formula>NOT(ISERROR(SEARCH("Radio",E366)))</formula>
    </cfRule>
  </conditionalFormatting>
  <conditionalFormatting sqref="P368">
    <cfRule type="cellIs" dxfId="487" priority="1210" operator="lessThan">
      <formula>0.8</formula>
    </cfRule>
    <cfRule type="cellIs" dxfId="486" priority="1211" operator="greaterThan">
      <formula>0.8</formula>
    </cfRule>
  </conditionalFormatting>
  <conditionalFormatting sqref="P368">
    <cfRule type="notContainsText" dxfId="485" priority="1208" operator="notContains" text="Caida">
      <formula>ISERROR(SEARCH("Caida",P368))</formula>
    </cfRule>
    <cfRule type="containsText" dxfId="484" priority="1209" operator="containsText" text="Caida">
      <formula>NOT(ISERROR(SEARCH("Caida",P368)))</formula>
    </cfRule>
  </conditionalFormatting>
  <conditionalFormatting sqref="Q368">
    <cfRule type="cellIs" dxfId="483" priority="1206" operator="lessThan">
      <formula>0.8</formula>
    </cfRule>
    <cfRule type="cellIs" dxfId="482" priority="1207" operator="greaterThan">
      <formula>0.8</formula>
    </cfRule>
  </conditionalFormatting>
  <conditionalFormatting sqref="Q368">
    <cfRule type="notContainsText" dxfId="481" priority="1204" operator="notContains" text="Caida">
      <formula>ISERROR(SEARCH("Caida",Q368))</formula>
    </cfRule>
    <cfRule type="containsText" dxfId="480" priority="1205" operator="containsText" text="Caida">
      <formula>NOT(ISERROR(SEARCH("Caida",Q368)))</formula>
    </cfRule>
  </conditionalFormatting>
  <conditionalFormatting sqref="R368:T368">
    <cfRule type="cellIs" dxfId="479" priority="1202" operator="lessThan">
      <formula>0.8</formula>
    </cfRule>
    <cfRule type="cellIs" dxfId="478" priority="1203" operator="greaterThan">
      <formula>0.8</formula>
    </cfRule>
  </conditionalFormatting>
  <conditionalFormatting sqref="R368:T368">
    <cfRule type="notContainsText" dxfId="477" priority="1200" operator="notContains" text="Caida">
      <formula>ISERROR(SEARCH("Caida",R368))</formula>
    </cfRule>
    <cfRule type="containsText" dxfId="476" priority="1201" operator="containsText" text="Caida">
      <formula>NOT(ISERROR(SEARCH("Caida",R368)))</formula>
    </cfRule>
  </conditionalFormatting>
  <conditionalFormatting sqref="E367:K367">
    <cfRule type="containsText" dxfId="475" priority="1189" operator="containsText" text="Radio">
      <formula>NOT(ISERROR(SEARCH("Radio",E367)))</formula>
    </cfRule>
  </conditionalFormatting>
  <conditionalFormatting sqref="P369">
    <cfRule type="cellIs" dxfId="474" priority="1171" operator="lessThan">
      <formula>0.8</formula>
    </cfRule>
    <cfRule type="cellIs" dxfId="473" priority="1172" operator="greaterThan">
      <formula>0.8</formula>
    </cfRule>
  </conditionalFormatting>
  <conditionalFormatting sqref="P369">
    <cfRule type="notContainsText" dxfId="472" priority="1169" operator="notContains" text="Caida">
      <formula>ISERROR(SEARCH("Caida",P369))</formula>
    </cfRule>
    <cfRule type="containsText" dxfId="471" priority="1170" operator="containsText" text="Caida">
      <formula>NOT(ISERROR(SEARCH("Caida",P369)))</formula>
    </cfRule>
  </conditionalFormatting>
  <conditionalFormatting sqref="Q369">
    <cfRule type="cellIs" dxfId="470" priority="1167" operator="lessThan">
      <formula>0.8</formula>
    </cfRule>
    <cfRule type="cellIs" dxfId="469" priority="1168" operator="greaterThan">
      <formula>0.8</formula>
    </cfRule>
  </conditionalFormatting>
  <conditionalFormatting sqref="Q369">
    <cfRule type="notContainsText" dxfId="468" priority="1165" operator="notContains" text="Caida">
      <formula>ISERROR(SEARCH("Caida",Q369))</formula>
    </cfRule>
    <cfRule type="containsText" dxfId="467" priority="1166" operator="containsText" text="Caida">
      <formula>NOT(ISERROR(SEARCH("Caida",Q369)))</formula>
    </cfRule>
  </conditionalFormatting>
  <conditionalFormatting sqref="R369:T369">
    <cfRule type="cellIs" dxfId="466" priority="1163" operator="lessThan">
      <formula>0.8</formula>
    </cfRule>
    <cfRule type="cellIs" dxfId="465" priority="1164" operator="greaterThan">
      <formula>0.8</formula>
    </cfRule>
  </conditionalFormatting>
  <conditionalFormatting sqref="R369:T369">
    <cfRule type="notContainsText" dxfId="464" priority="1161" operator="notContains" text="Caida">
      <formula>ISERROR(SEARCH("Caida",R369))</formula>
    </cfRule>
    <cfRule type="containsText" dxfId="463" priority="1162" operator="containsText" text="Caida">
      <formula>NOT(ISERROR(SEARCH("Caida",R369)))</formula>
    </cfRule>
  </conditionalFormatting>
  <conditionalFormatting sqref="E368:K368">
    <cfRule type="containsText" dxfId="462" priority="1150" operator="containsText" text="Radio">
      <formula>NOT(ISERROR(SEARCH("Radio",E368)))</formula>
    </cfRule>
  </conditionalFormatting>
  <conditionalFormatting sqref="U231">
    <cfRule type="cellIs" dxfId="461" priority="1091" operator="lessThan">
      <formula>0.8</formula>
    </cfRule>
    <cfRule type="cellIs" dxfId="460" priority="1092" operator="greaterThan">
      <formula>0.8</formula>
    </cfRule>
  </conditionalFormatting>
  <conditionalFormatting sqref="U231">
    <cfRule type="notContainsText" dxfId="459" priority="1089" operator="notContains" text="Caida">
      <formula>ISERROR(SEARCH("Caida",U231))</formula>
    </cfRule>
    <cfRule type="containsText" dxfId="458" priority="1090" operator="containsText" text="Caida">
      <formula>NOT(ISERROR(SEARCH("Caida",U231)))</formula>
    </cfRule>
  </conditionalFormatting>
  <conditionalFormatting sqref="U232">
    <cfRule type="cellIs" dxfId="457" priority="1087" operator="lessThan">
      <formula>0.8</formula>
    </cfRule>
    <cfRule type="cellIs" dxfId="456" priority="1088" operator="greaterThan">
      <formula>0.8</formula>
    </cfRule>
  </conditionalFormatting>
  <conditionalFormatting sqref="U232">
    <cfRule type="notContainsText" dxfId="455" priority="1085" operator="notContains" text="Caida">
      <formula>ISERROR(SEARCH("Caida",U232))</formula>
    </cfRule>
    <cfRule type="containsText" dxfId="454" priority="1086" operator="containsText" text="Caida">
      <formula>NOT(ISERROR(SEARCH("Caida",U232)))</formula>
    </cfRule>
  </conditionalFormatting>
  <conditionalFormatting sqref="P370:P372">
    <cfRule type="cellIs" dxfId="453" priority="1132" operator="lessThan">
      <formula>0.8</formula>
    </cfRule>
    <cfRule type="cellIs" dxfId="452" priority="1133" operator="greaterThan">
      <formula>0.8</formula>
    </cfRule>
  </conditionalFormatting>
  <conditionalFormatting sqref="P370:P372">
    <cfRule type="notContainsText" dxfId="451" priority="1130" operator="notContains" text="Caida">
      <formula>ISERROR(SEARCH("Caida",P370))</formula>
    </cfRule>
    <cfRule type="containsText" dxfId="450" priority="1131" operator="containsText" text="Caida">
      <formula>NOT(ISERROR(SEARCH("Caida",P370)))</formula>
    </cfRule>
  </conditionalFormatting>
  <conditionalFormatting sqref="Q370:Q372">
    <cfRule type="cellIs" dxfId="449" priority="1128" operator="lessThan">
      <formula>0.8</formula>
    </cfRule>
    <cfRule type="cellIs" dxfId="448" priority="1129" operator="greaterThan">
      <formula>0.8</formula>
    </cfRule>
  </conditionalFormatting>
  <conditionalFormatting sqref="Q370:Q372">
    <cfRule type="notContainsText" dxfId="447" priority="1126" operator="notContains" text="Caida">
      <formula>ISERROR(SEARCH("Caida",Q370))</formula>
    </cfRule>
    <cfRule type="containsText" dxfId="446" priority="1127" operator="containsText" text="Caida">
      <formula>NOT(ISERROR(SEARCH("Caida",Q370)))</formula>
    </cfRule>
  </conditionalFormatting>
  <conditionalFormatting sqref="R370:T370">
    <cfRule type="cellIs" dxfId="445" priority="1124" operator="lessThan">
      <formula>0.8</formula>
    </cfRule>
    <cfRule type="cellIs" dxfId="444" priority="1125" operator="greaterThan">
      <formula>0.8</formula>
    </cfRule>
  </conditionalFormatting>
  <conditionalFormatting sqref="R370:T370">
    <cfRule type="notContainsText" dxfId="443" priority="1122" operator="notContains" text="Caida">
      <formula>ISERROR(SEARCH("Caida",R370))</formula>
    </cfRule>
    <cfRule type="containsText" dxfId="442" priority="1123" operator="containsText" text="Caida">
      <formula>NOT(ISERROR(SEARCH("Caida",R370)))</formula>
    </cfRule>
  </conditionalFormatting>
  <conditionalFormatting sqref="U368">
    <cfRule type="cellIs" dxfId="441" priority="1055" operator="lessThan">
      <formula>0.8</formula>
    </cfRule>
    <cfRule type="cellIs" dxfId="440" priority="1056" operator="greaterThan">
      <formula>0.8</formula>
    </cfRule>
  </conditionalFormatting>
  <conditionalFormatting sqref="U368">
    <cfRule type="notContainsText" dxfId="439" priority="1053" operator="notContains" text="Caida">
      <formula>ISERROR(SEARCH("Caida",U368))</formula>
    </cfRule>
    <cfRule type="containsText" dxfId="438" priority="1054" operator="containsText" text="Caida">
      <formula>NOT(ISERROR(SEARCH("Caida",U368)))</formula>
    </cfRule>
  </conditionalFormatting>
  <conditionalFormatting sqref="U369">
    <cfRule type="cellIs" dxfId="437" priority="1051" operator="lessThan">
      <formula>0.8</formula>
    </cfRule>
    <cfRule type="cellIs" dxfId="436" priority="1052" operator="greaterThan">
      <formula>0.8</formula>
    </cfRule>
  </conditionalFormatting>
  <conditionalFormatting sqref="U369">
    <cfRule type="notContainsText" dxfId="435" priority="1049" operator="notContains" text="Caida">
      <formula>ISERROR(SEARCH("Caida",U369))</formula>
    </cfRule>
    <cfRule type="containsText" dxfId="434" priority="1050" operator="containsText" text="Caida">
      <formula>NOT(ISERROR(SEARCH("Caida",U369)))</formula>
    </cfRule>
  </conditionalFormatting>
  <conditionalFormatting sqref="U370:U372">
    <cfRule type="cellIs" dxfId="433" priority="1047" operator="lessThan">
      <formula>0.8</formula>
    </cfRule>
    <cfRule type="cellIs" dxfId="432" priority="1048" operator="greaterThan">
      <formula>0.8</formula>
    </cfRule>
  </conditionalFormatting>
  <conditionalFormatting sqref="U370:U372">
    <cfRule type="notContainsText" dxfId="431" priority="1045" operator="notContains" text="Caida">
      <formula>ISERROR(SEARCH("Caida",U370))</formula>
    </cfRule>
    <cfRule type="containsText" dxfId="430" priority="1046" operator="containsText" text="Caida">
      <formula>NOT(ISERROR(SEARCH("Caida",U370)))</formula>
    </cfRule>
  </conditionalFormatting>
  <conditionalFormatting sqref="U6:U92 U96:U230">
    <cfRule type="cellIs" dxfId="429" priority="1112" operator="lessThan">
      <formula>0.8</formula>
    </cfRule>
    <cfRule type="cellIs" dxfId="428" priority="1113" operator="greaterThan">
      <formula>0.8</formula>
    </cfRule>
  </conditionalFormatting>
  <conditionalFormatting sqref="U6:U92 U96:U230">
    <cfRule type="notContainsText" dxfId="427" priority="1110" operator="notContains" text="Caida">
      <formula>ISERROR(SEARCH("Caida",U6))</formula>
    </cfRule>
    <cfRule type="containsText" dxfId="426" priority="1111" operator="containsText" text="Caida">
      <formula>NOT(ISERROR(SEARCH("Caida",U6)))</formula>
    </cfRule>
  </conditionalFormatting>
  <conditionalFormatting sqref="U336">
    <cfRule type="cellIs" dxfId="425" priority="1067" operator="lessThan">
      <formula>0.8</formula>
    </cfRule>
    <cfRule type="cellIs" dxfId="424" priority="1068" operator="greaterThan">
      <formula>0.8</formula>
    </cfRule>
  </conditionalFormatting>
  <conditionalFormatting sqref="U336">
    <cfRule type="notContainsText" dxfId="423" priority="1065" operator="notContains" text="Caida">
      <formula>ISERROR(SEARCH("Caida",U336))</formula>
    </cfRule>
    <cfRule type="containsText" dxfId="422" priority="1066" operator="containsText" text="Caida">
      <formula>NOT(ISERROR(SEARCH("Caida",U336)))</formula>
    </cfRule>
  </conditionalFormatting>
  <conditionalFormatting sqref="U337:U366 U284:U334">
    <cfRule type="cellIs" dxfId="421" priority="1108" operator="lessThan">
      <formula>0.8</formula>
    </cfRule>
    <cfRule type="cellIs" dxfId="420" priority="1109" operator="greaterThan">
      <formula>0.8</formula>
    </cfRule>
  </conditionalFormatting>
  <conditionalFormatting sqref="U337:U366 U284:U334 U391:U1048576">
    <cfRule type="notContainsText" dxfId="419" priority="1106" operator="notContains" text="Caida">
      <formula>ISERROR(SEARCH("Caida",U284))</formula>
    </cfRule>
    <cfRule type="containsText" dxfId="418" priority="1107" operator="containsText" text="Caida">
      <formula>NOT(ISERROR(SEARCH("Caida",U284)))</formula>
    </cfRule>
  </conditionalFormatting>
  <conditionalFormatting sqref="U22">
    <cfRule type="containsText" dxfId="417" priority="1105" operator="containsText" text="Instaladas en Funcionamiento Caida">
      <formula>NOT(ISERROR(SEARCH("Instaladas en Funcionamiento Caida",U22)))</formula>
    </cfRule>
  </conditionalFormatting>
  <conditionalFormatting sqref="U282">
    <cfRule type="cellIs" dxfId="416" priority="1103" operator="lessThan">
      <formula>0.8</formula>
    </cfRule>
    <cfRule type="cellIs" dxfId="415" priority="1104" operator="greaterThan">
      <formula>0.8</formula>
    </cfRule>
  </conditionalFormatting>
  <conditionalFormatting sqref="U282">
    <cfRule type="notContainsText" dxfId="414" priority="1101" operator="notContains" text="Caida">
      <formula>ISERROR(SEARCH("Caida",U282))</formula>
    </cfRule>
    <cfRule type="containsText" dxfId="413" priority="1102" operator="containsText" text="Caida">
      <formula>NOT(ISERROR(SEARCH("Caida",U282)))</formula>
    </cfRule>
  </conditionalFormatting>
  <conditionalFormatting sqref="U283">
    <cfRule type="cellIs" dxfId="412" priority="1099" operator="lessThan">
      <formula>0.8</formula>
    </cfRule>
    <cfRule type="cellIs" dxfId="411" priority="1100" operator="greaterThan">
      <formula>0.8</formula>
    </cfRule>
  </conditionalFormatting>
  <conditionalFormatting sqref="U283">
    <cfRule type="notContainsText" dxfId="410" priority="1097" operator="notContains" text="Caida">
      <formula>ISERROR(SEARCH("Caida",U283))</formula>
    </cfRule>
    <cfRule type="containsText" dxfId="409" priority="1098" operator="containsText" text="Caida">
      <formula>NOT(ISERROR(SEARCH("Caida",U283)))</formula>
    </cfRule>
  </conditionalFormatting>
  <conditionalFormatting sqref="U5">
    <cfRule type="cellIs" dxfId="408" priority="1095" operator="lessThan">
      <formula>0.8</formula>
    </cfRule>
    <cfRule type="cellIs" dxfId="407" priority="1096" operator="greaterThan">
      <formula>0.8</formula>
    </cfRule>
  </conditionalFormatting>
  <conditionalFormatting sqref="U5">
    <cfRule type="notContainsText" dxfId="406" priority="1093" operator="notContains" text="Caida">
      <formula>ISERROR(SEARCH("Caida",U5))</formula>
    </cfRule>
    <cfRule type="containsText" dxfId="405" priority="1094" operator="containsText" text="Caida">
      <formula>NOT(ISERROR(SEARCH("Caida",U5)))</formula>
    </cfRule>
  </conditionalFormatting>
  <conditionalFormatting sqref="U233">
    <cfRule type="cellIs" dxfId="404" priority="1083" operator="lessThan">
      <formula>0.8</formula>
    </cfRule>
    <cfRule type="cellIs" dxfId="403" priority="1084" operator="greaterThan">
      <formula>0.8</formula>
    </cfRule>
  </conditionalFormatting>
  <conditionalFormatting sqref="U233">
    <cfRule type="notContainsText" dxfId="402" priority="1081" operator="notContains" text="Caida">
      <formula>ISERROR(SEARCH("Caida",U233))</formula>
    </cfRule>
    <cfRule type="containsText" dxfId="401" priority="1082" operator="containsText" text="Caida">
      <formula>NOT(ISERROR(SEARCH("Caida",U233)))</formula>
    </cfRule>
  </conditionalFormatting>
  <conditionalFormatting sqref="U234">
    <cfRule type="cellIs" dxfId="400" priority="1079" operator="lessThan">
      <formula>0.8</formula>
    </cfRule>
    <cfRule type="cellIs" dxfId="399" priority="1080" operator="greaterThan">
      <formula>0.8</formula>
    </cfRule>
  </conditionalFormatting>
  <conditionalFormatting sqref="U234">
    <cfRule type="notContainsText" dxfId="398" priority="1077" operator="notContains" text="Caida">
      <formula>ISERROR(SEARCH("Caida",U234))</formula>
    </cfRule>
    <cfRule type="containsText" dxfId="397" priority="1078" operator="containsText" text="Caida">
      <formula>NOT(ISERROR(SEARCH("Caida",U234)))</formula>
    </cfRule>
  </conditionalFormatting>
  <conditionalFormatting sqref="U235">
    <cfRule type="cellIs" dxfId="396" priority="1075" operator="lessThan">
      <formula>0.8</formula>
    </cfRule>
    <cfRule type="cellIs" dxfId="395" priority="1076" operator="greaterThan">
      <formula>0.8</formula>
    </cfRule>
  </conditionalFormatting>
  <conditionalFormatting sqref="U235">
    <cfRule type="notContainsText" dxfId="394" priority="1073" operator="notContains" text="Caida">
      <formula>ISERROR(SEARCH("Caida",U235))</formula>
    </cfRule>
    <cfRule type="containsText" dxfId="393" priority="1074" operator="containsText" text="Caida">
      <formula>NOT(ISERROR(SEARCH("Caida",U235)))</formula>
    </cfRule>
  </conditionalFormatting>
  <conditionalFormatting sqref="U335">
    <cfRule type="cellIs" dxfId="392" priority="1071" operator="lessThan">
      <formula>0.8</formula>
    </cfRule>
    <cfRule type="cellIs" dxfId="391" priority="1072" operator="greaterThan">
      <formula>0.8</formula>
    </cfRule>
  </conditionalFormatting>
  <conditionalFormatting sqref="U335">
    <cfRule type="notContainsText" dxfId="390" priority="1069" operator="notContains" text="Caida">
      <formula>ISERROR(SEARCH("Caida",U335))</formula>
    </cfRule>
    <cfRule type="containsText" dxfId="389" priority="1070" operator="containsText" text="Caida">
      <formula>NOT(ISERROR(SEARCH("Caida",U335)))</formula>
    </cfRule>
  </conditionalFormatting>
  <conditionalFormatting sqref="U93:U95">
    <cfRule type="cellIs" dxfId="388" priority="1063" operator="lessThan">
      <formula>0.8</formula>
    </cfRule>
    <cfRule type="cellIs" dxfId="387" priority="1064" operator="greaterThan">
      <formula>0.8</formula>
    </cfRule>
  </conditionalFormatting>
  <conditionalFormatting sqref="U93:U95">
    <cfRule type="notContainsText" dxfId="386" priority="1061" operator="notContains" text="Caida">
      <formula>ISERROR(SEARCH("Caida",U93))</formula>
    </cfRule>
    <cfRule type="containsText" dxfId="385" priority="1062" operator="containsText" text="Caida">
      <formula>NOT(ISERROR(SEARCH("Caida",U93)))</formula>
    </cfRule>
  </conditionalFormatting>
  <conditionalFormatting sqref="U367">
    <cfRule type="cellIs" dxfId="384" priority="1059" operator="lessThan">
      <formula>0.8</formula>
    </cfRule>
    <cfRule type="cellIs" dxfId="383" priority="1060" operator="greaterThan">
      <formula>0.8</formula>
    </cfRule>
  </conditionalFormatting>
  <conditionalFormatting sqref="U367">
    <cfRule type="notContainsText" dxfId="382" priority="1057" operator="notContains" text="Caida">
      <formula>ISERROR(SEARCH("Caida",U367))</formula>
    </cfRule>
    <cfRule type="containsText" dxfId="381" priority="1058" operator="containsText" text="Caida">
      <formula>NOT(ISERROR(SEARCH("Caida",U367)))</formula>
    </cfRule>
  </conditionalFormatting>
  <conditionalFormatting sqref="V6:X92">
    <cfRule type="cellIs" dxfId="380" priority="1043" operator="lessThan">
      <formula>0.8</formula>
    </cfRule>
    <cfRule type="cellIs" dxfId="379" priority="1044" operator="greaterThan">
      <formula>0.8</formula>
    </cfRule>
  </conditionalFormatting>
  <conditionalFormatting sqref="V6:X92">
    <cfRule type="notContainsText" dxfId="378" priority="1041" operator="notContains" text="Caida">
      <formula>ISERROR(SEARCH("Caida",V6))</formula>
    </cfRule>
    <cfRule type="containsText" dxfId="377" priority="1042" operator="containsText" text="Caida">
      <formula>NOT(ISERROR(SEARCH("Caida",V6)))</formula>
    </cfRule>
  </conditionalFormatting>
  <conditionalFormatting sqref="V22:X22 AA22:AJ22">
    <cfRule type="containsText" dxfId="376" priority="1040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75" priority="1038" operator="lessThan">
      <formula>0.8</formula>
    </cfRule>
    <cfRule type="cellIs" dxfId="374" priority="1039" operator="greaterThan">
      <formula>0.8</formula>
    </cfRule>
  </conditionalFormatting>
  <conditionalFormatting sqref="V5:X5 AA5:AJ5">
    <cfRule type="notContainsText" dxfId="373" priority="1036" operator="notContains" text="Caida">
      <formula>ISERROR(SEARCH("Caida",V5))</formula>
    </cfRule>
    <cfRule type="containsText" dxfId="372" priority="1037" operator="containsText" text="Caida">
      <formula>NOT(ISERROR(SEARCH("Caida",V5)))</formula>
    </cfRule>
  </conditionalFormatting>
  <conditionalFormatting sqref="V93:X95">
    <cfRule type="cellIs" dxfId="371" priority="1034" operator="lessThan">
      <formula>0.8</formula>
    </cfRule>
    <cfRule type="cellIs" dxfId="370" priority="1035" operator="greaterThan">
      <formula>0.8</formula>
    </cfRule>
  </conditionalFormatting>
  <conditionalFormatting sqref="V93:X95">
    <cfRule type="notContainsText" dxfId="369" priority="1032" operator="notContains" text="Caida">
      <formula>ISERROR(SEARCH("Caida",V93))</formula>
    </cfRule>
    <cfRule type="containsText" dxfId="368" priority="1033" operator="containsText" text="Caida">
      <formula>NOT(ISERROR(SEARCH("Caida",V93)))</formula>
    </cfRule>
  </conditionalFormatting>
  <conditionalFormatting sqref="E1:E372 E391:E1048576">
    <cfRule type="containsText" dxfId="367" priority="892" operator="containsText" text="fija">
      <formula>NOT(ISERROR(SEARCH("fija",E1)))</formula>
    </cfRule>
    <cfRule type="containsText" dxfId="366" priority="893" operator="containsText" text="domo">
      <formula>NOT(ISERROR(SEARCH("domo",E1)))</formula>
    </cfRule>
  </conditionalFormatting>
  <conditionalFormatting sqref="AK6:AP92">
    <cfRule type="cellIs" dxfId="365" priority="868" operator="lessThan">
      <formula>0.8</formula>
    </cfRule>
    <cfRule type="cellIs" dxfId="364" priority="869" operator="greaterThan">
      <formula>0.8</formula>
    </cfRule>
  </conditionalFormatting>
  <conditionalFormatting sqref="AK6:AP92">
    <cfRule type="notContainsText" dxfId="363" priority="866" operator="notContains" text="Caida">
      <formula>ISERROR(SEARCH("Caida",AK6))</formula>
    </cfRule>
    <cfRule type="containsText" dxfId="362" priority="867" operator="containsText" text="Caida">
      <formula>NOT(ISERROR(SEARCH("Caida",AK6)))</formula>
    </cfRule>
  </conditionalFormatting>
  <conditionalFormatting sqref="AK22:AR22">
    <cfRule type="containsText" dxfId="361" priority="865" operator="containsText" text="Instaladas en Funcionamiento Caida">
      <formula>NOT(ISERROR(SEARCH("Instaladas en Funcionamiento Caida",AK22)))</formula>
    </cfRule>
  </conditionalFormatting>
  <conditionalFormatting sqref="AK5:AR5">
    <cfRule type="cellIs" dxfId="360" priority="863" operator="lessThan">
      <formula>0.8</formula>
    </cfRule>
    <cfRule type="cellIs" dxfId="359" priority="864" operator="greaterThan">
      <formula>0.8</formula>
    </cfRule>
  </conditionalFormatting>
  <conditionalFormatting sqref="AK5:AR5">
    <cfRule type="notContainsText" dxfId="358" priority="861" operator="notContains" text="Caida">
      <formula>ISERROR(SEARCH("Caida",AK5))</formula>
    </cfRule>
    <cfRule type="containsText" dxfId="357" priority="862" operator="containsText" text="Caida">
      <formula>NOT(ISERROR(SEARCH("Caida",AK5)))</formula>
    </cfRule>
  </conditionalFormatting>
  <conditionalFormatting sqref="AK93:AP94">
    <cfRule type="cellIs" dxfId="356" priority="859" operator="lessThan">
      <formula>0.8</formula>
    </cfRule>
    <cfRule type="cellIs" dxfId="355" priority="860" operator="greaterThan">
      <formula>0.8</formula>
    </cfRule>
  </conditionalFormatting>
  <conditionalFormatting sqref="AK93:AP94">
    <cfRule type="notContainsText" dxfId="354" priority="857" operator="notContains" text="Caida">
      <formula>ISERROR(SEARCH("Caida",AK93))</formula>
    </cfRule>
    <cfRule type="containsText" dxfId="353" priority="858" operator="containsText" text="Caida">
      <formula>NOT(ISERROR(SEARCH("Caida",AK93)))</formula>
    </cfRule>
  </conditionalFormatting>
  <conditionalFormatting sqref="O247:O372 O5:X369 AK1:AR1 AK391:AR1048576 AK5:AR372 AA5:AJ369">
    <cfRule type="cellIs" dxfId="352" priority="856" operator="equal">
      <formula>"APAGADO"</formula>
    </cfRule>
  </conditionalFormatting>
  <conditionalFormatting sqref="S6:S92 S96:S230">
    <cfRule type="cellIs" dxfId="351" priority="840" operator="lessThan">
      <formula>0.8</formula>
    </cfRule>
    <cfRule type="cellIs" dxfId="350" priority="841" operator="greaterThan">
      <formula>0.8</formula>
    </cfRule>
  </conditionalFormatting>
  <conditionalFormatting sqref="S6:S92 S96:S230">
    <cfRule type="notContainsText" dxfId="349" priority="838" operator="notContains" text="Caida">
      <formula>ISERROR(SEARCH("Caida",S6))</formula>
    </cfRule>
    <cfRule type="containsText" dxfId="348" priority="839" operator="containsText" text="Caida">
      <formula>NOT(ISERROR(SEARCH("Caida",S6)))</formula>
    </cfRule>
  </conditionalFormatting>
  <conditionalFormatting sqref="S337:S366 S284:S334">
    <cfRule type="cellIs" dxfId="347" priority="836" operator="lessThan">
      <formula>0.8</formula>
    </cfRule>
    <cfRule type="cellIs" dxfId="346" priority="837" operator="greaterThan">
      <formula>0.8</formula>
    </cfRule>
  </conditionalFormatting>
  <conditionalFormatting sqref="S337:S366 S284:S334">
    <cfRule type="notContainsText" dxfId="345" priority="834" operator="notContains" text="Caida">
      <formula>ISERROR(SEARCH("Caida",S284))</formula>
    </cfRule>
    <cfRule type="containsText" dxfId="344" priority="835" operator="containsText" text="Caida">
      <formula>NOT(ISERROR(SEARCH("Caida",S284)))</formula>
    </cfRule>
  </conditionalFormatting>
  <conditionalFormatting sqref="S93:S95">
    <cfRule type="cellIs" dxfId="343" priority="832" operator="lessThan">
      <formula>0.8</formula>
    </cfRule>
    <cfRule type="cellIs" dxfId="342" priority="833" operator="greaterThan">
      <formula>0.8</formula>
    </cfRule>
  </conditionalFormatting>
  <conditionalFormatting sqref="S93:S95">
    <cfRule type="notContainsText" dxfId="341" priority="830" operator="notContains" text="Caida">
      <formula>ISERROR(SEARCH("Caida",S93))</formula>
    </cfRule>
    <cfRule type="containsText" dxfId="340" priority="831" operator="containsText" text="Caida">
      <formula>NOT(ISERROR(SEARCH("Caida",S93)))</formula>
    </cfRule>
  </conditionalFormatting>
  <conditionalFormatting sqref="T6:T92 T96:T230">
    <cfRule type="cellIs" dxfId="339" priority="828" operator="lessThan">
      <formula>0.8</formula>
    </cfRule>
    <cfRule type="cellIs" dxfId="338" priority="829" operator="greaterThan">
      <formula>0.8</formula>
    </cfRule>
  </conditionalFormatting>
  <conditionalFormatting sqref="T6:T92 T96:T230">
    <cfRule type="notContainsText" dxfId="337" priority="826" operator="notContains" text="Caida">
      <formula>ISERROR(SEARCH("Caida",T6))</formula>
    </cfRule>
    <cfRule type="containsText" dxfId="336" priority="827" operator="containsText" text="Caida">
      <formula>NOT(ISERROR(SEARCH("Caida",T6)))</formula>
    </cfRule>
  </conditionalFormatting>
  <conditionalFormatting sqref="T337:T366 T284:T334">
    <cfRule type="cellIs" dxfId="335" priority="824" operator="lessThan">
      <formula>0.8</formula>
    </cfRule>
    <cfRule type="cellIs" dxfId="334" priority="825" operator="greaterThan">
      <formula>0.8</formula>
    </cfRule>
  </conditionalFormatting>
  <conditionalFormatting sqref="T337:T366 T284:T334">
    <cfRule type="notContainsText" dxfId="333" priority="822" operator="notContains" text="Caida">
      <formula>ISERROR(SEARCH("Caida",T284))</formula>
    </cfRule>
    <cfRule type="containsText" dxfId="332" priority="823" operator="containsText" text="Caida">
      <formula>NOT(ISERROR(SEARCH("Caida",T284)))</formula>
    </cfRule>
  </conditionalFormatting>
  <conditionalFormatting sqref="T93:T95">
    <cfRule type="cellIs" dxfId="331" priority="820" operator="lessThan">
      <formula>0.8</formula>
    </cfRule>
    <cfRule type="cellIs" dxfId="330" priority="821" operator="greaterThan">
      <formula>0.8</formula>
    </cfRule>
  </conditionalFormatting>
  <conditionalFormatting sqref="T93:T95">
    <cfRule type="notContainsText" dxfId="329" priority="818" operator="notContains" text="Caida">
      <formula>ISERROR(SEARCH("Caida",T93))</formula>
    </cfRule>
    <cfRule type="containsText" dxfId="328" priority="819" operator="containsText" text="Caida">
      <formula>NOT(ISERROR(SEARCH("Caida",T93)))</formula>
    </cfRule>
  </conditionalFormatting>
  <conditionalFormatting sqref="F1:F372 F391:F1048576">
    <cfRule type="cellIs" dxfId="327" priority="747" operator="equal">
      <formula>"PTP A FO"</formula>
    </cfRule>
  </conditionalFormatting>
  <conditionalFormatting sqref="R371:T372">
    <cfRule type="cellIs" dxfId="326" priority="376" operator="lessThan">
      <formula>0.8</formula>
    </cfRule>
    <cfRule type="cellIs" dxfId="325" priority="377" operator="greaterThan">
      <formula>0.8</formula>
    </cfRule>
  </conditionalFormatting>
  <conditionalFormatting sqref="R371:T372">
    <cfRule type="notContainsText" dxfId="324" priority="374" operator="notContains" text="Caida">
      <formula>ISERROR(SEARCH("Caida",R371))</formula>
    </cfRule>
    <cfRule type="containsText" dxfId="323" priority="375" operator="containsText" text="Caida">
      <formula>NOT(ISERROR(SEARCH("Caida",R371)))</formula>
    </cfRule>
  </conditionalFormatting>
  <conditionalFormatting sqref="O6:O92">
    <cfRule type="cellIs" dxfId="322" priority="364" operator="lessThan">
      <formula>0.8</formula>
    </cfRule>
    <cfRule type="cellIs" dxfId="321" priority="365" operator="greaterThan">
      <formula>0.8</formula>
    </cfRule>
  </conditionalFormatting>
  <conditionalFormatting sqref="O6:O92">
    <cfRule type="notContainsText" dxfId="320" priority="362" operator="notContains" text="Caida">
      <formula>ISERROR(SEARCH("Caida",O6))</formula>
    </cfRule>
    <cfRule type="containsText" dxfId="319" priority="363" operator="containsText" text="Caida">
      <formula>NOT(ISERROR(SEARCH("Caida",O6)))</formula>
    </cfRule>
  </conditionalFormatting>
  <conditionalFormatting sqref="O22">
    <cfRule type="containsText" dxfId="318" priority="361" operator="containsText" text="Instaladas en Funcionamiento Caida">
      <formula>NOT(ISERROR(SEARCH("Instaladas en Funcionamiento Caida",O22)))</formula>
    </cfRule>
  </conditionalFormatting>
  <conditionalFormatting sqref="O5">
    <cfRule type="cellIs" dxfId="317" priority="359" operator="lessThan">
      <formula>0.8</formula>
    </cfRule>
    <cfRule type="cellIs" dxfId="316" priority="360" operator="greaterThan">
      <formula>0.8</formula>
    </cfRule>
  </conditionalFormatting>
  <conditionalFormatting sqref="O5">
    <cfRule type="notContainsText" dxfId="315" priority="357" operator="notContains" text="Caida">
      <formula>ISERROR(SEARCH("Caida",O5))</formula>
    </cfRule>
    <cfRule type="containsText" dxfId="314" priority="358" operator="containsText" text="Caida">
      <formula>NOT(ISERROR(SEARCH("Caida",O5)))</formula>
    </cfRule>
  </conditionalFormatting>
  <conditionalFormatting sqref="O93:O94">
    <cfRule type="cellIs" dxfId="313" priority="355" operator="lessThan">
      <formula>0.8</formula>
    </cfRule>
    <cfRule type="cellIs" dxfId="312" priority="356" operator="greaterThan">
      <formula>0.8</formula>
    </cfRule>
  </conditionalFormatting>
  <conditionalFormatting sqref="O93:O94">
    <cfRule type="notContainsText" dxfId="311" priority="353" operator="notContains" text="Caida">
      <formula>ISERROR(SEARCH("Caida",O93))</formula>
    </cfRule>
    <cfRule type="containsText" dxfId="310" priority="354" operator="containsText" text="Caida">
      <formula>NOT(ISERROR(SEARCH("Caida",O93)))</formula>
    </cfRule>
  </conditionalFormatting>
  <conditionalFormatting sqref="AR6:AR92">
    <cfRule type="cellIs" dxfId="309" priority="346" operator="lessThan">
      <formula>0.8</formula>
    </cfRule>
    <cfRule type="cellIs" dxfId="308" priority="347" operator="greaterThan">
      <formula>0.8</formula>
    </cfRule>
  </conditionalFormatting>
  <conditionalFormatting sqref="AR6:AR92">
    <cfRule type="notContainsText" dxfId="307" priority="344" operator="notContains" text="Caida">
      <formula>ISERROR(SEARCH("Caida",AR6))</formula>
    </cfRule>
    <cfRule type="containsText" dxfId="306" priority="345" operator="containsText" text="Caida">
      <formula>NOT(ISERROR(SEARCH("Caida",AR6)))</formula>
    </cfRule>
  </conditionalFormatting>
  <conditionalFormatting sqref="AR93:AR94">
    <cfRule type="cellIs" dxfId="305" priority="342" operator="lessThan">
      <formula>0.8</formula>
    </cfRule>
    <cfRule type="cellIs" dxfId="304" priority="343" operator="greaterThan">
      <formula>0.8</formula>
    </cfRule>
  </conditionalFormatting>
  <conditionalFormatting sqref="AR93:AR94">
    <cfRule type="notContainsText" dxfId="303" priority="340" operator="notContains" text="Caida">
      <formula>ISERROR(SEARCH("Caida",AR93))</formula>
    </cfRule>
    <cfRule type="containsText" dxfId="302" priority="341" operator="containsText" text="Caida">
      <formula>NOT(ISERROR(SEARCH("Caida",AR93)))</formula>
    </cfRule>
  </conditionalFormatting>
  <conditionalFormatting sqref="AA6:AF92">
    <cfRule type="cellIs" dxfId="301" priority="281" operator="lessThan">
      <formula>0.8</formula>
    </cfRule>
    <cfRule type="cellIs" dxfId="300" priority="282" operator="greaterThan">
      <formula>0.8</formula>
    </cfRule>
  </conditionalFormatting>
  <conditionalFormatting sqref="AA6:AF92">
    <cfRule type="notContainsText" dxfId="299" priority="279" operator="notContains" text="Caida">
      <formula>ISERROR(SEARCH("Caida",AA6))</formula>
    </cfRule>
    <cfRule type="containsText" dxfId="298" priority="280" operator="containsText" text="Caida">
      <formula>NOT(ISERROR(SEARCH("Caida",AA6)))</formula>
    </cfRule>
  </conditionalFormatting>
  <conditionalFormatting sqref="AA93:AF95">
    <cfRule type="cellIs" dxfId="297" priority="277" operator="lessThan">
      <formula>0.8</formula>
    </cfRule>
    <cfRule type="cellIs" dxfId="296" priority="278" operator="greaterThan">
      <formula>0.8</formula>
    </cfRule>
  </conditionalFormatting>
  <conditionalFormatting sqref="AA93:AF95">
    <cfRule type="notContainsText" dxfId="295" priority="275" operator="notContains" text="Caida">
      <formula>ISERROR(SEARCH("Caida",AA93))</formula>
    </cfRule>
    <cfRule type="containsText" dxfId="294" priority="276" operator="containsText" text="Caida">
      <formula>NOT(ISERROR(SEARCH("Caida",AA93)))</formula>
    </cfRule>
  </conditionalFormatting>
  <conditionalFormatting sqref="AF1 AF5:AF376 AF378:AF1048576 AF3">
    <cfRule type="cellIs" dxfId="293" priority="274" operator="equal">
      <formula>"apagado"</formula>
    </cfRule>
  </conditionalFormatting>
  <conditionalFormatting sqref="AE1 AE5:AE376 AE378:AE1048576 AE3">
    <cfRule type="cellIs" dxfId="292" priority="273" operator="equal">
      <formula>"apagado"</formula>
    </cfRule>
  </conditionalFormatting>
  <conditionalFormatting sqref="AD1 AD5:AD376 AD378:AD1048576 AD3">
    <cfRule type="cellIs" dxfId="291" priority="272" operator="equal">
      <formula>"apagado"</formula>
    </cfRule>
  </conditionalFormatting>
  <conditionalFormatting sqref="AC1 AC5:AC376 AC378:AC1048576 AC3">
    <cfRule type="cellIs" dxfId="290" priority="271" operator="equal">
      <formula>"apagado"</formula>
    </cfRule>
  </conditionalFormatting>
  <conditionalFormatting sqref="AB1 AB5:AB376 AB378:AB1048576 AB3">
    <cfRule type="cellIs" dxfId="289" priority="270" operator="equal">
      <formula>"apagado"</formula>
    </cfRule>
  </conditionalFormatting>
  <conditionalFormatting sqref="AA1 AA5:AA376 AA378:AA1048576 AA3">
    <cfRule type="cellIs" dxfId="288" priority="269" operator="equal">
      <formula>"apagado"</formula>
    </cfRule>
  </conditionalFormatting>
  <conditionalFormatting sqref="Z1 Z378:Z1048576 Z3">
    <cfRule type="cellIs" dxfId="287" priority="268" operator="equal">
      <formula>"apagado"</formula>
    </cfRule>
  </conditionalFormatting>
  <conditionalFormatting sqref="Y1 Y378:Y1048576 Y3">
    <cfRule type="cellIs" dxfId="286" priority="267" operator="equal">
      <formula>"apagado"</formula>
    </cfRule>
  </conditionalFormatting>
  <conditionalFormatting sqref="AG6:AG92">
    <cfRule type="cellIs" dxfId="285" priority="265" operator="lessThan">
      <formula>0.8</formula>
    </cfRule>
    <cfRule type="cellIs" dxfId="284" priority="266" operator="greaterThan">
      <formula>0.8</formula>
    </cfRule>
  </conditionalFormatting>
  <conditionalFormatting sqref="AG6:AG92">
    <cfRule type="notContainsText" dxfId="283" priority="263" operator="notContains" text="Caida">
      <formula>ISERROR(SEARCH("Caida",AG6))</formula>
    </cfRule>
    <cfRule type="containsText" dxfId="282" priority="264" operator="containsText" text="Caida">
      <formula>NOT(ISERROR(SEARCH("Caida",AG6)))</formula>
    </cfRule>
  </conditionalFormatting>
  <conditionalFormatting sqref="AG93:AG95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G93:AG95">
    <cfRule type="notContainsText" dxfId="279" priority="259" operator="notContains" text="Caida">
      <formula>ISERROR(SEARCH("Caida",AG93))</formula>
    </cfRule>
    <cfRule type="containsText" dxfId="278" priority="260" operator="containsText" text="Caida">
      <formula>NOT(ISERROR(SEARCH("Caida",AG93)))</formula>
    </cfRule>
  </conditionalFormatting>
  <conditionalFormatting sqref="AG1 AG5:AG376 AG378:AG1048576 AG3">
    <cfRule type="cellIs" dxfId="277" priority="258" operator="equal">
      <formula>"apagado"</formula>
    </cfRule>
  </conditionalFormatting>
  <conditionalFormatting sqref="AH6:AH92">
    <cfRule type="cellIs" dxfId="276" priority="256" operator="lessThan">
      <formula>0.8</formula>
    </cfRule>
    <cfRule type="cellIs" dxfId="275" priority="257" operator="greaterThan">
      <formula>0.8</formula>
    </cfRule>
  </conditionalFormatting>
  <conditionalFormatting sqref="AH6:AH92">
    <cfRule type="notContainsText" dxfId="274" priority="254" operator="notContains" text="Caida">
      <formula>ISERROR(SEARCH("Caida",AH6))</formula>
    </cfRule>
    <cfRule type="containsText" dxfId="273" priority="255" operator="containsText" text="Caida">
      <formula>NOT(ISERROR(SEARCH("Caida",AH6)))</formula>
    </cfRule>
  </conditionalFormatting>
  <conditionalFormatting sqref="AH93:AH95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H93:AH95">
    <cfRule type="notContainsText" dxfId="270" priority="250" operator="notContains" text="Caida">
      <formula>ISERROR(SEARCH("Caida",AH93))</formula>
    </cfRule>
    <cfRule type="containsText" dxfId="269" priority="251" operator="containsText" text="Caida">
      <formula>NOT(ISERROR(SEARCH("Caida",AH93)))</formula>
    </cfRule>
  </conditionalFormatting>
  <conditionalFormatting sqref="AH1 AH378:AH1048576 AH3 AH5:AH376">
    <cfRule type="cellIs" dxfId="268" priority="249" operator="equal">
      <formula>"apagado"</formula>
    </cfRule>
  </conditionalFormatting>
  <conditionalFormatting sqref="AI6:AI92">
    <cfRule type="cellIs" dxfId="267" priority="247" operator="lessThan">
      <formula>0.8</formula>
    </cfRule>
    <cfRule type="cellIs" dxfId="266" priority="248" operator="greaterThan">
      <formula>0.8</formula>
    </cfRule>
  </conditionalFormatting>
  <conditionalFormatting sqref="AI6:AI92">
    <cfRule type="notContainsText" dxfId="265" priority="245" operator="notContains" text="Caida">
      <formula>ISERROR(SEARCH("Caida",AI6))</formula>
    </cfRule>
    <cfRule type="containsText" dxfId="264" priority="246" operator="containsText" text="Caida">
      <formula>NOT(ISERROR(SEARCH("Caida",AI6)))</formula>
    </cfRule>
  </conditionalFormatting>
  <conditionalFormatting sqref="AI93:AI95">
    <cfRule type="cellIs" dxfId="263" priority="243" operator="lessThan">
      <formula>0.8</formula>
    </cfRule>
    <cfRule type="cellIs" dxfId="262" priority="244" operator="greaterThan">
      <formula>0.8</formula>
    </cfRule>
  </conditionalFormatting>
  <conditionalFormatting sqref="AI93:AI95">
    <cfRule type="notContainsText" dxfId="261" priority="241" operator="notContains" text="Caida">
      <formula>ISERROR(SEARCH("Caida",AI93))</formula>
    </cfRule>
    <cfRule type="containsText" dxfId="260" priority="242" operator="containsText" text="Caida">
      <formula>NOT(ISERROR(SEARCH("Caida",AI93)))</formula>
    </cfRule>
  </conditionalFormatting>
  <conditionalFormatting sqref="AI1 AI5:AI376 AI378:AI1048576 AI3">
    <cfRule type="cellIs" dxfId="259" priority="240" operator="equal">
      <formula>"apagado"</formula>
    </cfRule>
  </conditionalFormatting>
  <conditionalFormatting sqref="AJ6:AJ92">
    <cfRule type="cellIs" dxfId="258" priority="238" operator="lessThan">
      <formula>0.8</formula>
    </cfRule>
    <cfRule type="cellIs" dxfId="257" priority="239" operator="greaterThan">
      <formula>0.8</formula>
    </cfRule>
  </conditionalFormatting>
  <conditionalFormatting sqref="AJ6:AJ92">
    <cfRule type="notContainsText" dxfId="256" priority="236" operator="notContains" text="Caida">
      <formula>ISERROR(SEARCH("Caida",AJ6))</formula>
    </cfRule>
    <cfRule type="containsText" dxfId="255" priority="237" operator="containsText" text="Caida">
      <formula>NOT(ISERROR(SEARCH("Caida",AJ6)))</formula>
    </cfRule>
  </conditionalFormatting>
  <conditionalFormatting sqref="AJ93:AJ95">
    <cfRule type="cellIs" dxfId="254" priority="234" operator="lessThan">
      <formula>0.8</formula>
    </cfRule>
    <cfRule type="cellIs" dxfId="253" priority="235" operator="greaterThan">
      <formula>0.8</formula>
    </cfRule>
  </conditionalFormatting>
  <conditionalFormatting sqref="AJ93:AJ95">
    <cfRule type="notContainsText" dxfId="252" priority="232" operator="notContains" text="Caida">
      <formula>ISERROR(SEARCH("Caida",AJ93))</formula>
    </cfRule>
    <cfRule type="containsText" dxfId="251" priority="233" operator="containsText" text="Caida">
      <formula>NOT(ISERROR(SEARCH("Caida",AJ93)))</formula>
    </cfRule>
  </conditionalFormatting>
  <conditionalFormatting sqref="AJ1 AJ5:AJ376 AJ378:AJ1048576 AJ3">
    <cfRule type="cellIs" dxfId="250" priority="231" operator="equal">
      <formula>"apagado"</formula>
    </cfRule>
  </conditionalFormatting>
  <conditionalFormatting sqref="AQ95:AQ369">
    <cfRule type="cellIs" dxfId="249" priority="212" operator="lessThan">
      <formula>0.8</formula>
    </cfRule>
    <cfRule type="cellIs" dxfId="248" priority="213" operator="greaterThan">
      <formula>0.8</formula>
    </cfRule>
  </conditionalFormatting>
  <conditionalFormatting sqref="AQ95:AQ372 AQ391:AQ1048576">
    <cfRule type="notContainsText" dxfId="247" priority="210" operator="notContains" text="Caida">
      <formula>ISERROR(SEARCH("Caida",AQ95))</formula>
    </cfRule>
    <cfRule type="containsText" dxfId="246" priority="211" operator="containsText" text="Caida">
      <formula>NOT(ISERROR(SEARCH("Caida",AQ95)))</formula>
    </cfRule>
  </conditionalFormatting>
  <conditionalFormatting sqref="AQ6:AQ92">
    <cfRule type="cellIs" dxfId="245" priority="208" operator="lessThan">
      <formula>0.8</formula>
    </cfRule>
    <cfRule type="cellIs" dxfId="244" priority="209" operator="greaterThan">
      <formula>0.8</formula>
    </cfRule>
  </conditionalFormatting>
  <conditionalFormatting sqref="AQ6:AQ92">
    <cfRule type="notContainsText" dxfId="243" priority="206" operator="notContains" text="Caida">
      <formula>ISERROR(SEARCH("Caida",AQ6))</formula>
    </cfRule>
    <cfRule type="containsText" dxfId="242" priority="207" operator="containsText" text="Caida">
      <formula>NOT(ISERROR(SEARCH("Caida",AQ6)))</formula>
    </cfRule>
  </conditionalFormatting>
  <conditionalFormatting sqref="AQ93:AQ94">
    <cfRule type="cellIs" dxfId="241" priority="204" operator="lessThan">
      <formula>0.8</formula>
    </cfRule>
    <cfRule type="cellIs" dxfId="240" priority="205" operator="greaterThan">
      <formula>0.8</formula>
    </cfRule>
  </conditionalFormatting>
  <conditionalFormatting sqref="AQ93:AQ94">
    <cfRule type="notContainsText" dxfId="239" priority="202" operator="notContains" text="Caida">
      <formula>ISERROR(SEARCH("Caida",AQ93))</formula>
    </cfRule>
    <cfRule type="containsText" dxfId="238" priority="203" operator="containsText" text="Caida">
      <formula>NOT(ISERROR(SEARCH("Caida",AQ93)))</formula>
    </cfRule>
  </conditionalFormatting>
  <conditionalFormatting sqref="AQ10">
    <cfRule type="cellIs" dxfId="237" priority="197" operator="equal">
      <formula>"apagado"</formula>
    </cfRule>
    <cfRule type="cellIs" dxfId="236" priority="200" operator="lessThan">
      <formula>0.8</formula>
    </cfRule>
    <cfRule type="cellIs" dxfId="235" priority="201" operator="greaterThan">
      <formula>0.8</formula>
    </cfRule>
  </conditionalFormatting>
  <conditionalFormatting sqref="AQ10">
    <cfRule type="notContainsText" dxfId="234" priority="198" operator="notContains" text="Caida">
      <formula>ISERROR(SEARCH("Caida",AQ10))</formula>
    </cfRule>
    <cfRule type="containsText" dxfId="233" priority="199" operator="containsText" text="Caida">
      <formula>NOT(ISERROR(SEARCH("Caida",AQ10)))</formula>
    </cfRule>
  </conditionalFormatting>
  <conditionalFormatting sqref="AQ1 AQ5:AQ376 AQ378:AQ1048576 AQ3">
    <cfRule type="cellIs" dxfId="232" priority="196" operator="equal">
      <formula>"apagado"</formula>
    </cfRule>
  </conditionalFormatting>
  <conditionalFormatting sqref="O5:X376 AA5:AR376">
    <cfRule type="cellIs" dxfId="231" priority="195" operator="equal">
      <formula>"APAGADO"</formula>
    </cfRule>
  </conditionalFormatting>
  <conditionalFormatting sqref="AF377">
    <cfRule type="cellIs" dxfId="230" priority="192" operator="equal">
      <formula>"apagado"</formula>
    </cfRule>
  </conditionalFormatting>
  <conditionalFormatting sqref="AE377">
    <cfRule type="cellIs" dxfId="229" priority="191" operator="equal">
      <formula>"apagado"</formula>
    </cfRule>
  </conditionalFormatting>
  <conditionalFormatting sqref="AD377">
    <cfRule type="cellIs" dxfId="228" priority="190" operator="equal">
      <formula>"apagado"</formula>
    </cfRule>
  </conditionalFormatting>
  <conditionalFormatting sqref="AC377">
    <cfRule type="cellIs" dxfId="227" priority="189" operator="equal">
      <formula>"apagado"</formula>
    </cfRule>
  </conditionalFormatting>
  <conditionalFormatting sqref="AB377">
    <cfRule type="cellIs" dxfId="226" priority="188" operator="equal">
      <formula>"apagado"</formula>
    </cfRule>
  </conditionalFormatting>
  <conditionalFormatting sqref="AA377">
    <cfRule type="cellIs" dxfId="225" priority="187" operator="equal">
      <formula>"apagado"</formula>
    </cfRule>
  </conditionalFormatting>
  <conditionalFormatting sqref="AG377">
    <cfRule type="cellIs" dxfId="224" priority="184" operator="equal">
      <formula>"apagado"</formula>
    </cfRule>
  </conditionalFormatting>
  <conditionalFormatting sqref="AH377">
    <cfRule type="cellIs" dxfId="223" priority="183" operator="equal">
      <formula>"apagado"</formula>
    </cfRule>
  </conditionalFormatting>
  <conditionalFormatting sqref="AI377">
    <cfRule type="cellIs" dxfId="222" priority="182" operator="equal">
      <formula>"apagado"</formula>
    </cfRule>
  </conditionalFormatting>
  <conditionalFormatting sqref="AJ377">
    <cfRule type="cellIs" dxfId="221" priority="181" operator="equal">
      <formula>"apagado"</formula>
    </cfRule>
  </conditionalFormatting>
  <conditionalFormatting sqref="AQ377">
    <cfRule type="cellIs" dxfId="220" priority="180" operator="equal">
      <formula>"apagado"</formula>
    </cfRule>
  </conditionalFormatting>
  <conditionalFormatting sqref="O377:X377 AA377:AR377">
    <cfRule type="cellIs" dxfId="219" priority="179" operator="equal">
      <formula>"APAGADO"</formula>
    </cfRule>
  </conditionalFormatting>
  <conditionalFormatting sqref="AS95:AS369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391:AS1048576 AS95:AS372">
    <cfRule type="notContainsText" dxfId="216" priority="175" operator="notContains" text="Caida">
      <formula>ISERROR(SEARCH("Caida",AS95))</formula>
    </cfRule>
    <cfRule type="containsText" dxfId="215" priority="176" operator="containsText" text="Caida">
      <formula>NOT(ISERROR(SEARCH("Caida",AS95)))</formula>
    </cfRule>
  </conditionalFormatting>
  <conditionalFormatting sqref="AS22">
    <cfRule type="containsText" dxfId="214" priority="174" operator="containsText" text="Instaladas en Funcionamiento Caida">
      <formula>NOT(ISERROR(SEARCH("Instaladas en Funcionamiento Caida",AS22)))</formula>
    </cfRule>
  </conditionalFormatting>
  <conditionalFormatting sqref="AS5">
    <cfRule type="cellIs" dxfId="213" priority="172" operator="lessThan">
      <formula>0.8</formula>
    </cfRule>
    <cfRule type="cellIs" dxfId="212" priority="173" operator="greaterThan">
      <formula>0.8</formula>
    </cfRule>
  </conditionalFormatting>
  <conditionalFormatting sqref="AS5">
    <cfRule type="notContainsText" dxfId="211" priority="170" operator="notContains" text="Caida">
      <formula>ISERROR(SEARCH("Caida",AS5))</formula>
    </cfRule>
    <cfRule type="containsText" dxfId="210" priority="171" operator="containsText" text="Caida">
      <formula>NOT(ISERROR(SEARCH("Caida",AS5)))</formula>
    </cfRule>
  </conditionalFormatting>
  <conditionalFormatting sqref="AS1 AS391:AS1048576 AS5:AS372">
    <cfRule type="cellIs" dxfId="209" priority="169" operator="equal">
      <formula>"APAGADO"</formula>
    </cfRule>
  </conditionalFormatting>
  <conditionalFormatting sqref="AS6:AS92">
    <cfRule type="cellIs" dxfId="208" priority="167" operator="lessThan">
      <formula>0.8</formula>
    </cfRule>
    <cfRule type="cellIs" dxfId="207" priority="168" operator="greaterThan">
      <formula>0.8</formula>
    </cfRule>
  </conditionalFormatting>
  <conditionalFormatting sqref="AS6:AS92">
    <cfRule type="notContainsText" dxfId="206" priority="165" operator="notContains" text="Caida">
      <formula>ISERROR(SEARCH("Caida",AS6))</formula>
    </cfRule>
    <cfRule type="containsText" dxfId="205" priority="166" operator="containsText" text="Caida">
      <formula>NOT(ISERROR(SEARCH("Caida",AS6)))</formula>
    </cfRule>
  </conditionalFormatting>
  <conditionalFormatting sqref="AS93:AS94">
    <cfRule type="cellIs" dxfId="204" priority="163" operator="lessThan">
      <formula>0.8</formula>
    </cfRule>
    <cfRule type="cellIs" dxfId="203" priority="164" operator="greaterThan">
      <formula>0.8</formula>
    </cfRule>
  </conditionalFormatting>
  <conditionalFormatting sqref="AS93:AS94">
    <cfRule type="notContainsText" dxfId="202" priority="161" operator="notContains" text="Caida">
      <formula>ISERROR(SEARCH("Caida",AS93))</formula>
    </cfRule>
    <cfRule type="containsText" dxfId="201" priority="162" operator="containsText" text="Caida">
      <formula>NOT(ISERROR(SEARCH("Caida",AS93)))</formula>
    </cfRule>
  </conditionalFormatting>
  <conditionalFormatting sqref="AS5:AS376">
    <cfRule type="cellIs" dxfId="200" priority="160" operator="equal">
      <formula>"APAGADO"</formula>
    </cfRule>
  </conditionalFormatting>
  <conditionalFormatting sqref="AS377">
    <cfRule type="cellIs" dxfId="199" priority="159" operator="equal">
      <formula>"APAGADO"</formula>
    </cfRule>
  </conditionalFormatting>
  <conditionalFormatting sqref="Y96:Y372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6:Y372">
    <cfRule type="notContainsText" dxfId="196" priority="155" operator="notContains" text="Caida">
      <formula>ISERROR(SEARCH("Caida",Y96))</formula>
    </cfRule>
    <cfRule type="containsText" dxfId="195" priority="156" operator="containsText" text="Caida">
      <formula>NOT(ISERROR(SEARCH("Caida",Y96)))</formula>
    </cfRule>
  </conditionalFormatting>
  <conditionalFormatting sqref="Y22">
    <cfRule type="containsText" dxfId="194" priority="154" operator="containsText" text="Instaladas en Funcionamiento Caida">
      <formula>NOT(ISERROR(SEARCH("Instaladas en Funcionamiento Caida",Y22)))</formula>
    </cfRule>
  </conditionalFormatting>
  <conditionalFormatting sqref="Y5">
    <cfRule type="cellIs" dxfId="193" priority="152" operator="lessThan">
      <formula>0.8</formula>
    </cfRule>
    <cfRule type="cellIs" dxfId="192" priority="153" operator="greaterThan">
      <formula>0.8</formula>
    </cfRule>
  </conditionalFormatting>
  <conditionalFormatting sqref="Y5">
    <cfRule type="notContainsText" dxfId="191" priority="150" operator="notContains" text="Caida">
      <formula>ISERROR(SEARCH("Caida",Y5))</formula>
    </cfRule>
    <cfRule type="containsText" dxfId="190" priority="151" operator="containsText" text="Caida">
      <formula>NOT(ISERROR(SEARCH("Caida",Y5)))</formula>
    </cfRule>
  </conditionalFormatting>
  <conditionalFormatting sqref="Y5:Y377">
    <cfRule type="cellIs" dxfId="189" priority="149" operator="equal">
      <formula>"APAGADO"</formula>
    </cfRule>
  </conditionalFormatting>
  <conditionalFormatting sqref="Y6:Y92">
    <cfRule type="cellIs" dxfId="188" priority="147" operator="lessThan">
      <formula>0.8</formula>
    </cfRule>
    <cfRule type="cellIs" dxfId="187" priority="148" operator="greaterThan">
      <formula>0.8</formula>
    </cfRule>
  </conditionalFormatting>
  <conditionalFormatting sqref="Y6:Y92">
    <cfRule type="notContainsText" dxfId="186" priority="145" operator="notContains" text="Caida">
      <formula>ISERROR(SEARCH("Caida",Y6))</formula>
    </cfRule>
    <cfRule type="containsText" dxfId="185" priority="146" operator="containsText" text="Caida">
      <formula>NOT(ISERROR(SEARCH("Caida",Y6)))</formula>
    </cfRule>
  </conditionalFormatting>
  <conditionalFormatting sqref="Y93:Y95">
    <cfRule type="cellIs" dxfId="184" priority="143" operator="lessThan">
      <formula>0.8</formula>
    </cfRule>
    <cfRule type="cellIs" dxfId="183" priority="144" operator="greaterThan">
      <formula>0.8</formula>
    </cfRule>
  </conditionalFormatting>
  <conditionalFormatting sqref="Y93:Y95">
    <cfRule type="notContainsText" dxfId="182" priority="141" operator="notContains" text="Caida">
      <formula>ISERROR(SEARCH("Caida",Y93))</formula>
    </cfRule>
    <cfRule type="containsText" dxfId="181" priority="142" operator="containsText" text="Caida">
      <formula>NOT(ISERROR(SEARCH("Caida",Y93)))</formula>
    </cfRule>
  </conditionalFormatting>
  <conditionalFormatting sqref="Y5:Y376">
    <cfRule type="cellIs" dxfId="180" priority="140" operator="equal">
      <formula>"apagado"</formula>
    </cfRule>
  </conditionalFormatting>
  <conditionalFormatting sqref="Y377">
    <cfRule type="cellIs" dxfId="179" priority="139" operator="equal">
      <formula>"apagado"</formula>
    </cfRule>
  </conditionalFormatting>
  <conditionalFormatting sqref="Z96:Z372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6:Z372">
    <cfRule type="notContainsText" dxfId="176" priority="135" operator="notContains" text="Caida">
      <formula>ISERROR(SEARCH("Caida",Z96))</formula>
    </cfRule>
    <cfRule type="containsText" dxfId="175" priority="136" operator="containsText" text="Caida">
      <formula>NOT(ISERROR(SEARCH("Caida",Z96)))</formula>
    </cfRule>
  </conditionalFormatting>
  <conditionalFormatting sqref="Z22">
    <cfRule type="containsText" dxfId="174" priority="134" operator="containsText" text="Instaladas en Funcionamiento Caida">
      <formula>NOT(ISERROR(SEARCH("Instaladas en Funcionamiento Caida",Z22)))</formula>
    </cfRule>
  </conditionalFormatting>
  <conditionalFormatting sqref="Z5">
    <cfRule type="cellIs" dxfId="173" priority="132" operator="lessThan">
      <formula>0.8</formula>
    </cfRule>
    <cfRule type="cellIs" dxfId="172" priority="133" operator="greaterThan">
      <formula>0.8</formula>
    </cfRule>
  </conditionalFormatting>
  <conditionalFormatting sqref="Z5">
    <cfRule type="notContainsText" dxfId="171" priority="130" operator="notContains" text="Caida">
      <formula>ISERROR(SEARCH("Caida",Z5))</formula>
    </cfRule>
    <cfRule type="containsText" dxfId="170" priority="131" operator="containsText" text="Caida">
      <formula>NOT(ISERROR(SEARCH("Caida",Z5)))</formula>
    </cfRule>
  </conditionalFormatting>
  <conditionalFormatting sqref="Z5:Z377">
    <cfRule type="cellIs" dxfId="169" priority="129" operator="equal">
      <formula>"APAGADO"</formula>
    </cfRule>
  </conditionalFormatting>
  <conditionalFormatting sqref="Z6:Z92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Z6:Z92">
    <cfRule type="notContainsText" dxfId="166" priority="125" operator="notContains" text="Caida">
      <formula>ISERROR(SEARCH("Caida",Z6))</formula>
    </cfRule>
    <cfRule type="containsText" dxfId="165" priority="126" operator="containsText" text="Caida">
      <formula>NOT(ISERROR(SEARCH("Caida",Z6)))</formula>
    </cfRule>
  </conditionalFormatting>
  <conditionalFormatting sqref="Z93:Z95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Z93:Z95">
    <cfRule type="notContainsText" dxfId="162" priority="121" operator="notContains" text="Caida">
      <formula>ISERROR(SEARCH("Caida",Z93))</formula>
    </cfRule>
    <cfRule type="containsText" dxfId="161" priority="122" operator="containsText" text="Caida">
      <formula>NOT(ISERROR(SEARCH("Caida",Z93)))</formula>
    </cfRule>
  </conditionalFormatting>
  <conditionalFormatting sqref="Z5:Z376">
    <cfRule type="cellIs" dxfId="160" priority="120" operator="equal">
      <formula>"apagado"</formula>
    </cfRule>
  </conditionalFormatting>
  <conditionalFormatting sqref="Z377">
    <cfRule type="cellIs" dxfId="159" priority="119" operator="equal">
      <formula>"apagado"</formula>
    </cfRule>
  </conditionalFormatting>
  <conditionalFormatting sqref="AH94">
    <cfRule type="cellIs" dxfId="158" priority="117" operator="lessThan">
      <formula>0.8</formula>
    </cfRule>
    <cfRule type="cellIs" dxfId="157" priority="118" operator="greaterThan">
      <formula>0.8</formula>
    </cfRule>
  </conditionalFormatting>
  <conditionalFormatting sqref="AH94">
    <cfRule type="notContainsText" dxfId="156" priority="115" operator="notContains" text="Caida">
      <formula>ISERROR(SEARCH("Caida",AH94))</formula>
    </cfRule>
    <cfRule type="containsText" dxfId="155" priority="116" operator="containsText" text="Caida">
      <formula>NOT(ISERROR(SEARCH("Caida",AH94)))</formula>
    </cfRule>
  </conditionalFormatting>
  <conditionalFormatting sqref="AH96">
    <cfRule type="cellIs" dxfId="154" priority="113" operator="lessThan">
      <formula>0.8</formula>
    </cfRule>
    <cfRule type="cellIs" dxfId="153" priority="114" operator="greaterThan">
      <formula>0.8</formula>
    </cfRule>
  </conditionalFormatting>
  <conditionalFormatting sqref="AH96">
    <cfRule type="notContainsText" dxfId="152" priority="111" operator="notContains" text="Caida">
      <formula>ISERROR(SEARCH("Caida",AH96))</formula>
    </cfRule>
    <cfRule type="containsText" dxfId="151" priority="112" operator="containsText" text="Caida">
      <formula>NOT(ISERROR(SEARCH("Caida",AH96)))</formula>
    </cfRule>
  </conditionalFormatting>
  <conditionalFormatting sqref="AH99">
    <cfRule type="cellIs" dxfId="150" priority="109" operator="lessThan">
      <formula>0.8</formula>
    </cfRule>
    <cfRule type="cellIs" dxfId="149" priority="110" operator="greaterThan">
      <formula>0.8</formula>
    </cfRule>
  </conditionalFormatting>
  <conditionalFormatting sqref="AH99">
    <cfRule type="notContainsText" dxfId="148" priority="107" operator="notContains" text="Caida">
      <formula>ISERROR(SEARCH("Caida",AH99))</formula>
    </cfRule>
    <cfRule type="containsText" dxfId="147" priority="108" operator="containsText" text="Caida">
      <formula>NOT(ISERROR(SEARCH("Caida",AH99)))</formula>
    </cfRule>
  </conditionalFormatting>
  <conditionalFormatting sqref="AH115">
    <cfRule type="cellIs" dxfId="146" priority="105" operator="lessThan">
      <formula>0.8</formula>
    </cfRule>
    <cfRule type="cellIs" dxfId="145" priority="106" operator="greaterThan">
      <formula>0.8</formula>
    </cfRule>
  </conditionalFormatting>
  <conditionalFormatting sqref="AH115">
    <cfRule type="notContainsText" dxfId="144" priority="103" operator="notContains" text="Caida">
      <formula>ISERROR(SEARCH("Caida",AH115))</formula>
    </cfRule>
    <cfRule type="containsText" dxfId="143" priority="104" operator="containsText" text="Caida">
      <formula>NOT(ISERROR(SEARCH("Caida",AH115)))</formula>
    </cfRule>
  </conditionalFormatting>
  <conditionalFormatting sqref="AH116">
    <cfRule type="cellIs" dxfId="142" priority="101" operator="lessThan">
      <formula>0.8</formula>
    </cfRule>
    <cfRule type="cellIs" dxfId="141" priority="102" operator="greaterThan">
      <formula>0.8</formula>
    </cfRule>
  </conditionalFormatting>
  <conditionalFormatting sqref="AH116">
    <cfRule type="notContainsText" dxfId="140" priority="99" operator="notContains" text="Caida">
      <formula>ISERROR(SEARCH("Caida",AH116))</formula>
    </cfRule>
    <cfRule type="containsText" dxfId="139" priority="100" operator="containsText" text="Caida">
      <formula>NOT(ISERROR(SEARCH("Caida",AH116)))</formula>
    </cfRule>
  </conditionalFormatting>
  <conditionalFormatting sqref="AH120">
    <cfRule type="cellIs" dxfId="138" priority="97" operator="lessThan">
      <formula>0.8</formula>
    </cfRule>
    <cfRule type="cellIs" dxfId="137" priority="98" operator="greaterThan">
      <formula>0.8</formula>
    </cfRule>
  </conditionalFormatting>
  <conditionalFormatting sqref="AH120">
    <cfRule type="notContainsText" dxfId="136" priority="95" operator="notContains" text="Caida">
      <formula>ISERROR(SEARCH("Caida",AH120))</formula>
    </cfRule>
    <cfRule type="containsText" dxfId="135" priority="96" operator="containsText" text="Caida">
      <formula>NOT(ISERROR(SEARCH("Caida",AH120)))</formula>
    </cfRule>
  </conditionalFormatting>
  <conditionalFormatting sqref="AH121">
    <cfRule type="cellIs" dxfId="134" priority="93" operator="lessThan">
      <formula>0.8</formula>
    </cfRule>
    <cfRule type="cellIs" dxfId="133" priority="94" operator="greaterThan">
      <formula>0.8</formula>
    </cfRule>
  </conditionalFormatting>
  <conditionalFormatting sqref="AH121">
    <cfRule type="notContainsText" dxfId="132" priority="91" operator="notContains" text="Caida">
      <formula>ISERROR(SEARCH("Caida",AH121))</formula>
    </cfRule>
    <cfRule type="containsText" dxfId="131" priority="92" operator="containsText" text="Caida">
      <formula>NOT(ISERROR(SEARCH("Caida",AH121)))</formula>
    </cfRule>
  </conditionalFormatting>
  <conditionalFormatting sqref="AH133">
    <cfRule type="cellIs" dxfId="130" priority="89" operator="lessThan">
      <formula>0.8</formula>
    </cfRule>
    <cfRule type="cellIs" dxfId="129" priority="90" operator="greaterThan">
      <formula>0.8</formula>
    </cfRule>
  </conditionalFormatting>
  <conditionalFormatting sqref="AH133">
    <cfRule type="notContainsText" dxfId="128" priority="87" operator="notContains" text="Caida">
      <formula>ISERROR(SEARCH("Caida",AH133))</formula>
    </cfRule>
    <cfRule type="containsText" dxfId="127" priority="88" operator="containsText" text="Caida">
      <formula>NOT(ISERROR(SEARCH("Caida",AH133)))</formula>
    </cfRule>
  </conditionalFormatting>
  <conditionalFormatting sqref="AH135">
    <cfRule type="cellIs" dxfId="126" priority="85" operator="lessThan">
      <formula>0.8</formula>
    </cfRule>
    <cfRule type="cellIs" dxfId="125" priority="86" operator="greaterThan">
      <formula>0.8</formula>
    </cfRule>
  </conditionalFormatting>
  <conditionalFormatting sqref="AH135">
    <cfRule type="notContainsText" dxfId="124" priority="83" operator="notContains" text="Caida">
      <formula>ISERROR(SEARCH("Caida",AH135))</formula>
    </cfRule>
    <cfRule type="containsText" dxfId="123" priority="84" operator="containsText" text="Caida">
      <formula>NOT(ISERROR(SEARCH("Caida",AH135)))</formula>
    </cfRule>
  </conditionalFormatting>
  <conditionalFormatting sqref="AH142">
    <cfRule type="cellIs" dxfId="122" priority="81" operator="lessThan">
      <formula>0.8</formula>
    </cfRule>
    <cfRule type="cellIs" dxfId="121" priority="82" operator="greaterThan">
      <formula>0.8</formula>
    </cfRule>
  </conditionalFormatting>
  <conditionalFormatting sqref="AH142">
    <cfRule type="notContainsText" dxfId="120" priority="79" operator="notContains" text="Caida">
      <formula>ISERROR(SEARCH("Caida",AH142))</formula>
    </cfRule>
    <cfRule type="containsText" dxfId="119" priority="80" operator="containsText" text="Caida">
      <formula>NOT(ISERROR(SEARCH("Caida",AH142)))</formula>
    </cfRule>
  </conditionalFormatting>
  <conditionalFormatting sqref="AH143">
    <cfRule type="cellIs" dxfId="118" priority="77" operator="lessThan">
      <formula>0.8</formula>
    </cfRule>
    <cfRule type="cellIs" dxfId="117" priority="78" operator="greaterThan">
      <formula>0.8</formula>
    </cfRule>
  </conditionalFormatting>
  <conditionalFormatting sqref="AH143">
    <cfRule type="notContainsText" dxfId="116" priority="75" operator="notContains" text="Caida">
      <formula>ISERROR(SEARCH("Caida",AH143))</formula>
    </cfRule>
    <cfRule type="containsText" dxfId="115" priority="76" operator="containsText" text="Caida">
      <formula>NOT(ISERROR(SEARCH("Caida",AH143)))</formula>
    </cfRule>
  </conditionalFormatting>
  <conditionalFormatting sqref="AH144">
    <cfRule type="cellIs" dxfId="114" priority="73" operator="lessThan">
      <formula>0.8</formula>
    </cfRule>
    <cfRule type="cellIs" dxfId="113" priority="74" operator="greaterThan">
      <formula>0.8</formula>
    </cfRule>
  </conditionalFormatting>
  <conditionalFormatting sqref="AH144">
    <cfRule type="notContainsText" dxfId="112" priority="71" operator="notContains" text="Caida">
      <formula>ISERROR(SEARCH("Caida",AH144))</formula>
    </cfRule>
    <cfRule type="containsText" dxfId="111" priority="72" operator="containsText" text="Caida">
      <formula>NOT(ISERROR(SEARCH("Caida",AH144)))</formula>
    </cfRule>
  </conditionalFormatting>
  <conditionalFormatting sqref="AH163">
    <cfRule type="cellIs" dxfId="110" priority="69" operator="lessThan">
      <formula>0.8</formula>
    </cfRule>
    <cfRule type="cellIs" dxfId="109" priority="70" operator="greaterThan">
      <formula>0.8</formula>
    </cfRule>
  </conditionalFormatting>
  <conditionalFormatting sqref="AH163">
    <cfRule type="notContainsText" dxfId="108" priority="67" operator="notContains" text="Caida">
      <formula>ISERROR(SEARCH("Caida",AH163))</formula>
    </cfRule>
    <cfRule type="containsText" dxfId="107" priority="68" operator="containsText" text="Caida">
      <formula>NOT(ISERROR(SEARCH("Caida",AH163)))</formula>
    </cfRule>
  </conditionalFormatting>
  <conditionalFormatting sqref="AH164">
    <cfRule type="cellIs" dxfId="106" priority="65" operator="lessThan">
      <formula>0.8</formula>
    </cfRule>
    <cfRule type="cellIs" dxfId="105" priority="66" operator="greaterThan">
      <formula>0.8</formula>
    </cfRule>
  </conditionalFormatting>
  <conditionalFormatting sqref="AH164">
    <cfRule type="notContainsText" dxfId="104" priority="63" operator="notContains" text="Caida">
      <formula>ISERROR(SEARCH("Caida",AH164))</formula>
    </cfRule>
    <cfRule type="containsText" dxfId="103" priority="64" operator="containsText" text="Caida">
      <formula>NOT(ISERROR(SEARCH("Caida",AH164)))</formula>
    </cfRule>
  </conditionalFormatting>
  <conditionalFormatting sqref="AH166">
    <cfRule type="cellIs" dxfId="102" priority="61" operator="lessThan">
      <formula>0.8</formula>
    </cfRule>
    <cfRule type="cellIs" dxfId="101" priority="62" operator="greaterThan">
      <formula>0.8</formula>
    </cfRule>
  </conditionalFormatting>
  <conditionalFormatting sqref="AH166">
    <cfRule type="notContainsText" dxfId="100" priority="59" operator="notContains" text="Caida">
      <formula>ISERROR(SEARCH("Caida",AH166))</formula>
    </cfRule>
    <cfRule type="containsText" dxfId="99" priority="60" operator="containsText" text="Caida">
      <formula>NOT(ISERROR(SEARCH("Caida",AH166)))</formula>
    </cfRule>
  </conditionalFormatting>
  <conditionalFormatting sqref="AH177">
    <cfRule type="cellIs" dxfId="98" priority="57" operator="lessThan">
      <formula>0.8</formula>
    </cfRule>
    <cfRule type="cellIs" dxfId="97" priority="58" operator="greaterThan">
      <formula>0.8</formula>
    </cfRule>
  </conditionalFormatting>
  <conditionalFormatting sqref="AH177">
    <cfRule type="notContainsText" dxfId="96" priority="55" operator="notContains" text="Caida">
      <formula>ISERROR(SEARCH("Caida",AH177))</formula>
    </cfRule>
    <cfRule type="containsText" dxfId="95" priority="56" operator="containsText" text="Caida">
      <formula>NOT(ISERROR(SEARCH("Caida",AH177)))</formula>
    </cfRule>
  </conditionalFormatting>
  <conditionalFormatting sqref="AH191">
    <cfRule type="cellIs" dxfId="94" priority="53" operator="lessThan">
      <formula>0.8</formula>
    </cfRule>
    <cfRule type="cellIs" dxfId="93" priority="54" operator="greaterThan">
      <formula>0.8</formula>
    </cfRule>
  </conditionalFormatting>
  <conditionalFormatting sqref="AH191">
    <cfRule type="notContainsText" dxfId="92" priority="51" operator="notContains" text="Caida">
      <formula>ISERROR(SEARCH("Caida",AH191))</formula>
    </cfRule>
    <cfRule type="containsText" dxfId="91" priority="52" operator="containsText" text="Caida">
      <formula>NOT(ISERROR(SEARCH("Caida",AH191)))</formula>
    </cfRule>
  </conditionalFormatting>
  <conditionalFormatting sqref="AH192">
    <cfRule type="cellIs" dxfId="90" priority="49" operator="lessThan">
      <formula>0.8</formula>
    </cfRule>
    <cfRule type="cellIs" dxfId="89" priority="50" operator="greaterThan">
      <formula>0.8</formula>
    </cfRule>
  </conditionalFormatting>
  <conditionalFormatting sqref="AH192">
    <cfRule type="notContainsText" dxfId="88" priority="47" operator="notContains" text="Caida">
      <formula>ISERROR(SEARCH("Caida",AH192))</formula>
    </cfRule>
    <cfRule type="containsText" dxfId="87" priority="48" operator="containsText" text="Caida">
      <formula>NOT(ISERROR(SEARCH("Caida",AH192)))</formula>
    </cfRule>
  </conditionalFormatting>
  <conditionalFormatting sqref="AH198">
    <cfRule type="cellIs" dxfId="86" priority="45" operator="lessThan">
      <formula>0.8</formula>
    </cfRule>
    <cfRule type="cellIs" dxfId="85" priority="46" operator="greaterThan">
      <formula>0.8</formula>
    </cfRule>
  </conditionalFormatting>
  <conditionalFormatting sqref="AH198">
    <cfRule type="notContainsText" dxfId="84" priority="43" operator="notContains" text="Caida">
      <formula>ISERROR(SEARCH("Caida",AH198))</formula>
    </cfRule>
    <cfRule type="containsText" dxfId="83" priority="44" operator="containsText" text="Caida">
      <formula>NOT(ISERROR(SEARCH("Caida",AH198)))</formula>
    </cfRule>
  </conditionalFormatting>
  <conditionalFormatting sqref="AH206">
    <cfRule type="cellIs" dxfId="82" priority="41" operator="lessThan">
      <formula>0.8</formula>
    </cfRule>
    <cfRule type="cellIs" dxfId="81" priority="42" operator="greaterThan">
      <formula>0.8</formula>
    </cfRule>
  </conditionalFormatting>
  <conditionalFormatting sqref="AH206">
    <cfRule type="notContainsText" dxfId="80" priority="39" operator="notContains" text="Caida">
      <formula>ISERROR(SEARCH("Caida",AH206))</formula>
    </cfRule>
    <cfRule type="containsText" dxfId="79" priority="40" operator="containsText" text="Caida">
      <formula>NOT(ISERROR(SEARCH("Caida",AH206)))</formula>
    </cfRule>
  </conditionalFormatting>
  <conditionalFormatting sqref="AH211">
    <cfRule type="cellIs" dxfId="78" priority="37" operator="lessThan">
      <formula>0.8</formula>
    </cfRule>
    <cfRule type="cellIs" dxfId="77" priority="38" operator="greaterThan">
      <formula>0.8</formula>
    </cfRule>
  </conditionalFormatting>
  <conditionalFormatting sqref="AH211">
    <cfRule type="notContainsText" dxfId="76" priority="35" operator="notContains" text="Caida">
      <formula>ISERROR(SEARCH("Caida",AH211))</formula>
    </cfRule>
    <cfRule type="containsText" dxfId="75" priority="36" operator="containsText" text="Caida">
      <formula>NOT(ISERROR(SEARCH("Caida",AH211)))</formula>
    </cfRule>
  </conditionalFormatting>
  <conditionalFormatting sqref="AH212">
    <cfRule type="cellIs" dxfId="74" priority="33" operator="lessThan">
      <formula>0.8</formula>
    </cfRule>
    <cfRule type="cellIs" dxfId="73" priority="34" operator="greaterThan">
      <formula>0.8</formula>
    </cfRule>
  </conditionalFormatting>
  <conditionalFormatting sqref="AH212">
    <cfRule type="notContainsText" dxfId="72" priority="31" operator="notContains" text="Caida">
      <formula>ISERROR(SEARCH("Caida",AH212))</formula>
    </cfRule>
    <cfRule type="containsText" dxfId="71" priority="32" operator="containsText" text="Caida">
      <formula>NOT(ISERROR(SEARCH("Caida",AH212)))</formula>
    </cfRule>
  </conditionalFormatting>
  <conditionalFormatting sqref="AH359">
    <cfRule type="cellIs" dxfId="70" priority="30" operator="equal">
      <formula>"apagado"</formula>
    </cfRule>
  </conditionalFormatting>
  <conditionalFormatting sqref="AH360">
    <cfRule type="cellIs" dxfId="69" priority="29" operator="equal">
      <formula>"apagado"</formula>
    </cfRule>
  </conditionalFormatting>
  <conditionalFormatting sqref="AH361">
    <cfRule type="cellIs" dxfId="68" priority="28" operator="equal">
      <formula>"apagado"</formula>
    </cfRule>
  </conditionalFormatting>
  <conditionalFormatting sqref="AH362">
    <cfRule type="cellIs" dxfId="67" priority="27" operator="equal">
      <formula>"apagado"</formula>
    </cfRule>
  </conditionalFormatting>
  <conditionalFormatting sqref="AH206">
    <cfRule type="cellIs" dxfId="66" priority="26" operator="equal">
      <formula>"apagado"</formula>
    </cfRule>
  </conditionalFormatting>
  <conditionalFormatting sqref="AH211">
    <cfRule type="cellIs" dxfId="65" priority="25" operator="equal">
      <formula>"apagado"</formula>
    </cfRule>
  </conditionalFormatting>
  <conditionalFormatting sqref="AH212">
    <cfRule type="cellIs" dxfId="64" priority="24" operator="equal">
      <formula>"apagado"</formula>
    </cfRule>
  </conditionalFormatting>
  <conditionalFormatting sqref="AH198">
    <cfRule type="cellIs" dxfId="63" priority="23" operator="equal">
      <formula>"apagado"</formula>
    </cfRule>
  </conditionalFormatting>
  <conditionalFormatting sqref="AH192">
    <cfRule type="cellIs" dxfId="62" priority="22" operator="equal">
      <formula>"apagado"</formula>
    </cfRule>
  </conditionalFormatting>
  <conditionalFormatting sqref="AH191">
    <cfRule type="cellIs" dxfId="61" priority="21" operator="equal">
      <formula>"apagado"</formula>
    </cfRule>
  </conditionalFormatting>
  <conditionalFormatting sqref="AH177">
    <cfRule type="cellIs" dxfId="60" priority="20" operator="equal">
      <formula>"apagado"</formula>
    </cfRule>
  </conditionalFormatting>
  <conditionalFormatting sqref="AH166">
    <cfRule type="cellIs" dxfId="59" priority="19" operator="equal">
      <formula>"apagado"</formula>
    </cfRule>
  </conditionalFormatting>
  <conditionalFormatting sqref="AH163">
    <cfRule type="cellIs" dxfId="58" priority="18" operator="equal">
      <formula>"apagado"</formula>
    </cfRule>
  </conditionalFormatting>
  <conditionalFormatting sqref="AH164">
    <cfRule type="cellIs" dxfId="57" priority="17" operator="equal">
      <formula>"apagado"</formula>
    </cfRule>
  </conditionalFormatting>
  <conditionalFormatting sqref="AH142">
    <cfRule type="cellIs" dxfId="56" priority="16" operator="equal">
      <formula>"apagado"</formula>
    </cfRule>
  </conditionalFormatting>
  <conditionalFormatting sqref="AH143">
    <cfRule type="cellIs" dxfId="55" priority="15" operator="equal">
      <formula>"apagado"</formula>
    </cfRule>
  </conditionalFormatting>
  <conditionalFormatting sqref="AH144">
    <cfRule type="cellIs" dxfId="54" priority="14" operator="equal">
      <formula>"apagado"</formula>
    </cfRule>
  </conditionalFormatting>
  <conditionalFormatting sqref="AH133">
    <cfRule type="cellIs" dxfId="53" priority="13" operator="equal">
      <formula>"apagado"</formula>
    </cfRule>
  </conditionalFormatting>
  <conditionalFormatting sqref="AH135">
    <cfRule type="cellIs" dxfId="52" priority="12" operator="equal">
      <formula>"apagado"</formula>
    </cfRule>
  </conditionalFormatting>
  <conditionalFormatting sqref="AH115">
    <cfRule type="cellIs" dxfId="51" priority="11" operator="equal">
      <formula>"apagado"</formula>
    </cfRule>
  </conditionalFormatting>
  <conditionalFormatting sqref="AH116">
    <cfRule type="cellIs" dxfId="50" priority="10" operator="equal">
      <formula>"apagado"</formula>
    </cfRule>
  </conditionalFormatting>
  <conditionalFormatting sqref="AH120">
    <cfRule type="cellIs" dxfId="49" priority="9" operator="equal">
      <formula>"apagado"</formula>
    </cfRule>
  </conditionalFormatting>
  <conditionalFormatting sqref="AH121">
    <cfRule type="cellIs" dxfId="48" priority="8" operator="equal">
      <formula>"apagado"</formula>
    </cfRule>
  </conditionalFormatting>
  <conditionalFormatting sqref="AH99">
    <cfRule type="cellIs" dxfId="47" priority="7" operator="equal">
      <formula>"apagado"</formula>
    </cfRule>
  </conditionalFormatting>
  <conditionalFormatting sqref="AH94">
    <cfRule type="cellIs" dxfId="46" priority="5" operator="lessThan">
      <formula>0.8</formula>
    </cfRule>
    <cfRule type="cellIs" dxfId="45" priority="6" operator="greaterThan">
      <formula>0.8</formula>
    </cfRule>
  </conditionalFormatting>
  <conditionalFormatting sqref="AH94">
    <cfRule type="notContainsText" dxfId="44" priority="3" operator="notContains" text="Caida">
      <formula>ISERROR(SEARCH("Caida",AH94))</formula>
    </cfRule>
    <cfRule type="containsText" dxfId="43" priority="4" operator="containsText" text="Caida">
      <formula>NOT(ISERROR(SEARCH("Caida",AH94)))</formula>
    </cfRule>
  </conditionalFormatting>
  <conditionalFormatting sqref="AH94">
    <cfRule type="cellIs" dxfId="42" priority="2" operator="equal">
      <formula>"apagado"</formula>
    </cfRule>
  </conditionalFormatting>
  <conditionalFormatting sqref="AH96">
    <cfRule type="cellIs" dxfId="4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 t="str">
        <f>'RESUMEN TOTAL'!AJ11</f>
        <v>APAGADO</v>
      </c>
      <c r="AB8" t="str">
        <f>'RESUMEN TOTAL'!AK11</f>
        <v>APAGADO</v>
      </c>
      <c r="AC8" t="str">
        <f>'RESUMEN TOTAL'!AL11</f>
        <v>APAGADO</v>
      </c>
      <c r="AD8" t="str">
        <f>'RESUMEN TOTAL'!AM11</f>
        <v>APAGADO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 t="str">
        <f>'RESUMEN TOTAL'!AJ22</f>
        <v>APAGADO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 t="str">
        <f>'RESUMEN TOTAL'!AM43</f>
        <v>APAGADO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 t="str">
        <f>'RESUMEN TOTAL'!AJ51</f>
        <v>APAGADO</v>
      </c>
      <c r="AB48" t="str">
        <f>'RESUMEN TOTAL'!AK51</f>
        <v>APAGADO</v>
      </c>
      <c r="AC48" t="str">
        <f>'RESUMEN TOTAL'!AL51</f>
        <v>APAGADO</v>
      </c>
      <c r="AD48" t="str">
        <f>'RESUMEN TOTAL'!AM51</f>
        <v>APAGADO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 t="str">
        <f>'RESUMEN TOTAL'!AK52</f>
        <v>APAGADO</v>
      </c>
      <c r="AC49" t="str">
        <f>'RESUMEN TOTAL'!AL52</f>
        <v>APAGADO</v>
      </c>
      <c r="AD49" t="str">
        <f>'RESUMEN TOTAL'!AM52</f>
        <v>APAGADO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 t="str">
        <f>'RESUMEN TOTAL'!AJ56</f>
        <v>APAGADO</v>
      </c>
      <c r="AB53" t="str">
        <f>'RESUMEN TOTAL'!AK56</f>
        <v>APAGADO</v>
      </c>
      <c r="AC53" t="str">
        <f>'RESUMEN TOTAL'!AL56</f>
        <v>APAGADO</v>
      </c>
      <c r="AD53" t="str">
        <f>'RESUMEN TOTAL'!AM56</f>
        <v>APAGADO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 t="str">
        <f>'RESUMEN TOTAL'!AJ94</f>
        <v>APAGADO</v>
      </c>
      <c r="AB91" t="str">
        <f>'RESUMEN TOTAL'!AK94</f>
        <v>APAGADO</v>
      </c>
      <c r="AC91" t="str">
        <f>'RESUMEN TOTAL'!AL94</f>
        <v>APAGADO</v>
      </c>
      <c r="AD91" t="str">
        <f>'RESUMEN TOTAL'!AM94</f>
        <v>APAGADO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 t="str">
        <f>'RESUMEN TOTAL'!AJ96</f>
        <v>APAGADO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 t="str">
        <f>'RESUMEN TOTAL'!AJ99</f>
        <v>APAGADO</v>
      </c>
      <c r="AB96" t="str">
        <f>'RESUMEN TOTAL'!AK99</f>
        <v>APAGADO</v>
      </c>
      <c r="AC96" t="str">
        <f>'RESUMEN TOTAL'!AL99</f>
        <v>APAGADO</v>
      </c>
      <c r="AD96" t="str">
        <f>'RESUMEN TOTAL'!AM99</f>
        <v>APAGADO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 t="str">
        <f>'RESUMEN TOTAL'!AL115</f>
        <v>APAGADO</v>
      </c>
      <c r="AD112" t="str">
        <f>'RESUMEN TOTAL'!AM115</f>
        <v>APAGADO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 t="str">
        <f>'RESUMEN TOTAL'!AL116</f>
        <v>APAGADO</v>
      </c>
      <c r="AD113" t="str">
        <f>'RESUMEN TOTAL'!AM116</f>
        <v>APAGADO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 t="str">
        <f>'RESUMEN TOTAL'!AJ135</f>
        <v>APAGADO</v>
      </c>
      <c r="AB132" t="str">
        <f>'RESUMEN TOTAL'!AK135</f>
        <v>APAGADO</v>
      </c>
      <c r="AC132" t="str">
        <f>'RESUMEN TOTAL'!AL135</f>
        <v>APAGADO</v>
      </c>
      <c r="AD132" t="str">
        <f>'RESUMEN TOTAL'!AM135</f>
        <v>APAGADO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 t="str">
        <f>'RESUMEN TOTAL'!AJ142</f>
        <v>APAGADO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 t="str">
        <f>'RESUMEN TOTAL'!AJ143</f>
        <v>APAGADO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 t="str">
        <f>'RESUMEN TOTAL'!AJ144</f>
        <v>APAGADO</v>
      </c>
      <c r="AB141" t="str">
        <f>'RESUMEN TOTAL'!AK144</f>
        <v>APAGADO</v>
      </c>
      <c r="AC141" t="str">
        <f>'RESUMEN TOTAL'!AL144</f>
        <v>APAGADO</v>
      </c>
      <c r="AD141" t="str">
        <f>'RESUMEN TOTAL'!AM144</f>
        <v>APAGADO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 t="str">
        <f>'RESUMEN TOTAL'!AL156</f>
        <v>APAGADO</v>
      </c>
      <c r="AD153" t="str">
        <f>'RESUMEN TOTAL'!AM156</f>
        <v>APAGADO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 t="str">
        <f>'RESUMEN TOTAL'!AJ163</f>
        <v>APAGADO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 t="str">
        <f>'RESUMEN TOTAL'!AJ164</f>
        <v>APAGADO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 t="str">
        <f>'RESUMEN TOTAL'!AM180</f>
        <v>APAGADO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 t="str">
        <f>'RESUMEN TOTAL'!AK194</f>
        <v>APAGADO</v>
      </c>
      <c r="AC191" t="str">
        <f>'RESUMEN TOTAL'!AL194</f>
        <v>APAGADO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 t="str">
        <f>'RESUMEN TOTAL'!AJ218</f>
        <v>APAGADO</v>
      </c>
      <c r="AB215" t="str">
        <f>'RESUMEN TOTAL'!AK218</f>
        <v>APAGADO</v>
      </c>
      <c r="AC215" t="str">
        <f>'RESUMEN TOTAL'!AL218</f>
        <v>APAGADO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 t="str">
        <f>'RESUMEN TOTAL'!AJ219</f>
        <v>APAGADO</v>
      </c>
      <c r="AB216" t="str">
        <f>'RESUMEN TOTAL'!AK219</f>
        <v>APAGADO</v>
      </c>
      <c r="AC216" t="str">
        <f>'RESUMEN TOTAL'!AL219</f>
        <v>APAGADO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 t="str">
        <f>'RESUMEN TOTAL'!AM241</f>
        <v>APAGADO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 t="str">
        <f>'RESUMEN TOTAL'!AM242</f>
        <v>APAGADO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 t="str">
        <f>'RESUMEN TOTAL'!AM243</f>
        <v>APAGADO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 t="str">
        <f>'RESUMEN TOTAL'!AM244</f>
        <v>APAGADO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 t="str">
        <f>'RESUMEN TOTAL'!AM246</f>
        <v>APAGADO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 t="str">
        <f>'RESUMEN TOTAL'!AL257</f>
        <v>APAGADO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 t="str">
        <f>'RESUMEN TOTAL'!AL260</f>
        <v>APAGADO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 t="str">
        <f>'RESUMEN TOTAL'!AL263</f>
        <v>APAGADO</v>
      </c>
      <c r="AD260" t="str">
        <f>'RESUMEN TOTAL'!AM263</f>
        <v>APAGADO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 t="str">
        <f>'RESUMEN TOTAL'!AL264</f>
        <v>APAGADO</v>
      </c>
      <c r="AD261" t="str">
        <f>'RESUMEN TOTAL'!AM264</f>
        <v>APAGADO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 t="str">
        <f>'RESUMEN TOTAL'!AL265</f>
        <v>APAGADO</v>
      </c>
      <c r="AD262" t="str">
        <f>'RESUMEN TOTAL'!AM265</f>
        <v>APAGADO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 t="str">
        <f>'RESUMEN TOTAL'!AL266</f>
        <v>APAGADO</v>
      </c>
      <c r="AD263" t="str">
        <f>'RESUMEN TOTAL'!AM266</f>
        <v>APAGADO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 t="str">
        <f>'RESUMEN TOTAL'!AL296</f>
        <v>APAGADO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 t="str">
        <f>'RESUMEN TOTAL'!AL350</f>
        <v>APAGADO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 t="str">
        <f>'RESUMEN TOTAL'!AL353</f>
        <v>APAGADO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 t="str">
        <f>'RESUMEN TOTAL'!AM355</f>
        <v>APAGADO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 t="str">
        <f>'RESUMEN TOTAL'!AL360</f>
        <v>APAGADO</v>
      </c>
      <c r="AD357" t="str">
        <f>'RESUMEN TOTAL'!AM360</f>
        <v>APAGADO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 t="str">
        <f>'RESUMEN TOTAL'!AK364</f>
        <v>APAGADO</v>
      </c>
      <c r="AC361" t="str">
        <f>'RESUMEN TOTAL'!AL364</f>
        <v>APAGADO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47</v>
      </c>
      <c r="AB1" s="26">
        <f t="shared" si="0"/>
        <v>46</v>
      </c>
      <c r="AC1" s="26">
        <f t="shared" si="0"/>
        <v>52</v>
      </c>
      <c r="AD1" s="26">
        <f>COUNTIF(AD3:AD366, "APAGADO")</f>
        <v>48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 t="str">
        <f>ESTADISTICA!AA8</f>
        <v>APAGADO</v>
      </c>
      <c r="AB9" t="str">
        <f>ESTADISTICA!AB8</f>
        <v>APAGADO</v>
      </c>
      <c r="AC9" t="str">
        <f>ESTADISTICA!AC8</f>
        <v>APAGADO</v>
      </c>
      <c r="AD9" t="str">
        <f>ESTADISTICA!AD8</f>
        <v>APAGADO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 t="str">
        <f>ESTADISTICA!AD40</f>
        <v>APAGADO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 t="str">
        <f>ESTADISTICA!AD48</f>
        <v>APAGADO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 t="str">
        <f>ESTADISTICA!AA91</f>
        <v>APAGADO</v>
      </c>
      <c r="AB92" t="str">
        <f>ESTADISTICA!AB91</f>
        <v>APAGADO</v>
      </c>
      <c r="AC92" t="str">
        <f>ESTADISTICA!AC91</f>
        <v>APAGADO</v>
      </c>
      <c r="AD92" t="str">
        <f>ESTADISTICA!AD91</f>
        <v>APAGADO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 t="str">
        <f>ESTADISTICA!AC113</f>
        <v>APAGADO</v>
      </c>
      <c r="AD114" t="str">
        <f>ESTADISTICA!AD113</f>
        <v>APAGADO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 t="str">
        <f>ESTADISTICA!AA140</f>
        <v>APAGADO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 t="str">
        <f>ESTADISTICA!AA141</f>
        <v>APAGADO</v>
      </c>
      <c r="AB142" t="str">
        <f>ESTADISTICA!AB141</f>
        <v>APAGADO</v>
      </c>
      <c r="AC142" t="str">
        <f>ESTADISTICA!AC141</f>
        <v>APAGADO</v>
      </c>
      <c r="AD142" t="str">
        <f>ESTADISTICA!AD141</f>
        <v>APAGADO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 t="str">
        <f>ESTADISTICA!AC153</f>
        <v>APAGADO</v>
      </c>
      <c r="AD154" t="str">
        <f>ESTADISTICA!AD153</f>
        <v>APAGADO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 t="str">
        <f>ESTADISTICA!AD243</f>
        <v>APAGADO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 t="str">
        <f>ESTADISTICA!AC254</f>
        <v>APAGADO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 t="str">
        <f>ESTADISTICA!AC262</f>
        <v>APAGADO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 t="str">
        <f>ESTADISTICA!AC263</f>
        <v>APAGADO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 t="str">
        <f>ESTADISTICA!AC347</f>
        <v>APAGADO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 t="str">
        <f>ESTADISTICA!AC350</f>
        <v>APAGADO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 t="str">
        <f>ESTADISTICA!AD352</f>
        <v>APAGADO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33</v>
      </c>
      <c r="AB2" s="26">
        <f>COUNTIFS(AB4:AB367, "=APAGADO",E4:E367,"=Fibra Optica")</f>
        <v>33</v>
      </c>
      <c r="AC2" s="26">
        <f>COUNTIFS(AC4:AC367, "=APAGADO",E4:E367,"=Fibra Optica")</f>
        <v>36</v>
      </c>
      <c r="AD2" s="26">
        <f>COUNTIFS(AD4:AD367, "=APAGADO",E4:E367,"=Fibra Optica")</f>
        <v>36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6</v>
      </c>
      <c r="AB2" s="26">
        <f>COUNTIFS(AB4:AB367, "=APAGADO",E4:E367,"=PTP A FO")</f>
        <v>6</v>
      </c>
      <c r="AC2" s="26">
        <f>COUNTIFS(AC4:AC367, "=APAGADO",E4:E367,"=PTP A FO")</f>
        <v>7</v>
      </c>
      <c r="AD2" s="26">
        <f>COUNTIFS(AD4:AD367, "=APAGADO",E4:E367,"=PTP A FO")</f>
        <v>5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8</v>
      </c>
      <c r="AB2" s="26">
        <f>COUNTIFS(AB4:AB367, "=APAGADO",E4:E367,"=radio")</f>
        <v>7</v>
      </c>
      <c r="AC2" s="26">
        <f>COUNTIFS(AC4:AC367, "=APAGADO",E4:E367,"=radio")</f>
        <v>9</v>
      </c>
      <c r="AD2" s="26">
        <f>COUNTIFS(AD4:AD367, "=APAGADO",E4:E367,"=radio")</f>
        <v>6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21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373</v>
      </c>
      <c r="G19" s="65">
        <f t="shared" si="1"/>
        <v>0.16085790884718498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373</v>
      </c>
      <c r="G20" s="65">
        <f t="shared" si="1"/>
        <v>0.18230563002680966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373</v>
      </c>
      <c r="G21" s="65">
        <f t="shared" si="1"/>
        <v>0.11528150134048257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25">
      <c r="A31" s="25">
        <f>'APAGADOS RADIO'!AI3</f>
        <v>44711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98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99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101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99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102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99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102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0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102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98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102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99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102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99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102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99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102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0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102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98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102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99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3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99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99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0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98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99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99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99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0"/>
    </row>
    <row r="22" spans="1:5" ht="15.75" thickTop="1" x14ac:dyDescent="0.25">
      <c r="A22" s="72" t="s">
        <v>1350</v>
      </c>
      <c r="B22" s="83"/>
      <c r="C22" s="79"/>
      <c r="D22" s="76"/>
      <c r="E22" s="98">
        <v>44701</v>
      </c>
    </row>
    <row r="23" spans="1:5" x14ac:dyDescent="0.25">
      <c r="A23" s="73" t="s">
        <v>6</v>
      </c>
      <c r="B23" s="84"/>
      <c r="C23" s="80"/>
      <c r="D23" s="77"/>
      <c r="E23" s="99"/>
    </row>
    <row r="24" spans="1:5" x14ac:dyDescent="0.25">
      <c r="A24" s="73" t="s">
        <v>1352</v>
      </c>
      <c r="B24" s="84"/>
      <c r="C24" s="80"/>
      <c r="D24" s="77"/>
      <c r="E24" s="99"/>
    </row>
    <row r="25" spans="1:5" x14ac:dyDescent="0.25">
      <c r="A25" s="73" t="s">
        <v>1351</v>
      </c>
      <c r="B25" s="84"/>
      <c r="C25" s="80"/>
      <c r="D25" s="77"/>
      <c r="E25" s="99"/>
    </row>
    <row r="26" spans="1:5" ht="15.75" thickBot="1" x14ac:dyDescent="0.3">
      <c r="A26" s="74" t="s">
        <v>20</v>
      </c>
      <c r="B26" s="85"/>
      <c r="C26" s="81"/>
      <c r="D26" s="78"/>
      <c r="E26" s="100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2022-05-26T10:29:26Z</dcterms:modified>
</cp:coreProperties>
</file>