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15783E4A-5F8C-4314-A342-91872A330DA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4" l="1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N262" i="2" s="1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N279" i="2" s="1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N324" i="2" s="1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2" i="2"/>
  <c r="N273" i="2"/>
  <c r="N274" i="2"/>
  <c r="N275" i="2"/>
  <c r="N277" i="2"/>
  <c r="N280" i="2"/>
  <c r="N288" i="2"/>
  <c r="N289" i="2"/>
  <c r="N290" i="2"/>
  <c r="N297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1" i="2"/>
  <c r="N322" i="2"/>
  <c r="N323" i="2"/>
  <c r="N325" i="2"/>
  <c r="N328" i="2"/>
  <c r="N329" i="2"/>
  <c r="N330" i="2"/>
  <c r="N331" i="2"/>
  <c r="N333" i="2"/>
  <c r="N336" i="2"/>
  <c r="N337" i="2"/>
  <c r="N338" i="2"/>
  <c r="N339" i="2"/>
  <c r="N341" i="2"/>
  <c r="N344" i="2"/>
  <c r="N345" i="2"/>
  <c r="N346" i="2"/>
  <c r="N347" i="2"/>
  <c r="N349" i="2"/>
  <c r="N352" i="2"/>
  <c r="N353" i="2"/>
  <c r="N354" i="2"/>
  <c r="N355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N281" i="2" s="1"/>
  <c r="L282" i="2"/>
  <c r="N282" i="2" s="1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N296" i="2" s="1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84" i="2" l="1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<sst xmlns="http://schemas.openxmlformats.org/spreadsheetml/2006/main" count="2898" uniqueCount="1347">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</sst>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50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V347" activePane="bottomRight" state="frozen"/>
      <selection pane="topRight" activeCell="M1" sqref="M1"/>
      <selection pane="bottomLeft" activeCell="A5" sqref="A5"/>
      <selection pane="bottomRight" activeCell="V353" sqref="V353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9.2391304347826081E-2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334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34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23</v>
      </c>
      <c r="M7" s="17">
        <f t="shared" si="6"/>
        <v>5</v>
      </c>
      <c r="N7" s="18">
        <f t="shared" si="7"/>
        <v>0.8214285714285714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26</v>
      </c>
      <c r="M10" s="17">
        <f t="shared" si="6"/>
        <v>2</v>
      </c>
      <c r="N10" s="18">
        <f t="shared" si="7"/>
        <v>0.9285714285714286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26</v>
      </c>
      <c r="M21" s="17">
        <f t="shared" si="6"/>
        <v>2</v>
      </c>
      <c r="N21" s="18">
        <f t="shared" si="7"/>
        <v>0.9285714285714286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27</v>
      </c>
      <c r="M24" s="17">
        <f t="shared" si="6"/>
        <v>1</v>
      </c>
      <c r="N24" s="18">
        <f t="shared" si="7"/>
        <v>0.9642857142857143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24</v>
      </c>
      <c r="M30" s="17">
        <f t="shared" si="6"/>
        <v>4</v>
      </c>
      <c r="N30" s="18">
        <f t="shared" si="7"/>
        <v>0.8571428571428571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22</v>
      </c>
      <c r="M62" s="17">
        <f t="shared" si="6"/>
        <v>6</v>
      </c>
      <c r="N62" s="18">
        <f t="shared" si="7"/>
        <v>0.7857142857142857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22</v>
      </c>
      <c r="M63" s="17">
        <f t="shared" si="6"/>
        <v>6</v>
      </c>
      <c r="N63" s="18">
        <f t="shared" si="7"/>
        <v>0.7857142857142857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22</v>
      </c>
      <c r="M65" s="17">
        <f t="shared" si="6"/>
        <v>6</v>
      </c>
      <c r="N65" s="18">
        <f t="shared" si="7"/>
        <v>0.7857142857142857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22</v>
      </c>
      <c r="M68" s="17">
        <f t="shared" si="6"/>
        <v>6</v>
      </c>
      <c r="N68" s="18">
        <f t="shared" si="7"/>
        <v>0.7857142857142857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22</v>
      </c>
      <c r="M80" s="17">
        <f t="shared" si="9"/>
        <v>6</v>
      </c>
      <c r="N80" s="18">
        <f t="shared" si="10"/>
        <v>0.7857142857142857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26</v>
      </c>
      <c r="M115" s="17">
        <f t="shared" si="9"/>
        <v>2</v>
      </c>
      <c r="N115" s="18">
        <f t="shared" si="10"/>
        <v>0.9285714285714286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22</v>
      </c>
      <c r="M133" s="17">
        <f t="shared" ref="M133:M196" si="12">COUNTIF(O133:AP133,"APAGADO")</f>
        <v>6</v>
      </c>
      <c r="N133" s="18">
        <f t="shared" ref="N133:N196" si="13">(L133)/(M133+L133)</f>
        <v>0.7857142857142857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23</v>
      </c>
      <c r="M174" s="17">
        <f t="shared" si="12"/>
        <v>5</v>
      </c>
      <c r="N174" s="18">
        <f t="shared" si="13"/>
        <v>0.8214285714285714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24</v>
      </c>
      <c r="M176" s="17">
        <f t="shared" si="12"/>
        <v>4</v>
      </c>
      <c r="N176" s="18">
        <f t="shared" si="13"/>
        <v>0.8571428571428571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27</v>
      </c>
      <c r="M177" s="17">
        <f t="shared" si="12"/>
        <v>1</v>
      </c>
      <c r="N177" s="18">
        <f t="shared" si="13"/>
        <v>0.9642857142857143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22</v>
      </c>
      <c r="M191" s="17">
        <f t="shared" si="12"/>
        <v>6</v>
      </c>
      <c r="N191" s="18">
        <f t="shared" si="13"/>
        <v>0.7857142857142857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22</v>
      </c>
      <c r="M192" s="17">
        <f t="shared" si="12"/>
        <v>6</v>
      </c>
      <c r="N192" s="18">
        <f t="shared" si="13"/>
        <v>0.7857142857142857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23</v>
      </c>
      <c r="M193" s="17">
        <f t="shared" si="12"/>
        <v>5</v>
      </c>
      <c r="N193" s="18">
        <f t="shared" si="13"/>
        <v>0.8214285714285714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24</v>
      </c>
      <c r="M194" s="17">
        <f t="shared" si="12"/>
        <v>4</v>
      </c>
      <c r="N194" s="18">
        <f t="shared" si="13"/>
        <v>0.8571428571428571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22</v>
      </c>
      <c r="M197" s="17">
        <f t="shared" ref="M197:M262" si="15">COUNTIF(O197:AP197,"APAGADO")</f>
        <v>6</v>
      </c>
      <c r="N197" s="18">
        <f t="shared" ref="N197:N262" si="16">(L197)/(M197+L197)</f>
        <v>0.7857142857142857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23</v>
      </c>
      <c r="M201" s="17">
        <f t="shared" si="15"/>
        <v>5</v>
      </c>
      <c r="N201" s="18">
        <f t="shared" si="16"/>
        <v>0.8214285714285714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23</v>
      </c>
      <c r="M202" s="17">
        <f t="shared" si="15"/>
        <v>5</v>
      </c>
      <c r="N202" s="18">
        <f t="shared" si="16"/>
        <v>0.8214285714285714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22</v>
      </c>
      <c r="M206" s="17">
        <f t="shared" si="15"/>
        <v>6</v>
      </c>
      <c r="N206" s="18">
        <f t="shared" si="16"/>
        <v>0.7857142857142857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22</v>
      </c>
      <c r="M207" s="17">
        <f t="shared" si="15"/>
        <v>6</v>
      </c>
      <c r="N207" s="18">
        <f t="shared" si="16"/>
        <v>0.7857142857142857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28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27</v>
      </c>
      <c r="M282" s="17">
        <f t="shared" si="18"/>
        <v>1</v>
      </c>
      <c r="N282" s="18">
        <f t="shared" si="19"/>
        <v>0.9642857142857143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23</v>
      </c>
      <c r="M283" s="17">
        <f t="shared" si="18"/>
        <v>5</v>
      </c>
      <c r="N283" s="18">
        <f t="shared" si="19"/>
        <v>0.8214285714285714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26</v>
      </c>
      <c r="M296" s="17">
        <f t="shared" si="18"/>
        <v>2</v>
      </c>
      <c r="N296" s="18">
        <f t="shared" si="19"/>
        <v>0.9285714285714286</v>
      </c>
      <c r="O296" s="27"/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27</v>
      </c>
      <c r="M297" s="17">
        <f t="shared" si="18"/>
        <v>1</v>
      </c>
      <c r="N297" s="18">
        <f t="shared" si="19"/>
        <v>0.9642857142857143</v>
      </c>
      <c r="O297" s="27"/>
      <c r="P297" s="8"/>
      <c r="Q297" s="8"/>
      <c r="R297" s="8"/>
      <c r="S297" s="27"/>
      <c r="T297" s="27"/>
      <c r="U297" s="8"/>
      <c r="V297" s="8" t="s">
        <v>1343</v>
      </c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22</v>
      </c>
      <c r="M303" s="17">
        <f t="shared" si="18"/>
        <v>6</v>
      </c>
      <c r="N303" s="18">
        <f t="shared" si="19"/>
        <v>0.7857142857142857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22</v>
      </c>
      <c r="M352" s="17">
        <f t="shared" si="21"/>
        <v>6</v>
      </c>
      <c r="N352" s="18">
        <f t="shared" si="22"/>
        <v>0.7857142857142857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28</v>
      </c>
      <c r="M355" s="17">
        <f t="shared" si="21"/>
        <v>0</v>
      </c>
      <c r="N355" s="18">
        <f t="shared" si="22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6">
    <cfRule type="cellIs" dxfId="503" priority="1877" operator="lessThan">
      <formula>0.8</formula>
    </cfRule>
    <cfRule type="cellIs" dxfId="502" priority="1878" operator="greaterThan">
      <formula>0.8</formula>
    </cfRule>
  </conditionalFormatting>
  <conditionalFormatting sqref="E1:K3 E284:K334 E236:K236 E5:K32 E36:K91 E94:K230 E337:K364 E369:K372 E243:K281 E391:K1048576">
    <cfRule type="containsText" dxfId="501" priority="1876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0" priority="1872" operator="notContains" text="Caida">
      <formula>ISERROR(SEARCH("Caida",O95))</formula>
    </cfRule>
    <cfRule type="containsText" dxfId="499" priority="1873" operator="containsText" text="Caida">
      <formula>NOT(ISERROR(SEARCH("Caida",O95)))</formula>
    </cfRule>
  </conditionalFormatting>
  <conditionalFormatting sqref="E282:K282">
    <cfRule type="containsText" dxfId="498" priority="1845" operator="containsText" text="Radio">
      <formula>NOT(ISERROR(SEARCH("Radio",E282)))</formula>
    </cfRule>
  </conditionalFormatting>
  <conditionalFormatting sqref="E283:K283">
    <cfRule type="containsText" dxfId="497" priority="1820" operator="containsText" text="Radio">
      <formula>NOT(ISERROR(SEARCH("Radio",E283)))</formula>
    </cfRule>
  </conditionalFormatting>
  <conditionalFormatting sqref="E4:K4">
    <cfRule type="containsText" dxfId="496" priority="1795" operator="containsText" text="Radio">
      <formula>NOT(ISERROR(SEARCH("Radio",E4)))</formula>
    </cfRule>
  </conditionalFormatting>
  <conditionalFormatting sqref="E231:K231">
    <cfRule type="containsText" dxfId="495" priority="1794" operator="containsText" text="Radio">
      <formula>NOT(ISERROR(SEARCH("Radio",E231)))</formula>
    </cfRule>
  </conditionalFormatting>
  <conditionalFormatting sqref="E232:K232">
    <cfRule type="containsText" dxfId="494" priority="1769" operator="containsText" text="Radio">
      <formula>NOT(ISERROR(SEARCH("Radio",E232)))</formula>
    </cfRule>
  </conditionalFormatting>
  <conditionalFormatting sqref="E233:K233">
    <cfRule type="containsText" dxfId="493" priority="1744" operator="containsText" text="Radio">
      <formula>NOT(ISERROR(SEARCH("Radio",E233)))</formula>
    </cfRule>
  </conditionalFormatting>
  <conditionalFormatting sqref="E234:K234">
    <cfRule type="containsText" dxfId="492" priority="1719" operator="containsText" text="Radio">
      <formula>NOT(ISERROR(SEARCH("Radio",E234)))</formula>
    </cfRule>
  </conditionalFormatting>
  <conditionalFormatting sqref="E235:K235">
    <cfRule type="containsText" dxfId="491" priority="1694" operator="containsText" text="Radio">
      <formula>NOT(ISERROR(SEARCH("Radio",E235)))</formula>
    </cfRule>
  </conditionalFormatting>
  <conditionalFormatting sqref="E335:K335">
    <cfRule type="containsText" dxfId="490" priority="1645" operator="containsText" text="Radio">
      <formula>NOT(ISERROR(SEARCH("Radio",E335)))</formula>
    </cfRule>
  </conditionalFormatting>
  <conditionalFormatting sqref="E336:K336">
    <cfRule type="containsText" dxfId="489" priority="1620" operator="containsText" text="Radio">
      <formula>NOT(ISERROR(SEARCH("Radio",E336)))</formula>
    </cfRule>
  </conditionalFormatting>
  <conditionalFormatting sqref="E237:K237">
    <cfRule type="containsText" dxfId="488" priority="1595" operator="containsText" text="Radio">
      <formula>NOT(ISERROR(SEARCH("Radio",E237)))</formula>
    </cfRule>
  </conditionalFormatting>
  <conditionalFormatting sqref="E238:K238">
    <cfRule type="containsText" dxfId="487" priority="1570" operator="containsText" text="Radio">
      <formula>NOT(ISERROR(SEARCH("Radio",E238)))</formula>
    </cfRule>
  </conditionalFormatting>
  <conditionalFormatting sqref="E33:K35">
    <cfRule type="containsText" dxfId="486" priority="1545" operator="containsText" text="Radio">
      <formula>NOT(ISERROR(SEARCH("Radio",E33)))</formula>
    </cfRule>
  </conditionalFormatting>
  <conditionalFormatting sqref="E239:K239">
    <cfRule type="containsText" dxfId="485" priority="1520" operator="containsText" text="Radio">
      <formula>NOT(ISERROR(SEARCH("Radio",E239)))</formula>
    </cfRule>
  </conditionalFormatting>
  <conditionalFormatting sqref="E240:K240">
    <cfRule type="containsText" dxfId="484" priority="1495" operator="containsText" text="Radio">
      <formula>NOT(ISERROR(SEARCH("Radio",E240)))</formula>
    </cfRule>
  </conditionalFormatting>
  <conditionalFormatting sqref="E241:K241">
    <cfRule type="containsText" dxfId="483" priority="1470" operator="containsText" text="Radio">
      <formula>NOT(ISERROR(SEARCH("Radio",E241)))</formula>
    </cfRule>
  </conditionalFormatting>
  <conditionalFormatting sqref="E242:K242">
    <cfRule type="containsText" dxfId="482" priority="1445" operator="containsText" text="Radio">
      <formula>NOT(ISERROR(SEARCH("Radio",E242)))</formula>
    </cfRule>
  </conditionalFormatting>
  <conditionalFormatting sqref="P6:P92 P96:P230">
    <cfRule type="cellIs" dxfId="481" priority="1370" operator="lessThan">
      <formula>0.8</formula>
    </cfRule>
    <cfRule type="cellIs" dxfId="480" priority="1371" operator="greaterThan">
      <formula>0.8</formula>
    </cfRule>
  </conditionalFormatting>
  <conditionalFormatting sqref="P6:P92 P96:P230">
    <cfRule type="notContainsText" dxfId="479" priority="1368" operator="notContains" text="Caida">
      <formula>ISERROR(SEARCH("Caida",P6))</formula>
    </cfRule>
    <cfRule type="containsText" dxfId="478" priority="1369" operator="containsText" text="Caida">
      <formula>NOT(ISERROR(SEARCH("Caida",P6)))</formula>
    </cfRule>
  </conditionalFormatting>
  <conditionalFormatting sqref="P337:P366 P284:P334">
    <cfRule type="cellIs" dxfId="477" priority="1366" operator="lessThan">
      <formula>0.8</formula>
    </cfRule>
    <cfRule type="cellIs" dxfId="476" priority="1367" operator="greaterThan">
      <formula>0.8</formula>
    </cfRule>
  </conditionalFormatting>
  <conditionalFormatting sqref="P337:P366 P284:P334 P391:P1048576">
    <cfRule type="notContainsText" dxfId="475" priority="1364" operator="notContains" text="Caida">
      <formula>ISERROR(SEARCH("Caida",P284))</formula>
    </cfRule>
    <cfRule type="containsText" dxfId="474" priority="1365" operator="containsText" text="Caida">
      <formula>NOT(ISERROR(SEARCH("Caida",P284)))</formula>
    </cfRule>
  </conditionalFormatting>
  <conditionalFormatting sqref="O391:O1048576">
    <cfRule type="notContainsText" dxfId="473" priority="1413" operator="notContains" text="Caida">
      <formula>ISERROR(SEARCH("Caida",O391))</formula>
    </cfRule>
    <cfRule type="containsText" dxfId="472" priority="1414" operator="containsText" text="Caida">
      <formula>NOT(ISERROR(SEARCH("Caida",O391)))</formula>
    </cfRule>
  </conditionalFormatting>
  <conditionalFormatting sqref="P336">
    <cfRule type="cellIs" dxfId="471" priority="1325" operator="lessThan">
      <formula>0.8</formula>
    </cfRule>
    <cfRule type="cellIs" dxfId="470" priority="1326" operator="greaterThan">
      <formula>0.8</formula>
    </cfRule>
  </conditionalFormatting>
  <conditionalFormatting sqref="P336">
    <cfRule type="notContainsText" dxfId="469" priority="1323" operator="notContains" text="Caida">
      <formula>ISERROR(SEARCH("Caida",P336))</formula>
    </cfRule>
    <cfRule type="containsText" dxfId="468" priority="1324" operator="containsText" text="Caida">
      <formula>NOT(ISERROR(SEARCH("Caida",P336)))</formula>
    </cfRule>
  </conditionalFormatting>
  <conditionalFormatting sqref="P22">
    <cfRule type="containsText" dxfId="467" priority="1363" operator="containsText" text="Instaladas en Funcionamiento Caida">
      <formula>NOT(ISERROR(SEARCH("Instaladas en Funcionamiento Caida",P22)))</formula>
    </cfRule>
  </conditionalFormatting>
  <conditionalFormatting sqref="P282">
    <cfRule type="cellIs" dxfId="466" priority="1361" operator="lessThan">
      <formula>0.8</formula>
    </cfRule>
    <cfRule type="cellIs" dxfId="465" priority="1362" operator="greaterThan">
      <formula>0.8</formula>
    </cfRule>
  </conditionalFormatting>
  <conditionalFormatting sqref="P282">
    <cfRule type="notContainsText" dxfId="464" priority="1359" operator="notContains" text="Caida">
      <formula>ISERROR(SEARCH("Caida",P282))</formula>
    </cfRule>
    <cfRule type="containsText" dxfId="463" priority="1360" operator="containsText" text="Caida">
      <formula>NOT(ISERROR(SEARCH("Caida",P282)))</formula>
    </cfRule>
  </conditionalFormatting>
  <conditionalFormatting sqref="P283">
    <cfRule type="cellIs" dxfId="462" priority="1357" operator="lessThan">
      <formula>0.8</formula>
    </cfRule>
    <cfRule type="cellIs" dxfId="461" priority="1358" operator="greaterThan">
      <formula>0.8</formula>
    </cfRule>
  </conditionalFormatting>
  <conditionalFormatting sqref="P283">
    <cfRule type="notContainsText" dxfId="460" priority="1355" operator="notContains" text="Caida">
      <formula>ISERROR(SEARCH("Caida",P283))</formula>
    </cfRule>
    <cfRule type="containsText" dxfId="459" priority="1356" operator="containsText" text="Caida">
      <formula>NOT(ISERROR(SEARCH("Caida",P283)))</formula>
    </cfRule>
  </conditionalFormatting>
  <conditionalFormatting sqref="P5">
    <cfRule type="cellIs" dxfId="458" priority="1353" operator="lessThan">
      <formula>0.8</formula>
    </cfRule>
    <cfRule type="cellIs" dxfId="457" priority="1354" operator="greaterThan">
      <formula>0.8</formula>
    </cfRule>
  </conditionalFormatting>
  <conditionalFormatting sqref="P5">
    <cfRule type="notContainsText" dxfId="456" priority="1351" operator="notContains" text="Caida">
      <formula>ISERROR(SEARCH("Caida",P5))</formula>
    </cfRule>
    <cfRule type="containsText" dxfId="455" priority="1352" operator="containsText" text="Caida">
      <formula>NOT(ISERROR(SEARCH("Caida",P5)))</formula>
    </cfRule>
  </conditionalFormatting>
  <conditionalFormatting sqref="P231">
    <cfRule type="cellIs" dxfId="454" priority="1349" operator="lessThan">
      <formula>0.8</formula>
    </cfRule>
    <cfRule type="cellIs" dxfId="453" priority="1350" operator="greaterThan">
      <formula>0.8</formula>
    </cfRule>
  </conditionalFormatting>
  <conditionalFormatting sqref="P231">
    <cfRule type="notContainsText" dxfId="452" priority="1347" operator="notContains" text="Caida">
      <formula>ISERROR(SEARCH("Caida",P231))</formula>
    </cfRule>
    <cfRule type="containsText" dxfId="451" priority="1348" operator="containsText" text="Caida">
      <formula>NOT(ISERROR(SEARCH("Caida",P231)))</formula>
    </cfRule>
  </conditionalFormatting>
  <conditionalFormatting sqref="P232">
    <cfRule type="cellIs" dxfId="450" priority="1345" operator="lessThan">
      <formula>0.8</formula>
    </cfRule>
    <cfRule type="cellIs" dxfId="449" priority="1346" operator="greaterThan">
      <formula>0.8</formula>
    </cfRule>
  </conditionalFormatting>
  <conditionalFormatting sqref="P232">
    <cfRule type="notContainsText" dxfId="448" priority="1343" operator="notContains" text="Caida">
      <formula>ISERROR(SEARCH("Caida",P232))</formula>
    </cfRule>
    <cfRule type="containsText" dxfId="447" priority="1344" operator="containsText" text="Caida">
      <formula>NOT(ISERROR(SEARCH("Caida",P232)))</formula>
    </cfRule>
  </conditionalFormatting>
  <conditionalFormatting sqref="P233">
    <cfRule type="cellIs" dxfId="446" priority="1341" operator="lessThan">
      <formula>0.8</formula>
    </cfRule>
    <cfRule type="cellIs" dxfId="445" priority="1342" operator="greaterThan">
      <formula>0.8</formula>
    </cfRule>
  </conditionalFormatting>
  <conditionalFormatting sqref="P233">
    <cfRule type="notContainsText" dxfId="444" priority="1339" operator="notContains" text="Caida">
      <formula>ISERROR(SEARCH("Caida",P233))</formula>
    </cfRule>
    <cfRule type="containsText" dxfId="443" priority="1340" operator="containsText" text="Caida">
      <formula>NOT(ISERROR(SEARCH("Caida",P233)))</formula>
    </cfRule>
  </conditionalFormatting>
  <conditionalFormatting sqref="P234">
    <cfRule type="cellIs" dxfId="442" priority="1337" operator="lessThan">
      <formula>0.8</formula>
    </cfRule>
    <cfRule type="cellIs" dxfId="441" priority="1338" operator="greaterThan">
      <formula>0.8</formula>
    </cfRule>
  </conditionalFormatting>
  <conditionalFormatting sqref="P234">
    <cfRule type="notContainsText" dxfId="440" priority="1335" operator="notContains" text="Caida">
      <formula>ISERROR(SEARCH("Caida",P234))</formula>
    </cfRule>
    <cfRule type="containsText" dxfId="439" priority="1336" operator="containsText" text="Caida">
      <formula>NOT(ISERROR(SEARCH("Caida",P234)))</formula>
    </cfRule>
  </conditionalFormatting>
  <conditionalFormatting sqref="P235">
    <cfRule type="cellIs" dxfId="438" priority="1333" operator="lessThan">
      <formula>0.8</formula>
    </cfRule>
    <cfRule type="cellIs" dxfId="437" priority="1334" operator="greaterThan">
      <formula>0.8</formula>
    </cfRule>
  </conditionalFormatting>
  <conditionalFormatting sqref="P235">
    <cfRule type="notContainsText" dxfId="436" priority="1331" operator="notContains" text="Caida">
      <formula>ISERROR(SEARCH("Caida",P235))</formula>
    </cfRule>
    <cfRule type="containsText" dxfId="435" priority="1332" operator="containsText" text="Caida">
      <formula>NOT(ISERROR(SEARCH("Caida",P235)))</formula>
    </cfRule>
  </conditionalFormatting>
  <conditionalFormatting sqref="P335">
    <cfRule type="cellIs" dxfId="434" priority="1329" operator="lessThan">
      <formula>0.8</formula>
    </cfRule>
    <cfRule type="cellIs" dxfId="433" priority="1330" operator="greaterThan">
      <formula>0.8</formula>
    </cfRule>
  </conditionalFormatting>
  <conditionalFormatting sqref="P335">
    <cfRule type="notContainsText" dxfId="432" priority="1327" operator="notContains" text="Caida">
      <formula>ISERROR(SEARCH("Caida",P335))</formula>
    </cfRule>
    <cfRule type="containsText" dxfId="431" priority="1328" operator="containsText" text="Caida">
      <formula>NOT(ISERROR(SEARCH("Caida",P335)))</formula>
    </cfRule>
  </conditionalFormatting>
  <conditionalFormatting sqref="Q6:Q92 Q96:Q230">
    <cfRule type="cellIs" dxfId="430" priority="1321" operator="lessThan">
      <formula>0.8</formula>
    </cfRule>
    <cfRule type="cellIs" dxfId="429" priority="1322" operator="greaterThan">
      <formula>0.8</formula>
    </cfRule>
  </conditionalFormatting>
  <conditionalFormatting sqref="Q6:Q92 Q96:Q230">
    <cfRule type="notContainsText" dxfId="428" priority="1319" operator="notContains" text="Caida">
      <formula>ISERROR(SEARCH("Caida",Q6))</formula>
    </cfRule>
    <cfRule type="containsText" dxfId="427" priority="1320" operator="containsText" text="Caida">
      <formula>NOT(ISERROR(SEARCH("Caida",Q6)))</formula>
    </cfRule>
  </conditionalFormatting>
  <conditionalFormatting sqref="Q336">
    <cfRule type="cellIs" dxfId="426" priority="1276" operator="lessThan">
      <formula>0.8</formula>
    </cfRule>
    <cfRule type="cellIs" dxfId="425" priority="1277" operator="greaterThan">
      <formula>0.8</formula>
    </cfRule>
  </conditionalFormatting>
  <conditionalFormatting sqref="Q336">
    <cfRule type="notContainsText" dxfId="424" priority="1274" operator="notContains" text="Caida">
      <formula>ISERROR(SEARCH("Caida",Q336))</formula>
    </cfRule>
    <cfRule type="containsText" dxfId="423" priority="1275" operator="containsText" text="Caida">
      <formula>NOT(ISERROR(SEARCH("Caida",Q336)))</formula>
    </cfRule>
  </conditionalFormatting>
  <conditionalFormatting sqref="Q337:Q366 Q284:Q334">
    <cfRule type="cellIs" dxfId="422" priority="1317" operator="lessThan">
      <formula>0.8</formula>
    </cfRule>
    <cfRule type="cellIs" dxfId="421" priority="1318" operator="greaterThan">
      <formula>0.8</formula>
    </cfRule>
  </conditionalFormatting>
  <conditionalFormatting sqref="Q337:Q366 Q284:Q334 Q391:Q1048576">
    <cfRule type="notContainsText" dxfId="420" priority="1315" operator="notContains" text="Caida">
      <formula>ISERROR(SEARCH("Caida",Q284))</formula>
    </cfRule>
    <cfRule type="containsText" dxfId="419" priority="1316" operator="containsText" text="Caida">
      <formula>NOT(ISERROR(SEARCH("Caida",Q284)))</formula>
    </cfRule>
  </conditionalFormatting>
  <conditionalFormatting sqref="Q22">
    <cfRule type="containsText" dxfId="418" priority="1314" operator="containsText" text="Instaladas en Funcionamiento Caida">
      <formula>NOT(ISERROR(SEARCH("Instaladas en Funcionamiento Caida",Q22)))</formula>
    </cfRule>
  </conditionalFormatting>
  <conditionalFormatting sqref="Q282">
    <cfRule type="cellIs" dxfId="417" priority="1312" operator="lessThan">
      <formula>0.8</formula>
    </cfRule>
    <cfRule type="cellIs" dxfId="416" priority="1313" operator="greaterThan">
      <formula>0.8</formula>
    </cfRule>
  </conditionalFormatting>
  <conditionalFormatting sqref="Q282">
    <cfRule type="notContainsText" dxfId="415" priority="1310" operator="notContains" text="Caida">
      <formula>ISERROR(SEARCH("Caida",Q282))</formula>
    </cfRule>
    <cfRule type="containsText" dxfId="414" priority="1311" operator="containsText" text="Caida">
      <formula>NOT(ISERROR(SEARCH("Caida",Q282)))</formula>
    </cfRule>
  </conditionalFormatting>
  <conditionalFormatting sqref="Q283">
    <cfRule type="cellIs" dxfId="413" priority="1308" operator="lessThan">
      <formula>0.8</formula>
    </cfRule>
    <cfRule type="cellIs" dxfId="412" priority="1309" operator="greaterThan">
      <formula>0.8</formula>
    </cfRule>
  </conditionalFormatting>
  <conditionalFormatting sqref="Q283">
    <cfRule type="notContainsText" dxfId="411" priority="1306" operator="notContains" text="Caida">
      <formula>ISERROR(SEARCH("Caida",Q283))</formula>
    </cfRule>
    <cfRule type="containsText" dxfId="410" priority="1307" operator="containsText" text="Caida">
      <formula>NOT(ISERROR(SEARCH("Caida",Q283)))</formula>
    </cfRule>
  </conditionalFormatting>
  <conditionalFormatting sqref="Q5">
    <cfRule type="cellIs" dxfId="409" priority="1304" operator="lessThan">
      <formula>0.8</formula>
    </cfRule>
    <cfRule type="cellIs" dxfId="408" priority="1305" operator="greaterThan">
      <formula>0.8</formula>
    </cfRule>
  </conditionalFormatting>
  <conditionalFormatting sqref="Q5">
    <cfRule type="notContainsText" dxfId="407" priority="1302" operator="notContains" text="Caida">
      <formula>ISERROR(SEARCH("Caida",Q5))</formula>
    </cfRule>
    <cfRule type="containsText" dxfId="406" priority="1303" operator="containsText" text="Caida">
      <formula>NOT(ISERROR(SEARCH("Caida",Q5)))</formula>
    </cfRule>
  </conditionalFormatting>
  <conditionalFormatting sqref="Q231">
    <cfRule type="cellIs" dxfId="405" priority="1300" operator="lessThan">
      <formula>0.8</formula>
    </cfRule>
    <cfRule type="cellIs" dxfId="404" priority="1301" operator="greaterThan">
      <formula>0.8</formula>
    </cfRule>
  </conditionalFormatting>
  <conditionalFormatting sqref="Q231">
    <cfRule type="notContainsText" dxfId="403" priority="1298" operator="notContains" text="Caida">
      <formula>ISERROR(SEARCH("Caida",Q231))</formula>
    </cfRule>
    <cfRule type="containsText" dxfId="402" priority="1299" operator="containsText" text="Caida">
      <formula>NOT(ISERROR(SEARCH("Caida",Q231)))</formula>
    </cfRule>
  </conditionalFormatting>
  <conditionalFormatting sqref="Q232">
    <cfRule type="cellIs" dxfId="401" priority="1296" operator="lessThan">
      <formula>0.8</formula>
    </cfRule>
    <cfRule type="cellIs" dxfId="400" priority="1297" operator="greaterThan">
      <formula>0.8</formula>
    </cfRule>
  </conditionalFormatting>
  <conditionalFormatting sqref="Q232">
    <cfRule type="notContainsText" dxfId="399" priority="1294" operator="notContains" text="Caida">
      <formula>ISERROR(SEARCH("Caida",Q232))</formula>
    </cfRule>
    <cfRule type="containsText" dxfId="398" priority="1295" operator="containsText" text="Caida">
      <formula>NOT(ISERROR(SEARCH("Caida",Q232)))</formula>
    </cfRule>
  </conditionalFormatting>
  <conditionalFormatting sqref="Q233">
    <cfRule type="cellIs" dxfId="397" priority="1292" operator="lessThan">
      <formula>0.8</formula>
    </cfRule>
    <cfRule type="cellIs" dxfId="396" priority="1293" operator="greaterThan">
      <formula>0.8</formula>
    </cfRule>
  </conditionalFormatting>
  <conditionalFormatting sqref="Q233">
    <cfRule type="notContainsText" dxfId="395" priority="1290" operator="notContains" text="Caida">
      <formula>ISERROR(SEARCH("Caida",Q233))</formula>
    </cfRule>
    <cfRule type="containsText" dxfId="394" priority="1291" operator="containsText" text="Caida">
      <formula>NOT(ISERROR(SEARCH("Caida",Q233)))</formula>
    </cfRule>
  </conditionalFormatting>
  <conditionalFormatting sqref="Q234">
    <cfRule type="cellIs" dxfId="393" priority="1288" operator="lessThan">
      <formula>0.8</formula>
    </cfRule>
    <cfRule type="cellIs" dxfId="392" priority="1289" operator="greaterThan">
      <formula>0.8</formula>
    </cfRule>
  </conditionalFormatting>
  <conditionalFormatting sqref="Q234">
    <cfRule type="notContainsText" dxfId="391" priority="1286" operator="notContains" text="Caida">
      <formula>ISERROR(SEARCH("Caida",Q234))</formula>
    </cfRule>
    <cfRule type="containsText" dxfId="390" priority="1287" operator="containsText" text="Caida">
      <formula>NOT(ISERROR(SEARCH("Caida",Q234)))</formula>
    </cfRule>
  </conditionalFormatting>
  <conditionalFormatting sqref="Q235">
    <cfRule type="cellIs" dxfId="389" priority="1284" operator="lessThan">
      <formula>0.8</formula>
    </cfRule>
    <cfRule type="cellIs" dxfId="388" priority="1285" operator="greaterThan">
      <formula>0.8</formula>
    </cfRule>
  </conditionalFormatting>
  <conditionalFormatting sqref="Q235">
    <cfRule type="notContainsText" dxfId="387" priority="1282" operator="notContains" text="Caida">
      <formula>ISERROR(SEARCH("Caida",Q235))</formula>
    </cfRule>
    <cfRule type="containsText" dxfId="386" priority="1283" operator="containsText" text="Caida">
      <formula>NOT(ISERROR(SEARCH("Caida",Q235)))</formula>
    </cfRule>
  </conditionalFormatting>
  <conditionalFormatting sqref="Q335">
    <cfRule type="cellIs" dxfId="385" priority="1280" operator="lessThan">
      <formula>0.8</formula>
    </cfRule>
    <cfRule type="cellIs" dxfId="384" priority="1281" operator="greaterThan">
      <formula>0.8</formula>
    </cfRule>
  </conditionalFormatting>
  <conditionalFormatting sqref="Q335">
    <cfRule type="notContainsText" dxfId="383" priority="1278" operator="notContains" text="Caida">
      <formula>ISERROR(SEARCH("Caida",Q335))</formula>
    </cfRule>
    <cfRule type="containsText" dxfId="382" priority="1279" operator="containsText" text="Caida">
      <formula>NOT(ISERROR(SEARCH("Caida",Q335)))</formula>
    </cfRule>
  </conditionalFormatting>
  <conditionalFormatting sqref="R6:R92 R96:R230">
    <cfRule type="cellIs" dxfId="381" priority="1272" operator="lessThan">
      <formula>0.8</formula>
    </cfRule>
    <cfRule type="cellIs" dxfId="380" priority="1273" operator="greaterThan">
      <formula>0.8</formula>
    </cfRule>
  </conditionalFormatting>
  <conditionalFormatting sqref="R6:R92 R96:R230">
    <cfRule type="notContainsText" dxfId="379" priority="1270" operator="notContains" text="Caida">
      <formula>ISERROR(SEARCH("Caida",R6))</formula>
    </cfRule>
    <cfRule type="containsText" dxfId="378" priority="1271" operator="containsText" text="Caida">
      <formula>NOT(ISERROR(SEARCH("Caida",R6)))</formula>
    </cfRule>
  </conditionalFormatting>
  <conditionalFormatting sqref="R336:T336">
    <cfRule type="cellIs" dxfId="377" priority="1227" operator="lessThan">
      <formula>0.8</formula>
    </cfRule>
    <cfRule type="cellIs" dxfId="376" priority="1228" operator="greaterThan">
      <formula>0.8</formula>
    </cfRule>
  </conditionalFormatting>
  <conditionalFormatting sqref="R336:T336">
    <cfRule type="notContainsText" dxfId="375" priority="1225" operator="notContains" text="Caida">
      <formula>ISERROR(SEARCH("Caida",R336))</formula>
    </cfRule>
    <cfRule type="containsText" dxfId="374" priority="1226" operator="containsText" text="Caida">
      <formula>NOT(ISERROR(SEARCH("Caida",R336)))</formula>
    </cfRule>
  </conditionalFormatting>
  <conditionalFormatting sqref="R337:R366 R284:R334">
    <cfRule type="cellIs" dxfId="373" priority="1268" operator="lessThan">
      <formula>0.8</formula>
    </cfRule>
    <cfRule type="cellIs" dxfId="372" priority="1269" operator="greaterThan">
      <formula>0.8</formula>
    </cfRule>
  </conditionalFormatting>
  <conditionalFormatting sqref="R337:R366 R284:R334 R391:R1048576">
    <cfRule type="notContainsText" dxfId="371" priority="1266" operator="notContains" text="Caida">
      <formula>ISERROR(SEARCH("Caida",R284))</formula>
    </cfRule>
    <cfRule type="containsText" dxfId="370" priority="1267" operator="containsText" text="Caida">
      <formula>NOT(ISERROR(SEARCH("Caida",R284)))</formula>
    </cfRule>
  </conditionalFormatting>
  <conditionalFormatting sqref="R22:T22">
    <cfRule type="containsText" dxfId="369" priority="1265" operator="containsText" text="Instaladas en Funcionamiento Caida">
      <formula>NOT(ISERROR(SEARCH("Instaladas en Funcionamiento Caida",R22)))</formula>
    </cfRule>
  </conditionalFormatting>
  <conditionalFormatting sqref="R282:T282">
    <cfRule type="cellIs" dxfId="368" priority="1263" operator="lessThan">
      <formula>0.8</formula>
    </cfRule>
    <cfRule type="cellIs" dxfId="367" priority="1264" operator="greaterThan">
      <formula>0.8</formula>
    </cfRule>
  </conditionalFormatting>
  <conditionalFormatting sqref="R282:T282">
    <cfRule type="notContainsText" dxfId="366" priority="1261" operator="notContains" text="Caida">
      <formula>ISERROR(SEARCH("Caida",R282))</formula>
    </cfRule>
    <cfRule type="containsText" dxfId="365" priority="1262" operator="containsText" text="Caida">
      <formula>NOT(ISERROR(SEARCH("Caida",R282)))</formula>
    </cfRule>
  </conditionalFormatting>
  <conditionalFormatting sqref="R283:T283">
    <cfRule type="cellIs" dxfId="364" priority="1259" operator="lessThan">
      <formula>0.8</formula>
    </cfRule>
    <cfRule type="cellIs" dxfId="363" priority="1260" operator="greaterThan">
      <formula>0.8</formula>
    </cfRule>
  </conditionalFormatting>
  <conditionalFormatting sqref="R283:T283">
    <cfRule type="notContainsText" dxfId="362" priority="1257" operator="notContains" text="Caida">
      <formula>ISERROR(SEARCH("Caida",R283))</formula>
    </cfRule>
    <cfRule type="containsText" dxfId="361" priority="1258" operator="containsText" text="Caida">
      <formula>NOT(ISERROR(SEARCH("Caida",R283)))</formula>
    </cfRule>
  </conditionalFormatting>
  <conditionalFormatting sqref="R5:T5">
    <cfRule type="cellIs" dxfId="360" priority="1255" operator="lessThan">
      <formula>0.8</formula>
    </cfRule>
    <cfRule type="cellIs" dxfId="359" priority="1256" operator="greaterThan">
      <formula>0.8</formula>
    </cfRule>
  </conditionalFormatting>
  <conditionalFormatting sqref="R5:T5">
    <cfRule type="notContainsText" dxfId="358" priority="1253" operator="notContains" text="Caida">
      <formula>ISERROR(SEARCH("Caida",R5))</formula>
    </cfRule>
    <cfRule type="containsText" dxfId="357" priority="1254" operator="containsText" text="Caida">
      <formula>NOT(ISERROR(SEARCH("Caida",R5)))</formula>
    </cfRule>
  </conditionalFormatting>
  <conditionalFormatting sqref="R231:T231">
    <cfRule type="cellIs" dxfId="356" priority="1251" operator="lessThan">
      <formula>0.8</formula>
    </cfRule>
    <cfRule type="cellIs" dxfId="355" priority="1252" operator="greaterThan">
      <formula>0.8</formula>
    </cfRule>
  </conditionalFormatting>
  <conditionalFormatting sqref="R231:T231">
    <cfRule type="notContainsText" dxfId="354" priority="1249" operator="notContains" text="Caida">
      <formula>ISERROR(SEARCH("Caida",R231))</formula>
    </cfRule>
    <cfRule type="containsText" dxfId="353" priority="1250" operator="containsText" text="Caida">
      <formula>NOT(ISERROR(SEARCH("Caida",R231)))</formula>
    </cfRule>
  </conditionalFormatting>
  <conditionalFormatting sqref="R232:T232">
    <cfRule type="cellIs" dxfId="352" priority="1247" operator="lessThan">
      <formula>0.8</formula>
    </cfRule>
    <cfRule type="cellIs" dxfId="351" priority="1248" operator="greaterThan">
      <formula>0.8</formula>
    </cfRule>
  </conditionalFormatting>
  <conditionalFormatting sqref="R232:T232">
    <cfRule type="notContainsText" dxfId="350" priority="1245" operator="notContains" text="Caida">
      <formula>ISERROR(SEARCH("Caida",R232))</formula>
    </cfRule>
    <cfRule type="containsText" dxfId="349" priority="1246" operator="containsText" text="Caida">
      <formula>NOT(ISERROR(SEARCH("Caida",R232)))</formula>
    </cfRule>
  </conditionalFormatting>
  <conditionalFormatting sqref="R233:T233">
    <cfRule type="cellIs" dxfId="348" priority="1243" operator="lessThan">
      <formula>0.8</formula>
    </cfRule>
    <cfRule type="cellIs" dxfId="347" priority="1244" operator="greaterThan">
      <formula>0.8</formula>
    </cfRule>
  </conditionalFormatting>
  <conditionalFormatting sqref="R233:T233">
    <cfRule type="notContainsText" dxfId="346" priority="1241" operator="notContains" text="Caida">
      <formula>ISERROR(SEARCH("Caida",R233))</formula>
    </cfRule>
    <cfRule type="containsText" dxfId="345" priority="1242" operator="containsText" text="Caida">
      <formula>NOT(ISERROR(SEARCH("Caida",R233)))</formula>
    </cfRule>
  </conditionalFormatting>
  <conditionalFormatting sqref="R234:T234">
    <cfRule type="cellIs" dxfId="344" priority="1239" operator="lessThan">
      <formula>0.8</formula>
    </cfRule>
    <cfRule type="cellIs" dxfId="343" priority="1240" operator="greaterThan">
      <formula>0.8</formula>
    </cfRule>
  </conditionalFormatting>
  <conditionalFormatting sqref="R234:T234">
    <cfRule type="notContainsText" dxfId="342" priority="1237" operator="notContains" text="Caida">
      <formula>ISERROR(SEARCH("Caida",R234))</formula>
    </cfRule>
    <cfRule type="containsText" dxfId="341" priority="1238" operator="containsText" text="Caida">
      <formula>NOT(ISERROR(SEARCH("Caida",R234)))</formula>
    </cfRule>
  </conditionalFormatting>
  <conditionalFormatting sqref="R235:T235">
    <cfRule type="cellIs" dxfId="340" priority="1235" operator="lessThan">
      <formula>0.8</formula>
    </cfRule>
    <cfRule type="cellIs" dxfId="339" priority="1236" operator="greaterThan">
      <formula>0.8</formula>
    </cfRule>
  </conditionalFormatting>
  <conditionalFormatting sqref="R235:T235">
    <cfRule type="notContainsText" dxfId="338" priority="1233" operator="notContains" text="Caida">
      <formula>ISERROR(SEARCH("Caida",R235))</formula>
    </cfRule>
    <cfRule type="containsText" dxfId="337" priority="1234" operator="containsText" text="Caida">
      <formula>NOT(ISERROR(SEARCH("Caida",R235)))</formula>
    </cfRule>
  </conditionalFormatting>
  <conditionalFormatting sqref="R335:T335">
    <cfRule type="cellIs" dxfId="336" priority="1231" operator="lessThan">
      <formula>0.8</formula>
    </cfRule>
    <cfRule type="cellIs" dxfId="335" priority="1232" operator="greaterThan">
      <formula>0.8</formula>
    </cfRule>
  </conditionalFormatting>
  <conditionalFormatting sqref="R335:T335">
    <cfRule type="notContainsText" dxfId="334" priority="1229" operator="notContains" text="Caida">
      <formula>ISERROR(SEARCH("Caida",R335))</formula>
    </cfRule>
    <cfRule type="containsText" dxfId="333" priority="1230" operator="containsText" text="Caida">
      <formula>NOT(ISERROR(SEARCH("Caida",R335)))</formula>
    </cfRule>
  </conditionalFormatting>
  <conditionalFormatting sqref="S391:S1048576">
    <cfRule type="notContainsText" dxfId="332" priority="1217" operator="notContains" text="Caida">
      <formula>ISERROR(SEARCH("Caida",S391))</formula>
    </cfRule>
    <cfRule type="containsText" dxfId="331" priority="1218" operator="containsText" text="Caida">
      <formula>NOT(ISERROR(SEARCH("Caida",S391)))</formula>
    </cfRule>
  </conditionalFormatting>
  <conditionalFormatting sqref="T391:T1048576">
    <cfRule type="notContainsText" dxfId="330" priority="1168" operator="notContains" text="Caida">
      <formula>ISERROR(SEARCH("Caida",T391))</formula>
    </cfRule>
    <cfRule type="containsText" dxfId="329" priority="1169" operator="containsText" text="Caida">
      <formula>NOT(ISERROR(SEARCH("Caida",T391)))</formula>
    </cfRule>
  </conditionalFormatting>
  <conditionalFormatting sqref="E92:K93">
    <cfRule type="containsText" dxfId="328" priority="1124" operator="containsText" text="Radio">
      <formula>NOT(ISERROR(SEARCH("Radio",E92)))</formula>
    </cfRule>
  </conditionalFormatting>
  <conditionalFormatting sqref="P93:P95">
    <cfRule type="cellIs" dxfId="327" priority="1094" operator="lessThan">
      <formula>0.8</formula>
    </cfRule>
    <cfRule type="cellIs" dxfId="326" priority="1095" operator="greaterThan">
      <formula>0.8</formula>
    </cfRule>
  </conditionalFormatting>
  <conditionalFormatting sqref="P93:P95">
    <cfRule type="notContainsText" dxfId="325" priority="1092" operator="notContains" text="Caida">
      <formula>ISERROR(SEARCH("Caida",P93))</formula>
    </cfRule>
    <cfRule type="containsText" dxfId="324" priority="1093" operator="containsText" text="Caida">
      <formula>NOT(ISERROR(SEARCH("Caida",P93)))</formula>
    </cfRule>
  </conditionalFormatting>
  <conditionalFormatting sqref="Q93:Q95">
    <cfRule type="cellIs" dxfId="323" priority="1090" operator="lessThan">
      <formula>0.8</formula>
    </cfRule>
    <cfRule type="cellIs" dxfId="322" priority="1091" operator="greaterThan">
      <formula>0.8</formula>
    </cfRule>
  </conditionalFormatting>
  <conditionalFormatting sqref="Q93:Q95">
    <cfRule type="notContainsText" dxfId="321" priority="1088" operator="notContains" text="Caida">
      <formula>ISERROR(SEARCH("Caida",Q93))</formula>
    </cfRule>
    <cfRule type="containsText" dxfId="320" priority="1089" operator="containsText" text="Caida">
      <formula>NOT(ISERROR(SEARCH("Caida",Q93)))</formula>
    </cfRule>
  </conditionalFormatting>
  <conditionalFormatting sqref="R93:R95">
    <cfRule type="cellIs" dxfId="319" priority="1086" operator="lessThan">
      <formula>0.8</formula>
    </cfRule>
    <cfRule type="cellIs" dxfId="318" priority="1087" operator="greaterThan">
      <formula>0.8</formula>
    </cfRule>
  </conditionalFormatting>
  <conditionalFormatting sqref="R93:R95">
    <cfRule type="notContainsText" dxfId="317" priority="1084" operator="notContains" text="Caida">
      <formula>ISERROR(SEARCH("Caida",R93))</formula>
    </cfRule>
    <cfRule type="containsText" dxfId="316" priority="1085" operator="containsText" text="Caida">
      <formula>NOT(ISERROR(SEARCH("Caida",R93)))</formula>
    </cfRule>
  </conditionalFormatting>
  <conditionalFormatting sqref="E365:K365">
    <cfRule type="containsText" dxfId="315" priority="1073" operator="containsText" text="Radio">
      <formula>NOT(ISERROR(SEARCH("Radio",E365)))</formula>
    </cfRule>
  </conditionalFormatting>
  <conditionalFormatting sqref="P367">
    <cfRule type="cellIs" dxfId="314" priority="1055" operator="lessThan">
      <formula>0.8</formula>
    </cfRule>
    <cfRule type="cellIs" dxfId="313" priority="1056" operator="greaterThan">
      <formula>0.8</formula>
    </cfRule>
  </conditionalFormatting>
  <conditionalFormatting sqref="P367">
    <cfRule type="notContainsText" dxfId="312" priority="1053" operator="notContains" text="Caida">
      <formula>ISERROR(SEARCH("Caida",P367))</formula>
    </cfRule>
    <cfRule type="containsText" dxfId="311" priority="1054" operator="containsText" text="Caida">
      <formula>NOT(ISERROR(SEARCH("Caida",P367)))</formula>
    </cfRule>
  </conditionalFormatting>
  <conditionalFormatting sqref="Q367">
    <cfRule type="cellIs" dxfId="310" priority="1051" operator="lessThan">
      <formula>0.8</formula>
    </cfRule>
    <cfRule type="cellIs" dxfId="309" priority="1052" operator="greaterThan">
      <formula>0.8</formula>
    </cfRule>
  </conditionalFormatting>
  <conditionalFormatting sqref="Q367">
    <cfRule type="notContainsText" dxfId="308" priority="1049" operator="notContains" text="Caida">
      <formula>ISERROR(SEARCH("Caida",Q367))</formula>
    </cfRule>
    <cfRule type="containsText" dxfId="307" priority="1050" operator="containsText" text="Caida">
      <formula>NOT(ISERROR(SEARCH("Caida",Q367)))</formula>
    </cfRule>
  </conditionalFormatting>
  <conditionalFormatting sqref="R367:T367">
    <cfRule type="cellIs" dxfId="306" priority="1047" operator="lessThan">
      <formula>0.8</formula>
    </cfRule>
    <cfRule type="cellIs" dxfId="305" priority="1048" operator="greaterThan">
      <formula>0.8</formula>
    </cfRule>
  </conditionalFormatting>
  <conditionalFormatting sqref="R367:T367">
    <cfRule type="notContainsText" dxfId="304" priority="1045" operator="notContains" text="Caida">
      <formula>ISERROR(SEARCH("Caida",R367))</formula>
    </cfRule>
    <cfRule type="containsText" dxfId="303" priority="1046" operator="containsText" text="Caida">
      <formula>NOT(ISERROR(SEARCH("Caida",R367)))</formula>
    </cfRule>
  </conditionalFormatting>
  <conditionalFormatting sqref="E366:K366">
    <cfRule type="containsText" dxfId="302" priority="1034" operator="containsText" text="Radio">
      <formula>NOT(ISERROR(SEARCH("Radio",E366)))</formula>
    </cfRule>
  </conditionalFormatting>
  <conditionalFormatting sqref="P368">
    <cfRule type="cellIs" dxfId="301" priority="1016" operator="lessThan">
      <formula>0.8</formula>
    </cfRule>
    <cfRule type="cellIs" dxfId="300" priority="1017" operator="greaterThan">
      <formula>0.8</formula>
    </cfRule>
  </conditionalFormatting>
  <conditionalFormatting sqref="P368">
    <cfRule type="notContainsText" dxfId="299" priority="1014" operator="notContains" text="Caida">
      <formula>ISERROR(SEARCH("Caida",P368))</formula>
    </cfRule>
    <cfRule type="containsText" dxfId="298" priority="1015" operator="containsText" text="Caida">
      <formula>NOT(ISERROR(SEARCH("Caida",P368)))</formula>
    </cfRule>
  </conditionalFormatting>
  <conditionalFormatting sqref="Q368">
    <cfRule type="cellIs" dxfId="297" priority="1012" operator="lessThan">
      <formula>0.8</formula>
    </cfRule>
    <cfRule type="cellIs" dxfId="296" priority="1013" operator="greaterThan">
      <formula>0.8</formula>
    </cfRule>
  </conditionalFormatting>
  <conditionalFormatting sqref="Q368">
    <cfRule type="notContainsText" dxfId="295" priority="1010" operator="notContains" text="Caida">
      <formula>ISERROR(SEARCH("Caida",Q368))</formula>
    </cfRule>
    <cfRule type="containsText" dxfId="294" priority="1011" operator="containsText" text="Caida">
      <formula>NOT(ISERROR(SEARCH("Caida",Q368)))</formula>
    </cfRule>
  </conditionalFormatting>
  <conditionalFormatting sqref="R368:T368">
    <cfRule type="cellIs" dxfId="293" priority="1008" operator="lessThan">
      <formula>0.8</formula>
    </cfRule>
    <cfRule type="cellIs" dxfId="292" priority="1009" operator="greaterThan">
      <formula>0.8</formula>
    </cfRule>
  </conditionalFormatting>
  <conditionalFormatting sqref="R368:T368">
    <cfRule type="notContainsText" dxfId="291" priority="1006" operator="notContains" text="Caida">
      <formula>ISERROR(SEARCH("Caida",R368))</formula>
    </cfRule>
    <cfRule type="containsText" dxfId="290" priority="1007" operator="containsText" text="Caida">
      <formula>NOT(ISERROR(SEARCH("Caida",R368)))</formula>
    </cfRule>
  </conditionalFormatting>
  <conditionalFormatting sqref="E367:K367">
    <cfRule type="containsText" dxfId="289" priority="995" operator="containsText" text="Radio">
      <formula>NOT(ISERROR(SEARCH("Radio",E367)))</formula>
    </cfRule>
  </conditionalFormatting>
  <conditionalFormatting sqref="P369">
    <cfRule type="cellIs" dxfId="288" priority="977" operator="lessThan">
      <formula>0.8</formula>
    </cfRule>
    <cfRule type="cellIs" dxfId="287" priority="978" operator="greaterThan">
      <formula>0.8</formula>
    </cfRule>
  </conditionalFormatting>
  <conditionalFormatting sqref="P369">
    <cfRule type="notContainsText" dxfId="286" priority="975" operator="notContains" text="Caida">
      <formula>ISERROR(SEARCH("Caida",P369))</formula>
    </cfRule>
    <cfRule type="containsText" dxfId="285" priority="976" operator="containsText" text="Caida">
      <formula>NOT(ISERROR(SEARCH("Caida",P369)))</formula>
    </cfRule>
  </conditionalFormatting>
  <conditionalFormatting sqref="Q369">
    <cfRule type="cellIs" dxfId="284" priority="973" operator="lessThan">
      <formula>0.8</formula>
    </cfRule>
    <cfRule type="cellIs" dxfId="283" priority="974" operator="greaterThan">
      <formula>0.8</formula>
    </cfRule>
  </conditionalFormatting>
  <conditionalFormatting sqref="Q369">
    <cfRule type="notContainsText" dxfId="282" priority="971" operator="notContains" text="Caida">
      <formula>ISERROR(SEARCH("Caida",Q369))</formula>
    </cfRule>
    <cfRule type="containsText" dxfId="281" priority="972" operator="containsText" text="Caida">
      <formula>NOT(ISERROR(SEARCH("Caida",Q369)))</formula>
    </cfRule>
  </conditionalFormatting>
  <conditionalFormatting sqref="R369:T369">
    <cfRule type="cellIs" dxfId="280" priority="969" operator="lessThan">
      <formula>0.8</formula>
    </cfRule>
    <cfRule type="cellIs" dxfId="279" priority="970" operator="greaterThan">
      <formula>0.8</formula>
    </cfRule>
  </conditionalFormatting>
  <conditionalFormatting sqref="R369:T369">
    <cfRule type="notContainsText" dxfId="278" priority="967" operator="notContains" text="Caida">
      <formula>ISERROR(SEARCH("Caida",R369))</formula>
    </cfRule>
    <cfRule type="containsText" dxfId="277" priority="968" operator="containsText" text="Caida">
      <formula>NOT(ISERROR(SEARCH("Caida",R369)))</formula>
    </cfRule>
  </conditionalFormatting>
  <conditionalFormatting sqref="E368:K368">
    <cfRule type="containsText" dxfId="276" priority="956" operator="containsText" text="Radio">
      <formula>NOT(ISERROR(SEARCH("Radio",E368)))</formula>
    </cfRule>
  </conditionalFormatting>
  <conditionalFormatting sqref="U231">
    <cfRule type="cellIs" dxfId="275" priority="897" operator="lessThan">
      <formula>0.8</formula>
    </cfRule>
    <cfRule type="cellIs" dxfId="274" priority="898" operator="greaterThan">
      <formula>0.8</formula>
    </cfRule>
  </conditionalFormatting>
  <conditionalFormatting sqref="U231">
    <cfRule type="notContainsText" dxfId="273" priority="895" operator="notContains" text="Caida">
      <formula>ISERROR(SEARCH("Caida",U231))</formula>
    </cfRule>
    <cfRule type="containsText" dxfId="272" priority="896" operator="containsText" text="Caida">
      <formula>NOT(ISERROR(SEARCH("Caida",U231)))</formula>
    </cfRule>
  </conditionalFormatting>
  <conditionalFormatting sqref="U232">
    <cfRule type="cellIs" dxfId="271" priority="893" operator="lessThan">
      <formula>0.8</formula>
    </cfRule>
    <cfRule type="cellIs" dxfId="270" priority="894" operator="greaterThan">
      <formula>0.8</formula>
    </cfRule>
  </conditionalFormatting>
  <conditionalFormatting sqref="U232">
    <cfRule type="notContainsText" dxfId="269" priority="891" operator="notContains" text="Caida">
      <formula>ISERROR(SEARCH("Caida",U232))</formula>
    </cfRule>
    <cfRule type="containsText" dxfId="268" priority="892" operator="containsText" text="Caida">
      <formula>NOT(ISERROR(SEARCH("Caida",U232)))</formula>
    </cfRule>
  </conditionalFormatting>
  <conditionalFormatting sqref="P370:P372">
    <cfRule type="cellIs" dxfId="267" priority="938" operator="lessThan">
      <formula>0.8</formula>
    </cfRule>
    <cfRule type="cellIs" dxfId="266" priority="939" operator="greaterThan">
      <formula>0.8</formula>
    </cfRule>
  </conditionalFormatting>
  <conditionalFormatting sqref="P370:P372">
    <cfRule type="notContainsText" dxfId="265" priority="936" operator="notContains" text="Caida">
      <formula>ISERROR(SEARCH("Caida",P370))</formula>
    </cfRule>
    <cfRule type="containsText" dxfId="264" priority="937" operator="containsText" text="Caida">
      <formula>NOT(ISERROR(SEARCH("Caida",P370)))</formula>
    </cfRule>
  </conditionalFormatting>
  <conditionalFormatting sqref="Q370:Q372">
    <cfRule type="cellIs" dxfId="263" priority="934" operator="lessThan">
      <formula>0.8</formula>
    </cfRule>
    <cfRule type="cellIs" dxfId="262" priority="935" operator="greaterThan">
      <formula>0.8</formula>
    </cfRule>
  </conditionalFormatting>
  <conditionalFormatting sqref="Q370:Q372">
    <cfRule type="notContainsText" dxfId="261" priority="932" operator="notContains" text="Caida">
      <formula>ISERROR(SEARCH("Caida",Q370))</formula>
    </cfRule>
    <cfRule type="containsText" dxfId="260" priority="933" operator="containsText" text="Caida">
      <formula>NOT(ISERROR(SEARCH("Caida",Q370)))</formula>
    </cfRule>
  </conditionalFormatting>
  <conditionalFormatting sqref="R370:T370">
    <cfRule type="cellIs" dxfId="259" priority="930" operator="lessThan">
      <formula>0.8</formula>
    </cfRule>
    <cfRule type="cellIs" dxfId="258" priority="931" operator="greaterThan">
      <formula>0.8</formula>
    </cfRule>
  </conditionalFormatting>
  <conditionalFormatting sqref="R370:T370">
    <cfRule type="notContainsText" dxfId="257" priority="928" operator="notContains" text="Caida">
      <formula>ISERROR(SEARCH("Caida",R370))</formula>
    </cfRule>
    <cfRule type="containsText" dxfId="256" priority="929" operator="containsText" text="Caida">
      <formula>NOT(ISERROR(SEARCH("Caida",R370)))</formula>
    </cfRule>
  </conditionalFormatting>
  <conditionalFormatting sqref="U368">
    <cfRule type="cellIs" dxfId="255" priority="861" operator="lessThan">
      <formula>0.8</formula>
    </cfRule>
    <cfRule type="cellIs" dxfId="254" priority="862" operator="greaterThan">
      <formula>0.8</formula>
    </cfRule>
  </conditionalFormatting>
  <conditionalFormatting sqref="U368">
    <cfRule type="notContainsText" dxfId="253" priority="859" operator="notContains" text="Caida">
      <formula>ISERROR(SEARCH("Caida",U368))</formula>
    </cfRule>
    <cfRule type="containsText" dxfId="252" priority="860" operator="containsText" text="Caida">
      <formula>NOT(ISERROR(SEARCH("Caida",U368)))</formula>
    </cfRule>
  </conditionalFormatting>
  <conditionalFormatting sqref="U369">
    <cfRule type="cellIs" dxfId="251" priority="857" operator="lessThan">
      <formula>0.8</formula>
    </cfRule>
    <cfRule type="cellIs" dxfId="250" priority="858" operator="greaterThan">
      <formula>0.8</formula>
    </cfRule>
  </conditionalFormatting>
  <conditionalFormatting sqref="U369">
    <cfRule type="notContainsText" dxfId="249" priority="855" operator="notContains" text="Caida">
      <formula>ISERROR(SEARCH("Caida",U369))</formula>
    </cfRule>
    <cfRule type="containsText" dxfId="248" priority="856" operator="containsText" text="Caida">
      <formula>NOT(ISERROR(SEARCH("Caida",U369)))</formula>
    </cfRule>
  </conditionalFormatting>
  <conditionalFormatting sqref="U370:U372">
    <cfRule type="cellIs" dxfId="247" priority="853" operator="lessThan">
      <formula>0.8</formula>
    </cfRule>
    <cfRule type="cellIs" dxfId="246" priority="854" operator="greaterThan">
      <formula>0.8</formula>
    </cfRule>
  </conditionalFormatting>
  <conditionalFormatting sqref="U370:U372">
    <cfRule type="notContainsText" dxfId="245" priority="851" operator="notContains" text="Caida">
      <formula>ISERROR(SEARCH("Caida",U370))</formula>
    </cfRule>
    <cfRule type="containsText" dxfId="244" priority="852" operator="containsText" text="Caida">
      <formula>NOT(ISERROR(SEARCH("Caida",U370)))</formula>
    </cfRule>
  </conditionalFormatting>
  <conditionalFormatting sqref="U6:U92 U96:U230">
    <cfRule type="cellIs" dxfId="243" priority="918" operator="lessThan">
      <formula>0.8</formula>
    </cfRule>
    <cfRule type="cellIs" dxfId="242" priority="919" operator="greaterThan">
      <formula>0.8</formula>
    </cfRule>
  </conditionalFormatting>
  <conditionalFormatting sqref="U6:U92 U96:U230">
    <cfRule type="notContainsText" dxfId="241" priority="916" operator="notContains" text="Caida">
      <formula>ISERROR(SEARCH("Caida",U6))</formula>
    </cfRule>
    <cfRule type="containsText" dxfId="240" priority="917" operator="containsText" text="Caida">
      <formula>NOT(ISERROR(SEARCH("Caida",U6)))</formula>
    </cfRule>
  </conditionalFormatting>
  <conditionalFormatting sqref="U336">
    <cfRule type="cellIs" dxfId="239" priority="873" operator="lessThan">
      <formula>0.8</formula>
    </cfRule>
    <cfRule type="cellIs" dxfId="238" priority="874" operator="greaterThan">
      <formula>0.8</formula>
    </cfRule>
  </conditionalFormatting>
  <conditionalFormatting sqref="U336">
    <cfRule type="notContainsText" dxfId="237" priority="871" operator="notContains" text="Caida">
      <formula>ISERROR(SEARCH("Caida",U336))</formula>
    </cfRule>
    <cfRule type="containsText" dxfId="236" priority="872" operator="containsText" text="Caida">
      <formula>NOT(ISERROR(SEARCH("Caida",U336)))</formula>
    </cfRule>
  </conditionalFormatting>
  <conditionalFormatting sqref="U337:U366 U284:U334">
    <cfRule type="cellIs" dxfId="235" priority="914" operator="lessThan">
      <formula>0.8</formula>
    </cfRule>
    <cfRule type="cellIs" dxfId="234" priority="915" operator="greaterThan">
      <formula>0.8</formula>
    </cfRule>
  </conditionalFormatting>
  <conditionalFormatting sqref="U337:U366 U284:U334 U391:U1048576">
    <cfRule type="notContainsText" dxfId="233" priority="912" operator="notContains" text="Caida">
      <formula>ISERROR(SEARCH("Caida",U284))</formula>
    </cfRule>
    <cfRule type="containsText" dxfId="232" priority="913" operator="containsText" text="Caida">
      <formula>NOT(ISERROR(SEARCH("Caida",U284)))</formula>
    </cfRule>
  </conditionalFormatting>
  <conditionalFormatting sqref="U22">
    <cfRule type="containsText" dxfId="231" priority="911" operator="containsText" text="Instaladas en Funcionamiento Caida">
      <formula>NOT(ISERROR(SEARCH("Instaladas en Funcionamiento Caida",U22)))</formula>
    </cfRule>
  </conditionalFormatting>
  <conditionalFormatting sqref="U282">
    <cfRule type="cellIs" dxfId="230" priority="909" operator="lessThan">
      <formula>0.8</formula>
    </cfRule>
    <cfRule type="cellIs" dxfId="229" priority="910" operator="greaterThan">
      <formula>0.8</formula>
    </cfRule>
  </conditionalFormatting>
  <conditionalFormatting sqref="U282">
    <cfRule type="notContainsText" dxfId="228" priority="907" operator="notContains" text="Caida">
      <formula>ISERROR(SEARCH("Caida",U282))</formula>
    </cfRule>
    <cfRule type="containsText" dxfId="227" priority="908" operator="containsText" text="Caida">
      <formula>NOT(ISERROR(SEARCH("Caida",U282)))</formula>
    </cfRule>
  </conditionalFormatting>
  <conditionalFormatting sqref="U283">
    <cfRule type="cellIs" dxfId="226" priority="905" operator="lessThan">
      <formula>0.8</formula>
    </cfRule>
    <cfRule type="cellIs" dxfId="225" priority="906" operator="greaterThan">
      <formula>0.8</formula>
    </cfRule>
  </conditionalFormatting>
  <conditionalFormatting sqref="U283">
    <cfRule type="notContainsText" dxfId="224" priority="903" operator="notContains" text="Caida">
      <formula>ISERROR(SEARCH("Caida",U283))</formula>
    </cfRule>
    <cfRule type="containsText" dxfId="223" priority="904" operator="containsText" text="Caida">
      <formula>NOT(ISERROR(SEARCH("Caida",U283)))</formula>
    </cfRule>
  </conditionalFormatting>
  <conditionalFormatting sqref="U5">
    <cfRule type="cellIs" dxfId="222" priority="901" operator="lessThan">
      <formula>0.8</formula>
    </cfRule>
    <cfRule type="cellIs" dxfId="221" priority="902" operator="greaterThan">
      <formula>0.8</formula>
    </cfRule>
  </conditionalFormatting>
  <conditionalFormatting sqref="U5">
    <cfRule type="notContainsText" dxfId="220" priority="899" operator="notContains" text="Caida">
      <formula>ISERROR(SEARCH("Caida",U5))</formula>
    </cfRule>
    <cfRule type="containsText" dxfId="219" priority="900" operator="containsText" text="Caida">
      <formula>NOT(ISERROR(SEARCH("Caida",U5)))</formula>
    </cfRule>
  </conditionalFormatting>
  <conditionalFormatting sqref="U233">
    <cfRule type="cellIs" dxfId="218" priority="889" operator="lessThan">
      <formula>0.8</formula>
    </cfRule>
    <cfRule type="cellIs" dxfId="217" priority="890" operator="greaterThan">
      <formula>0.8</formula>
    </cfRule>
  </conditionalFormatting>
  <conditionalFormatting sqref="U233">
    <cfRule type="notContainsText" dxfId="216" priority="887" operator="notContains" text="Caida">
      <formula>ISERROR(SEARCH("Caida",U233))</formula>
    </cfRule>
    <cfRule type="containsText" dxfId="215" priority="888" operator="containsText" text="Caida">
      <formula>NOT(ISERROR(SEARCH("Caida",U233)))</formula>
    </cfRule>
  </conditionalFormatting>
  <conditionalFormatting sqref="U234">
    <cfRule type="cellIs" dxfId="214" priority="885" operator="lessThan">
      <formula>0.8</formula>
    </cfRule>
    <cfRule type="cellIs" dxfId="213" priority="886" operator="greaterThan">
      <formula>0.8</formula>
    </cfRule>
  </conditionalFormatting>
  <conditionalFormatting sqref="U234">
    <cfRule type="notContainsText" dxfId="212" priority="883" operator="notContains" text="Caida">
      <formula>ISERROR(SEARCH("Caida",U234))</formula>
    </cfRule>
    <cfRule type="containsText" dxfId="211" priority="884" operator="containsText" text="Caida">
      <formula>NOT(ISERROR(SEARCH("Caida",U234)))</formula>
    </cfRule>
  </conditionalFormatting>
  <conditionalFormatting sqref="U235">
    <cfRule type="cellIs" dxfId="210" priority="881" operator="lessThan">
      <formula>0.8</formula>
    </cfRule>
    <cfRule type="cellIs" dxfId="209" priority="882" operator="greaterThan">
      <formula>0.8</formula>
    </cfRule>
  </conditionalFormatting>
  <conditionalFormatting sqref="U235">
    <cfRule type="notContainsText" dxfId="208" priority="879" operator="notContains" text="Caida">
      <formula>ISERROR(SEARCH("Caida",U235))</formula>
    </cfRule>
    <cfRule type="containsText" dxfId="207" priority="880" operator="containsText" text="Caida">
      <formula>NOT(ISERROR(SEARCH("Caida",U235)))</formula>
    </cfRule>
  </conditionalFormatting>
  <conditionalFormatting sqref="U335">
    <cfRule type="cellIs" dxfId="206" priority="877" operator="lessThan">
      <formula>0.8</formula>
    </cfRule>
    <cfRule type="cellIs" dxfId="205" priority="878" operator="greaterThan">
      <formula>0.8</formula>
    </cfRule>
  </conditionalFormatting>
  <conditionalFormatting sqref="U335">
    <cfRule type="notContainsText" dxfId="204" priority="875" operator="notContains" text="Caida">
      <formula>ISERROR(SEARCH("Caida",U335))</formula>
    </cfRule>
    <cfRule type="containsText" dxfId="203" priority="876" operator="containsText" text="Caida">
      <formula>NOT(ISERROR(SEARCH("Caida",U335)))</formula>
    </cfRule>
  </conditionalFormatting>
  <conditionalFormatting sqref="U93:U95">
    <cfRule type="cellIs" dxfId="202" priority="869" operator="lessThan">
      <formula>0.8</formula>
    </cfRule>
    <cfRule type="cellIs" dxfId="201" priority="870" operator="greaterThan">
      <formula>0.8</formula>
    </cfRule>
  </conditionalFormatting>
  <conditionalFormatting sqref="U93:U95">
    <cfRule type="notContainsText" dxfId="200" priority="867" operator="notContains" text="Caida">
      <formula>ISERROR(SEARCH("Caida",U93))</formula>
    </cfRule>
    <cfRule type="containsText" dxfId="199" priority="868" operator="containsText" text="Caida">
      <formula>NOT(ISERROR(SEARCH("Caida",U93)))</formula>
    </cfRule>
  </conditionalFormatting>
  <conditionalFormatting sqref="U367">
    <cfRule type="cellIs" dxfId="198" priority="865" operator="lessThan">
      <formula>0.8</formula>
    </cfRule>
    <cfRule type="cellIs" dxfId="197" priority="866" operator="greaterThan">
      <formula>0.8</formula>
    </cfRule>
  </conditionalFormatting>
  <conditionalFormatting sqref="U367">
    <cfRule type="notContainsText" dxfId="196" priority="863" operator="notContains" text="Caida">
      <formula>ISERROR(SEARCH("Caida",U367))</formula>
    </cfRule>
    <cfRule type="containsText" dxfId="195" priority="864" operator="containsText" text="Caida">
      <formula>NOT(ISERROR(SEARCH("Caida",U367)))</formula>
    </cfRule>
  </conditionalFormatting>
  <conditionalFormatting sqref="V6:X92">
    <cfRule type="cellIs" dxfId="194" priority="849" operator="lessThan">
      <formula>0.8</formula>
    </cfRule>
    <cfRule type="cellIs" dxfId="193" priority="850" operator="greaterThan">
      <formula>0.8</formula>
    </cfRule>
  </conditionalFormatting>
  <conditionalFormatting sqref="V6:X92">
    <cfRule type="notContainsText" dxfId="192" priority="847" operator="notContains" text="Caida">
      <formula>ISERROR(SEARCH("Caida",V6))</formula>
    </cfRule>
    <cfRule type="containsText" dxfId="191" priority="848" operator="containsText" text="Caida">
      <formula>NOT(ISERROR(SEARCH("Caida",V6)))</formula>
    </cfRule>
  </conditionalFormatting>
  <conditionalFormatting sqref="V22:AJ22">
    <cfRule type="containsText" dxfId="190" priority="846" operator="containsText" text="Instaladas en Funcionamiento Caida">
      <formula>NOT(ISERROR(SEARCH("Instaladas en Funcionamiento Caida",V22)))</formula>
    </cfRule>
  </conditionalFormatting>
  <conditionalFormatting sqref="V5:AJ5">
    <cfRule type="cellIs" dxfId="189" priority="844" operator="lessThan">
      <formula>0.8</formula>
    </cfRule>
    <cfRule type="cellIs" dxfId="188" priority="845" operator="greaterThan">
      <formula>0.8</formula>
    </cfRule>
  </conditionalFormatting>
  <conditionalFormatting sqref="V5:AJ5">
    <cfRule type="notContainsText" dxfId="187" priority="842" operator="notContains" text="Caida">
      <formula>ISERROR(SEARCH("Caida",V5))</formula>
    </cfRule>
    <cfRule type="containsText" dxfId="186" priority="843" operator="containsText" text="Caida">
      <formula>NOT(ISERROR(SEARCH("Caida",V5)))</formula>
    </cfRule>
  </conditionalFormatting>
  <conditionalFormatting sqref="V93:X95">
    <cfRule type="cellIs" dxfId="185" priority="840" operator="lessThan">
      <formula>0.8</formula>
    </cfRule>
    <cfRule type="cellIs" dxfId="184" priority="841" operator="greaterThan">
      <formula>0.8</formula>
    </cfRule>
  </conditionalFormatting>
  <conditionalFormatting sqref="V93:X95">
    <cfRule type="notContainsText" dxfId="183" priority="838" operator="notContains" text="Caida">
      <formula>ISERROR(SEARCH("Caida",V93))</formula>
    </cfRule>
    <cfRule type="containsText" dxfId="182" priority="839" operator="containsText" text="Caida">
      <formula>NOT(ISERROR(SEARCH("Caida",V93)))</formula>
    </cfRule>
  </conditionalFormatting>
  <conditionalFormatting sqref="E1:E372 E391:E1048576">
    <cfRule type="containsText" dxfId="181" priority="698" operator="containsText" text="fija">
      <formula>NOT(ISERROR(SEARCH("fija",E1)))</formula>
    </cfRule>
    <cfRule type="containsText" dxfId="180" priority="699" operator="containsText" text="domo">
      <formula>NOT(ISERROR(SEARCH("domo",E1)))</formula>
    </cfRule>
  </conditionalFormatting>
  <conditionalFormatting sqref="AK6:AP92">
    <cfRule type="cellIs" dxfId="179" priority="674" operator="lessThan">
      <formula>0.8</formula>
    </cfRule>
    <cfRule type="cellIs" dxfId="178" priority="675" operator="greaterThan">
      <formula>0.8</formula>
    </cfRule>
  </conditionalFormatting>
  <conditionalFormatting sqref="AK6:AP92">
    <cfRule type="notContainsText" dxfId="177" priority="672" operator="notContains" text="Caida">
      <formula>ISERROR(SEARCH("Caida",AK6))</formula>
    </cfRule>
    <cfRule type="containsText" dxfId="176" priority="673" operator="containsText" text="Caida">
      <formula>NOT(ISERROR(SEARCH("Caida",AK6)))</formula>
    </cfRule>
  </conditionalFormatting>
  <conditionalFormatting sqref="AK22:AR22">
    <cfRule type="containsText" dxfId="175" priority="671" operator="containsText" text="Instaladas en Funcionamiento Caida">
      <formula>NOT(ISERROR(SEARCH("Instaladas en Funcionamiento Caida",AK22)))</formula>
    </cfRule>
  </conditionalFormatting>
  <conditionalFormatting sqref="AK5:AR5">
    <cfRule type="cellIs" dxfId="174" priority="669" operator="lessThan">
      <formula>0.8</formula>
    </cfRule>
    <cfRule type="cellIs" dxfId="173" priority="670" operator="greaterThan">
      <formula>0.8</formula>
    </cfRule>
  </conditionalFormatting>
  <conditionalFormatting sqref="AK5:AR5">
    <cfRule type="notContainsText" dxfId="172" priority="667" operator="notContains" text="Caida">
      <formula>ISERROR(SEARCH("Caida",AK5))</formula>
    </cfRule>
    <cfRule type="containsText" dxfId="171" priority="668" operator="containsText" text="Caida">
      <formula>NOT(ISERROR(SEARCH("Caida",AK5)))</formula>
    </cfRule>
  </conditionalFormatting>
  <conditionalFormatting sqref="AK93:AP94">
    <cfRule type="cellIs" dxfId="170" priority="665" operator="lessThan">
      <formula>0.8</formula>
    </cfRule>
    <cfRule type="cellIs" dxfId="169" priority="666" operator="greaterThan">
      <formula>0.8</formula>
    </cfRule>
  </conditionalFormatting>
  <conditionalFormatting sqref="AK93:AP94">
    <cfRule type="notContainsText" dxfId="168" priority="663" operator="notContains" text="Caida">
      <formula>ISERROR(SEARCH("Caida",AK93))</formula>
    </cfRule>
    <cfRule type="containsText" dxfId="167" priority="664" operator="containsText" text="Caida">
      <formula>NOT(ISERROR(SEARCH("Caida",AK93)))</formula>
    </cfRule>
  </conditionalFormatting>
  <conditionalFormatting sqref="O247:O372 O5:AJ369 AK1:AR1 AK391:AR1048576 AK5:AR372">
    <cfRule type="cellIs" dxfId="166" priority="662" operator="equal">
      <formula>"APAGADO"</formula>
    </cfRule>
  </conditionalFormatting>
  <conditionalFormatting sqref="S6:S92 S96:S230">
    <cfRule type="cellIs" dxfId="165" priority="646" operator="lessThan">
      <formula>0.8</formula>
    </cfRule>
    <cfRule type="cellIs" dxfId="164" priority="647" operator="greaterThan">
      <formula>0.8</formula>
    </cfRule>
  </conditionalFormatting>
  <conditionalFormatting sqref="S6:S92 S96:S230">
    <cfRule type="notContainsText" dxfId="163" priority="644" operator="notContains" text="Caida">
      <formula>ISERROR(SEARCH("Caida",S6))</formula>
    </cfRule>
    <cfRule type="containsText" dxfId="162" priority="645" operator="containsText" text="Caida">
      <formula>NOT(ISERROR(SEARCH("Caida",S6)))</formula>
    </cfRule>
  </conditionalFormatting>
  <conditionalFormatting sqref="S337:S366 S284:S334">
    <cfRule type="cellIs" dxfId="161" priority="642" operator="lessThan">
      <formula>0.8</formula>
    </cfRule>
    <cfRule type="cellIs" dxfId="160" priority="643" operator="greaterThan">
      <formula>0.8</formula>
    </cfRule>
  </conditionalFormatting>
  <conditionalFormatting sqref="S337:S366 S284:S334">
    <cfRule type="notContainsText" dxfId="159" priority="640" operator="notContains" text="Caida">
      <formula>ISERROR(SEARCH("Caida",S284))</formula>
    </cfRule>
    <cfRule type="containsText" dxfId="158" priority="641" operator="containsText" text="Caida">
      <formula>NOT(ISERROR(SEARCH("Caida",S284)))</formula>
    </cfRule>
  </conditionalFormatting>
  <conditionalFormatting sqref="S93:S95">
    <cfRule type="cellIs" dxfId="157" priority="638" operator="lessThan">
      <formula>0.8</formula>
    </cfRule>
    <cfRule type="cellIs" dxfId="156" priority="639" operator="greaterThan">
      <formula>0.8</formula>
    </cfRule>
  </conditionalFormatting>
  <conditionalFormatting sqref="S93:S95">
    <cfRule type="notContainsText" dxfId="155" priority="636" operator="notContains" text="Caida">
      <formula>ISERROR(SEARCH("Caida",S93))</formula>
    </cfRule>
    <cfRule type="containsText" dxfId="154" priority="637" operator="containsText" text="Caida">
      <formula>NOT(ISERROR(SEARCH("Caida",S93)))</formula>
    </cfRule>
  </conditionalFormatting>
  <conditionalFormatting sqref="T6:T92 T96:T230">
    <cfRule type="cellIs" dxfId="153" priority="634" operator="lessThan">
      <formula>0.8</formula>
    </cfRule>
    <cfRule type="cellIs" dxfId="152" priority="635" operator="greaterThan">
      <formula>0.8</formula>
    </cfRule>
  </conditionalFormatting>
  <conditionalFormatting sqref="T6:T92 T96:T230">
    <cfRule type="notContainsText" dxfId="151" priority="632" operator="notContains" text="Caida">
      <formula>ISERROR(SEARCH("Caida",T6))</formula>
    </cfRule>
    <cfRule type="containsText" dxfId="150" priority="633" operator="containsText" text="Caida">
      <formula>NOT(ISERROR(SEARCH("Caida",T6)))</formula>
    </cfRule>
  </conditionalFormatting>
  <conditionalFormatting sqref="T337:T366 T284:T334">
    <cfRule type="cellIs" dxfId="149" priority="630" operator="lessThan">
      <formula>0.8</formula>
    </cfRule>
    <cfRule type="cellIs" dxfId="148" priority="631" operator="greaterThan">
      <formula>0.8</formula>
    </cfRule>
  </conditionalFormatting>
  <conditionalFormatting sqref="T337:T366 T284:T334">
    <cfRule type="notContainsText" dxfId="147" priority="628" operator="notContains" text="Caida">
      <formula>ISERROR(SEARCH("Caida",T284))</formula>
    </cfRule>
    <cfRule type="containsText" dxfId="146" priority="629" operator="containsText" text="Caida">
      <formula>NOT(ISERROR(SEARCH("Caida",T284)))</formula>
    </cfRule>
  </conditionalFormatting>
  <conditionalFormatting sqref="T93:T95">
    <cfRule type="cellIs" dxfId="145" priority="626" operator="lessThan">
      <formula>0.8</formula>
    </cfRule>
    <cfRule type="cellIs" dxfId="144" priority="627" operator="greaterThan">
      <formula>0.8</formula>
    </cfRule>
  </conditionalFormatting>
  <conditionalFormatting sqref="T93:T95">
    <cfRule type="notContainsText" dxfId="143" priority="624" operator="notContains" text="Caida">
      <formula>ISERROR(SEARCH("Caida",T93))</formula>
    </cfRule>
    <cfRule type="containsText" dxfId="142" priority="625" operator="containsText" text="Caida">
      <formula>NOT(ISERROR(SEARCH("Caida",T93)))</formula>
    </cfRule>
  </conditionalFormatting>
  <conditionalFormatting sqref="F1:F372 F391:F1048576">
    <cfRule type="cellIs" dxfId="141" priority="553" operator="equal">
      <formula>"PTP A FO"</formula>
    </cfRule>
  </conditionalFormatting>
  <conditionalFormatting sqref="R371:T372">
    <cfRule type="cellIs" dxfId="140" priority="182" operator="lessThan">
      <formula>0.8</formula>
    </cfRule>
    <cfRule type="cellIs" dxfId="139" priority="183" operator="greaterThan">
      <formula>0.8</formula>
    </cfRule>
  </conditionalFormatting>
  <conditionalFormatting sqref="R371:T372">
    <cfRule type="notContainsText" dxfId="138" priority="180" operator="notContains" text="Caida">
      <formula>ISERROR(SEARCH("Caida",R371))</formula>
    </cfRule>
    <cfRule type="containsText" dxfId="137" priority="181" operator="containsText" text="Caida">
      <formula>NOT(ISERROR(SEARCH("Caida",R371)))</formula>
    </cfRule>
  </conditionalFormatting>
  <conditionalFormatting sqref="O6:O92">
    <cfRule type="cellIs" dxfId="136" priority="170" operator="lessThan">
      <formula>0.8</formula>
    </cfRule>
    <cfRule type="cellIs" dxfId="135" priority="171" operator="greaterThan">
      <formula>0.8</formula>
    </cfRule>
  </conditionalFormatting>
  <conditionalFormatting sqref="O6:O92">
    <cfRule type="notContainsText" dxfId="134" priority="168" operator="notContains" text="Caida">
      <formula>ISERROR(SEARCH("Caida",O6))</formula>
    </cfRule>
    <cfRule type="containsText" dxfId="133" priority="169" operator="containsText" text="Caida">
      <formula>NOT(ISERROR(SEARCH("Caida",O6)))</formula>
    </cfRule>
  </conditionalFormatting>
  <conditionalFormatting sqref="O22">
    <cfRule type="containsText" dxfId="132" priority="167" operator="containsText" text="Instaladas en Funcionamiento Caida">
      <formula>NOT(ISERROR(SEARCH("Instaladas en Funcionamiento Caida",O22)))</formula>
    </cfRule>
  </conditionalFormatting>
  <conditionalFormatting sqref="O5">
    <cfRule type="cellIs" dxfId="131" priority="165" operator="lessThan">
      <formula>0.8</formula>
    </cfRule>
    <cfRule type="cellIs" dxfId="130" priority="166" operator="greaterThan">
      <formula>0.8</formula>
    </cfRule>
  </conditionalFormatting>
  <conditionalFormatting sqref="O5">
    <cfRule type="notContainsText" dxfId="129" priority="163" operator="notContains" text="Caida">
      <formula>ISERROR(SEARCH("Caida",O5))</formula>
    </cfRule>
    <cfRule type="containsText" dxfId="128" priority="164" operator="containsText" text="Caida">
      <formula>NOT(ISERROR(SEARCH("Caida",O5)))</formula>
    </cfRule>
  </conditionalFormatting>
  <conditionalFormatting sqref="O93:O94">
    <cfRule type="cellIs" dxfId="127" priority="161" operator="lessThan">
      <formula>0.8</formula>
    </cfRule>
    <cfRule type="cellIs" dxfId="126" priority="162" operator="greaterThan">
      <formula>0.8</formula>
    </cfRule>
  </conditionalFormatting>
  <conditionalFormatting sqref="O93:O94">
    <cfRule type="notContainsText" dxfId="125" priority="159" operator="notContains" text="Caida">
      <formula>ISERROR(SEARCH("Caida",O93))</formula>
    </cfRule>
    <cfRule type="containsText" dxfId="124" priority="160" operator="containsText" text="Caida">
      <formula>NOT(ISERROR(SEARCH("Caida",O93)))</formula>
    </cfRule>
  </conditionalFormatting>
  <conditionalFormatting sqref="AR6:AR92">
    <cfRule type="cellIs" dxfId="123" priority="152" operator="lessThan">
      <formula>0.8</formula>
    </cfRule>
    <cfRule type="cellIs" dxfId="122" priority="153" operator="greaterThan">
      <formula>0.8</formula>
    </cfRule>
  </conditionalFormatting>
  <conditionalFormatting sqref="AR6:AR92">
    <cfRule type="notContainsText" dxfId="121" priority="150" operator="notContains" text="Caida">
      <formula>ISERROR(SEARCH("Caida",AR6))</formula>
    </cfRule>
    <cfRule type="containsText" dxfId="120" priority="151" operator="containsText" text="Caida">
      <formula>NOT(ISERROR(SEARCH("Caida",AR6)))</formula>
    </cfRule>
  </conditionalFormatting>
  <conditionalFormatting sqref="AR93:AR94">
    <cfRule type="cellIs" dxfId="119" priority="148" operator="lessThan">
      <formula>0.8</formula>
    </cfRule>
    <cfRule type="cellIs" dxfId="118" priority="149" operator="greaterThan">
      <formula>0.8</formula>
    </cfRule>
  </conditionalFormatting>
  <conditionalFormatting sqref="AR93:AR94">
    <cfRule type="notContainsText" dxfId="117" priority="146" operator="notContains" text="Caida">
      <formula>ISERROR(SEARCH("Caida",AR93))</formula>
    </cfRule>
    <cfRule type="containsText" dxfId="116" priority="147" operator="containsText" text="Caida">
      <formula>NOT(ISERROR(SEARCH("Caida",AR93)))</formula>
    </cfRule>
  </conditionalFormatting>
  <conditionalFormatting sqref="Y6:AF92">
    <cfRule type="cellIs" dxfId="115" priority="87" operator="lessThan">
      <formula>0.8</formula>
    </cfRule>
    <cfRule type="cellIs" dxfId="114" priority="88" operator="greaterThan">
      <formula>0.8</formula>
    </cfRule>
  </conditionalFormatting>
  <conditionalFormatting sqref="Y6:AF92">
    <cfRule type="notContainsText" dxfId="113" priority="85" operator="notContains" text="Caida">
      <formula>ISERROR(SEARCH("Caida",Y6))</formula>
    </cfRule>
    <cfRule type="containsText" dxfId="112" priority="86" operator="containsText" text="Caida">
      <formula>NOT(ISERROR(SEARCH("Caida",Y6)))</formula>
    </cfRule>
  </conditionalFormatting>
  <conditionalFormatting sqref="Y93:AF95">
    <cfRule type="cellIs" dxfId="111" priority="83" operator="lessThan">
      <formula>0.8</formula>
    </cfRule>
    <cfRule type="cellIs" dxfId="110" priority="84" operator="greaterThan">
      <formula>0.8</formula>
    </cfRule>
  </conditionalFormatting>
  <conditionalFormatting sqref="Y93:AF95">
    <cfRule type="notContainsText" dxfId="109" priority="81" operator="notContains" text="Caida">
      <formula>ISERROR(SEARCH("Caida",Y93))</formula>
    </cfRule>
    <cfRule type="containsText" dxfId="108" priority="82" operator="containsText" text="Caida">
      <formula>NOT(ISERROR(SEARCH("Caida",Y93)))</formula>
    </cfRule>
  </conditionalFormatting>
  <conditionalFormatting sqref="AF1:AF3 AF5:AF1048576">
    <cfRule type="cellIs" dxfId="107" priority="80" operator="equal">
      <formula>"apagado"</formula>
    </cfRule>
  </conditionalFormatting>
  <conditionalFormatting sqref="AE1:AE3 AE5:AE1048576">
    <cfRule type="cellIs" dxfId="106" priority="79" operator="equal">
      <formula>"apagado"</formula>
    </cfRule>
  </conditionalFormatting>
  <conditionalFormatting sqref="AD1:AD3 AD5:AD1048576">
    <cfRule type="cellIs" dxfId="105" priority="78" operator="equal">
      <formula>"apagado"</formula>
    </cfRule>
  </conditionalFormatting>
  <conditionalFormatting sqref="AC1:AC3 AC5:AC1048576">
    <cfRule type="cellIs" dxfId="104" priority="77" operator="equal">
      <formula>"apagado"</formula>
    </cfRule>
  </conditionalFormatting>
  <conditionalFormatting sqref="AB1:AB3 AB5:AB1048576">
    <cfRule type="cellIs" dxfId="103" priority="76" operator="equal">
      <formula>"apagado"</formula>
    </cfRule>
  </conditionalFormatting>
  <conditionalFormatting sqref="AA1:AA3 AA5:AA1048576">
    <cfRule type="cellIs" dxfId="102" priority="75" operator="equal">
      <formula>"apagado"</formula>
    </cfRule>
  </conditionalFormatting>
  <conditionalFormatting sqref="Z1:Z3 Z5:Z1048576">
    <cfRule type="cellIs" dxfId="101" priority="74" operator="equal">
      <formula>"apagado"</formula>
    </cfRule>
  </conditionalFormatting>
  <conditionalFormatting sqref="Y1:Y3 Y5:Y1048576">
    <cfRule type="cellIs" dxfId="100" priority="73" operator="equal">
      <formula>"apagado"</formula>
    </cfRule>
  </conditionalFormatting>
  <conditionalFormatting sqref="AG6:AG92">
    <cfRule type="cellIs" dxfId="99" priority="71" operator="lessThan">
      <formula>0.8</formula>
    </cfRule>
    <cfRule type="cellIs" dxfId="98" priority="72" operator="greaterThan">
      <formula>0.8</formula>
    </cfRule>
  </conditionalFormatting>
  <conditionalFormatting sqref="AG6:AG92">
    <cfRule type="notContainsText" dxfId="97" priority="69" operator="notContains" text="Caida">
      <formula>ISERROR(SEARCH("Caida",AG6))</formula>
    </cfRule>
    <cfRule type="containsText" dxfId="96" priority="70" operator="containsText" text="Caida">
      <formula>NOT(ISERROR(SEARCH("Caida",AG6)))</formula>
    </cfRule>
  </conditionalFormatting>
  <conditionalFormatting sqref="AG93:AG95">
    <cfRule type="cellIs" dxfId="95" priority="67" operator="lessThan">
      <formula>0.8</formula>
    </cfRule>
    <cfRule type="cellIs" dxfId="94" priority="68" operator="greaterThan">
      <formula>0.8</formula>
    </cfRule>
  </conditionalFormatting>
  <conditionalFormatting sqref="AG93:AG95">
    <cfRule type="notContainsText" dxfId="93" priority="65" operator="notContains" text="Caida">
      <formula>ISERROR(SEARCH("Caida",AG93))</formula>
    </cfRule>
    <cfRule type="containsText" dxfId="92" priority="66" operator="containsText" text="Caida">
      <formula>NOT(ISERROR(SEARCH("Caida",AG93)))</formula>
    </cfRule>
  </conditionalFormatting>
  <conditionalFormatting sqref="AG1:AG3 AG5:AG1048576">
    <cfRule type="cellIs" dxfId="91" priority="64" operator="equal">
      <formula>"apagado"</formula>
    </cfRule>
  </conditionalFormatting>
  <conditionalFormatting sqref="AH6:AH92">
    <cfRule type="cellIs" dxfId="90" priority="62" operator="lessThan">
      <formula>0.8</formula>
    </cfRule>
    <cfRule type="cellIs" dxfId="89" priority="63" operator="greaterThan">
      <formula>0.8</formula>
    </cfRule>
  </conditionalFormatting>
  <conditionalFormatting sqref="AH6:AH92">
    <cfRule type="notContainsText" dxfId="88" priority="60" operator="notContains" text="Caida">
      <formula>ISERROR(SEARCH("Caida",AH6))</formula>
    </cfRule>
    <cfRule type="containsText" dxfId="87" priority="61" operator="containsText" text="Caida">
      <formula>NOT(ISERROR(SEARCH("Caida",AH6)))</formula>
    </cfRule>
  </conditionalFormatting>
  <conditionalFormatting sqref="AH93:AH95">
    <cfRule type="cellIs" dxfId="86" priority="58" operator="lessThan">
      <formula>0.8</formula>
    </cfRule>
    <cfRule type="cellIs" dxfId="85" priority="59" operator="greaterThan">
      <formula>0.8</formula>
    </cfRule>
  </conditionalFormatting>
  <conditionalFormatting sqref="AH93:AH95">
    <cfRule type="notContainsText" dxfId="84" priority="56" operator="notContains" text="Caida">
      <formula>ISERROR(SEARCH("Caida",AH93))</formula>
    </cfRule>
    <cfRule type="containsText" dxfId="83" priority="57" operator="containsText" text="Caida">
      <formula>NOT(ISERROR(SEARCH("Caida",AH93)))</formula>
    </cfRule>
  </conditionalFormatting>
  <conditionalFormatting sqref="AH1:AH3 AH5:AH1048576">
    <cfRule type="cellIs" dxfId="82" priority="55" operator="equal">
      <formula>"apagado"</formula>
    </cfRule>
  </conditionalFormatting>
  <conditionalFormatting sqref="AI6:AI92">
    <cfRule type="cellIs" dxfId="81" priority="53" operator="lessThan">
      <formula>0.8</formula>
    </cfRule>
    <cfRule type="cellIs" dxfId="80" priority="54" operator="greaterThan">
      <formula>0.8</formula>
    </cfRule>
  </conditionalFormatting>
  <conditionalFormatting sqref="AI6:AI92">
    <cfRule type="notContainsText" dxfId="79" priority="51" operator="notContains" text="Caida">
      <formula>ISERROR(SEARCH("Caida",AI6))</formula>
    </cfRule>
    <cfRule type="containsText" dxfId="78" priority="52" operator="containsText" text="Caida">
      <formula>NOT(ISERROR(SEARCH("Caida",AI6)))</formula>
    </cfRule>
  </conditionalFormatting>
  <conditionalFormatting sqref="AI93:AI95">
    <cfRule type="cellIs" dxfId="77" priority="49" operator="lessThan">
      <formula>0.8</formula>
    </cfRule>
    <cfRule type="cellIs" dxfId="76" priority="50" operator="greaterThan">
      <formula>0.8</formula>
    </cfRule>
  </conditionalFormatting>
  <conditionalFormatting sqref="AI93:AI95">
    <cfRule type="notContainsText" dxfId="75" priority="47" operator="notContains" text="Caida">
      <formula>ISERROR(SEARCH("Caida",AI93))</formula>
    </cfRule>
    <cfRule type="containsText" dxfId="74" priority="48" operator="containsText" text="Caida">
      <formula>NOT(ISERROR(SEARCH("Caida",AI93)))</formula>
    </cfRule>
  </conditionalFormatting>
  <conditionalFormatting sqref="AI1:AI3 AI5:AI1048576">
    <cfRule type="cellIs" dxfId="73" priority="46" operator="equal">
      <formula>"apagado"</formula>
    </cfRule>
  </conditionalFormatting>
  <conditionalFormatting sqref="AJ6:AJ92">
    <cfRule type="cellIs" dxfId="72" priority="44" operator="lessThan">
      <formula>0.8</formula>
    </cfRule>
    <cfRule type="cellIs" dxfId="71" priority="45" operator="greaterThan">
      <formula>0.8</formula>
    </cfRule>
  </conditionalFormatting>
  <conditionalFormatting sqref="AJ6:AJ92">
    <cfRule type="notContainsText" dxfId="70" priority="42" operator="notContains" text="Caida">
      <formula>ISERROR(SEARCH("Caida",AJ6))</formula>
    </cfRule>
    <cfRule type="containsText" dxfId="69" priority="43" operator="containsText" text="Caida">
      <formula>NOT(ISERROR(SEARCH("Caida",AJ6)))</formula>
    </cfRule>
  </conditionalFormatting>
  <conditionalFormatting sqref="AJ93:AJ95">
    <cfRule type="cellIs" dxfId="68" priority="40" operator="lessThan">
      <formula>0.8</formula>
    </cfRule>
    <cfRule type="cellIs" dxfId="67" priority="41" operator="greaterThan">
      <formula>0.8</formula>
    </cfRule>
  </conditionalFormatting>
  <conditionalFormatting sqref="AJ93:AJ95">
    <cfRule type="notContainsText" dxfId="66" priority="38" operator="notContains" text="Caida">
      <formula>ISERROR(SEARCH("Caida",AJ93))</formula>
    </cfRule>
    <cfRule type="containsText" dxfId="65" priority="39" operator="containsText" text="Caida">
      <formula>NOT(ISERROR(SEARCH("Caida",AJ93)))</formula>
    </cfRule>
  </conditionalFormatting>
  <conditionalFormatting sqref="AJ1:AJ3 AJ5:AJ1048576">
    <cfRule type="cellIs" dxfId="64" priority="37" operator="equal">
      <formula>"apagado"</formula>
    </cfRule>
  </conditionalFormatting>
  <conditionalFormatting sqref="AQ95:AQ369">
    <cfRule type="cellIs" dxfId="63" priority="18" operator="lessThan">
      <formula>0.8</formula>
    </cfRule>
    <cfRule type="cellIs" dxfId="62" priority="19" operator="greaterThan">
      <formula>0.8</formula>
    </cfRule>
  </conditionalFormatting>
  <conditionalFormatting sqref="AQ95:AQ372 AQ391:AQ1048576">
    <cfRule type="notContainsText" dxfId="61" priority="16" operator="notContains" text="Caida">
      <formula>ISERROR(SEARCH("Caida",AQ95))</formula>
    </cfRule>
    <cfRule type="containsText" dxfId="60" priority="17" operator="containsText" text="Caida">
      <formula>NOT(ISERROR(SEARCH("Caida",AQ95)))</formula>
    </cfRule>
  </conditionalFormatting>
  <conditionalFormatting sqref="AQ6:AQ92">
    <cfRule type="cellIs" dxfId="59" priority="14" operator="lessThan">
      <formula>0.8</formula>
    </cfRule>
    <cfRule type="cellIs" dxfId="58" priority="15" operator="greaterThan">
      <formula>0.8</formula>
    </cfRule>
  </conditionalFormatting>
  <conditionalFormatting sqref="AQ6:AQ92">
    <cfRule type="notContainsText" dxfId="57" priority="12" operator="notContains" text="Caida">
      <formula>ISERROR(SEARCH("Caida",AQ6))</formula>
    </cfRule>
    <cfRule type="containsText" dxfId="56" priority="13" operator="containsText" text="Caida">
      <formula>NOT(ISERROR(SEARCH("Caida",AQ6)))</formula>
    </cfRule>
  </conditionalFormatting>
  <conditionalFormatting sqref="AQ93:AQ94">
    <cfRule type="cellIs" dxfId="55" priority="10" operator="lessThan">
      <formula>0.8</formula>
    </cfRule>
    <cfRule type="cellIs" dxfId="54" priority="11" operator="greaterThan">
      <formula>0.8</formula>
    </cfRule>
  </conditionalFormatting>
  <conditionalFormatting sqref="AQ93:AQ94">
    <cfRule type="notContainsText" dxfId="53" priority="8" operator="notContains" text="Caida">
      <formula>ISERROR(SEARCH("Caida",AQ93))</formula>
    </cfRule>
    <cfRule type="containsText" dxfId="52" priority="9" operator="containsText" text="Caida">
      <formula>NOT(ISERROR(SEARCH("Caida",AQ93)))</formula>
    </cfRule>
  </conditionalFormatting>
  <conditionalFormatting sqref="AQ10">
    <cfRule type="cellIs" dxfId="51" priority="3" operator="equal">
      <formula>"apagado"</formula>
    </cfRule>
    <cfRule type="cellIs" dxfId="50" priority="6" operator="lessThan">
      <formula>0.8</formula>
    </cfRule>
    <cfRule type="cellIs" dxfId="49" priority="7" operator="greaterThan">
      <formula>0.8</formula>
    </cfRule>
  </conditionalFormatting>
  <conditionalFormatting sqref="AQ10">
    <cfRule type="notContainsText" dxfId="48" priority="4" operator="notContains" text="Caida">
      <formula>ISERROR(SEARCH("Caida",AQ10))</formula>
    </cfRule>
    <cfRule type="containsText" dxfId="47" priority="5" operator="containsText" text="Caida">
      <formula>NOT(ISERROR(SEARCH("Caida",AQ10)))</formula>
    </cfRule>
  </conditionalFormatting>
  <conditionalFormatting sqref="AQ1:AQ3 AQ5:AQ1048576">
    <cfRule type="cellIs" dxfId="46" priority="2" operator="equal">
      <formula>"apagado"</formula>
    </cfRule>
  </conditionalFormatting>
  <conditionalFormatting sqref="O5:AR376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34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3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1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D8" sqref="D8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</row>
    <row r="2" spans="1:6" x14ac:dyDescent="0.25">
      <c r="A2" s="25">
        <f>'APAGADOS RADIO'!F3</f>
        <v>44652</v>
      </c>
      <c r="B2">
        <f>'APAGADOS RADIO'!F2+D2</f>
        <v>4</v>
      </c>
      <c r="C2">
        <f>'APAGADOS FIBRA'!F2</f>
        <v>30</v>
      </c>
      <c r="D2">
        <f>'APAGADOS ANTENA'!F2</f>
        <v>3</v>
      </c>
      <c r="E2">
        <f>B2+C2</f>
        <v>34</v>
      </c>
      <c r="F2">
        <f>'RESUMEN TOTAL'!C1</f>
        <v>372</v>
      </c>
    </row>
    <row r="3" spans="1:6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372</v>
      </c>
    </row>
    <row r="4" spans="1:6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372</v>
      </c>
    </row>
    <row r="5" spans="1:6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0">B5+C5</f>
        <v>36</v>
      </c>
      <c r="F5">
        <f>'RESUMEN TOTAL'!C1</f>
        <v>372</v>
      </c>
    </row>
    <row r="6" spans="1:6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0"/>
        <v>32</v>
      </c>
      <c r="F6">
        <f>'RESUMEN TOTAL'!C1</f>
        <v>372</v>
      </c>
    </row>
    <row r="7" spans="1:6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1">B7+C7</f>
        <v>25</v>
      </c>
      <c r="F7">
        <f>'RESUMEN TOTAL'!C1</f>
        <v>372</v>
      </c>
    </row>
    <row r="8" spans="1:6" x14ac:dyDescent="0.25">
      <c r="A8" s="25">
        <f>'APAGADOS RADIO'!L3</f>
        <v>44658</v>
      </c>
      <c r="F8">
        <f>'RESUMEN TOTAL'!C1</f>
        <v>372</v>
      </c>
    </row>
    <row r="9" spans="1:6" x14ac:dyDescent="0.25">
      <c r="A9" s="25">
        <f>'APAGADOS RADIO'!M3</f>
        <v>44659</v>
      </c>
      <c r="C9" s="30"/>
      <c r="F9">
        <f>'RESUMEN TOTAL'!C1</f>
        <v>372</v>
      </c>
    </row>
    <row r="10" spans="1:6" x14ac:dyDescent="0.25">
      <c r="A10" s="25">
        <f>'APAGADOS RADIO'!N3</f>
        <v>44660</v>
      </c>
      <c r="C10" s="30"/>
      <c r="F10">
        <f>'RESUMEN TOTAL'!C1</f>
        <v>372</v>
      </c>
    </row>
    <row r="11" spans="1:6" x14ac:dyDescent="0.25">
      <c r="A11" s="25">
        <f>'APAGADOS RADIO'!O3</f>
        <v>44661</v>
      </c>
      <c r="C11" s="30"/>
      <c r="F11">
        <f>'RESUMEN TOTAL'!C1</f>
        <v>372</v>
      </c>
    </row>
    <row r="12" spans="1:6" x14ac:dyDescent="0.25">
      <c r="A12" s="25">
        <f>'APAGADOS RADIO'!P3</f>
        <v>44662</v>
      </c>
      <c r="C12" s="30"/>
      <c r="F12">
        <f>'RESUMEN TOTAL'!C1</f>
        <v>372</v>
      </c>
    </row>
    <row r="13" spans="1:6" x14ac:dyDescent="0.25">
      <c r="A13" s="25">
        <f>'APAGADOS RADIO'!Q3</f>
        <v>44663</v>
      </c>
      <c r="C13" s="30"/>
      <c r="F13">
        <f>'RESUMEN TOTAL'!C1</f>
        <v>372</v>
      </c>
    </row>
    <row r="14" spans="1:6" x14ac:dyDescent="0.25">
      <c r="A14" s="25">
        <f>'APAGADOS RADIO'!R3</f>
        <v>44664</v>
      </c>
      <c r="C14" s="30"/>
      <c r="F14">
        <f>'RESUMEN TOTAL'!C1</f>
        <v>372</v>
      </c>
    </row>
    <row r="15" spans="1:6" x14ac:dyDescent="0.25">
      <c r="A15" s="25">
        <f>'APAGADOS RADIO'!S3</f>
        <v>44665</v>
      </c>
      <c r="C15" s="30"/>
      <c r="F15">
        <f>'RESUMEN TOTAL'!C1</f>
        <v>372</v>
      </c>
    </row>
    <row r="16" spans="1:6" x14ac:dyDescent="0.25">
      <c r="A16" s="25">
        <f>'APAGADOS RADIO'!T3</f>
        <v>44666</v>
      </c>
      <c r="C16" s="30"/>
      <c r="F16">
        <f>'RESUMEN TOTAL'!C1</f>
        <v>372</v>
      </c>
    </row>
    <row r="17" spans="1:6" x14ac:dyDescent="0.25">
      <c r="A17" s="25">
        <f>'APAGADOS RADIO'!U3</f>
        <v>44667</v>
      </c>
      <c r="C17" s="30"/>
      <c r="F17">
        <f>'RESUMEN TOTAL'!C1</f>
        <v>372</v>
      </c>
    </row>
    <row r="18" spans="1:6" x14ac:dyDescent="0.25">
      <c r="A18" s="25">
        <f>'APAGADOS RADIO'!V3</f>
        <v>44668</v>
      </c>
      <c r="C18" s="30"/>
      <c r="F18">
        <f>'RESUMEN TOTAL'!C1</f>
        <v>372</v>
      </c>
    </row>
    <row r="19" spans="1:6" x14ac:dyDescent="0.25">
      <c r="A19" s="25">
        <f>'APAGADOS RADIO'!W3</f>
        <v>44669</v>
      </c>
      <c r="C19" s="30"/>
      <c r="F19">
        <f>'RESUMEN TOTAL'!C1</f>
        <v>372</v>
      </c>
    </row>
    <row r="20" spans="1:6" x14ac:dyDescent="0.25">
      <c r="A20" s="25">
        <f>'APAGADOS RADIO'!X3</f>
        <v>44670</v>
      </c>
      <c r="C20" s="30"/>
      <c r="F20">
        <f>'RESUMEN TOTAL'!C1</f>
        <v>372</v>
      </c>
    </row>
    <row r="21" spans="1:6" x14ac:dyDescent="0.25">
      <c r="A21" s="25">
        <f>'APAGADOS RADIO'!Y3</f>
        <v>44671</v>
      </c>
      <c r="C21" s="30"/>
      <c r="F21">
        <f>'RESUMEN TOTAL'!C1</f>
        <v>372</v>
      </c>
    </row>
    <row r="22" spans="1:6" x14ac:dyDescent="0.25">
      <c r="A22" s="25">
        <f>'APAGADOS RADIO'!Z3</f>
        <v>44672</v>
      </c>
      <c r="C22" s="30"/>
      <c r="F22">
        <f>'RESUMEN TOTAL'!C1</f>
        <v>372</v>
      </c>
    </row>
    <row r="23" spans="1:6" x14ac:dyDescent="0.25">
      <c r="A23" s="25">
        <f>'APAGADOS RADIO'!AA3</f>
        <v>44673</v>
      </c>
      <c r="C23" s="30"/>
      <c r="F23">
        <f>'RESUMEN TOTAL'!C1</f>
        <v>372</v>
      </c>
    </row>
    <row r="24" spans="1:6" x14ac:dyDescent="0.25">
      <c r="A24" s="25">
        <f>'APAGADOS RADIO'!AB3</f>
        <v>44674</v>
      </c>
      <c r="C24" s="30"/>
      <c r="F24">
        <f>'RESUMEN TOTAL'!C1</f>
        <v>372</v>
      </c>
    </row>
    <row r="25" spans="1:6" x14ac:dyDescent="0.25">
      <c r="A25" s="25">
        <f>'APAGADOS RADIO'!AC3</f>
        <v>44675</v>
      </c>
      <c r="C25" s="30"/>
      <c r="F25">
        <f>'RESUMEN TOTAL'!C1</f>
        <v>372</v>
      </c>
    </row>
    <row r="26" spans="1:6" x14ac:dyDescent="0.25">
      <c r="A26" s="25">
        <f>'APAGADOS RADIO'!AD3</f>
        <v>44676</v>
      </c>
      <c r="C26" s="30"/>
      <c r="F26">
        <f>'RESUMEN TOTAL'!C1</f>
        <v>372</v>
      </c>
    </row>
    <row r="27" spans="1:6" x14ac:dyDescent="0.25">
      <c r="A27" s="25">
        <f>'APAGADOS RADIO'!AE3</f>
        <v>44677</v>
      </c>
      <c r="C27" s="30"/>
      <c r="F27">
        <f>'RESUMEN TOTAL'!C1</f>
        <v>372</v>
      </c>
    </row>
    <row r="28" spans="1:6" x14ac:dyDescent="0.25">
      <c r="A28" s="25">
        <f>'APAGADOS RADIO'!AF3</f>
        <v>44678</v>
      </c>
      <c r="C28" s="30"/>
      <c r="F28">
        <f>'RESUMEN TOTAL'!C1</f>
        <v>372</v>
      </c>
    </row>
    <row r="29" spans="1:6" x14ac:dyDescent="0.25">
      <c r="A29" s="25">
        <f>'APAGADOS RADIO'!AG3</f>
        <v>44679</v>
      </c>
      <c r="C29" s="30"/>
      <c r="F29">
        <f>'RESUMEN TOTAL'!C1</f>
        <v>372</v>
      </c>
    </row>
    <row r="30" spans="1:6" x14ac:dyDescent="0.25">
      <c r="A30" s="25">
        <f>'APAGADOS RADIO'!AH3</f>
        <v>44680</v>
      </c>
      <c r="C30" s="30"/>
      <c r="F30">
        <f>'RESUMEN TOTAL'!C1</f>
        <v>372</v>
      </c>
    </row>
    <row r="31" spans="1:6" x14ac:dyDescent="0.25">
      <c r="A31" s="25">
        <f>'APAGADOS RADIO'!AI3</f>
        <v>44681</v>
      </c>
      <c r="F31">
        <f>'RESUMEN TOTAL'!C1</f>
        <v>372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2022-04-08T11:24:22Z</dcterms:modified>
</cp:coreProperties>
</file>