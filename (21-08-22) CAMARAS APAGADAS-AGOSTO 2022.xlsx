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6E6D94A5-A69F-4428-BE00-B509D3640F2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4" l="1"/>
  <c r="D20" i="14"/>
  <c r="C20" i="14"/>
  <c r="B20" i="14"/>
  <c r="E20" i="14" s="1"/>
  <c r="G20" i="14" s="1"/>
  <c r="X3" i="25"/>
  <c r="X4" i="25" s="1"/>
  <c r="X5" i="25"/>
  <c r="X6" i="25" s="1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25" i="24" l="1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25" i="24" l="1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8" i="14" l="1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U2" i="21"/>
  <c r="D17" i="14" s="1"/>
  <c r="M2" i="21"/>
  <c r="D9" i="14" s="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V2" i="11"/>
  <c r="B18" i="14" s="1"/>
  <c r="B3" i="14"/>
  <c r="Q2" i="11"/>
  <c r="B13" i="14" s="1"/>
  <c r="E13" i="14" s="1"/>
  <c r="G13" i="14" s="1"/>
  <c r="AA2" i="11"/>
  <c r="AC2" i="1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T2" i="11"/>
  <c r="B16" i="14" s="1"/>
  <c r="W2" i="11"/>
  <c r="B19" i="14" s="1"/>
  <c r="E19" i="14" s="1"/>
  <c r="G19" i="14" s="1"/>
  <c r="E18" i="14" l="1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<sst xmlns="http://schemas.openxmlformats.org/spreadsheetml/2006/main" count="3748" uniqueCount="1209">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</sst>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AE210" activePane="bottomRight" state="frozen"/>
      <selection pane="topRight" activeCell="M1" sqref="M1"/>
      <selection pane="bottomLeft" activeCell="A5" sqref="A5"/>
      <selection pane="bottomRight" activeCell="AE225" sqref="AE225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7" width="13.7109375" style="24" customWidth="1"/>
    <col min="8" max="8" width="14.7109375" customWidth="1"/>
    <col min="9" max="9" width="6.7109375" customWidth="1"/>
    <col min="10" max="10" width="11.5703125" style="5" customWidth="1"/>
    <col min="11" max="19" width="8.7109375" style="22" customWidth="1"/>
    <col min="20" max="40" width="14.140625" style="22" bestFit="1" customWidth="1"/>
    <col min="41" max="41" width="14.140625" bestFit="1" customWidth="1"/>
  </cols>
  <sheetData>
    <row r="1" spans="1:41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25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2.25" thickTop="1" thickBot="1" x14ac:dyDescent="0.35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6.5" thickTop="1" thickBot="1" x14ac:dyDescent="0.3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.75" thickBot="1" x14ac:dyDescent="0.3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.75" thickBot="1" x14ac:dyDescent="0.3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.75" thickBot="1" x14ac:dyDescent="0.3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.75" thickBot="1" x14ac:dyDescent="0.3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.75" thickBot="1" x14ac:dyDescent="0.3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28</v>
      </c>
      <c r="I10" s="17">
        <f t="shared" si="8"/>
        <v>2</v>
      </c>
      <c r="J10" s="18">
        <f t="shared" si="9"/>
        <v>0.93333333333333335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.75" thickBot="1" x14ac:dyDescent="0.3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.75" thickBot="1" x14ac:dyDescent="0.3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.75" thickBot="1" x14ac:dyDescent="0.3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28</v>
      </c>
      <c r="I13" s="17">
        <f t="shared" si="8"/>
        <v>2</v>
      </c>
      <c r="J13" s="18">
        <f t="shared" si="9"/>
        <v>0.93333333333333335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.75" thickBot="1" x14ac:dyDescent="0.3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.75" thickBot="1" x14ac:dyDescent="0.3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.75" thickBot="1" x14ac:dyDescent="0.3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.75" thickBot="1" x14ac:dyDescent="0.3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.75" thickBot="1" x14ac:dyDescent="0.3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.75" thickBot="1" x14ac:dyDescent="0.3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.75" thickBot="1" x14ac:dyDescent="0.3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.75" thickBot="1" x14ac:dyDescent="0.3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.75" thickBot="1" x14ac:dyDescent="0.3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.75" thickBot="1" x14ac:dyDescent="0.3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.75" thickBot="1" x14ac:dyDescent="0.3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.75" thickBot="1" x14ac:dyDescent="0.3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.75" thickBot="1" x14ac:dyDescent="0.3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.75" thickBot="1" x14ac:dyDescent="0.3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.75" thickBot="1" x14ac:dyDescent="0.3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.75" thickBot="1" x14ac:dyDescent="0.3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.75" thickBot="1" x14ac:dyDescent="0.3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.75" thickBot="1" x14ac:dyDescent="0.3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15</v>
      </c>
      <c r="I31" s="17">
        <f t="shared" si="8"/>
        <v>15</v>
      </c>
      <c r="J31" s="18">
        <f t="shared" si="9"/>
        <v>0.5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.75" thickBot="1" x14ac:dyDescent="0.3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.75" thickBot="1" x14ac:dyDescent="0.3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.75" thickBot="1" x14ac:dyDescent="0.3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9</v>
      </c>
      <c r="I34" s="17">
        <f t="shared" si="8"/>
        <v>21</v>
      </c>
      <c r="J34" s="18">
        <f t="shared" si="9"/>
        <v>0.3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.75" thickBot="1" x14ac:dyDescent="0.3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.75" thickBot="1" x14ac:dyDescent="0.3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.75" thickBot="1" x14ac:dyDescent="0.3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.75" thickBot="1" x14ac:dyDescent="0.3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.75" thickBot="1" x14ac:dyDescent="0.3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.75" thickBot="1" x14ac:dyDescent="0.3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.75" thickBot="1" x14ac:dyDescent="0.3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.75" thickBot="1" x14ac:dyDescent="0.3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.75" thickBot="1" x14ac:dyDescent="0.3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.75" thickBot="1" x14ac:dyDescent="0.3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.75" thickBot="1" x14ac:dyDescent="0.3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.75" thickBot="1" x14ac:dyDescent="0.3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.75" thickBot="1" x14ac:dyDescent="0.3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.75" thickBot="1" x14ac:dyDescent="0.3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.75" thickBot="1" x14ac:dyDescent="0.3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.75" thickBot="1" x14ac:dyDescent="0.3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.75" thickBot="1" x14ac:dyDescent="0.3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.75" thickBot="1" x14ac:dyDescent="0.3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.75" thickBot="1" x14ac:dyDescent="0.3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.75" thickBot="1" x14ac:dyDescent="0.3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.75" thickBot="1" x14ac:dyDescent="0.3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.75" thickBot="1" x14ac:dyDescent="0.3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.75" thickBot="1" x14ac:dyDescent="0.3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.75" thickBot="1" x14ac:dyDescent="0.3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.75" thickBot="1" x14ac:dyDescent="0.3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.75" thickBot="1" x14ac:dyDescent="0.3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.75" thickBot="1" x14ac:dyDescent="0.3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.75" thickBot="1" x14ac:dyDescent="0.3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.75" thickBot="1" x14ac:dyDescent="0.3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.75" thickBot="1" x14ac:dyDescent="0.3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.75" thickBot="1" x14ac:dyDescent="0.3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.75" thickBot="1" x14ac:dyDescent="0.3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.75" thickBot="1" x14ac:dyDescent="0.3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9</v>
      </c>
      <c r="I67" s="17">
        <f t="shared" si="8"/>
        <v>21</v>
      </c>
      <c r="J67" s="18">
        <f t="shared" si="9"/>
        <v>0.3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.75" thickBot="1" x14ac:dyDescent="0.3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.75" thickBot="1" x14ac:dyDescent="0.3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.75" thickBot="1" x14ac:dyDescent="0.3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.75" thickBot="1" x14ac:dyDescent="0.3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.75" thickBot="1" x14ac:dyDescent="0.3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.75" thickBot="1" x14ac:dyDescent="0.3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.75" thickBot="1" x14ac:dyDescent="0.3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.75" thickBot="1" x14ac:dyDescent="0.3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.75" thickBot="1" x14ac:dyDescent="0.3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.75" thickBot="1" x14ac:dyDescent="0.3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.75" thickBot="1" x14ac:dyDescent="0.3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.75" thickBot="1" x14ac:dyDescent="0.3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26</v>
      </c>
      <c r="I79" s="17">
        <f t="shared" si="11"/>
        <v>4</v>
      </c>
      <c r="J79" s="18">
        <f t="shared" si="12"/>
        <v>0.8666666666666667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.75" thickBot="1" x14ac:dyDescent="0.3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.75" thickBot="1" x14ac:dyDescent="0.3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.75" thickBot="1" x14ac:dyDescent="0.3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.75" thickBot="1" x14ac:dyDescent="0.3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.75" thickBot="1" x14ac:dyDescent="0.3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.75" thickBot="1" x14ac:dyDescent="0.3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.75" thickBot="1" x14ac:dyDescent="0.3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.75" thickBot="1" x14ac:dyDescent="0.3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15</v>
      </c>
      <c r="I87" s="17">
        <f t="shared" si="11"/>
        <v>15</v>
      </c>
      <c r="J87" s="18">
        <f t="shared" si="12"/>
        <v>0.5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.75" thickBot="1" x14ac:dyDescent="0.3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.75" thickBot="1" x14ac:dyDescent="0.3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.75" thickBot="1" x14ac:dyDescent="0.3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" customHeight="1" thickBot="1" x14ac:dyDescent="0.3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.75" thickBot="1" x14ac:dyDescent="0.3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.75" thickBot="1" x14ac:dyDescent="0.3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.75" thickBot="1" x14ac:dyDescent="0.3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.75" thickBot="1" x14ac:dyDescent="0.3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.75" thickBot="1" x14ac:dyDescent="0.3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17</v>
      </c>
      <c r="I96" s="17">
        <f t="shared" si="11"/>
        <v>13</v>
      </c>
      <c r="J96" s="18">
        <f t="shared" si="12"/>
        <v>0.56666666666666665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.75" thickBot="1" x14ac:dyDescent="0.3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.75" thickBot="1" x14ac:dyDescent="0.3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.75" thickBot="1" x14ac:dyDescent="0.3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.75" thickBot="1" x14ac:dyDescent="0.3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.75" thickBot="1" x14ac:dyDescent="0.3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.75" thickBot="1" x14ac:dyDescent="0.3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.75" thickBot="1" x14ac:dyDescent="0.3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.75" thickBot="1" x14ac:dyDescent="0.3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149999999999999" customHeight="1" thickBot="1" x14ac:dyDescent="0.3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.75" thickBot="1" x14ac:dyDescent="0.3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.75" thickBot="1" x14ac:dyDescent="0.3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.75" thickBot="1" x14ac:dyDescent="0.3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.75" thickBot="1" x14ac:dyDescent="0.3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.75" thickBot="1" x14ac:dyDescent="0.3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.75" thickBot="1" x14ac:dyDescent="0.3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.75" thickBot="1" x14ac:dyDescent="0.3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.75" thickBot="1" x14ac:dyDescent="0.3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.75" thickBot="1" x14ac:dyDescent="0.3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.75" thickBot="1" x14ac:dyDescent="0.3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.75" thickBot="1" x14ac:dyDescent="0.3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.75" thickBot="1" x14ac:dyDescent="0.3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.75" thickBot="1" x14ac:dyDescent="0.3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.75" thickBot="1" x14ac:dyDescent="0.3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.75" thickBot="1" x14ac:dyDescent="0.3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.75" thickBot="1" x14ac:dyDescent="0.3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.75" thickBot="1" x14ac:dyDescent="0.3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.75" thickBot="1" x14ac:dyDescent="0.3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.75" thickBot="1" x14ac:dyDescent="0.3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.75" thickBot="1" x14ac:dyDescent="0.3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.75" thickBot="1" x14ac:dyDescent="0.3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.75" thickBot="1" x14ac:dyDescent="0.3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.75" thickBot="1" x14ac:dyDescent="0.3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.75" thickBot="1" x14ac:dyDescent="0.3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.75" thickBot="1" x14ac:dyDescent="0.3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.75" thickBot="1" x14ac:dyDescent="0.3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.75" thickBot="1" x14ac:dyDescent="0.3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.75" thickBot="1" x14ac:dyDescent="0.3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.75" thickBot="1" x14ac:dyDescent="0.3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9</v>
      </c>
      <c r="I134" s="17">
        <f t="shared" si="14"/>
        <v>21</v>
      </c>
      <c r="J134" s="18">
        <f t="shared" si="15"/>
        <v>0.3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.75" thickBot="1" x14ac:dyDescent="0.3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.75" thickBot="1" x14ac:dyDescent="0.3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.75" thickBot="1" x14ac:dyDescent="0.3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.75" thickBot="1" x14ac:dyDescent="0.3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.75" thickBot="1" x14ac:dyDescent="0.3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.75" thickBot="1" x14ac:dyDescent="0.3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.75" thickBot="1" x14ac:dyDescent="0.3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.75" thickBot="1" x14ac:dyDescent="0.3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.75" thickBot="1" x14ac:dyDescent="0.3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.75" thickBot="1" x14ac:dyDescent="0.3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.75" thickBot="1" x14ac:dyDescent="0.3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.75" thickBot="1" x14ac:dyDescent="0.3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.75" thickBot="1" x14ac:dyDescent="0.3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.75" thickBot="1" x14ac:dyDescent="0.3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.75" thickBot="1" x14ac:dyDescent="0.3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.75" thickBot="1" x14ac:dyDescent="0.3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.75" thickBot="1" x14ac:dyDescent="0.3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.75" thickBot="1" x14ac:dyDescent="0.3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.75" thickBot="1" x14ac:dyDescent="0.3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.75" thickBot="1" x14ac:dyDescent="0.3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.75" thickBot="1" x14ac:dyDescent="0.3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.75" thickBot="1" x14ac:dyDescent="0.3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9</v>
      </c>
      <c r="I156" s="17">
        <f t="shared" si="14"/>
        <v>21</v>
      </c>
      <c r="J156" s="18">
        <f t="shared" si="15"/>
        <v>0.3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.75" thickBot="1" x14ac:dyDescent="0.3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.75" thickBot="1" x14ac:dyDescent="0.3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10</v>
      </c>
      <c r="I158" s="17">
        <f t="shared" si="14"/>
        <v>20</v>
      </c>
      <c r="J158" s="18">
        <f t="shared" si="15"/>
        <v>0.33333333333333331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.75" thickBot="1" x14ac:dyDescent="0.3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.75" thickBot="1" x14ac:dyDescent="0.3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.75" thickBot="1" x14ac:dyDescent="0.3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.75" thickBot="1" x14ac:dyDescent="0.3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.75" thickBot="1" x14ac:dyDescent="0.3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10</v>
      </c>
      <c r="I163" s="17">
        <f t="shared" si="14"/>
        <v>20</v>
      </c>
      <c r="J163" s="18">
        <f t="shared" si="15"/>
        <v>0.33333333333333331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.75" thickBot="1" x14ac:dyDescent="0.3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.75" thickBot="1" x14ac:dyDescent="0.3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.75" thickBot="1" x14ac:dyDescent="0.3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9</v>
      </c>
      <c r="I166" s="17">
        <f t="shared" si="14"/>
        <v>21</v>
      </c>
      <c r="J166" s="18">
        <f t="shared" si="15"/>
        <v>0.3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.75" thickBot="1" x14ac:dyDescent="0.3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.75" thickBot="1" x14ac:dyDescent="0.3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.75" thickBot="1" x14ac:dyDescent="0.3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.75" thickBot="1" x14ac:dyDescent="0.3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.75" thickBot="1" x14ac:dyDescent="0.3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.75" thickBot="1" x14ac:dyDescent="0.3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.75" thickBot="1" x14ac:dyDescent="0.3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.75" thickBot="1" x14ac:dyDescent="0.3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.75" thickBot="1" x14ac:dyDescent="0.3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.75" thickBot="1" x14ac:dyDescent="0.3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.75" thickBot="1" x14ac:dyDescent="0.3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.75" thickBot="1" x14ac:dyDescent="0.3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.75" thickBot="1" x14ac:dyDescent="0.3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.75" thickBot="1" x14ac:dyDescent="0.3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.75" thickBot="1" x14ac:dyDescent="0.3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.75" thickBot="1" x14ac:dyDescent="0.3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.75" thickBot="1" x14ac:dyDescent="0.3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.75" thickBot="1" x14ac:dyDescent="0.3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.75" thickBot="1" x14ac:dyDescent="0.3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.75" thickBot="1" x14ac:dyDescent="0.3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.75" thickBot="1" x14ac:dyDescent="0.3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.75" thickBot="1" x14ac:dyDescent="0.3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.75" thickBot="1" x14ac:dyDescent="0.3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.75" thickBot="1" x14ac:dyDescent="0.3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.75" thickBot="1" x14ac:dyDescent="0.3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.75" thickBot="1" x14ac:dyDescent="0.3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.75" thickBot="1" x14ac:dyDescent="0.3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.75" thickBot="1" x14ac:dyDescent="0.3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.75" thickBot="1" x14ac:dyDescent="0.3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.75" thickBot="1" x14ac:dyDescent="0.3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.75" thickBot="1" x14ac:dyDescent="0.3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.75" thickBot="1" x14ac:dyDescent="0.3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.75" thickBot="1" x14ac:dyDescent="0.3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.75" thickBot="1" x14ac:dyDescent="0.3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.75" thickBot="1" x14ac:dyDescent="0.3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.75" thickBot="1" x14ac:dyDescent="0.3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.75" thickBot="1" x14ac:dyDescent="0.3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.75" thickBot="1" x14ac:dyDescent="0.3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.75" thickBot="1" x14ac:dyDescent="0.3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.75" thickBot="1" x14ac:dyDescent="0.3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.75" thickBot="1" x14ac:dyDescent="0.3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.75" thickBot="1" x14ac:dyDescent="0.3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.75" thickBot="1" x14ac:dyDescent="0.3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.75" thickBot="1" x14ac:dyDescent="0.3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9</v>
      </c>
      <c r="I210" s="17">
        <f t="shared" si="17"/>
        <v>21</v>
      </c>
      <c r="J210" s="18">
        <f t="shared" si="18"/>
        <v>0.3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.75" thickBot="1" x14ac:dyDescent="0.3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.75" thickBot="1" x14ac:dyDescent="0.3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.75" thickBot="1" x14ac:dyDescent="0.3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12</v>
      </c>
      <c r="I213" s="17">
        <f t="shared" si="17"/>
        <v>18</v>
      </c>
      <c r="J213" s="18">
        <f t="shared" si="18"/>
        <v>0.4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.75" thickBot="1" x14ac:dyDescent="0.3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12</v>
      </c>
      <c r="I214" s="17">
        <f t="shared" si="17"/>
        <v>18</v>
      </c>
      <c r="J214" s="18">
        <f t="shared" si="18"/>
        <v>0.4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.75" thickBot="1" x14ac:dyDescent="0.3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9</v>
      </c>
      <c r="I215" s="17">
        <f t="shared" si="17"/>
        <v>21</v>
      </c>
      <c r="J215" s="18">
        <f t="shared" si="18"/>
        <v>0.3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.75" thickBot="1" x14ac:dyDescent="0.3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9</v>
      </c>
      <c r="I216" s="17">
        <f t="shared" si="17"/>
        <v>21</v>
      </c>
      <c r="J216" s="18">
        <f t="shared" si="18"/>
        <v>0.3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.75" thickBot="1" x14ac:dyDescent="0.3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12</v>
      </c>
      <c r="I217" s="17">
        <f t="shared" si="17"/>
        <v>18</v>
      </c>
      <c r="J217" s="18">
        <f t="shared" si="18"/>
        <v>0.4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.75" thickBot="1" x14ac:dyDescent="0.3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.75" thickBot="1" x14ac:dyDescent="0.3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.75" thickBot="1" x14ac:dyDescent="0.3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.75" thickBot="1" x14ac:dyDescent="0.3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.75" thickBot="1" x14ac:dyDescent="0.3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.75" thickBot="1" x14ac:dyDescent="0.3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.75" thickBot="1" x14ac:dyDescent="0.3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14</v>
      </c>
      <c r="I224" s="17">
        <f t="shared" si="17"/>
        <v>16</v>
      </c>
      <c r="J224" s="18">
        <f t="shared" si="18"/>
        <v>0.46666666666666667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.75" thickBot="1" x14ac:dyDescent="0.3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.75" thickBot="1" x14ac:dyDescent="0.3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.75" thickBot="1" x14ac:dyDescent="0.3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.75" thickBot="1" x14ac:dyDescent="0.3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.75" thickBot="1" x14ac:dyDescent="0.3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.75" thickBot="1" x14ac:dyDescent="0.3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.75" thickBot="1" x14ac:dyDescent="0.3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.75" thickBot="1" x14ac:dyDescent="0.3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.75" thickBot="1" x14ac:dyDescent="0.3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.75" thickBot="1" x14ac:dyDescent="0.3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.75" thickBot="1" x14ac:dyDescent="0.3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.75" thickBot="1" x14ac:dyDescent="0.3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.75" thickBot="1" x14ac:dyDescent="0.3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.75" thickBot="1" x14ac:dyDescent="0.3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.75" thickBot="1" x14ac:dyDescent="0.3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.75" thickBot="1" x14ac:dyDescent="0.3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.75" thickBot="1" x14ac:dyDescent="0.3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.75" thickBot="1" x14ac:dyDescent="0.3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.75" thickBot="1" x14ac:dyDescent="0.3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.75" thickBot="1" x14ac:dyDescent="0.3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.75" thickBot="1" x14ac:dyDescent="0.3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.75" thickBot="1" x14ac:dyDescent="0.3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.75" thickBot="1" x14ac:dyDescent="0.3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.75" thickBot="1" x14ac:dyDescent="0.3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.75" thickBot="1" x14ac:dyDescent="0.3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.75" thickBot="1" x14ac:dyDescent="0.3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.75" thickBot="1" x14ac:dyDescent="0.3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.75" thickBot="1" x14ac:dyDescent="0.3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.75" thickBot="1" x14ac:dyDescent="0.3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.75" thickBot="1" x14ac:dyDescent="0.3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9</v>
      </c>
      <c r="I254" s="17">
        <f t="shared" si="17"/>
        <v>21</v>
      </c>
      <c r="J254" s="18">
        <f t="shared" si="18"/>
        <v>0.3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.75" thickBot="1" x14ac:dyDescent="0.3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9</v>
      </c>
      <c r="I255" s="17">
        <f t="shared" si="17"/>
        <v>21</v>
      </c>
      <c r="J255" s="18">
        <f t="shared" si="18"/>
        <v>0.3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.75" thickBot="1" x14ac:dyDescent="0.3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.75" thickBot="1" x14ac:dyDescent="0.3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.75" thickBot="1" x14ac:dyDescent="0.3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.75" thickBot="1" x14ac:dyDescent="0.3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.75" thickBot="1" x14ac:dyDescent="0.3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.75" thickBot="1" x14ac:dyDescent="0.3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.75" thickBot="1" x14ac:dyDescent="0.3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.75" thickBot="1" x14ac:dyDescent="0.3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.75" thickBot="1" x14ac:dyDescent="0.3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.75" thickBot="1" x14ac:dyDescent="0.3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.75" thickBot="1" x14ac:dyDescent="0.3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.75" thickBot="1" x14ac:dyDescent="0.3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.75" thickBot="1" x14ac:dyDescent="0.3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.75" thickBot="1" x14ac:dyDescent="0.3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.75" thickBot="1" x14ac:dyDescent="0.3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.75" thickBot="1" x14ac:dyDescent="0.3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.75" thickBot="1" x14ac:dyDescent="0.3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.75" thickBot="1" x14ac:dyDescent="0.3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.75" thickBot="1" x14ac:dyDescent="0.3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.75" thickBot="1" x14ac:dyDescent="0.3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.75" thickBot="1" x14ac:dyDescent="0.3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.75" thickBot="1" x14ac:dyDescent="0.3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.75" thickBot="1" x14ac:dyDescent="0.3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.75" thickBot="1" x14ac:dyDescent="0.3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.75" thickBot="1" x14ac:dyDescent="0.3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.75" thickBot="1" x14ac:dyDescent="0.3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.75" thickBot="1" x14ac:dyDescent="0.3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.75" thickBot="1" x14ac:dyDescent="0.3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.75" thickBot="1" x14ac:dyDescent="0.3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.75" thickBot="1" x14ac:dyDescent="0.3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.75" thickBot="1" x14ac:dyDescent="0.3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.75" thickBot="1" x14ac:dyDescent="0.3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.75" thickBot="1" x14ac:dyDescent="0.3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899999999999999" customHeight="1" thickBot="1" x14ac:dyDescent="0.3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15</v>
      </c>
      <c r="I289" s="17">
        <f t="shared" si="21"/>
        <v>15</v>
      </c>
      <c r="J289" s="18">
        <f t="shared" si="22"/>
        <v>0.5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.75" thickBot="1" x14ac:dyDescent="0.3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15</v>
      </c>
      <c r="I290" s="17">
        <f t="shared" si="21"/>
        <v>15</v>
      </c>
      <c r="J290" s="18">
        <f t="shared" si="22"/>
        <v>0.5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.75" thickBot="1" x14ac:dyDescent="0.3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15</v>
      </c>
      <c r="I291" s="17">
        <f t="shared" si="21"/>
        <v>15</v>
      </c>
      <c r="J291" s="18">
        <f t="shared" si="22"/>
        <v>0.5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.75" thickBot="1" x14ac:dyDescent="0.3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15</v>
      </c>
      <c r="I292" s="17">
        <f t="shared" si="21"/>
        <v>15</v>
      </c>
      <c r="J292" s="18">
        <f t="shared" si="22"/>
        <v>0.5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.75" thickBot="1" x14ac:dyDescent="0.3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.75" thickBot="1" x14ac:dyDescent="0.3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.75" thickBot="1" x14ac:dyDescent="0.3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.75" thickBot="1" x14ac:dyDescent="0.3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.75" thickBot="1" x14ac:dyDescent="0.3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.75" thickBot="1" x14ac:dyDescent="0.3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.75" thickBot="1" x14ac:dyDescent="0.3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.75" thickBot="1" x14ac:dyDescent="0.3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.75" thickBot="1" x14ac:dyDescent="0.3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.75" thickBot="1" x14ac:dyDescent="0.3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.75" thickBot="1" x14ac:dyDescent="0.3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.75" thickBot="1" x14ac:dyDescent="0.3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.75" thickBot="1" x14ac:dyDescent="0.3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.75" thickBot="1" x14ac:dyDescent="0.3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.75" thickBot="1" x14ac:dyDescent="0.3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.75" thickBot="1" x14ac:dyDescent="0.3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.75" thickBot="1" x14ac:dyDescent="0.3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.75" thickBot="1" x14ac:dyDescent="0.3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.75" thickBot="1" x14ac:dyDescent="0.3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.75" thickBot="1" x14ac:dyDescent="0.3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.75" thickBot="1" x14ac:dyDescent="0.3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.75" thickBot="1" x14ac:dyDescent="0.3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.75" thickBot="1" x14ac:dyDescent="0.3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.75" thickBot="1" x14ac:dyDescent="0.3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22</v>
      </c>
      <c r="I316" s="17">
        <f t="shared" si="21"/>
        <v>8</v>
      </c>
      <c r="J316" s="18">
        <f t="shared" si="22"/>
        <v>0.73333333333333328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.75" thickBot="1" x14ac:dyDescent="0.3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.75" thickBot="1" x14ac:dyDescent="0.3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.75" thickBot="1" x14ac:dyDescent="0.3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.75" thickBot="1" x14ac:dyDescent="0.3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.75" thickBot="1" x14ac:dyDescent="0.3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.75" thickBot="1" x14ac:dyDescent="0.3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.75" thickBot="1" x14ac:dyDescent="0.3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.75" thickBot="1" x14ac:dyDescent="0.3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.75" thickBot="1" x14ac:dyDescent="0.3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.75" thickBot="1" x14ac:dyDescent="0.3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.75" thickBot="1" x14ac:dyDescent="0.3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9</v>
      </c>
      <c r="I327" s="17">
        <f t="shared" ref="I327:I372" si="24">COUNTIF(K327:AL327,"APAGADO")</f>
        <v>21</v>
      </c>
      <c r="J327" s="18">
        <f t="shared" ref="J327:J372" si="25">(H327)/(I327+H327)</f>
        <v>0.3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.75" thickBot="1" x14ac:dyDescent="0.3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9</v>
      </c>
      <c r="I328" s="17">
        <f t="shared" si="24"/>
        <v>21</v>
      </c>
      <c r="J328" s="18">
        <f t="shared" si="25"/>
        <v>0.3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.75" thickBot="1" x14ac:dyDescent="0.3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.75" thickBot="1" x14ac:dyDescent="0.3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.75" thickBot="1" x14ac:dyDescent="0.3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.75" thickBot="1" x14ac:dyDescent="0.3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.75" thickBot="1" x14ac:dyDescent="0.3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.75" thickBot="1" x14ac:dyDescent="0.3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.75" thickBot="1" x14ac:dyDescent="0.3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.75" thickBot="1" x14ac:dyDescent="0.3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.75" thickBot="1" x14ac:dyDescent="0.3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.75" thickBot="1" x14ac:dyDescent="0.3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.75" thickBot="1" x14ac:dyDescent="0.3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.75" thickBot="1" x14ac:dyDescent="0.3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.75" thickBot="1" x14ac:dyDescent="0.3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.75" thickBot="1" x14ac:dyDescent="0.3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.75" thickBot="1" x14ac:dyDescent="0.3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.75" thickBot="1" x14ac:dyDescent="0.3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.75" thickBot="1" x14ac:dyDescent="0.3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.75" thickBot="1" x14ac:dyDescent="0.3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.75" thickBot="1" x14ac:dyDescent="0.3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.75" thickBot="1" x14ac:dyDescent="0.3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15</v>
      </c>
      <c r="I348" s="17">
        <f t="shared" si="24"/>
        <v>15</v>
      </c>
      <c r="J348" s="18">
        <f t="shared" si="25"/>
        <v>0.5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.75" thickBot="1" x14ac:dyDescent="0.3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.75" thickBot="1" x14ac:dyDescent="0.3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.75" thickBot="1" x14ac:dyDescent="0.3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.75" thickBot="1" x14ac:dyDescent="0.3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.75" thickBot="1" x14ac:dyDescent="0.3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.75" thickBot="1" x14ac:dyDescent="0.3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.75" thickBot="1" x14ac:dyDescent="0.3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.75" thickBot="1" x14ac:dyDescent="0.3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15</v>
      </c>
      <c r="I356" s="17">
        <f t="shared" si="24"/>
        <v>15</v>
      </c>
      <c r="J356" s="18">
        <f t="shared" si="25"/>
        <v>0.5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.75" thickBot="1" x14ac:dyDescent="0.3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15</v>
      </c>
      <c r="I357" s="17">
        <f t="shared" si="24"/>
        <v>15</v>
      </c>
      <c r="J357" s="18">
        <f t="shared" si="25"/>
        <v>0.5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.75" thickBot="1" x14ac:dyDescent="0.3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.75" thickBot="1" x14ac:dyDescent="0.3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.75" thickBot="1" x14ac:dyDescent="0.3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.75" thickBot="1" x14ac:dyDescent="0.3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10</v>
      </c>
      <c r="I361" s="17">
        <f t="shared" si="24"/>
        <v>20</v>
      </c>
      <c r="J361" s="18">
        <f t="shared" si="25"/>
        <v>0.33333333333333331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.75" thickBot="1" x14ac:dyDescent="0.3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10</v>
      </c>
      <c r="I362" s="17">
        <f t="shared" si="24"/>
        <v>20</v>
      </c>
      <c r="J362" s="18">
        <f t="shared" si="25"/>
        <v>0.33333333333333331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.75" thickBot="1" x14ac:dyDescent="0.3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.75" thickBot="1" x14ac:dyDescent="0.3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.75" thickBot="1" x14ac:dyDescent="0.3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.75" thickBot="1" x14ac:dyDescent="0.3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.75" thickBot="1" x14ac:dyDescent="0.3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.75" thickBot="1" x14ac:dyDescent="0.3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.75" thickBot="1" x14ac:dyDescent="0.3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22</v>
      </c>
      <c r="I369" s="17">
        <f t="shared" si="24"/>
        <v>8</v>
      </c>
      <c r="J369" s="18">
        <f t="shared" si="25"/>
        <v>0.73333333333333328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.75" thickBot="1" x14ac:dyDescent="0.3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.75" thickBot="1" x14ac:dyDescent="0.3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.75" thickBot="1" x14ac:dyDescent="0.3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.75" thickBot="1" x14ac:dyDescent="0.3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.75" thickBot="1" x14ac:dyDescent="0.3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.75" thickBot="1" x14ac:dyDescent="0.3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.75" thickBot="1" x14ac:dyDescent="0.3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.75" thickBot="1" x14ac:dyDescent="0.3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.75" thickBot="1" x14ac:dyDescent="0.3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.75" thickBot="1" x14ac:dyDescent="0.3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.75" thickBot="1" x14ac:dyDescent="0.3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.75" thickBot="1" x14ac:dyDescent="0.3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.75" thickBot="1" x14ac:dyDescent="0.3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.75" thickBot="1" x14ac:dyDescent="0.3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.75" thickBot="1" x14ac:dyDescent="0.3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.75" thickBot="1" x14ac:dyDescent="0.3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.75" thickBot="1" x14ac:dyDescent="0.3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.75" thickBot="1" x14ac:dyDescent="0.3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.75" thickBot="1" x14ac:dyDescent="0.3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.75" thickBot="1" x14ac:dyDescent="0.3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.75" thickBot="1" x14ac:dyDescent="0.3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.75" thickBot="1" x14ac:dyDescent="0.3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.75" thickBot="1" x14ac:dyDescent="0.3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.75" thickBot="1" x14ac:dyDescent="0.3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.75" thickBot="1" x14ac:dyDescent="0.3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.75" thickBot="1" x14ac:dyDescent="0.3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.75" thickBot="1" x14ac:dyDescent="0.3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25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25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25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25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25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25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25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25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25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25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25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25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25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25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25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25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25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25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25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25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25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25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25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25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25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25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25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25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25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25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25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25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25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25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25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25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25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25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25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25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25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25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25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25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25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25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25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25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25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25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25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25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25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25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25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25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25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25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25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25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25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25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25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25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25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25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25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25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25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25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25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25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25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25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25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25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25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25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25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25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25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25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25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25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25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25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25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25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25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25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25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25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25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25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25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25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25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25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25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25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25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25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25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25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25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25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25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25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25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25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25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25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25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25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25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25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25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25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25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25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25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25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25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25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25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25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25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25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25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25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25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25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25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25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25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25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25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25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25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25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25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25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25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25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25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25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25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25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25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25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25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25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25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25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25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25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25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25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25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25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25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25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25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25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25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25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25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25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25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25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25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25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25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25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25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25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25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25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25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25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25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25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25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25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25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25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25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25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25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25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25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25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25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25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25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25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25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25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25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25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25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25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25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25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25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25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25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25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25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25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25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25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25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25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25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25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25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25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25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25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25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25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25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25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25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25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25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25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25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25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25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25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25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25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25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25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25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25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25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25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25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25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25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25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25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25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25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25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25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25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25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25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25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25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25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25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25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25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25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25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25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25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25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25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25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25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25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25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25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25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25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25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25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25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25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25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8"/>
      <c r="J673" s="21"/>
    </row>
    <row r="674" spans="5:10" x14ac:dyDescent="0.25">
      <c r="E674" s="9"/>
      <c r="F674" s="9"/>
      <c r="G674" s="28"/>
      <c r="J674" s="21"/>
    </row>
    <row r="675" spans="5:10" x14ac:dyDescent="0.25">
      <c r="E675" s="9"/>
      <c r="F675" s="9"/>
      <c r="G675" s="28"/>
      <c r="J675" s="21"/>
    </row>
    <row r="676" spans="5:10" x14ac:dyDescent="0.25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991</v>
      </c>
      <c r="D1" s="49">
        <f>COUNTIFS(E4:E400,"=Fibra Optica")</f>
        <v>261</v>
      </c>
    </row>
    <row r="2" spans="1:35" ht="21" x14ac:dyDescent="0.35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1194</v>
      </c>
      <c r="D1" s="50"/>
    </row>
    <row r="2" spans="1:35" ht="21" x14ac:dyDescent="0.35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50" t="s">
        <v>992</v>
      </c>
      <c r="D1" s="50">
        <f>COUNTIFS(E4:E400,"=radio")</f>
        <v>94</v>
      </c>
    </row>
    <row r="2" spans="1:35" ht="21" x14ac:dyDescent="0.35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7" workbookViewId="0">
      <selection activeCell="A22" sqref="A22:E2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1007</v>
      </c>
      <c r="D1" s="61" t="s">
        <v>1008</v>
      </c>
    </row>
    <row r="2" spans="1:13" ht="16.5" thickTop="1" thickBot="1" x14ac:dyDescent="0.3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25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25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25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.75" thickBot="1" x14ac:dyDescent="0.3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25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.75" thickBot="1" x14ac:dyDescent="0.3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6.5" thickTop="1" thickBot="1" x14ac:dyDescent="0.3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.75" thickBot="1" x14ac:dyDescent="0.3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.75" thickTop="1" x14ac:dyDescent="0.25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25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25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6.5" thickTop="1" thickBot="1" x14ac:dyDescent="0.3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40">
        <v>44763</v>
      </c>
    </row>
    <row r="17" spans="1:14" ht="15.75" thickTop="1" x14ac:dyDescent="0.25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25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41"/>
    </row>
    <row r="19" spans="1:14" x14ac:dyDescent="0.25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25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.75" thickBot="1" x14ac:dyDescent="0.3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.75" thickTop="1" x14ac:dyDescent="0.25">
      <c r="A22" s="58" t="s">
        <v>1004</v>
      </c>
      <c r="B22" s="69">
        <v>392</v>
      </c>
      <c r="C22" s="65"/>
      <c r="D22" s="62"/>
      <c r="E22" s="143">
        <v>44791</v>
      </c>
    </row>
    <row r="23" spans="1:14" ht="15.75" thickBot="1" x14ac:dyDescent="0.3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.75" thickTop="1" x14ac:dyDescent="0.25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25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.75" thickBot="1" x14ac:dyDescent="0.3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.75" thickTop="1" x14ac:dyDescent="0.25">
      <c r="A27" s="58"/>
      <c r="B27" s="69"/>
      <c r="C27" s="65"/>
      <c r="D27" s="62"/>
      <c r="E27" s="143"/>
      <c r="G27" s="76"/>
      <c r="H27" s="77"/>
      <c r="I27" s="77"/>
      <c r="J27" s="77"/>
      <c r="K27" s="78"/>
      <c r="L27" s="79"/>
      <c r="M27" s="141"/>
    </row>
    <row r="28" spans="1:14" x14ac:dyDescent="0.25">
      <c r="A28" s="59"/>
      <c r="B28" s="70"/>
      <c r="C28" s="66"/>
      <c r="D28" s="63"/>
      <c r="E28" s="144"/>
      <c r="G28" s="76"/>
      <c r="H28" s="77"/>
      <c r="I28" s="77"/>
      <c r="J28" s="77"/>
      <c r="K28" s="78"/>
      <c r="L28" s="79"/>
      <c r="M28" s="141"/>
    </row>
    <row r="29" spans="1:14" ht="15.75" thickBot="1" x14ac:dyDescent="0.3">
      <c r="A29" s="59"/>
      <c r="B29" s="70"/>
      <c r="C29" s="66"/>
      <c r="D29" s="63"/>
      <c r="E29" s="144"/>
      <c r="G29" s="80"/>
      <c r="H29" s="81"/>
      <c r="I29" s="81"/>
      <c r="J29" s="81"/>
      <c r="K29" s="81"/>
      <c r="L29" s="82"/>
      <c r="M29" s="142"/>
    </row>
    <row r="30" spans="1:14" ht="16.5" thickTop="1" thickBot="1" x14ac:dyDescent="0.3">
      <c r="A30" s="59"/>
      <c r="B30" s="70"/>
      <c r="C30" s="66"/>
      <c r="D30" s="63"/>
      <c r="E30" s="144"/>
    </row>
    <row r="31" spans="1:14" ht="16.5" thickTop="1" thickBot="1" x14ac:dyDescent="0.3">
      <c r="A31" s="60"/>
      <c r="B31" s="71"/>
      <c r="C31" s="67"/>
      <c r="D31" s="64"/>
      <c r="E31" s="145"/>
      <c r="G31" s="103" t="s">
        <v>545</v>
      </c>
      <c r="H31" s="133" t="s">
        <v>1193</v>
      </c>
      <c r="I31" s="104" t="s">
        <v>1201</v>
      </c>
      <c r="J31" s="104" t="s">
        <v>15</v>
      </c>
      <c r="K31" s="104" t="s">
        <v>629</v>
      </c>
      <c r="L31" s="105" t="s">
        <v>931</v>
      </c>
      <c r="M31" s="106" t="s">
        <v>1208</v>
      </c>
      <c r="N31" s="138">
        <v>44790</v>
      </c>
    </row>
    <row r="32" spans="1:14" ht="15.75" thickTop="1" x14ac:dyDescent="0.25">
      <c r="A32" s="58"/>
      <c r="B32" s="69"/>
      <c r="C32" s="65"/>
      <c r="D32" s="62"/>
      <c r="E32" s="143"/>
      <c r="G32" s="107" t="s">
        <v>555</v>
      </c>
      <c r="H32" s="97" t="s">
        <v>1193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.75" thickBot="1" x14ac:dyDescent="0.3">
      <c r="A33" s="59"/>
      <c r="B33" s="70"/>
      <c r="C33" s="66"/>
      <c r="D33" s="63"/>
      <c r="E33" s="144"/>
      <c r="G33" s="134" t="s">
        <v>557</v>
      </c>
      <c r="H33" s="135" t="s">
        <v>1193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.75" thickTop="1" x14ac:dyDescent="0.25">
      <c r="A34" s="59"/>
      <c r="B34" s="70"/>
      <c r="C34" s="66"/>
      <c r="D34" s="63"/>
      <c r="E34" s="144"/>
      <c r="G34" s="52"/>
      <c r="H34" s="51"/>
      <c r="I34" s="51"/>
      <c r="J34" s="51"/>
      <c r="K34" s="16"/>
      <c r="L34" s="83"/>
    </row>
    <row r="35" spans="1:14" x14ac:dyDescent="0.25">
      <c r="A35" s="59"/>
      <c r="B35" s="70"/>
      <c r="C35" s="66"/>
      <c r="D35" s="63"/>
      <c r="E35" s="144"/>
      <c r="G35" s="52"/>
      <c r="H35" s="51"/>
      <c r="I35" s="51"/>
      <c r="J35" s="51"/>
      <c r="K35" s="16"/>
      <c r="L35" s="83"/>
    </row>
    <row r="36" spans="1:14" ht="15.75" thickBot="1" x14ac:dyDescent="0.3">
      <c r="A36" s="60"/>
      <c r="B36" s="71"/>
      <c r="C36" s="67"/>
      <c r="D36" s="64"/>
      <c r="E36" s="145"/>
      <c r="G36" s="52"/>
      <c r="H36" s="51"/>
      <c r="I36" s="51"/>
      <c r="J36" s="51"/>
      <c r="K36" s="16"/>
      <c r="L36" s="83"/>
    </row>
    <row r="37" spans="1:14" ht="15.75" thickTop="1" x14ac:dyDescent="0.25">
      <c r="A37" s="58"/>
      <c r="B37" s="69"/>
      <c r="C37" s="65"/>
      <c r="D37" s="62"/>
      <c r="E37" s="143"/>
      <c r="G37" s="52"/>
      <c r="H37" s="51"/>
      <c r="I37" s="51"/>
      <c r="J37" s="51"/>
      <c r="K37" s="16"/>
      <c r="L37" s="83"/>
    </row>
    <row r="38" spans="1:14" x14ac:dyDescent="0.25">
      <c r="A38" s="59"/>
      <c r="B38" s="70"/>
      <c r="C38" s="66"/>
      <c r="D38" s="63"/>
      <c r="E38" s="144"/>
      <c r="G38" s="52"/>
      <c r="H38" s="51"/>
      <c r="I38" s="51"/>
      <c r="J38" s="51"/>
      <c r="K38" s="16"/>
      <c r="L38" s="84"/>
    </row>
    <row r="39" spans="1:14" ht="15.75" thickBot="1" x14ac:dyDescent="0.3">
      <c r="A39" s="59"/>
      <c r="B39" s="70"/>
      <c r="C39" s="66"/>
      <c r="D39" s="63"/>
      <c r="E39" s="144"/>
    </row>
    <row r="40" spans="1:14" ht="15.75" thickTop="1" x14ac:dyDescent="0.25">
      <c r="A40" s="59"/>
      <c r="B40" s="70"/>
      <c r="C40" s="66"/>
      <c r="D40" s="63"/>
      <c r="E40" s="144"/>
      <c r="G40" s="72"/>
      <c r="H40" s="73"/>
      <c r="I40" s="73"/>
      <c r="J40" s="73"/>
      <c r="K40" s="74"/>
      <c r="L40" s="75"/>
      <c r="M40" s="140"/>
    </row>
    <row r="41" spans="1:14" ht="15.75" thickBot="1" x14ac:dyDescent="0.3">
      <c r="A41" s="60"/>
      <c r="B41" s="71"/>
      <c r="C41" s="67"/>
      <c r="D41" s="64"/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25">
      <c r="A42" s="58"/>
      <c r="B42" s="69"/>
      <c r="C42" s="65"/>
      <c r="D42" s="62"/>
      <c r="E42" s="143"/>
      <c r="G42" s="76"/>
      <c r="H42" s="77"/>
      <c r="I42" s="77"/>
      <c r="J42" s="77"/>
      <c r="K42" s="78"/>
      <c r="L42" s="79"/>
      <c r="M42" s="141"/>
    </row>
    <row r="43" spans="1:14" x14ac:dyDescent="0.25">
      <c r="A43" s="59"/>
      <c r="B43" s="70"/>
      <c r="C43" s="66"/>
      <c r="D43" s="63"/>
      <c r="E43" s="144"/>
      <c r="G43" s="76"/>
      <c r="H43" s="77"/>
      <c r="I43" s="77"/>
      <c r="J43" s="77"/>
      <c r="K43" s="78"/>
      <c r="L43" s="79"/>
      <c r="M43" s="141"/>
    </row>
    <row r="44" spans="1:14" x14ac:dyDescent="0.25">
      <c r="A44" s="59"/>
      <c r="B44" s="70"/>
      <c r="C44" s="66"/>
      <c r="D44" s="63"/>
      <c r="E44" s="144"/>
      <c r="G44" s="76"/>
      <c r="H44" s="77"/>
      <c r="I44" s="77"/>
      <c r="J44" s="77"/>
      <c r="K44" s="78"/>
      <c r="L44" s="79"/>
      <c r="M44" s="141"/>
    </row>
    <row r="45" spans="1:14" ht="15.75" thickBot="1" x14ac:dyDescent="0.3">
      <c r="A45" s="59"/>
      <c r="B45" s="70"/>
      <c r="C45" s="66"/>
      <c r="D45" s="63"/>
      <c r="E45" s="144"/>
      <c r="G45" s="80"/>
      <c r="H45" s="81"/>
      <c r="I45" s="81"/>
      <c r="J45" s="81"/>
      <c r="K45" s="81"/>
      <c r="L45" s="82"/>
      <c r="M45" s="142"/>
    </row>
    <row r="46" spans="1:14" ht="16.5" thickTop="1" thickBot="1" x14ac:dyDescent="0.3">
      <c r="A46" s="60"/>
      <c r="B46" s="71"/>
      <c r="C46" s="67"/>
      <c r="D46" s="64"/>
      <c r="E46" s="145"/>
    </row>
    <row r="47" spans="1:14" ht="15.75" thickTop="1" x14ac:dyDescent="0.25">
      <c r="G47" s="52"/>
      <c r="H47" s="51"/>
      <c r="I47" s="51"/>
      <c r="J47" s="51"/>
      <c r="K47" s="16"/>
      <c r="L47" s="83"/>
    </row>
    <row r="48" spans="1:14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1" sqref="F2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25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25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25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25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25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25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25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25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25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25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25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25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25">
      <c r="A21" s="25">
        <f>'APAGADOS RADIO'!Y3</f>
        <v>44793</v>
      </c>
      <c r="B21" s="51"/>
      <c r="C21" s="51"/>
      <c r="D21" s="51"/>
      <c r="E21" s="51"/>
      <c r="F21" s="51"/>
    </row>
    <row r="22" spans="1:7" x14ac:dyDescent="0.25">
      <c r="A22" s="25">
        <f>'APAGADOS RADIO'!Z3</f>
        <v>44794</v>
      </c>
      <c r="B22" s="51"/>
      <c r="C22" s="51"/>
      <c r="D22" s="51"/>
      <c r="E22" s="51"/>
      <c r="F22" s="51"/>
    </row>
    <row r="23" spans="1:7" x14ac:dyDescent="0.25">
      <c r="A23" s="25">
        <f>'APAGADOS RADIO'!AA3</f>
        <v>44795</v>
      </c>
      <c r="B23" s="51"/>
      <c r="C23" s="51"/>
      <c r="D23" s="51"/>
      <c r="E23" s="51"/>
      <c r="F23" s="51"/>
    </row>
    <row r="24" spans="1:7" x14ac:dyDescent="0.25">
      <c r="A24" s="25">
        <f>'APAGADOS RADIO'!AB3</f>
        <v>44796</v>
      </c>
      <c r="B24" s="51"/>
      <c r="C24" s="51"/>
      <c r="D24" s="51"/>
      <c r="E24" s="51"/>
      <c r="F24" s="51"/>
    </row>
    <row r="25" spans="1:7" x14ac:dyDescent="0.25">
      <c r="A25" s="25">
        <f>'APAGADOS RADIO'!AC3</f>
        <v>44797</v>
      </c>
      <c r="B25" s="51"/>
      <c r="C25" s="51"/>
      <c r="D25" s="51"/>
      <c r="E25" s="51"/>
      <c r="F25" s="51"/>
    </row>
    <row r="26" spans="1:7" x14ac:dyDescent="0.25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25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25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25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25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X3" sqref="X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6.5" thickTop="1" thickBot="1" x14ac:dyDescent="0.3">
      <c r="A1" s="117"/>
      <c r="B1" s="121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129" t="s">
        <v>1192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6.5" thickTop="1" thickBot="1" x14ac:dyDescent="0.3">
      <c r="A3" s="119"/>
      <c r="B3" s="120"/>
      <c r="D3" s="115" t="s">
        <v>1192</v>
      </c>
      <c r="E3" s="122" t="s">
        <v>1204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0</v>
      </c>
      <c r="AB3" s="125">
        <f>COUNTIFS('RESUMEN TOTAL'!C5:C396, "=BONOMO",'RESUMEN TOTAL'!AG5:AG396,"=APAGADO")</f>
        <v>0</v>
      </c>
      <c r="AC3" s="125">
        <f>COUNTIFS('RESUMEN TOTAL'!C5:C396, "=BONOMO",'RESUMEN TOTAL'!AH5:AH396,"=APAGADO")</f>
        <v>0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6.5" thickTop="1" thickBot="1" x14ac:dyDescent="0.3">
      <c r="A4" s="128" t="s">
        <v>1193</v>
      </c>
      <c r="B4" s="118">
        <f>COUNTIFS('RESUMEN TOTAL'!C5:C396,"=COSEIDI")</f>
        <v>180</v>
      </c>
      <c r="D4" s="116"/>
      <c r="E4" s="114" t="s">
        <v>1206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</v>
      </c>
      <c r="AB4" s="132">
        <f t="shared" si="0"/>
        <v>0</v>
      </c>
      <c r="AC4" s="132">
        <f t="shared" si="0"/>
        <v>0</v>
      </c>
      <c r="AD4" s="132">
        <f t="shared" si="0"/>
        <v>0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6.5" thickTop="1" thickBot="1" x14ac:dyDescent="0.3">
      <c r="A5" s="119"/>
      <c r="B5" s="120"/>
      <c r="D5" s="115" t="s">
        <v>1193</v>
      </c>
      <c r="E5" s="126" t="s">
        <v>1205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0</v>
      </c>
      <c r="AB5" s="127">
        <f>COUNTIFS('RESUMEN TOTAL'!C7:C398, "=COSEIDI",'RESUMEN TOTAL'!AG7:AG398,"=APAGADO")</f>
        <v>0</v>
      </c>
      <c r="AC5" s="127">
        <f>COUNTIFS('RESUMEN TOTAL'!C7:C398, "=COSEIDI",'RESUMEN TOTAL'!AH7:AH398,"=APAGADO")</f>
        <v>0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6.5" thickTop="1" thickBot="1" x14ac:dyDescent="0.3">
      <c r="D6" s="116"/>
      <c r="E6" s="114" t="s">
        <v>1207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</v>
      </c>
      <c r="AB6" s="131">
        <f t="shared" si="2"/>
        <v>0</v>
      </c>
      <c r="AC6" s="131">
        <f t="shared" si="2"/>
        <v>0</v>
      </c>
      <c r="AD6" s="131">
        <f t="shared" si="2"/>
        <v>0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.75" thickTop="1" x14ac:dyDescent="0.25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2022-08-22T10:33:33Z</dcterms:modified>
</cp:coreProperties>
</file>