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1F5D96C1-D87E-4358-BD27-EA56F5B3B322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F23" i="14"/>
  <c r="F22" i="14"/>
  <c r="F21" i="14"/>
  <c r="D23" i="14"/>
  <c r="C23" i="14"/>
  <c r="B23" i="14"/>
  <c r="D22" i="14"/>
  <c r="C22" i="14"/>
  <c r="B22" i="14"/>
  <c r="E22" i="14" s="1"/>
  <c r="G22" i="14" s="1"/>
  <c r="D21" i="14"/>
  <c r="C21" i="14"/>
  <c r="B21" i="14"/>
  <c r="F20" i="14"/>
  <c r="D20" i="14"/>
  <c r="C20" i="14"/>
  <c r="B20" i="14"/>
  <c r="E20" i="14" s="1"/>
  <c r="G20" i="14" s="1"/>
  <c r="X3" i="25"/>
  <c r="X4" i="25" s="1"/>
  <c r="X5" i="25"/>
  <c r="X6" i="25" s="1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30" i="24" l="1"/>
  <c r="E23" i="14"/>
  <c r="G23" i="14" s="1"/>
  <c r="E21" i="14"/>
  <c r="G21" i="14" s="1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30" i="24" l="1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8" i="14" l="1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U2" i="21"/>
  <c r="D17" i="14" s="1"/>
  <c r="M2" i="21"/>
  <c r="D9" i="14" s="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V2" i="11"/>
  <c r="B18" i="14" s="1"/>
  <c r="B3" i="14"/>
  <c r="Q2" i="11"/>
  <c r="B13" i="14" s="1"/>
  <c r="E13" i="14" s="1"/>
  <c r="G13" i="14" s="1"/>
  <c r="AA2" i="11"/>
  <c r="AC2" i="1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T2" i="11"/>
  <c r="B16" i="14" s="1"/>
  <c r="W2" i="11"/>
  <c r="B19" i="14" s="1"/>
  <c r="E19" i="14" s="1"/>
  <c r="G19" i="14" s="1"/>
  <c r="E18" i="14" l="1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<sst xmlns="http://schemas.openxmlformats.org/spreadsheetml/2006/main" count="3786" uniqueCount="1209">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</sst>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AF213" activePane="bottomRight" state="frozen"/>
      <selection pane="topRight" activeCell="M1" sqref="M1"/>
      <selection pane="bottomLeft" activeCell="A5" sqref="A5"/>
      <selection pane="bottomRight" activeCell="AF225" sqref="AF225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8.7999999999999995E-2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342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27</v>
      </c>
      <c r="I10" s="17">
        <f t="shared" si="8"/>
        <v>3</v>
      </c>
      <c r="J10" s="18">
        <f t="shared" si="9"/>
        <v>0.9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27</v>
      </c>
      <c r="I13" s="17">
        <f t="shared" si="8"/>
        <v>3</v>
      </c>
      <c r="J13" s="18">
        <f t="shared" si="9"/>
        <v>0.9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15</v>
      </c>
      <c r="I31" s="17">
        <f t="shared" si="8"/>
        <v>15</v>
      </c>
      <c r="J31" s="18">
        <f t="shared" si="9"/>
        <v>0.5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8</v>
      </c>
      <c r="I34" s="17">
        <f t="shared" si="8"/>
        <v>22</v>
      </c>
      <c r="J34" s="18">
        <f t="shared" si="9"/>
        <v>0.26666666666666666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8</v>
      </c>
      <c r="I67" s="17">
        <f t="shared" si="8"/>
        <v>22</v>
      </c>
      <c r="J67" s="18">
        <f t="shared" si="9"/>
        <v>0.26666666666666666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25</v>
      </c>
      <c r="I79" s="17">
        <f t="shared" si="11"/>
        <v>5</v>
      </c>
      <c r="J79" s="18">
        <f t="shared" si="12"/>
        <v>0.83333333333333337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15</v>
      </c>
      <c r="I87" s="17">
        <f t="shared" si="11"/>
        <v>15</v>
      </c>
      <c r="J87" s="18">
        <f t="shared" si="12"/>
        <v>0.5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16</v>
      </c>
      <c r="I96" s="17">
        <f t="shared" si="11"/>
        <v>14</v>
      </c>
      <c r="J96" s="18">
        <f t="shared" si="12"/>
        <v>0.53333333333333333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8</v>
      </c>
      <c r="I134" s="17">
        <f t="shared" si="14"/>
        <v>22</v>
      </c>
      <c r="J134" s="18">
        <f t="shared" si="15"/>
        <v>0.26666666666666666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8</v>
      </c>
      <c r="I156" s="17">
        <f t="shared" si="14"/>
        <v>22</v>
      </c>
      <c r="J156" s="18">
        <f t="shared" si="15"/>
        <v>0.26666666666666666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17</v>
      </c>
      <c r="I157" s="17">
        <f t="shared" si="14"/>
        <v>13</v>
      </c>
      <c r="J157" s="18">
        <f t="shared" si="15"/>
        <v>0.56666666666666665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9</v>
      </c>
      <c r="I158" s="17">
        <f t="shared" si="14"/>
        <v>21</v>
      </c>
      <c r="J158" s="18">
        <f t="shared" si="15"/>
        <v>0.3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9</v>
      </c>
      <c r="I163" s="17">
        <f t="shared" si="14"/>
        <v>21</v>
      </c>
      <c r="J163" s="18">
        <f t="shared" si="15"/>
        <v>0.3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8</v>
      </c>
      <c r="I166" s="17">
        <f t="shared" si="14"/>
        <v>22</v>
      </c>
      <c r="J166" s="18">
        <f t="shared" si="15"/>
        <v>0.26666666666666666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8</v>
      </c>
      <c r="I210" s="17">
        <f t="shared" si="17"/>
        <v>22</v>
      </c>
      <c r="J210" s="18">
        <f t="shared" si="18"/>
        <v>0.26666666666666666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11</v>
      </c>
      <c r="I213" s="17">
        <f t="shared" si="17"/>
        <v>19</v>
      </c>
      <c r="J213" s="18">
        <f t="shared" si="18"/>
        <v>0.36666666666666664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11</v>
      </c>
      <c r="I214" s="17">
        <f t="shared" si="17"/>
        <v>19</v>
      </c>
      <c r="J214" s="18">
        <f t="shared" si="18"/>
        <v>0.36666666666666664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8</v>
      </c>
      <c r="I215" s="17">
        <f t="shared" si="17"/>
        <v>22</v>
      </c>
      <c r="J215" s="18">
        <f t="shared" si="18"/>
        <v>0.26666666666666666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8</v>
      </c>
      <c r="I216" s="17">
        <f t="shared" si="17"/>
        <v>22</v>
      </c>
      <c r="J216" s="18">
        <f t="shared" si="18"/>
        <v>0.26666666666666666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11</v>
      </c>
      <c r="I217" s="17">
        <f t="shared" si="17"/>
        <v>19</v>
      </c>
      <c r="J217" s="18">
        <f t="shared" si="18"/>
        <v>0.36666666666666664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13</v>
      </c>
      <c r="I224" s="17">
        <f t="shared" si="17"/>
        <v>17</v>
      </c>
      <c r="J224" s="18">
        <f t="shared" si="18"/>
        <v>0.43333333333333335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19</v>
      </c>
      <c r="I244" s="17">
        <f t="shared" si="17"/>
        <v>11</v>
      </c>
      <c r="J244" s="18">
        <f t="shared" si="18"/>
        <v>0.6333333333333333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19</v>
      </c>
      <c r="I245" s="17">
        <f t="shared" si="17"/>
        <v>11</v>
      </c>
      <c r="J245" s="18">
        <f t="shared" si="18"/>
        <v>0.6333333333333333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8</v>
      </c>
      <c r="I254" s="17">
        <f t="shared" si="17"/>
        <v>22</v>
      </c>
      <c r="J254" s="18">
        <f t="shared" si="18"/>
        <v>0.26666666666666666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8</v>
      </c>
      <c r="I255" s="17">
        <f t="shared" si="17"/>
        <v>22</v>
      </c>
      <c r="J255" s="18">
        <f t="shared" si="18"/>
        <v>0.26666666666666666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14</v>
      </c>
      <c r="I289" s="17">
        <f t="shared" si="21"/>
        <v>16</v>
      </c>
      <c r="J289" s="18">
        <f t="shared" si="22"/>
        <v>0.46666666666666667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14</v>
      </c>
      <c r="I290" s="17">
        <f t="shared" si="21"/>
        <v>16</v>
      </c>
      <c r="J290" s="18">
        <f t="shared" si="22"/>
        <v>0.46666666666666667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14</v>
      </c>
      <c r="I291" s="17">
        <f t="shared" si="21"/>
        <v>16</v>
      </c>
      <c r="J291" s="18">
        <f t="shared" si="22"/>
        <v>0.46666666666666667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14</v>
      </c>
      <c r="I292" s="17">
        <f t="shared" si="21"/>
        <v>16</v>
      </c>
      <c r="J292" s="18">
        <f t="shared" si="22"/>
        <v>0.46666666666666667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21</v>
      </c>
      <c r="I316" s="17">
        <f t="shared" si="21"/>
        <v>9</v>
      </c>
      <c r="J316" s="18">
        <f t="shared" si="22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8</v>
      </c>
      <c r="I327" s="17">
        <f t="shared" ref="I327:I372" si="24">COUNTIF(K327:AL327,"APAGADO")</f>
        <v>22</v>
      </c>
      <c r="J327" s="18">
        <f t="shared" ref="J327:J372" si="25">(H327)/(I327+H327)</f>
        <v>0.26666666666666666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8</v>
      </c>
      <c r="I328" s="17">
        <f t="shared" si="24"/>
        <v>22</v>
      </c>
      <c r="J328" s="18">
        <f t="shared" si="25"/>
        <v>0.26666666666666666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15</v>
      </c>
      <c r="I348" s="17">
        <f t="shared" si="24"/>
        <v>15</v>
      </c>
      <c r="J348" s="18">
        <f t="shared" si="25"/>
        <v>0.5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15</v>
      </c>
      <c r="I356" s="17">
        <f t="shared" si="24"/>
        <v>15</v>
      </c>
      <c r="J356" s="18">
        <f t="shared" si="25"/>
        <v>0.5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15</v>
      </c>
      <c r="I357" s="17">
        <f t="shared" si="24"/>
        <v>15</v>
      </c>
      <c r="J357" s="18">
        <f t="shared" si="25"/>
        <v>0.5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9</v>
      </c>
      <c r="I361" s="17">
        <f t="shared" si="24"/>
        <v>21</v>
      </c>
      <c r="J361" s="18">
        <f t="shared" si="25"/>
        <v>0.3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 t="s">
        <v>1010</v>
      </c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9</v>
      </c>
      <c r="I362" s="17">
        <f t="shared" si="24"/>
        <v>21</v>
      </c>
      <c r="J362" s="18">
        <f t="shared" si="25"/>
        <v>0.3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 t="s">
        <v>1010</v>
      </c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21</v>
      </c>
      <c r="I369" s="17">
        <f t="shared" si="24"/>
        <v>9</v>
      </c>
      <c r="J369" s="18">
        <f t="shared" si="25"/>
        <v>0.7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 t="s">
        <v>1010</v>
      </c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 t="str">
        <f>'RESUMEN TOTAL'!AF361</f>
        <v>APAGADO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 t="str">
        <f>'RESUMEN TOTAL'!AF362</f>
        <v>APAGADO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abSelected="1" topLeftCell="A7" workbookViewId="0">
      <selection activeCell="E32" sqref="E32:E3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" thickTop="1" x14ac:dyDescent="0.3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40">
        <v>44763</v>
      </c>
    </row>
    <row r="17" spans="1:14" ht="15" thickTop="1" x14ac:dyDescent="0.3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3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41"/>
    </row>
    <row r="19" spans="1:14" x14ac:dyDescent="0.3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3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" thickBot="1" x14ac:dyDescent="0.35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" thickTop="1" x14ac:dyDescent="0.3">
      <c r="A22" s="58" t="s">
        <v>1004</v>
      </c>
      <c r="B22" s="69">
        <v>392</v>
      </c>
      <c r="C22" s="65"/>
      <c r="D22" s="62"/>
      <c r="E22" s="143">
        <v>44791</v>
      </c>
    </row>
    <row r="23" spans="1:14" ht="15" thickBot="1" x14ac:dyDescent="0.35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" thickTop="1" x14ac:dyDescent="0.3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3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" thickBot="1" x14ac:dyDescent="0.35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" thickTop="1" x14ac:dyDescent="0.3">
      <c r="A27" s="58" t="s">
        <v>1004</v>
      </c>
      <c r="B27" s="69">
        <v>392</v>
      </c>
      <c r="C27" s="65"/>
      <c r="D27" s="62"/>
      <c r="E27" s="143">
        <v>44795</v>
      </c>
      <c r="G27" s="76"/>
      <c r="H27" s="77"/>
      <c r="I27" s="77"/>
      <c r="J27" s="77"/>
      <c r="K27" s="78"/>
      <c r="L27" s="79"/>
      <c r="M27" s="141"/>
    </row>
    <row r="28" spans="1:14" x14ac:dyDescent="0.3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4"/>
      <c r="G28" s="76"/>
      <c r="H28" s="77"/>
      <c r="I28" s="77"/>
      <c r="J28" s="77"/>
      <c r="K28" s="78"/>
      <c r="L28" s="79"/>
      <c r="M28" s="141"/>
    </row>
    <row r="29" spans="1:14" ht="15" thickBot="1" x14ac:dyDescent="0.35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4"/>
      <c r="G29" s="80"/>
      <c r="H29" s="81"/>
      <c r="I29" s="81"/>
      <c r="J29" s="81"/>
      <c r="K29" s="81"/>
      <c r="L29" s="82"/>
      <c r="M29" s="142"/>
    </row>
    <row r="30" spans="1:14" ht="15.6" thickTop="1" thickBot="1" x14ac:dyDescent="0.35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4"/>
    </row>
    <row r="31" spans="1:14" ht="15.6" thickTop="1" thickBot="1" x14ac:dyDescent="0.35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5"/>
      <c r="G31" s="103" t="s">
        <v>545</v>
      </c>
      <c r="H31" s="133" t="s">
        <v>1193</v>
      </c>
      <c r="I31" s="104" t="s">
        <v>1201</v>
      </c>
      <c r="J31" s="104" t="s">
        <v>15</v>
      </c>
      <c r="K31" s="104" t="s">
        <v>629</v>
      </c>
      <c r="L31" s="105" t="s">
        <v>931</v>
      </c>
      <c r="M31" s="106" t="s">
        <v>1208</v>
      </c>
      <c r="N31" s="138">
        <v>44790</v>
      </c>
    </row>
    <row r="32" spans="1:14" ht="15" thickTop="1" x14ac:dyDescent="0.3">
      <c r="A32" s="58"/>
      <c r="B32" s="69"/>
      <c r="C32" s="65"/>
      <c r="D32" s="62"/>
      <c r="E32" s="143"/>
      <c r="G32" s="107" t="s">
        <v>555</v>
      </c>
      <c r="H32" s="97" t="s">
        <v>1193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" thickBot="1" x14ac:dyDescent="0.35">
      <c r="A33" s="59"/>
      <c r="B33" s="70"/>
      <c r="C33" s="66"/>
      <c r="D33" s="63"/>
      <c r="E33" s="144"/>
      <c r="G33" s="134" t="s">
        <v>557</v>
      </c>
      <c r="H33" s="135" t="s">
        <v>1193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" thickTop="1" x14ac:dyDescent="0.3">
      <c r="A34" s="59"/>
      <c r="B34" s="70"/>
      <c r="C34" s="66"/>
      <c r="D34" s="63"/>
      <c r="E34" s="144"/>
      <c r="G34" s="52"/>
      <c r="H34" s="51"/>
      <c r="I34" s="51"/>
      <c r="J34" s="51"/>
      <c r="K34" s="16"/>
      <c r="L34" s="83"/>
    </row>
    <row r="35" spans="1:14" x14ac:dyDescent="0.3">
      <c r="A35" s="59"/>
      <c r="B35" s="70"/>
      <c r="C35" s="66"/>
      <c r="D35" s="63"/>
      <c r="E35" s="144"/>
      <c r="G35" s="52"/>
      <c r="H35" s="51"/>
      <c r="I35" s="51"/>
      <c r="J35" s="51"/>
      <c r="K35" s="16"/>
      <c r="L35" s="83"/>
    </row>
    <row r="36" spans="1:14" ht="15" thickBot="1" x14ac:dyDescent="0.35">
      <c r="A36" s="60"/>
      <c r="B36" s="71"/>
      <c r="C36" s="67"/>
      <c r="D36" s="64"/>
      <c r="E36" s="145"/>
      <c r="G36" s="52"/>
      <c r="H36" s="51"/>
      <c r="I36" s="51"/>
      <c r="J36" s="51"/>
      <c r="K36" s="16"/>
      <c r="L36" s="83"/>
    </row>
    <row r="37" spans="1:14" ht="15" thickTop="1" x14ac:dyDescent="0.3">
      <c r="A37" s="58"/>
      <c r="B37" s="69"/>
      <c r="C37" s="65"/>
      <c r="D37" s="62"/>
      <c r="E37" s="143"/>
      <c r="G37" s="52"/>
      <c r="H37" s="51"/>
      <c r="I37" s="51"/>
      <c r="J37" s="51"/>
      <c r="K37" s="16"/>
      <c r="L37" s="83"/>
    </row>
    <row r="38" spans="1:14" x14ac:dyDescent="0.3">
      <c r="A38" s="59"/>
      <c r="B38" s="70"/>
      <c r="C38" s="66"/>
      <c r="D38" s="63"/>
      <c r="E38" s="144"/>
      <c r="G38" s="52"/>
      <c r="H38" s="51"/>
      <c r="I38" s="51"/>
      <c r="J38" s="51"/>
      <c r="K38" s="16"/>
      <c r="L38" s="84"/>
    </row>
    <row r="39" spans="1:14" ht="15" thickBot="1" x14ac:dyDescent="0.35">
      <c r="A39" s="59"/>
      <c r="B39" s="70"/>
      <c r="C39" s="66"/>
      <c r="D39" s="63"/>
      <c r="E39" s="144"/>
    </row>
    <row r="40" spans="1:14" ht="15" thickTop="1" x14ac:dyDescent="0.3">
      <c r="A40" s="59"/>
      <c r="B40" s="70"/>
      <c r="C40" s="66"/>
      <c r="D40" s="63"/>
      <c r="E40" s="144"/>
      <c r="G40" s="72"/>
      <c r="H40" s="73"/>
      <c r="I40" s="73"/>
      <c r="J40" s="73"/>
      <c r="K40" s="74"/>
      <c r="L40" s="75"/>
      <c r="M40" s="140"/>
    </row>
    <row r="41" spans="1:14" ht="15" thickBot="1" x14ac:dyDescent="0.35">
      <c r="A41" s="60"/>
      <c r="B41" s="71"/>
      <c r="C41" s="67"/>
      <c r="D41" s="64"/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3">
      <c r="A42" s="58"/>
      <c r="B42" s="69"/>
      <c r="C42" s="65"/>
      <c r="D42" s="62"/>
      <c r="E42" s="143"/>
      <c r="G42" s="76"/>
      <c r="H42" s="77"/>
      <c r="I42" s="77"/>
      <c r="J42" s="77"/>
      <c r="K42" s="78"/>
      <c r="L42" s="79"/>
      <c r="M42" s="141"/>
    </row>
    <row r="43" spans="1:14" x14ac:dyDescent="0.3">
      <c r="A43" s="59"/>
      <c r="B43" s="70"/>
      <c r="C43" s="66"/>
      <c r="D43" s="63"/>
      <c r="E43" s="144"/>
      <c r="G43" s="76"/>
      <c r="H43" s="77"/>
      <c r="I43" s="77"/>
      <c r="J43" s="77"/>
      <c r="K43" s="78"/>
      <c r="L43" s="79"/>
      <c r="M43" s="141"/>
    </row>
    <row r="44" spans="1:14" x14ac:dyDescent="0.3">
      <c r="A44" s="59"/>
      <c r="B44" s="70"/>
      <c r="C44" s="66"/>
      <c r="D44" s="63"/>
      <c r="E44" s="144"/>
      <c r="G44" s="76"/>
      <c r="H44" s="77"/>
      <c r="I44" s="77"/>
      <c r="J44" s="77"/>
      <c r="K44" s="78"/>
      <c r="L44" s="79"/>
      <c r="M44" s="141"/>
    </row>
    <row r="45" spans="1:14" ht="15" thickBot="1" x14ac:dyDescent="0.35">
      <c r="A45" s="59"/>
      <c r="B45" s="70"/>
      <c r="C45" s="66"/>
      <c r="D45" s="63"/>
      <c r="E45" s="144"/>
      <c r="G45" s="80"/>
      <c r="H45" s="81"/>
      <c r="I45" s="81"/>
      <c r="J45" s="81"/>
      <c r="K45" s="81"/>
      <c r="L45" s="82"/>
      <c r="M45" s="142"/>
    </row>
    <row r="46" spans="1:14" ht="15.6" thickTop="1" thickBot="1" x14ac:dyDescent="0.35">
      <c r="A46" s="60"/>
      <c r="B46" s="71"/>
      <c r="C46" s="67"/>
      <c r="D46" s="64"/>
      <c r="E46" s="145"/>
    </row>
    <row r="47" spans="1:14" ht="15" thickTop="1" x14ac:dyDescent="0.3">
      <c r="G47" s="52"/>
      <c r="H47" s="51"/>
      <c r="I47" s="51"/>
      <c r="J47" s="51"/>
      <c r="K47" s="16"/>
      <c r="L47" s="83"/>
    </row>
    <row r="48" spans="1:14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4" sqref="F24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3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3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3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3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392</v>
      </c>
      <c r="G21" s="55">
        <f t="shared" ref="G21:G23" si="26">E21/F21</f>
        <v>8.9285714285714288E-2</v>
      </c>
    </row>
    <row r="22" spans="1:7" x14ac:dyDescent="0.3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392</v>
      </c>
      <c r="G22" s="55">
        <f t="shared" si="26"/>
        <v>8.9285714285714288E-2</v>
      </c>
    </row>
    <row r="23" spans="1:7" x14ac:dyDescent="0.3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392</v>
      </c>
      <c r="G23" s="55">
        <f t="shared" si="26"/>
        <v>8.4183673469387751E-2</v>
      </c>
    </row>
    <row r="24" spans="1:7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7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7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X3" sqref="X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1192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1192</v>
      </c>
      <c r="E3" s="122" t="s">
        <v>1204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24</v>
      </c>
      <c r="AB3" s="125">
        <f>COUNTIFS('RESUMEN TOTAL'!C5:C396, "=BONOMO",'RESUMEN TOTAL'!AG5:AG396,"=APAGADO")</f>
        <v>0</v>
      </c>
      <c r="AC3" s="125">
        <f>COUNTIFS('RESUMEN TOTAL'!C5:C396, "=BONOMO",'RESUMEN TOTAL'!AH5:AH396,"=APAGADO")</f>
        <v>0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5.6" thickTop="1" thickBot="1" x14ac:dyDescent="0.35">
      <c r="A4" s="128" t="s">
        <v>1193</v>
      </c>
      <c r="B4" s="118">
        <f>COUNTIFS('RESUMEN TOTAL'!C5:C396,"=COSEIDI")</f>
        <v>180</v>
      </c>
      <c r="D4" s="116"/>
      <c r="E4" s="114" t="s">
        <v>1206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</v>
      </c>
      <c r="AC4" s="132">
        <f t="shared" si="0"/>
        <v>0</v>
      </c>
      <c r="AD4" s="132">
        <f t="shared" si="0"/>
        <v>0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5.6" thickTop="1" thickBot="1" x14ac:dyDescent="0.35">
      <c r="A5" s="119"/>
      <c r="B5" s="120"/>
      <c r="D5" s="115" t="s">
        <v>1193</v>
      </c>
      <c r="E5" s="126" t="s">
        <v>1205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0</v>
      </c>
      <c r="AC5" s="127">
        <f>COUNTIFS('RESUMEN TOTAL'!C7:C398, "=COSEIDI",'RESUMEN TOTAL'!AH7:AH398,"=APAGADO")</f>
        <v>0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5.6" thickTop="1" thickBot="1" x14ac:dyDescent="0.35">
      <c r="D6" s="116"/>
      <c r="E6" s="114" t="s">
        <v>1207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0.05</v>
      </c>
      <c r="AB6" s="131">
        <f t="shared" si="2"/>
        <v>0</v>
      </c>
      <c r="AC6" s="131">
        <f t="shared" si="2"/>
        <v>0</v>
      </c>
      <c r="AD6" s="131">
        <f t="shared" si="2"/>
        <v>0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2022-08-22T14:11:43Z</dcterms:modified>
</cp:coreProperties>
</file>