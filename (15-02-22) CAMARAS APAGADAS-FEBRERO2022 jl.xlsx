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DALLEVA\Dropbox\CAMARAS DE SEGURIDAD\estado de las camaras\FEBRERO 2022\"/>
    </mc:Choice>
  </mc:AlternateContent>
  <xr:revisionPtr revIDLastSave="0" documentId="13_ncr:1_{DAB55623-5D30-4FE1-93AA-5DE26E1D03E9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2" l="1"/>
  <c r="E6" i="14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AA1" i="2" l="1"/>
  <c r="Z1" i="10"/>
  <c r="C22" i="14" s="1"/>
  <c r="Y1" i="10"/>
  <c r="C21" i="14" s="1"/>
  <c r="X1" i="10"/>
  <c r="C20" i="14" s="1"/>
  <c r="W1" i="10"/>
  <c r="C19" i="14" s="1"/>
  <c r="V1" i="10"/>
  <c r="C18" i="14" s="1"/>
  <c r="U1" i="10"/>
  <c r="C17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J54" i="2"/>
  <c r="L54" i="2" s="1"/>
  <c r="J55" i="2"/>
  <c r="J56" i="2"/>
  <c r="J57" i="2"/>
  <c r="J58" i="2"/>
  <c r="J59" i="2"/>
  <c r="J60" i="2"/>
  <c r="J61" i="2"/>
  <c r="J62" i="2"/>
  <c r="L62" i="2" s="1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L78" i="2" s="1"/>
  <c r="J79" i="2"/>
  <c r="J80" i="2"/>
  <c r="J81" i="2"/>
  <c r="J82" i="2"/>
  <c r="J83" i="2"/>
  <c r="J84" i="2"/>
  <c r="J85" i="2"/>
  <c r="J86" i="2"/>
  <c r="L86" i="2" s="1"/>
  <c r="J87" i="2"/>
  <c r="J88" i="2"/>
  <c r="J89" i="2"/>
  <c r="J90" i="2"/>
  <c r="J91" i="2"/>
  <c r="J92" i="2"/>
  <c r="J93" i="2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J118" i="2"/>
  <c r="L118" i="2" s="1"/>
  <c r="J119" i="2"/>
  <c r="J120" i="2"/>
  <c r="J121" i="2"/>
  <c r="J122" i="2"/>
  <c r="J123" i="2"/>
  <c r="J124" i="2"/>
  <c r="J125" i="2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L158" i="2" s="1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366" i="2" l="1"/>
  <c r="L358" i="2"/>
  <c r="L350" i="2"/>
  <c r="L342" i="2"/>
  <c r="L334" i="2"/>
  <c r="L326" i="2"/>
  <c r="L318" i="2"/>
  <c r="L310" i="2"/>
  <c r="L262" i="2"/>
  <c r="L254" i="2"/>
  <c r="L246" i="2"/>
  <c r="L222" i="2"/>
  <c r="L214" i="2"/>
  <c r="L190" i="2"/>
  <c r="L182" i="2"/>
  <c r="L325" i="2"/>
  <c r="L317" i="2"/>
  <c r="L309" i="2"/>
  <c r="L285" i="2"/>
  <c r="L269" i="2"/>
  <c r="L261" i="2"/>
  <c r="L253" i="2"/>
  <c r="L245" i="2"/>
  <c r="L237" i="2"/>
  <c r="L229" i="2"/>
  <c r="L221" i="2"/>
  <c r="L213" i="2"/>
  <c r="L181" i="2"/>
  <c r="L165" i="2"/>
  <c r="L157" i="2"/>
  <c r="L125" i="2"/>
  <c r="L117" i="2"/>
  <c r="L93" i="2"/>
  <c r="L85" i="2"/>
  <c r="L77" i="2"/>
  <c r="L69" i="2"/>
  <c r="L61" i="2"/>
  <c r="L53" i="2"/>
  <c r="L301" i="2"/>
  <c r="L189" i="2"/>
  <c r="L47" i="2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A15" i="14" s="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T1" i="10" l="1"/>
  <c r="C16" i="14" s="1"/>
  <c r="R1" i="11"/>
  <c r="B14" i="14" s="1"/>
  <c r="D14" i="14" s="1"/>
  <c r="R1" i="10"/>
  <c r="C14" i="14" s="1"/>
  <c r="Q1" i="10"/>
  <c r="C13" i="14" s="1"/>
  <c r="S1" i="10"/>
  <c r="C15" i="14" s="1"/>
  <c r="P1" i="10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D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M1" i="11"/>
  <c r="B9" i="14" s="1"/>
  <c r="H1" i="11"/>
  <c r="B4" i="14" s="1"/>
  <c r="T1" i="11"/>
  <c r="B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16" i="14" l="1"/>
  <c r="D13" i="14"/>
  <c r="D15" i="14"/>
  <c r="D24" i="14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<sst xmlns="http://schemas.openxmlformats.org/spreadsheetml/2006/main" count="3405" uniqueCount="952">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</sst>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856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78</c:v>
                </c:pt>
                <c:pt idx="14">
                  <c:v>73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78</c:v>
                </c:pt>
                <c:pt idx="14">
                  <c:v>73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X5" activePane="bottomRight" state="frozen"/>
      <selection pane="topRight" activeCell="M1" sqref="M1"/>
      <selection pane="bottomLeft" activeCell="A5" sqref="A5"/>
      <selection pane="bottomRight" activeCell="Z109" sqref="Z109"/>
    </sheetView>
  </sheetViews>
  <sheetFormatPr baseColWidth="10" defaultRowHeight="14.4" x14ac:dyDescent="0.3"/>
  <cols>
    <col min="1" max="1" width="16.6640625" customWidth="1"/>
    <col min="2" max="2" width="38.109375" style="17" bestFit="1" customWidth="1"/>
    <col min="3" max="3" width="33.33203125" customWidth="1"/>
    <col min="4" max="4" width="15.6640625" style="35" bestFit="1" customWidth="1"/>
    <col min="5" max="5" width="17.44140625" style="36" bestFit="1" customWidth="1"/>
    <col min="6" max="9" width="6.33203125" style="36" hidden="1" customWidth="1"/>
    <col min="11" max="11" width="6.6640625" customWidth="1"/>
    <col min="12" max="12" width="11.5546875" style="9"/>
    <col min="13" max="40" width="8.6640625" style="34" customWidth="1"/>
  </cols>
  <sheetData>
    <row r="1" spans="1:40" s="9" customFormat="1" ht="27.75" customHeight="1" thickTop="1" x14ac:dyDescent="0.3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0.21703296703296704</v>
      </c>
      <c r="X1" s="8">
        <f t="shared" si="0"/>
        <v>0.21703296703296704</v>
      </c>
      <c r="Y1" s="8">
        <f t="shared" si="0"/>
        <v>0.21703296703296704</v>
      </c>
      <c r="Z1" s="8">
        <f t="shared" si="0"/>
        <v>0.21703296703296704</v>
      </c>
      <c r="AA1" s="8">
        <f>(AA3)/(AA2+AA3)</f>
        <v>0.20054945054945056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3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285</v>
      </c>
      <c r="X2" s="16">
        <f t="shared" si="1"/>
        <v>285</v>
      </c>
      <c r="Y2" s="16">
        <f t="shared" si="1"/>
        <v>285</v>
      </c>
      <c r="Z2" s="16">
        <f t="shared" si="1"/>
        <v>285</v>
      </c>
      <c r="AA2" s="16">
        <f t="shared" si="1"/>
        <v>291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" thickBot="1" x14ac:dyDescent="0.35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79</v>
      </c>
      <c r="X3" s="21">
        <f t="shared" si="2"/>
        <v>79</v>
      </c>
      <c r="Y3" s="21">
        <f t="shared" si="2"/>
        <v>79</v>
      </c>
      <c r="Z3" s="21">
        <f t="shared" si="2"/>
        <v>79</v>
      </c>
      <c r="AA3" s="21">
        <f t="shared" si="2"/>
        <v>73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19.2" thickTop="1" thickBot="1" x14ac:dyDescent="0.4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5.6" thickTop="1" thickBot="1" x14ac:dyDescent="0.35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42"/>
      <c r="Y5" s="42"/>
      <c r="Z5" s="42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" thickBot="1" x14ac:dyDescent="0.35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40"/>
      <c r="Y6" s="40"/>
      <c r="Z6" s="40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" thickBot="1" x14ac:dyDescent="0.35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14</v>
      </c>
      <c r="K7" s="27">
        <f t="shared" si="4"/>
        <v>14</v>
      </c>
      <c r="L7" s="28">
        <f t="shared" si="5"/>
        <v>0.5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 t="s">
        <v>947</v>
      </c>
      <c r="X7" s="40" t="s">
        <v>947</v>
      </c>
      <c r="Y7" s="40" t="s">
        <v>947</v>
      </c>
      <c r="Z7" s="40" t="s">
        <v>947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" thickBot="1" x14ac:dyDescent="0.35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40"/>
      <c r="Y8" s="40"/>
      <c r="Z8" s="40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" thickBot="1" x14ac:dyDescent="0.35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40"/>
      <c r="Y9" s="40"/>
      <c r="Z9" s="40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" thickBot="1" x14ac:dyDescent="0.35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18</v>
      </c>
      <c r="K10" s="27">
        <f t="shared" si="4"/>
        <v>10</v>
      </c>
      <c r="L10" s="28">
        <f t="shared" si="5"/>
        <v>0.6428571428571429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40"/>
      <c r="Y10" s="40"/>
      <c r="Z10" s="40" t="s">
        <v>947</v>
      </c>
      <c r="AA10" s="13" t="s">
        <v>947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" thickBot="1" x14ac:dyDescent="0.35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40"/>
      <c r="Y11" s="40"/>
      <c r="Z11" s="40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" thickBot="1" x14ac:dyDescent="0.35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40"/>
      <c r="Y12" s="40"/>
      <c r="Z12" s="40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" thickBot="1" x14ac:dyDescent="0.35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19</v>
      </c>
      <c r="K13" s="27">
        <f t="shared" si="4"/>
        <v>9</v>
      </c>
      <c r="L13" s="28">
        <f t="shared" si="5"/>
        <v>0.6785714285714286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40"/>
      <c r="Y13" s="40"/>
      <c r="Z13" s="40" t="s">
        <v>947</v>
      </c>
      <c r="AA13" s="13" t="s">
        <v>947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" thickBot="1" x14ac:dyDescent="0.35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19</v>
      </c>
      <c r="K14" s="27">
        <f t="shared" si="4"/>
        <v>9</v>
      </c>
      <c r="L14" s="28">
        <f t="shared" si="5"/>
        <v>0.6785714285714286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40"/>
      <c r="Y14" s="40"/>
      <c r="Z14" s="40" t="s">
        <v>947</v>
      </c>
      <c r="AA14" s="13" t="s">
        <v>947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" thickBot="1" x14ac:dyDescent="0.35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40"/>
      <c r="Y15" s="40"/>
      <c r="Z15" s="40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" thickBot="1" x14ac:dyDescent="0.35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40"/>
      <c r="Y16" s="40"/>
      <c r="Z16" s="40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" thickBot="1" x14ac:dyDescent="0.35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19</v>
      </c>
      <c r="K17" s="27">
        <f t="shared" si="4"/>
        <v>9</v>
      </c>
      <c r="L17" s="28">
        <f t="shared" si="5"/>
        <v>0.6785714285714286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40"/>
      <c r="Y17" s="40"/>
      <c r="Z17" s="40" t="s">
        <v>947</v>
      </c>
      <c r="AA17" s="13" t="s">
        <v>947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" thickBot="1" x14ac:dyDescent="0.35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19</v>
      </c>
      <c r="K18" s="27">
        <f t="shared" si="4"/>
        <v>9</v>
      </c>
      <c r="L18" s="28">
        <f t="shared" si="5"/>
        <v>0.6785714285714286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40"/>
      <c r="Y18" s="40"/>
      <c r="Z18" s="40" t="s">
        <v>947</v>
      </c>
      <c r="AA18" s="13" t="s">
        <v>947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" thickBot="1" x14ac:dyDescent="0.35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40"/>
      <c r="Y19" s="40"/>
      <c r="Z19" s="40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" thickBot="1" x14ac:dyDescent="0.35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40"/>
      <c r="Y20" s="40"/>
      <c r="Z20" s="40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" thickBot="1" x14ac:dyDescent="0.35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40"/>
      <c r="Y21" s="40"/>
      <c r="Z21" s="40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" thickBot="1" x14ac:dyDescent="0.35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40"/>
      <c r="Y22" s="40"/>
      <c r="Z22" s="40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" thickBot="1" x14ac:dyDescent="0.35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40"/>
      <c r="Y23" s="40"/>
      <c r="Z23" s="40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" thickBot="1" x14ac:dyDescent="0.35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21</v>
      </c>
      <c r="K24" s="27">
        <f t="shared" si="4"/>
        <v>7</v>
      </c>
      <c r="L24" s="28">
        <f t="shared" si="5"/>
        <v>0.75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 t="s">
        <v>947</v>
      </c>
      <c r="X24" s="40" t="s">
        <v>947</v>
      </c>
      <c r="Y24" s="40" t="s">
        <v>947</v>
      </c>
      <c r="Z24" s="40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" thickBot="1" x14ac:dyDescent="0.35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40"/>
      <c r="Y25" s="40"/>
      <c r="Z25" s="40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" thickBot="1" x14ac:dyDescent="0.35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40"/>
      <c r="Y26" s="40"/>
      <c r="Z26" s="40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" thickBot="1" x14ac:dyDescent="0.35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40"/>
      <c r="Y27" s="40"/>
      <c r="Z27" s="40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" thickBot="1" x14ac:dyDescent="0.35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40"/>
      <c r="Y28" s="40"/>
      <c r="Z28" s="40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" thickBot="1" x14ac:dyDescent="0.35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40"/>
      <c r="Y29" s="40"/>
      <c r="Z29" s="40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" thickBot="1" x14ac:dyDescent="0.35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40"/>
      <c r="Y30" s="40"/>
      <c r="Z30" s="40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" thickBot="1" x14ac:dyDescent="0.35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40"/>
      <c r="Y31" s="40"/>
      <c r="Z31" s="40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" thickBot="1" x14ac:dyDescent="0.35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40"/>
      <c r="Y32" s="40"/>
      <c r="Z32" s="40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" thickBot="1" x14ac:dyDescent="0.35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40"/>
      <c r="Y33" s="40"/>
      <c r="Z33" s="40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" thickBot="1" x14ac:dyDescent="0.35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40"/>
      <c r="Y34" s="40"/>
      <c r="Z34" s="40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" thickBot="1" x14ac:dyDescent="0.35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40"/>
      <c r="Y35" s="40"/>
      <c r="Z35" s="4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" thickBot="1" x14ac:dyDescent="0.35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40"/>
      <c r="Y36" s="40"/>
      <c r="Z36" s="40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" thickBot="1" x14ac:dyDescent="0.35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40"/>
      <c r="Y37" s="40"/>
      <c r="Z37" s="40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" thickBot="1" x14ac:dyDescent="0.35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40"/>
      <c r="Y38" s="40"/>
      <c r="Z38" s="40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" thickBot="1" x14ac:dyDescent="0.35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40"/>
      <c r="Y39" s="40"/>
      <c r="Z39" s="40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" thickBot="1" x14ac:dyDescent="0.35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40"/>
      <c r="Y40" s="40"/>
      <c r="Z40" s="40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" thickBot="1" x14ac:dyDescent="0.35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40"/>
      <c r="Y41" s="40"/>
      <c r="Z41" s="40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" thickBot="1" x14ac:dyDescent="0.35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40"/>
      <c r="Y42" s="40"/>
      <c r="Z42" s="40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" thickBot="1" x14ac:dyDescent="0.35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40"/>
      <c r="Y43" s="40"/>
      <c r="Z43" s="40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" thickBot="1" x14ac:dyDescent="0.35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26</v>
      </c>
      <c r="K44" s="27">
        <f t="shared" si="4"/>
        <v>2</v>
      </c>
      <c r="L44" s="28">
        <f t="shared" si="5"/>
        <v>0.9285714285714286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40"/>
      <c r="Y44" s="40"/>
      <c r="Z44" s="40" t="s">
        <v>947</v>
      </c>
      <c r="AA44" s="13" t="s">
        <v>947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" thickBot="1" x14ac:dyDescent="0.35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40"/>
      <c r="Y45" s="40"/>
      <c r="Z45" s="40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" thickBot="1" x14ac:dyDescent="0.35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40"/>
      <c r="Y46" s="40"/>
      <c r="Z46" s="40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" thickBot="1" x14ac:dyDescent="0.35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40"/>
      <c r="Y47" s="40"/>
      <c r="Z47" s="40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" thickBot="1" x14ac:dyDescent="0.35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40"/>
      <c r="Y48" s="40"/>
      <c r="Z48" s="40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" thickBot="1" x14ac:dyDescent="0.35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40"/>
      <c r="Y49" s="40"/>
      <c r="Z49" s="40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" thickBot="1" x14ac:dyDescent="0.35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40"/>
      <c r="Y50" s="40"/>
      <c r="Z50" s="40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" thickBot="1" x14ac:dyDescent="0.35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40"/>
      <c r="Y51" s="40"/>
      <c r="Z51" s="40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" thickBot="1" x14ac:dyDescent="0.35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26</v>
      </c>
      <c r="K52" s="27">
        <f t="shared" si="4"/>
        <v>2</v>
      </c>
      <c r="L52" s="28">
        <f t="shared" si="5"/>
        <v>0.9285714285714286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40"/>
      <c r="Y52" s="40"/>
      <c r="Z52" s="40" t="s">
        <v>947</v>
      </c>
      <c r="AA52" s="13" t="s">
        <v>947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" thickBot="1" x14ac:dyDescent="0.35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40"/>
      <c r="Y53" s="40"/>
      <c r="Z53" s="40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" thickBot="1" x14ac:dyDescent="0.35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40"/>
      <c r="Y54" s="40"/>
      <c r="Z54" s="40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" thickBot="1" x14ac:dyDescent="0.35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40"/>
      <c r="Y55" s="40"/>
      <c r="Z55" s="40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" thickBot="1" x14ac:dyDescent="0.35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40"/>
      <c r="Y56" s="40"/>
      <c r="Z56" s="40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" thickBot="1" x14ac:dyDescent="0.35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13</v>
      </c>
      <c r="K57" s="27">
        <f t="shared" si="4"/>
        <v>15</v>
      </c>
      <c r="L57" s="28">
        <f t="shared" si="5"/>
        <v>0.4642857142857143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 t="s">
        <v>947</v>
      </c>
      <c r="X57" s="40" t="s">
        <v>947</v>
      </c>
      <c r="Y57" s="40" t="s">
        <v>947</v>
      </c>
      <c r="Z57" s="40" t="s">
        <v>947</v>
      </c>
      <c r="AA57" s="13" t="s">
        <v>947</v>
      </c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" thickBot="1" x14ac:dyDescent="0.35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40"/>
      <c r="Y58" s="40"/>
      <c r="Z58" s="40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" thickBot="1" x14ac:dyDescent="0.35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40"/>
      <c r="Y59" s="40"/>
      <c r="Z59" s="40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" thickBot="1" x14ac:dyDescent="0.35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13</v>
      </c>
      <c r="K60" s="27">
        <f t="shared" si="4"/>
        <v>15</v>
      </c>
      <c r="L60" s="28">
        <f t="shared" si="5"/>
        <v>0.4642857142857143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 t="s">
        <v>947</v>
      </c>
      <c r="X60" s="40" t="s">
        <v>947</v>
      </c>
      <c r="Y60" s="40" t="s">
        <v>947</v>
      </c>
      <c r="Z60" s="40" t="s">
        <v>947</v>
      </c>
      <c r="AA60" s="13" t="s">
        <v>947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" thickBot="1" x14ac:dyDescent="0.35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40"/>
      <c r="Y61" s="40"/>
      <c r="Z61" s="40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" thickBot="1" x14ac:dyDescent="0.35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40"/>
      <c r="Y62" s="40"/>
      <c r="Z62" s="40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" thickBot="1" x14ac:dyDescent="0.35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13</v>
      </c>
      <c r="K63" s="27">
        <f t="shared" si="4"/>
        <v>15</v>
      </c>
      <c r="L63" s="28">
        <f t="shared" si="5"/>
        <v>0.4642857142857143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 t="s">
        <v>947</v>
      </c>
      <c r="X63" s="40" t="s">
        <v>947</v>
      </c>
      <c r="Y63" s="40" t="s">
        <v>947</v>
      </c>
      <c r="Z63" s="40" t="s">
        <v>947</v>
      </c>
      <c r="AA63" s="13" t="s">
        <v>947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" thickBot="1" x14ac:dyDescent="0.35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40"/>
      <c r="Y64" s="40"/>
      <c r="Z64" s="40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" thickBot="1" x14ac:dyDescent="0.35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13</v>
      </c>
      <c r="K65" s="27">
        <f t="shared" si="4"/>
        <v>15</v>
      </c>
      <c r="L65" s="28">
        <f t="shared" si="5"/>
        <v>0.4642857142857143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 t="s">
        <v>947</v>
      </c>
      <c r="X65" s="40" t="s">
        <v>947</v>
      </c>
      <c r="Y65" s="40" t="s">
        <v>947</v>
      </c>
      <c r="Z65" s="40" t="s">
        <v>947</v>
      </c>
      <c r="AA65" s="13" t="s">
        <v>947</v>
      </c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" thickBot="1" x14ac:dyDescent="0.35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40"/>
      <c r="Y66" s="40"/>
      <c r="Z66" s="40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" thickBot="1" x14ac:dyDescent="0.35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40"/>
      <c r="Y67" s="40"/>
      <c r="Z67" s="40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" thickBot="1" x14ac:dyDescent="0.35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13</v>
      </c>
      <c r="K68" s="27">
        <f t="shared" si="4"/>
        <v>15</v>
      </c>
      <c r="L68" s="28">
        <f t="shared" si="5"/>
        <v>0.4642857142857143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 t="s">
        <v>947</v>
      </c>
      <c r="X68" s="40" t="s">
        <v>947</v>
      </c>
      <c r="Y68" s="40" t="s">
        <v>947</v>
      </c>
      <c r="Z68" s="40" t="s">
        <v>947</v>
      </c>
      <c r="AA68" s="13" t="s">
        <v>947</v>
      </c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" thickBot="1" x14ac:dyDescent="0.35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40"/>
      <c r="Y69" s="40"/>
      <c r="Z69" s="40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" thickBot="1" x14ac:dyDescent="0.35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40"/>
      <c r="Y70" s="40"/>
      <c r="Z70" s="40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" thickBot="1" x14ac:dyDescent="0.35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40"/>
      <c r="Y71" s="40"/>
      <c r="Z71" s="40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" thickBot="1" x14ac:dyDescent="0.35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40"/>
      <c r="Y72" s="40"/>
      <c r="Z72" s="40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" thickBot="1" x14ac:dyDescent="0.35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40"/>
      <c r="Y73" s="40"/>
      <c r="Z73" s="40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" thickBot="1" x14ac:dyDescent="0.35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40"/>
      <c r="Y74" s="40"/>
      <c r="Z74" s="40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" thickBot="1" x14ac:dyDescent="0.35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40"/>
      <c r="Y75" s="40"/>
      <c r="Z75" s="40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" thickBot="1" x14ac:dyDescent="0.35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40"/>
      <c r="Y76" s="40"/>
      <c r="Z76" s="40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" thickBot="1" x14ac:dyDescent="0.35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40"/>
      <c r="Y77" s="40"/>
      <c r="Z77" s="40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" thickBot="1" x14ac:dyDescent="0.35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40"/>
      <c r="Y78" s="40"/>
      <c r="Z78" s="40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" thickBot="1" x14ac:dyDescent="0.35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40"/>
      <c r="Y79" s="40"/>
      <c r="Z79" s="40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" thickBot="1" x14ac:dyDescent="0.35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13</v>
      </c>
      <c r="K80" s="27">
        <f t="shared" si="7"/>
        <v>15</v>
      </c>
      <c r="L80" s="28">
        <f t="shared" si="8"/>
        <v>0.4642857142857143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 t="s">
        <v>947</v>
      </c>
      <c r="X80" s="40" t="s">
        <v>947</v>
      </c>
      <c r="Y80" s="40" t="s">
        <v>947</v>
      </c>
      <c r="Z80" s="40" t="s">
        <v>947</v>
      </c>
      <c r="AA80" s="13" t="s">
        <v>947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" thickBot="1" x14ac:dyDescent="0.35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40"/>
      <c r="Y81" s="40"/>
      <c r="Z81" s="40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" thickBot="1" x14ac:dyDescent="0.35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40"/>
      <c r="Y82" s="40"/>
      <c r="Z82" s="40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" thickBot="1" x14ac:dyDescent="0.35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40"/>
      <c r="Y83" s="40"/>
      <c r="Z83" s="40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" thickBot="1" x14ac:dyDescent="0.35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40"/>
      <c r="Y84" s="40"/>
      <c r="Z84" s="40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" thickBot="1" x14ac:dyDescent="0.35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40"/>
      <c r="Y85" s="40"/>
      <c r="Z85" s="40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" thickBot="1" x14ac:dyDescent="0.35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40"/>
      <c r="Y86" s="40"/>
      <c r="Z86" s="40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" thickBot="1" x14ac:dyDescent="0.35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40"/>
      <c r="Y87" s="40"/>
      <c r="Z87" s="40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" thickBot="1" x14ac:dyDescent="0.35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13</v>
      </c>
      <c r="K88" s="27">
        <f t="shared" si="7"/>
        <v>15</v>
      </c>
      <c r="L88" s="28">
        <f t="shared" si="8"/>
        <v>0.4642857142857143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 t="s">
        <v>947</v>
      </c>
      <c r="X88" s="40" t="s">
        <v>947</v>
      </c>
      <c r="Y88" s="40" t="s">
        <v>947</v>
      </c>
      <c r="Z88" s="40" t="s">
        <v>947</v>
      </c>
      <c r="AA88" s="13" t="s">
        <v>947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" thickBot="1" x14ac:dyDescent="0.35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40"/>
      <c r="Y89" s="40"/>
      <c r="Z89" s="40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" thickBot="1" x14ac:dyDescent="0.35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20</v>
      </c>
      <c r="K90" s="27">
        <f t="shared" si="7"/>
        <v>8</v>
      </c>
      <c r="L90" s="28">
        <f t="shared" si="8"/>
        <v>0.7142857142857143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 t="s">
        <v>947</v>
      </c>
      <c r="X90" s="40" t="s">
        <v>947</v>
      </c>
      <c r="Y90" s="40" t="s">
        <v>947</v>
      </c>
      <c r="Z90" s="40" t="s">
        <v>947</v>
      </c>
      <c r="AA90" s="13" t="s">
        <v>947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5" customHeight="1" thickBot="1" x14ac:dyDescent="0.35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13</v>
      </c>
      <c r="K91" s="27">
        <f t="shared" si="7"/>
        <v>15</v>
      </c>
      <c r="L91" s="28">
        <f t="shared" si="8"/>
        <v>0.4642857142857143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 t="s">
        <v>947</v>
      </c>
      <c r="X91" s="40" t="s">
        <v>947</v>
      </c>
      <c r="Y91" s="40" t="s">
        <v>947</v>
      </c>
      <c r="Z91" s="40" t="s">
        <v>947</v>
      </c>
      <c r="AA91" s="13" t="s">
        <v>947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" thickBot="1" x14ac:dyDescent="0.35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13</v>
      </c>
      <c r="K92" s="27">
        <f t="shared" si="7"/>
        <v>15</v>
      </c>
      <c r="L92" s="28">
        <f t="shared" si="8"/>
        <v>0.4642857142857143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 t="s">
        <v>947</v>
      </c>
      <c r="X92" s="40" t="s">
        <v>947</v>
      </c>
      <c r="Y92" s="40" t="s">
        <v>947</v>
      </c>
      <c r="Z92" s="40" t="s">
        <v>947</v>
      </c>
      <c r="AA92" s="13" t="s">
        <v>947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" thickBot="1" x14ac:dyDescent="0.35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40"/>
      <c r="Y93" s="40"/>
      <c r="Z93" s="40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" thickBot="1" x14ac:dyDescent="0.35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40"/>
      <c r="Y94" s="40"/>
      <c r="Z94" s="40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" thickBot="1" x14ac:dyDescent="0.35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40"/>
      <c r="Y95" s="40"/>
      <c r="Z95" s="40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" thickBot="1" x14ac:dyDescent="0.35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40"/>
      <c r="Y96" s="40"/>
      <c r="Z96" s="40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" thickBot="1" x14ac:dyDescent="0.35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40"/>
      <c r="Y97" s="40"/>
      <c r="Z97" s="40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" thickBot="1" x14ac:dyDescent="0.35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40"/>
      <c r="Y98" s="40"/>
      <c r="Z98" s="40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" thickBot="1" x14ac:dyDescent="0.35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40"/>
      <c r="Y99" s="40"/>
      <c r="Z99" s="40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" thickBot="1" x14ac:dyDescent="0.35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40"/>
      <c r="Y100" s="40"/>
      <c r="Z100" s="40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" thickBot="1" x14ac:dyDescent="0.35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40"/>
      <c r="Y101" s="40"/>
      <c r="Z101" s="40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" thickBot="1" x14ac:dyDescent="0.35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40"/>
      <c r="Y102" s="40"/>
      <c r="Z102" s="40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" thickBot="1" x14ac:dyDescent="0.35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40"/>
      <c r="Y103" s="40"/>
      <c r="Z103" s="40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" thickBot="1" x14ac:dyDescent="0.35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15</v>
      </c>
      <c r="K104" s="27">
        <f t="shared" si="7"/>
        <v>13</v>
      </c>
      <c r="L104" s="28">
        <f t="shared" si="8"/>
        <v>0.5357142857142857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 t="s">
        <v>947</v>
      </c>
      <c r="X104" s="40" t="s">
        <v>947</v>
      </c>
      <c r="Y104" s="40" t="s">
        <v>947</v>
      </c>
      <c r="Z104" s="40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" thickBot="1" x14ac:dyDescent="0.35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15</v>
      </c>
      <c r="K105" s="27">
        <f t="shared" si="7"/>
        <v>13</v>
      </c>
      <c r="L105" s="28">
        <f t="shared" si="8"/>
        <v>0.5357142857142857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 t="s">
        <v>947</v>
      </c>
      <c r="X105" s="40" t="s">
        <v>947</v>
      </c>
      <c r="Y105" s="40" t="s">
        <v>947</v>
      </c>
      <c r="Z105" s="40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" thickBot="1" x14ac:dyDescent="0.35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15</v>
      </c>
      <c r="K106" s="27">
        <f t="shared" si="7"/>
        <v>13</v>
      </c>
      <c r="L106" s="28">
        <f t="shared" si="8"/>
        <v>0.5357142857142857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 t="s">
        <v>947</v>
      </c>
      <c r="X106" s="40" t="s">
        <v>947</v>
      </c>
      <c r="Y106" s="40" t="s">
        <v>947</v>
      </c>
      <c r="Z106" s="40" t="s">
        <v>947</v>
      </c>
      <c r="AA106" s="13" t="s">
        <v>947</v>
      </c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" thickBot="1" x14ac:dyDescent="0.35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16</v>
      </c>
      <c r="K107" s="27">
        <f t="shared" si="7"/>
        <v>12</v>
      </c>
      <c r="L107" s="28">
        <f t="shared" si="8"/>
        <v>0.5714285714285714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 t="s">
        <v>947</v>
      </c>
      <c r="X107" s="40" t="s">
        <v>947</v>
      </c>
      <c r="Y107" s="40" t="s">
        <v>947</v>
      </c>
      <c r="Z107" s="40" t="s">
        <v>947</v>
      </c>
      <c r="AA107" s="13" t="s">
        <v>947</v>
      </c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" thickBot="1" x14ac:dyDescent="0.35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14</v>
      </c>
      <c r="K108" s="27">
        <f t="shared" si="7"/>
        <v>14</v>
      </c>
      <c r="L108" s="28">
        <f t="shared" si="8"/>
        <v>0.5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 t="s">
        <v>947</v>
      </c>
      <c r="X108" s="40" t="s">
        <v>947</v>
      </c>
      <c r="Y108" s="40" t="s">
        <v>947</v>
      </c>
      <c r="Z108" s="40" t="s">
        <v>947</v>
      </c>
      <c r="AA108" s="13" t="s">
        <v>947</v>
      </c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" thickBot="1" x14ac:dyDescent="0.35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14</v>
      </c>
      <c r="K109" s="27">
        <f t="shared" si="7"/>
        <v>14</v>
      </c>
      <c r="L109" s="28">
        <f t="shared" si="8"/>
        <v>0.5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 t="s">
        <v>947</v>
      </c>
      <c r="X109" s="40" t="s">
        <v>947</v>
      </c>
      <c r="Y109" s="40" t="s">
        <v>947</v>
      </c>
      <c r="Z109" s="40" t="s">
        <v>947</v>
      </c>
      <c r="AA109" s="13" t="s">
        <v>947</v>
      </c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" thickBot="1" x14ac:dyDescent="0.35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40"/>
      <c r="Y110" s="40"/>
      <c r="Z110" s="40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" thickBot="1" x14ac:dyDescent="0.35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40"/>
      <c r="Y111" s="40"/>
      <c r="Z111" s="40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" thickBot="1" x14ac:dyDescent="0.35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40"/>
      <c r="Y112" s="40"/>
      <c r="Z112" s="40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" thickBot="1" x14ac:dyDescent="0.35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40"/>
      <c r="Y113" s="40"/>
      <c r="Z113" s="40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" thickBot="1" x14ac:dyDescent="0.35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40"/>
      <c r="Y114" s="40"/>
      <c r="Z114" s="40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" thickBot="1" x14ac:dyDescent="0.35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13</v>
      </c>
      <c r="K115" s="27">
        <f t="shared" si="7"/>
        <v>15</v>
      </c>
      <c r="L115" s="28">
        <f t="shared" si="8"/>
        <v>0.4642857142857143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 t="s">
        <v>947</v>
      </c>
      <c r="X115" s="40" t="s">
        <v>947</v>
      </c>
      <c r="Y115" s="40" t="s">
        <v>947</v>
      </c>
      <c r="Z115" s="40" t="s">
        <v>947</v>
      </c>
      <c r="AA115" s="13" t="s">
        <v>947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" thickBot="1" x14ac:dyDescent="0.35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13</v>
      </c>
      <c r="K116" s="27">
        <f t="shared" si="7"/>
        <v>15</v>
      </c>
      <c r="L116" s="28">
        <f t="shared" si="8"/>
        <v>0.4642857142857143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 t="s">
        <v>947</v>
      </c>
      <c r="X116" s="40" t="s">
        <v>947</v>
      </c>
      <c r="Y116" s="40" t="s">
        <v>947</v>
      </c>
      <c r="Z116" s="40" t="s">
        <v>947</v>
      </c>
      <c r="AA116" s="13" t="s">
        <v>947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" thickBot="1" x14ac:dyDescent="0.35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40"/>
      <c r="Y117" s="40"/>
      <c r="Z117" s="40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" thickBot="1" x14ac:dyDescent="0.35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40"/>
      <c r="Y118" s="40"/>
      <c r="Z118" s="40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" thickBot="1" x14ac:dyDescent="0.35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40"/>
      <c r="Y119" s="40"/>
      <c r="Z119" s="40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" thickBot="1" x14ac:dyDescent="0.35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13</v>
      </c>
      <c r="K120" s="27">
        <f t="shared" si="7"/>
        <v>15</v>
      </c>
      <c r="L120" s="28">
        <f t="shared" si="8"/>
        <v>0.4642857142857143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 t="s">
        <v>947</v>
      </c>
      <c r="X120" s="40" t="s">
        <v>947</v>
      </c>
      <c r="Y120" s="40" t="s">
        <v>947</v>
      </c>
      <c r="Z120" s="40" t="s">
        <v>947</v>
      </c>
      <c r="AA120" s="13" t="s">
        <v>947</v>
      </c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" thickBot="1" x14ac:dyDescent="0.35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13</v>
      </c>
      <c r="K121" s="27">
        <f t="shared" si="7"/>
        <v>15</v>
      </c>
      <c r="L121" s="28">
        <f t="shared" si="8"/>
        <v>0.4642857142857143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 t="s">
        <v>947</v>
      </c>
      <c r="X121" s="40" t="s">
        <v>947</v>
      </c>
      <c r="Y121" s="40" t="s">
        <v>947</v>
      </c>
      <c r="Z121" s="40" t="s">
        <v>947</v>
      </c>
      <c r="AA121" s="13" t="s">
        <v>947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" thickBot="1" x14ac:dyDescent="0.35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16</v>
      </c>
      <c r="K122" s="27">
        <f t="shared" si="7"/>
        <v>12</v>
      </c>
      <c r="L122" s="28">
        <f t="shared" si="8"/>
        <v>0.5714285714285714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 t="s">
        <v>947</v>
      </c>
      <c r="X122" s="40" t="s">
        <v>947</v>
      </c>
      <c r="Y122" s="40" t="s">
        <v>947</v>
      </c>
      <c r="Z122" s="40" t="s">
        <v>947</v>
      </c>
      <c r="AA122" s="13" t="s">
        <v>947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" thickBot="1" x14ac:dyDescent="0.35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16</v>
      </c>
      <c r="K123" s="27">
        <f t="shared" si="7"/>
        <v>12</v>
      </c>
      <c r="L123" s="28">
        <f t="shared" si="8"/>
        <v>0.5714285714285714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 t="s">
        <v>947</v>
      </c>
      <c r="X123" s="40" t="s">
        <v>947</v>
      </c>
      <c r="Y123" s="40" t="s">
        <v>947</v>
      </c>
      <c r="Z123" s="40" t="s">
        <v>947</v>
      </c>
      <c r="AA123" s="13" t="s">
        <v>947</v>
      </c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" thickBot="1" x14ac:dyDescent="0.35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40"/>
      <c r="Y124" s="40"/>
      <c r="Z124" s="40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" thickBot="1" x14ac:dyDescent="0.35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40"/>
      <c r="Y125" s="40"/>
      <c r="Z125" s="40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" thickBot="1" x14ac:dyDescent="0.35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40"/>
      <c r="Y126" s="40"/>
      <c r="Z126" s="40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" thickBot="1" x14ac:dyDescent="0.35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40"/>
      <c r="Y127" s="40"/>
      <c r="Z127" s="40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" thickBot="1" x14ac:dyDescent="0.35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40"/>
      <c r="Y128" s="40"/>
      <c r="Z128" s="40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" thickBot="1" x14ac:dyDescent="0.35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15</v>
      </c>
      <c r="K129" s="27">
        <f t="shared" si="7"/>
        <v>13</v>
      </c>
      <c r="L129" s="28">
        <f t="shared" si="8"/>
        <v>0.5357142857142857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 t="s">
        <v>947</v>
      </c>
      <c r="X129" s="40" t="s">
        <v>947</v>
      </c>
      <c r="Y129" s="40" t="s">
        <v>947</v>
      </c>
      <c r="Z129" s="40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" thickBot="1" x14ac:dyDescent="0.35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15</v>
      </c>
      <c r="K130" s="27">
        <f t="shared" si="7"/>
        <v>13</v>
      </c>
      <c r="L130" s="28">
        <f t="shared" si="8"/>
        <v>0.5357142857142857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 t="s">
        <v>947</v>
      </c>
      <c r="X130" s="40" t="s">
        <v>947</v>
      </c>
      <c r="Y130" s="40" t="s">
        <v>947</v>
      </c>
      <c r="Z130" s="40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" thickBot="1" x14ac:dyDescent="0.35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40"/>
      <c r="Y131" s="40"/>
      <c r="Z131" s="40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" thickBot="1" x14ac:dyDescent="0.35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40"/>
      <c r="Y132" s="40"/>
      <c r="Z132" s="40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" thickBot="1" x14ac:dyDescent="0.35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19</v>
      </c>
      <c r="K133" s="27">
        <f t="shared" ref="K133:K196" si="10">COUNTIF(M133:AN133,"APAGADO")</f>
        <v>9</v>
      </c>
      <c r="L133" s="28">
        <f t="shared" ref="L133:L196" si="11">(J133)/(K133+J133)</f>
        <v>0.6785714285714286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 t="s">
        <v>947</v>
      </c>
      <c r="X133" s="40" t="s">
        <v>947</v>
      </c>
      <c r="Y133" s="40" t="s">
        <v>947</v>
      </c>
      <c r="Z133" s="40" t="s">
        <v>947</v>
      </c>
      <c r="AA133" s="13" t="s">
        <v>947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" thickBot="1" x14ac:dyDescent="0.35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40"/>
      <c r="Y134" s="40"/>
      <c r="Z134" s="40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" thickBot="1" x14ac:dyDescent="0.35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40"/>
      <c r="Y135" s="40"/>
      <c r="Z135" s="40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" thickBot="1" x14ac:dyDescent="0.35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40"/>
      <c r="Y136" s="40"/>
      <c r="Z136" s="40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" thickBot="1" x14ac:dyDescent="0.35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40"/>
      <c r="Y137" s="40"/>
      <c r="Z137" s="40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" thickBot="1" x14ac:dyDescent="0.35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15</v>
      </c>
      <c r="K138" s="27">
        <f t="shared" si="10"/>
        <v>13</v>
      </c>
      <c r="L138" s="28">
        <f t="shared" si="11"/>
        <v>0.5357142857142857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 t="s">
        <v>947</v>
      </c>
      <c r="X138" s="40" t="s">
        <v>947</v>
      </c>
      <c r="Y138" s="40" t="s">
        <v>947</v>
      </c>
      <c r="Z138" s="40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" thickBot="1" x14ac:dyDescent="0.35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15</v>
      </c>
      <c r="K139" s="27">
        <f t="shared" si="10"/>
        <v>13</v>
      </c>
      <c r="L139" s="28">
        <f t="shared" si="11"/>
        <v>0.5357142857142857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 t="s">
        <v>947</v>
      </c>
      <c r="X139" s="40" t="s">
        <v>947</v>
      </c>
      <c r="Y139" s="40" t="s">
        <v>947</v>
      </c>
      <c r="Z139" s="40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" thickBot="1" x14ac:dyDescent="0.35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15</v>
      </c>
      <c r="K140" s="27">
        <f t="shared" si="10"/>
        <v>13</v>
      </c>
      <c r="L140" s="28">
        <f t="shared" si="11"/>
        <v>0.5357142857142857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 t="s">
        <v>947</v>
      </c>
      <c r="X140" s="40" t="s">
        <v>947</v>
      </c>
      <c r="Y140" s="40" t="s">
        <v>947</v>
      </c>
      <c r="Z140" s="40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" thickBot="1" x14ac:dyDescent="0.35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15</v>
      </c>
      <c r="K141" s="27">
        <f t="shared" si="10"/>
        <v>13</v>
      </c>
      <c r="L141" s="28">
        <f t="shared" si="11"/>
        <v>0.5357142857142857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 t="s">
        <v>947</v>
      </c>
      <c r="X141" s="40" t="s">
        <v>947</v>
      </c>
      <c r="Y141" s="40" t="s">
        <v>947</v>
      </c>
      <c r="Z141" s="40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" thickBot="1" x14ac:dyDescent="0.35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40"/>
      <c r="Y142" s="40"/>
      <c r="Z142" s="40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" thickBot="1" x14ac:dyDescent="0.35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40"/>
      <c r="Y143" s="40"/>
      <c r="Z143" s="40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" thickBot="1" x14ac:dyDescent="0.35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40"/>
      <c r="Y144" s="40"/>
      <c r="Z144" s="40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" thickBot="1" x14ac:dyDescent="0.35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40"/>
      <c r="Y145" s="40"/>
      <c r="Z145" s="40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" thickBot="1" x14ac:dyDescent="0.35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40"/>
      <c r="Y146" s="40"/>
      <c r="Z146" s="40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" thickBot="1" x14ac:dyDescent="0.35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40"/>
      <c r="Y147" s="40"/>
      <c r="Z147" s="40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" thickBot="1" x14ac:dyDescent="0.35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40"/>
      <c r="Y148" s="40"/>
      <c r="Z148" s="40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" thickBot="1" x14ac:dyDescent="0.35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13</v>
      </c>
      <c r="K149" s="27">
        <f t="shared" si="10"/>
        <v>15</v>
      </c>
      <c r="L149" s="28">
        <f t="shared" si="11"/>
        <v>0.4642857142857143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 t="s">
        <v>947</v>
      </c>
      <c r="X149" s="40" t="s">
        <v>947</v>
      </c>
      <c r="Y149" s="40" t="s">
        <v>947</v>
      </c>
      <c r="Z149" s="40" t="s">
        <v>947</v>
      </c>
      <c r="AA149" s="13" t="s">
        <v>947</v>
      </c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" thickBot="1" x14ac:dyDescent="0.35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13</v>
      </c>
      <c r="K150" s="27">
        <f t="shared" si="10"/>
        <v>15</v>
      </c>
      <c r="L150" s="28">
        <f t="shared" si="11"/>
        <v>0.4642857142857143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 t="s">
        <v>947</v>
      </c>
      <c r="X150" s="40" t="s">
        <v>947</v>
      </c>
      <c r="Y150" s="40" t="s">
        <v>947</v>
      </c>
      <c r="Z150" s="40" t="s">
        <v>947</v>
      </c>
      <c r="AA150" s="13" t="s">
        <v>947</v>
      </c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" thickBot="1" x14ac:dyDescent="0.35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13</v>
      </c>
      <c r="K151" s="27">
        <f t="shared" si="10"/>
        <v>15</v>
      </c>
      <c r="L151" s="28">
        <f t="shared" si="11"/>
        <v>0.4642857142857143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 t="s">
        <v>947</v>
      </c>
      <c r="X151" s="40" t="s">
        <v>947</v>
      </c>
      <c r="Y151" s="40" t="s">
        <v>947</v>
      </c>
      <c r="Z151" s="40" t="s">
        <v>947</v>
      </c>
      <c r="AA151" s="13" t="s">
        <v>947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" thickBot="1" x14ac:dyDescent="0.35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40"/>
      <c r="Y152" s="40"/>
      <c r="Z152" s="40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" thickBot="1" x14ac:dyDescent="0.35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40"/>
      <c r="Y153" s="40"/>
      <c r="Z153" s="40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" thickBot="1" x14ac:dyDescent="0.35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40"/>
      <c r="Y154" s="40"/>
      <c r="Z154" s="40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" thickBot="1" x14ac:dyDescent="0.35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40"/>
      <c r="Y155" s="40"/>
      <c r="Z155" s="40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" thickBot="1" x14ac:dyDescent="0.35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40"/>
      <c r="Y156" s="40"/>
      <c r="Z156" s="40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" thickBot="1" x14ac:dyDescent="0.35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40"/>
      <c r="Y157" s="40"/>
      <c r="Z157" s="40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" thickBot="1" x14ac:dyDescent="0.35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40"/>
      <c r="Y158" s="40"/>
      <c r="Z158" s="40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" thickBot="1" x14ac:dyDescent="0.35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21</v>
      </c>
      <c r="K159" s="27">
        <f t="shared" si="10"/>
        <v>7</v>
      </c>
      <c r="L159" s="28">
        <f t="shared" si="11"/>
        <v>0.75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 t="s">
        <v>947</v>
      </c>
      <c r="X159" s="40" t="s">
        <v>947</v>
      </c>
      <c r="Y159" s="40" t="s">
        <v>947</v>
      </c>
      <c r="Z159" s="40" t="s">
        <v>947</v>
      </c>
      <c r="AA159" s="13" t="s">
        <v>947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" thickBot="1" x14ac:dyDescent="0.35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40"/>
      <c r="Y160" s="40"/>
      <c r="Z160" s="40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" thickBot="1" x14ac:dyDescent="0.35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40"/>
      <c r="Y161" s="40"/>
      <c r="Z161" s="40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" thickBot="1" x14ac:dyDescent="0.35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40"/>
      <c r="Y162" s="40"/>
      <c r="Z162" s="40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" thickBot="1" x14ac:dyDescent="0.35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40"/>
      <c r="Y163" s="40"/>
      <c r="Z163" s="40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" thickBot="1" x14ac:dyDescent="0.35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40"/>
      <c r="Y164" s="40"/>
      <c r="Z164" s="40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" thickBot="1" x14ac:dyDescent="0.35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40"/>
      <c r="Y165" s="40"/>
      <c r="Z165" s="40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" thickBot="1" x14ac:dyDescent="0.35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40"/>
      <c r="Y166" s="40"/>
      <c r="Z166" s="40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" thickBot="1" x14ac:dyDescent="0.35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40"/>
      <c r="Y167" s="40"/>
      <c r="Z167" s="40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" thickBot="1" x14ac:dyDescent="0.35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40"/>
      <c r="Y168" s="40"/>
      <c r="Z168" s="40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" thickBot="1" x14ac:dyDescent="0.35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40"/>
      <c r="Y169" s="40"/>
      <c r="Z169" s="40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" thickBot="1" x14ac:dyDescent="0.35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40"/>
      <c r="Y170" s="40"/>
      <c r="Z170" s="40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" thickBot="1" x14ac:dyDescent="0.35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19</v>
      </c>
      <c r="K171" s="27">
        <f t="shared" si="10"/>
        <v>9</v>
      </c>
      <c r="L171" s="28">
        <f t="shared" si="11"/>
        <v>0.6785714285714286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40"/>
      <c r="Y171" s="40"/>
      <c r="Z171" s="40" t="s">
        <v>947</v>
      </c>
      <c r="AA171" s="13" t="s">
        <v>947</v>
      </c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" thickBot="1" x14ac:dyDescent="0.35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40"/>
      <c r="Y172" s="40"/>
      <c r="Z172" s="40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" thickBot="1" x14ac:dyDescent="0.35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19</v>
      </c>
      <c r="K173" s="27">
        <f t="shared" si="10"/>
        <v>9</v>
      </c>
      <c r="L173" s="28">
        <f t="shared" si="11"/>
        <v>0.6785714285714286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40"/>
      <c r="Y173" s="40"/>
      <c r="Z173" s="40" t="s">
        <v>947</v>
      </c>
      <c r="AA173" s="13" t="s">
        <v>947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" thickBot="1" x14ac:dyDescent="0.35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13</v>
      </c>
      <c r="K174" s="27">
        <f t="shared" si="10"/>
        <v>15</v>
      </c>
      <c r="L174" s="28">
        <f t="shared" si="11"/>
        <v>0.4642857142857143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 t="s">
        <v>947</v>
      </c>
      <c r="X174" s="40" t="s">
        <v>947</v>
      </c>
      <c r="Y174" s="40" t="s">
        <v>947</v>
      </c>
      <c r="Z174" s="40" t="s">
        <v>947</v>
      </c>
      <c r="AA174" s="13" t="s">
        <v>947</v>
      </c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" thickBot="1" x14ac:dyDescent="0.35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40"/>
      <c r="Y175" s="40"/>
      <c r="Z175" s="40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" thickBot="1" x14ac:dyDescent="0.35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40"/>
      <c r="Y176" s="40"/>
      <c r="Z176" s="40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" thickBot="1" x14ac:dyDescent="0.35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40"/>
      <c r="Y177" s="40"/>
      <c r="Z177" s="40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" thickBot="1" x14ac:dyDescent="0.35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40"/>
      <c r="Y178" s="40"/>
      <c r="Z178" s="40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" thickBot="1" x14ac:dyDescent="0.35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40"/>
      <c r="Y179" s="40"/>
      <c r="Z179" s="40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" thickBot="1" x14ac:dyDescent="0.35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25</v>
      </c>
      <c r="K180" s="27">
        <f t="shared" si="10"/>
        <v>3</v>
      </c>
      <c r="L180" s="28">
        <f t="shared" si="11"/>
        <v>0.8928571428571429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 t="s">
        <v>947</v>
      </c>
      <c r="X180" s="40" t="s">
        <v>947</v>
      </c>
      <c r="Y180" s="40" t="s">
        <v>947</v>
      </c>
      <c r="Z180" s="40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" thickBot="1" x14ac:dyDescent="0.35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40"/>
      <c r="Y181" s="40"/>
      <c r="Z181" s="40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" thickBot="1" x14ac:dyDescent="0.35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40"/>
      <c r="Y182" s="40"/>
      <c r="Z182" s="40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" thickBot="1" x14ac:dyDescent="0.35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40"/>
      <c r="Y183" s="40"/>
      <c r="Z183" s="40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" thickBot="1" x14ac:dyDescent="0.35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40"/>
      <c r="Y184" s="40"/>
      <c r="Z184" s="40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" thickBot="1" x14ac:dyDescent="0.35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40"/>
      <c r="Y185" s="40"/>
      <c r="Z185" s="40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" thickBot="1" x14ac:dyDescent="0.35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40"/>
      <c r="Y186" s="40"/>
      <c r="Z186" s="40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" thickBot="1" x14ac:dyDescent="0.35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40"/>
      <c r="Y187" s="40"/>
      <c r="Z187" s="40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" thickBot="1" x14ac:dyDescent="0.35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14</v>
      </c>
      <c r="K188" s="27">
        <f t="shared" si="10"/>
        <v>14</v>
      </c>
      <c r="L188" s="28">
        <f t="shared" si="11"/>
        <v>0.5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 t="s">
        <v>947</v>
      </c>
      <c r="X188" s="40" t="s">
        <v>947</v>
      </c>
      <c r="Y188" s="40" t="s">
        <v>947</v>
      </c>
      <c r="Z188" s="40" t="s">
        <v>947</v>
      </c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" thickBot="1" x14ac:dyDescent="0.35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40"/>
      <c r="Y189" s="40"/>
      <c r="Z189" s="40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" thickBot="1" x14ac:dyDescent="0.35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40"/>
      <c r="Y190" s="40"/>
      <c r="Z190" s="40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" thickBot="1" x14ac:dyDescent="0.35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13</v>
      </c>
      <c r="K191" s="27">
        <f t="shared" si="10"/>
        <v>15</v>
      </c>
      <c r="L191" s="28">
        <f t="shared" si="11"/>
        <v>0.4642857142857143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 t="s">
        <v>947</v>
      </c>
      <c r="X191" s="40" t="s">
        <v>947</v>
      </c>
      <c r="Y191" s="40" t="s">
        <v>947</v>
      </c>
      <c r="Z191" s="40" t="s">
        <v>947</v>
      </c>
      <c r="AA191" s="13" t="s">
        <v>947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" thickBot="1" x14ac:dyDescent="0.35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13</v>
      </c>
      <c r="K192" s="27">
        <f t="shared" si="10"/>
        <v>15</v>
      </c>
      <c r="L192" s="28">
        <f t="shared" si="11"/>
        <v>0.4642857142857143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 t="s">
        <v>947</v>
      </c>
      <c r="X192" s="40" t="s">
        <v>947</v>
      </c>
      <c r="Y192" s="40" t="s">
        <v>947</v>
      </c>
      <c r="Z192" s="40" t="s">
        <v>947</v>
      </c>
      <c r="AA192" s="13" t="s">
        <v>947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" thickBot="1" x14ac:dyDescent="0.35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13</v>
      </c>
      <c r="K193" s="27">
        <f t="shared" si="10"/>
        <v>15</v>
      </c>
      <c r="L193" s="28">
        <f t="shared" si="11"/>
        <v>0.4642857142857143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 t="s">
        <v>947</v>
      </c>
      <c r="X193" s="40" t="s">
        <v>947</v>
      </c>
      <c r="Y193" s="40" t="s">
        <v>947</v>
      </c>
      <c r="Z193" s="40" t="s">
        <v>947</v>
      </c>
      <c r="AA193" s="13" t="s">
        <v>947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" thickBot="1" x14ac:dyDescent="0.35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13</v>
      </c>
      <c r="K194" s="27">
        <f t="shared" si="10"/>
        <v>15</v>
      </c>
      <c r="L194" s="28">
        <f t="shared" si="11"/>
        <v>0.4642857142857143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 t="s">
        <v>947</v>
      </c>
      <c r="X194" s="40" t="s">
        <v>947</v>
      </c>
      <c r="Y194" s="40" t="s">
        <v>947</v>
      </c>
      <c r="Z194" s="40" t="s">
        <v>947</v>
      </c>
      <c r="AA194" s="13" t="s">
        <v>947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" thickBot="1" x14ac:dyDescent="0.35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40"/>
      <c r="Y195" s="40"/>
      <c r="Z195" s="40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" thickBot="1" x14ac:dyDescent="0.35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40"/>
      <c r="Y196" s="40"/>
      <c r="Z196" s="40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" thickBot="1" x14ac:dyDescent="0.35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16</v>
      </c>
      <c r="K197" s="27">
        <f t="shared" ref="K197:K260" si="13">COUNTIF(M197:AN197,"APAGADO")</f>
        <v>12</v>
      </c>
      <c r="L197" s="28">
        <f t="shared" ref="L197:L260" si="14">(J197)/(K197+J197)</f>
        <v>0.5714285714285714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 t="s">
        <v>947</v>
      </c>
      <c r="X197" s="40" t="s">
        <v>947</v>
      </c>
      <c r="Y197" s="40" t="s">
        <v>947</v>
      </c>
      <c r="Z197" s="40" t="s">
        <v>947</v>
      </c>
      <c r="AA197" s="13" t="s">
        <v>947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" thickBot="1" x14ac:dyDescent="0.35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16</v>
      </c>
      <c r="K198" s="27">
        <f t="shared" si="13"/>
        <v>12</v>
      </c>
      <c r="L198" s="28">
        <f t="shared" si="14"/>
        <v>0.5714285714285714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 t="s">
        <v>947</v>
      </c>
      <c r="X198" s="40" t="s">
        <v>947</v>
      </c>
      <c r="Y198" s="40" t="s">
        <v>947</v>
      </c>
      <c r="Z198" s="40" t="s">
        <v>947</v>
      </c>
      <c r="AA198" s="13" t="s">
        <v>947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" thickBot="1" x14ac:dyDescent="0.35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40"/>
      <c r="Y199" s="40"/>
      <c r="Z199" s="40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" thickBot="1" x14ac:dyDescent="0.35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40"/>
      <c r="Y200" s="40"/>
      <c r="Z200" s="40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" thickBot="1" x14ac:dyDescent="0.35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40"/>
      <c r="Y201" s="40"/>
      <c r="Z201" s="40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" thickBot="1" x14ac:dyDescent="0.35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40"/>
      <c r="Y202" s="40"/>
      <c r="Z202" s="40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" thickBot="1" x14ac:dyDescent="0.35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40"/>
      <c r="Y203" s="40"/>
      <c r="Z203" s="40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" thickBot="1" x14ac:dyDescent="0.35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40"/>
      <c r="Y204" s="40"/>
      <c r="Z204" s="40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" thickBot="1" x14ac:dyDescent="0.35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40"/>
      <c r="Y205" s="40"/>
      <c r="Z205" s="40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" thickBot="1" x14ac:dyDescent="0.35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13</v>
      </c>
      <c r="K206" s="27">
        <f t="shared" si="13"/>
        <v>15</v>
      </c>
      <c r="L206" s="28">
        <f t="shared" si="14"/>
        <v>0.4642857142857143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 t="s">
        <v>947</v>
      </c>
      <c r="X206" s="40" t="s">
        <v>947</v>
      </c>
      <c r="Y206" s="40" t="s">
        <v>947</v>
      </c>
      <c r="Z206" s="40" t="s">
        <v>947</v>
      </c>
      <c r="AA206" s="13" t="s">
        <v>947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" thickBot="1" x14ac:dyDescent="0.35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40"/>
      <c r="Y207" s="40"/>
      <c r="Z207" s="40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" thickBot="1" x14ac:dyDescent="0.35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40"/>
      <c r="Y208" s="40"/>
      <c r="Z208" s="40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" thickBot="1" x14ac:dyDescent="0.35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40"/>
      <c r="Y209" s="40"/>
      <c r="Z209" s="40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" thickBot="1" x14ac:dyDescent="0.35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40"/>
      <c r="Y210" s="40"/>
      <c r="Z210" s="40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" thickBot="1" x14ac:dyDescent="0.35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40"/>
      <c r="Y211" s="40"/>
      <c r="Z211" s="40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" thickBot="1" x14ac:dyDescent="0.35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40"/>
      <c r="Y212" s="40"/>
      <c r="Z212" s="40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" thickBot="1" x14ac:dyDescent="0.35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40"/>
      <c r="Y213" s="40"/>
      <c r="Z213" s="40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" thickBot="1" x14ac:dyDescent="0.35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40"/>
      <c r="Y214" s="40"/>
      <c r="Z214" s="40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" thickBot="1" x14ac:dyDescent="0.35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40"/>
      <c r="Y215" s="40"/>
      <c r="Z215" s="40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" thickBot="1" x14ac:dyDescent="0.35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40"/>
      <c r="Y216" s="40"/>
      <c r="Z216" s="40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" thickBot="1" x14ac:dyDescent="0.35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40"/>
      <c r="Y217" s="40"/>
      <c r="Z217" s="40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" thickBot="1" x14ac:dyDescent="0.35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40"/>
      <c r="Y218" s="40"/>
      <c r="Z218" s="40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" thickBot="1" x14ac:dyDescent="0.35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40"/>
      <c r="Y219" s="40"/>
      <c r="Z219" s="40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" thickBot="1" x14ac:dyDescent="0.35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40"/>
      <c r="Y220" s="40"/>
      <c r="Z220" s="40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" thickBot="1" x14ac:dyDescent="0.35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40"/>
      <c r="Y221" s="40"/>
      <c r="Z221" s="40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" thickBot="1" x14ac:dyDescent="0.35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40"/>
      <c r="Y222" s="40"/>
      <c r="Z222" s="40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" thickBot="1" x14ac:dyDescent="0.35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40"/>
      <c r="Y223" s="40"/>
      <c r="Z223" s="40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" thickBot="1" x14ac:dyDescent="0.35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40"/>
      <c r="Y224" s="40"/>
      <c r="Z224" s="40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" thickBot="1" x14ac:dyDescent="0.35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40"/>
      <c r="Y225" s="40"/>
      <c r="Z225" s="40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" thickBot="1" x14ac:dyDescent="0.35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40"/>
      <c r="Y226" s="40"/>
      <c r="Z226" s="40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" thickBot="1" x14ac:dyDescent="0.35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40"/>
      <c r="Y227" s="40"/>
      <c r="Z227" s="40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" thickBot="1" x14ac:dyDescent="0.35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40"/>
      <c r="Y228" s="40"/>
      <c r="Z228" s="40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" thickBot="1" x14ac:dyDescent="0.35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40"/>
      <c r="Y229" s="40"/>
      <c r="Z229" s="40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" thickBot="1" x14ac:dyDescent="0.35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17</v>
      </c>
      <c r="K230" s="27">
        <f t="shared" si="13"/>
        <v>11</v>
      </c>
      <c r="L230" s="28">
        <f t="shared" si="14"/>
        <v>0.6071428571428571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40"/>
      <c r="Y230" s="40"/>
      <c r="Z230" s="40" t="s">
        <v>947</v>
      </c>
      <c r="AA230" s="13" t="s">
        <v>947</v>
      </c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" thickBot="1" x14ac:dyDescent="0.35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40"/>
      <c r="Y231" s="40"/>
      <c r="Z231" s="40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" thickBot="1" x14ac:dyDescent="0.35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40"/>
      <c r="Y232" s="40"/>
      <c r="Z232" s="40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" thickBot="1" x14ac:dyDescent="0.35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40"/>
      <c r="Y233" s="40"/>
      <c r="Z233" s="40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" thickBot="1" x14ac:dyDescent="0.35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40"/>
      <c r="Y234" s="40"/>
      <c r="Z234" s="40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" thickBot="1" x14ac:dyDescent="0.35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40"/>
      <c r="Y235" s="40"/>
      <c r="Z235" s="40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" thickBot="1" x14ac:dyDescent="0.35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40"/>
      <c r="Y236" s="40"/>
      <c r="Z236" s="40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" thickBot="1" x14ac:dyDescent="0.35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40"/>
      <c r="Y237" s="40"/>
      <c r="Z237" s="40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" thickBot="1" x14ac:dyDescent="0.35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13</v>
      </c>
      <c r="K238" s="27">
        <f t="shared" si="13"/>
        <v>15</v>
      </c>
      <c r="L238" s="28">
        <f t="shared" si="14"/>
        <v>0.4642857142857143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 t="s">
        <v>947</v>
      </c>
      <c r="X238" s="40" t="s">
        <v>947</v>
      </c>
      <c r="Y238" s="40" t="s">
        <v>947</v>
      </c>
      <c r="Z238" s="40" t="s">
        <v>947</v>
      </c>
      <c r="AA238" s="13" t="s">
        <v>947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" thickBot="1" x14ac:dyDescent="0.35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40"/>
      <c r="Y239" s="40"/>
      <c r="Z239" s="40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" thickBot="1" x14ac:dyDescent="0.35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40"/>
      <c r="Y240" s="40"/>
      <c r="Z240" s="40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" thickBot="1" x14ac:dyDescent="0.35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40"/>
      <c r="Y241" s="40"/>
      <c r="Z241" s="40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" thickBot="1" x14ac:dyDescent="0.35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40"/>
      <c r="Y242" s="40"/>
      <c r="Z242" s="40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" thickBot="1" x14ac:dyDescent="0.35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40"/>
      <c r="Y243" s="40"/>
      <c r="Z243" s="40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" thickBot="1" x14ac:dyDescent="0.35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40"/>
      <c r="Y244" s="40"/>
      <c r="Z244" s="40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" thickBot="1" x14ac:dyDescent="0.35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26</v>
      </c>
      <c r="K245" s="27">
        <f t="shared" si="13"/>
        <v>2</v>
      </c>
      <c r="L245" s="28">
        <f t="shared" si="14"/>
        <v>0.9285714285714286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40"/>
      <c r="Y245" s="40"/>
      <c r="Z245" s="40" t="s">
        <v>947</v>
      </c>
      <c r="AA245" s="13" t="s">
        <v>947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" thickBot="1" x14ac:dyDescent="0.35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40"/>
      <c r="Y246" s="40"/>
      <c r="Z246" s="40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" thickBot="1" x14ac:dyDescent="0.35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40"/>
      <c r="Y247" s="40"/>
      <c r="Z247" s="40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" thickBot="1" x14ac:dyDescent="0.35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26</v>
      </c>
      <c r="K248" s="27">
        <f t="shared" si="13"/>
        <v>2</v>
      </c>
      <c r="L248" s="28">
        <f t="shared" si="14"/>
        <v>0.9285714285714286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40"/>
      <c r="Y248" s="40"/>
      <c r="Z248" s="40" t="s">
        <v>947</v>
      </c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" thickBot="1" x14ac:dyDescent="0.35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13</v>
      </c>
      <c r="K249" s="27">
        <f t="shared" si="13"/>
        <v>15</v>
      </c>
      <c r="L249" s="28">
        <f t="shared" si="14"/>
        <v>0.4642857142857143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 t="s">
        <v>947</v>
      </c>
      <c r="X249" s="40" t="s">
        <v>947</v>
      </c>
      <c r="Y249" s="40" t="s">
        <v>947</v>
      </c>
      <c r="Z249" s="40" t="s">
        <v>947</v>
      </c>
      <c r="AA249" s="13" t="s">
        <v>947</v>
      </c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" thickBot="1" x14ac:dyDescent="0.35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13</v>
      </c>
      <c r="K250" s="27">
        <f t="shared" si="13"/>
        <v>15</v>
      </c>
      <c r="L250" s="28">
        <f t="shared" si="14"/>
        <v>0.4642857142857143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 t="s">
        <v>947</v>
      </c>
      <c r="X250" s="40" t="s">
        <v>947</v>
      </c>
      <c r="Y250" s="40" t="s">
        <v>947</v>
      </c>
      <c r="Z250" s="40" t="s">
        <v>947</v>
      </c>
      <c r="AA250" s="13" t="s">
        <v>947</v>
      </c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" thickBot="1" x14ac:dyDescent="0.35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13</v>
      </c>
      <c r="K251" s="27">
        <f t="shared" si="13"/>
        <v>15</v>
      </c>
      <c r="L251" s="28">
        <f t="shared" si="14"/>
        <v>0.4642857142857143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 t="s">
        <v>947</v>
      </c>
      <c r="X251" s="40" t="s">
        <v>947</v>
      </c>
      <c r="Y251" s="40" t="s">
        <v>947</v>
      </c>
      <c r="Z251" s="40" t="s">
        <v>947</v>
      </c>
      <c r="AA251" s="13" t="s">
        <v>947</v>
      </c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" thickBot="1" x14ac:dyDescent="0.35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13</v>
      </c>
      <c r="K252" s="27">
        <f t="shared" si="13"/>
        <v>15</v>
      </c>
      <c r="L252" s="28">
        <f t="shared" si="14"/>
        <v>0.4642857142857143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 t="s">
        <v>947</v>
      </c>
      <c r="X252" s="40" t="s">
        <v>947</v>
      </c>
      <c r="Y252" s="40" t="s">
        <v>947</v>
      </c>
      <c r="Z252" s="40" t="s">
        <v>947</v>
      </c>
      <c r="AA252" s="13" t="s">
        <v>947</v>
      </c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" thickBot="1" x14ac:dyDescent="0.35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40"/>
      <c r="Y253" s="40"/>
      <c r="Z253" s="40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" thickBot="1" x14ac:dyDescent="0.35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40"/>
      <c r="Y254" s="40"/>
      <c r="Z254" s="40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" thickBot="1" x14ac:dyDescent="0.35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40"/>
      <c r="Y255" s="40"/>
      <c r="Z255" s="40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" thickBot="1" x14ac:dyDescent="0.35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40"/>
      <c r="Y256" s="40"/>
      <c r="Z256" s="40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" thickBot="1" x14ac:dyDescent="0.35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40"/>
      <c r="Y257" s="40"/>
      <c r="Z257" s="40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" thickBot="1" x14ac:dyDescent="0.35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40"/>
      <c r="Y258" s="40"/>
      <c r="Z258" s="40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" thickBot="1" x14ac:dyDescent="0.35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13</v>
      </c>
      <c r="K259" s="27">
        <f t="shared" si="13"/>
        <v>15</v>
      </c>
      <c r="L259" s="28">
        <f t="shared" si="14"/>
        <v>0.4642857142857143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 t="s">
        <v>947</v>
      </c>
      <c r="X259" s="40" t="s">
        <v>947</v>
      </c>
      <c r="Y259" s="40" t="s">
        <v>947</v>
      </c>
      <c r="Z259" s="40" t="s">
        <v>947</v>
      </c>
      <c r="AA259" s="13" t="s">
        <v>947</v>
      </c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" thickBot="1" x14ac:dyDescent="0.35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40"/>
      <c r="Y260" s="40"/>
      <c r="Z260" s="40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" thickBot="1" x14ac:dyDescent="0.35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40"/>
      <c r="Y261" s="40"/>
      <c r="Z261" s="40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" thickBot="1" x14ac:dyDescent="0.35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40"/>
      <c r="Y262" s="40"/>
      <c r="Z262" s="40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" thickBot="1" x14ac:dyDescent="0.35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40"/>
      <c r="Y263" s="40"/>
      <c r="Z263" s="40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" thickBot="1" x14ac:dyDescent="0.35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40"/>
      <c r="Y264" s="40"/>
      <c r="Z264" s="40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" thickBot="1" x14ac:dyDescent="0.35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40"/>
      <c r="Y265" s="40"/>
      <c r="Z265" s="40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" thickBot="1" x14ac:dyDescent="0.35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40"/>
      <c r="Y266" s="40"/>
      <c r="Z266" s="40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" thickBot="1" x14ac:dyDescent="0.35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40"/>
      <c r="Y267" s="40"/>
      <c r="Z267" s="40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" thickBot="1" x14ac:dyDescent="0.35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40"/>
      <c r="Y268" s="40"/>
      <c r="Z268" s="40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" thickBot="1" x14ac:dyDescent="0.35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40"/>
      <c r="Y269" s="40"/>
      <c r="Z269" s="40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" thickBot="1" x14ac:dyDescent="0.35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14</v>
      </c>
      <c r="K270" s="27">
        <f t="shared" si="16"/>
        <v>14</v>
      </c>
      <c r="L270" s="28">
        <f t="shared" si="17"/>
        <v>0.5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 t="s">
        <v>947</v>
      </c>
      <c r="X270" s="40" t="s">
        <v>947</v>
      </c>
      <c r="Y270" s="40" t="s">
        <v>947</v>
      </c>
      <c r="Z270" s="40" t="s">
        <v>947</v>
      </c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" thickBot="1" x14ac:dyDescent="0.35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13</v>
      </c>
      <c r="K271" s="27">
        <f t="shared" si="16"/>
        <v>15</v>
      </c>
      <c r="L271" s="28">
        <f t="shared" si="17"/>
        <v>0.4642857142857143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 t="s">
        <v>947</v>
      </c>
      <c r="X271" s="40" t="s">
        <v>947</v>
      </c>
      <c r="Y271" s="40" t="s">
        <v>947</v>
      </c>
      <c r="Z271" s="40" t="s">
        <v>947</v>
      </c>
      <c r="AA271" s="13" t="s">
        <v>947</v>
      </c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" thickBot="1" x14ac:dyDescent="0.35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13</v>
      </c>
      <c r="K272" s="27">
        <f t="shared" si="16"/>
        <v>15</v>
      </c>
      <c r="L272" s="28">
        <f t="shared" si="17"/>
        <v>0.4642857142857143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 t="s">
        <v>947</v>
      </c>
      <c r="X272" s="40" t="s">
        <v>947</v>
      </c>
      <c r="Y272" s="40" t="s">
        <v>947</v>
      </c>
      <c r="Z272" s="40" t="s">
        <v>947</v>
      </c>
      <c r="AA272" s="13" t="s">
        <v>947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" thickBot="1" x14ac:dyDescent="0.35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40"/>
      <c r="Y273" s="40"/>
      <c r="Z273" s="40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" thickBot="1" x14ac:dyDescent="0.35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40"/>
      <c r="Y274" s="40"/>
      <c r="Z274" s="40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" thickBot="1" x14ac:dyDescent="0.35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40"/>
      <c r="Y275" s="40"/>
      <c r="Z275" s="40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" thickBot="1" x14ac:dyDescent="0.35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40"/>
      <c r="Y276" s="40"/>
      <c r="Z276" s="40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" thickBot="1" x14ac:dyDescent="0.35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13</v>
      </c>
      <c r="K277" s="27">
        <f t="shared" si="16"/>
        <v>15</v>
      </c>
      <c r="L277" s="28">
        <f t="shared" si="17"/>
        <v>0.4642857142857143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 t="s">
        <v>947</v>
      </c>
      <c r="X277" s="40" t="s">
        <v>947</v>
      </c>
      <c r="Y277" s="40" t="s">
        <v>947</v>
      </c>
      <c r="Z277" s="40" t="s">
        <v>947</v>
      </c>
      <c r="AA277" s="13" t="s">
        <v>947</v>
      </c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" thickBot="1" x14ac:dyDescent="0.35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40"/>
      <c r="Y278" s="40"/>
      <c r="Z278" s="40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" thickBot="1" x14ac:dyDescent="0.35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13</v>
      </c>
      <c r="K279" s="27">
        <f t="shared" si="16"/>
        <v>15</v>
      </c>
      <c r="L279" s="28">
        <f t="shared" si="17"/>
        <v>0.4642857142857143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 t="s">
        <v>947</v>
      </c>
      <c r="X279" s="40" t="s">
        <v>947</v>
      </c>
      <c r="Y279" s="40" t="s">
        <v>947</v>
      </c>
      <c r="Z279" s="40" t="s">
        <v>947</v>
      </c>
      <c r="AA279" s="13" t="s">
        <v>947</v>
      </c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" thickBot="1" x14ac:dyDescent="0.35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13</v>
      </c>
      <c r="K280" s="27">
        <f t="shared" si="16"/>
        <v>15</v>
      </c>
      <c r="L280" s="28">
        <f t="shared" si="17"/>
        <v>0.4642857142857143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 t="s">
        <v>947</v>
      </c>
      <c r="X280" s="40" t="s">
        <v>947</v>
      </c>
      <c r="Y280" s="40" t="s">
        <v>947</v>
      </c>
      <c r="Z280" s="40" t="s">
        <v>947</v>
      </c>
      <c r="AA280" s="13" t="s">
        <v>947</v>
      </c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" thickBot="1" x14ac:dyDescent="0.35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40"/>
      <c r="Y281" s="40"/>
      <c r="Z281" s="40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" thickBot="1" x14ac:dyDescent="0.35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40"/>
      <c r="Y282" s="40"/>
      <c r="Z282" s="40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" thickBot="1" x14ac:dyDescent="0.35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40"/>
      <c r="Y283" s="40"/>
      <c r="Z283" s="40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" thickBot="1" x14ac:dyDescent="0.35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40"/>
      <c r="Y284" s="40"/>
      <c r="Z284" s="40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" thickBot="1" x14ac:dyDescent="0.35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40"/>
      <c r="Y285" s="40"/>
      <c r="Z285" s="40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" thickBot="1" x14ac:dyDescent="0.35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40"/>
      <c r="Y286" s="40"/>
      <c r="Z286" s="40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95" customHeight="1" thickBot="1" x14ac:dyDescent="0.35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19</v>
      </c>
      <c r="K287" s="27">
        <f t="shared" si="16"/>
        <v>9</v>
      </c>
      <c r="L287" s="28">
        <f t="shared" si="17"/>
        <v>0.6785714285714286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 t="s">
        <v>947</v>
      </c>
      <c r="X287" s="40" t="s">
        <v>947</v>
      </c>
      <c r="Y287" s="40" t="s">
        <v>947</v>
      </c>
      <c r="Z287" s="40" t="s">
        <v>947</v>
      </c>
      <c r="AA287" s="13" t="s">
        <v>947</v>
      </c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" thickBot="1" x14ac:dyDescent="0.35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19</v>
      </c>
      <c r="K288" s="27">
        <f t="shared" si="16"/>
        <v>9</v>
      </c>
      <c r="L288" s="28">
        <f t="shared" si="17"/>
        <v>0.6785714285714286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 t="s">
        <v>947</v>
      </c>
      <c r="X288" s="40" t="s">
        <v>947</v>
      </c>
      <c r="Y288" s="40" t="s">
        <v>947</v>
      </c>
      <c r="Z288" s="40" t="s">
        <v>947</v>
      </c>
      <c r="AA288" s="13" t="s">
        <v>947</v>
      </c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" thickBot="1" x14ac:dyDescent="0.35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19</v>
      </c>
      <c r="K289" s="27">
        <f t="shared" si="16"/>
        <v>9</v>
      </c>
      <c r="L289" s="28">
        <f t="shared" si="17"/>
        <v>0.6785714285714286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 t="s">
        <v>947</v>
      </c>
      <c r="X289" s="40" t="s">
        <v>947</v>
      </c>
      <c r="Y289" s="40" t="s">
        <v>947</v>
      </c>
      <c r="Z289" s="40" t="s">
        <v>947</v>
      </c>
      <c r="AA289" s="13" t="s">
        <v>947</v>
      </c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" thickBot="1" x14ac:dyDescent="0.35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19</v>
      </c>
      <c r="K290" s="27">
        <f t="shared" si="16"/>
        <v>9</v>
      </c>
      <c r="L290" s="28">
        <f t="shared" si="17"/>
        <v>0.6785714285714286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 t="s">
        <v>947</v>
      </c>
      <c r="X290" s="40" t="s">
        <v>947</v>
      </c>
      <c r="Y290" s="40" t="s">
        <v>947</v>
      </c>
      <c r="Z290" s="40" t="s">
        <v>947</v>
      </c>
      <c r="AA290" s="13" t="s">
        <v>947</v>
      </c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" thickBot="1" x14ac:dyDescent="0.35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19</v>
      </c>
      <c r="K291" s="27">
        <f t="shared" si="16"/>
        <v>9</v>
      </c>
      <c r="L291" s="28">
        <f t="shared" si="17"/>
        <v>0.6785714285714286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 t="s">
        <v>947</v>
      </c>
      <c r="X291" s="40" t="s">
        <v>947</v>
      </c>
      <c r="Y291" s="40" t="s">
        <v>947</v>
      </c>
      <c r="Z291" s="40" t="s">
        <v>947</v>
      </c>
      <c r="AA291" s="13" t="s">
        <v>947</v>
      </c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" thickBot="1" x14ac:dyDescent="0.35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19</v>
      </c>
      <c r="K292" s="27">
        <f t="shared" si="16"/>
        <v>9</v>
      </c>
      <c r="L292" s="28">
        <f t="shared" si="17"/>
        <v>0.6785714285714286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 t="s">
        <v>947</v>
      </c>
      <c r="X292" s="40" t="s">
        <v>947</v>
      </c>
      <c r="Y292" s="40" t="s">
        <v>947</v>
      </c>
      <c r="Z292" s="40" t="s">
        <v>947</v>
      </c>
      <c r="AA292" s="13" t="s">
        <v>947</v>
      </c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" thickBot="1" x14ac:dyDescent="0.35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19</v>
      </c>
      <c r="K293" s="27">
        <f t="shared" si="16"/>
        <v>9</v>
      </c>
      <c r="L293" s="28">
        <f t="shared" si="17"/>
        <v>0.6785714285714286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 t="s">
        <v>947</v>
      </c>
      <c r="X293" s="40" t="s">
        <v>947</v>
      </c>
      <c r="Y293" s="40" t="s">
        <v>947</v>
      </c>
      <c r="Z293" s="40" t="s">
        <v>947</v>
      </c>
      <c r="AA293" s="13" t="s">
        <v>947</v>
      </c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" thickBot="1" x14ac:dyDescent="0.35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40"/>
      <c r="Y294" s="40"/>
      <c r="Z294" s="40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" thickBot="1" x14ac:dyDescent="0.35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25</v>
      </c>
      <c r="K295" s="27">
        <f t="shared" si="16"/>
        <v>3</v>
      </c>
      <c r="L295" s="28">
        <f t="shared" si="17"/>
        <v>0.8928571428571429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40"/>
      <c r="Y295" s="40"/>
      <c r="Z295" s="40"/>
      <c r="AA295" s="13" t="s">
        <v>947</v>
      </c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" thickBot="1" x14ac:dyDescent="0.35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40"/>
      <c r="Y296" s="40"/>
      <c r="Z296" s="40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" thickBot="1" x14ac:dyDescent="0.35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40"/>
      <c r="Y297" s="40"/>
      <c r="Z297" s="40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" thickBot="1" x14ac:dyDescent="0.35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40"/>
      <c r="Y298" s="40"/>
      <c r="Z298" s="40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" thickBot="1" x14ac:dyDescent="0.35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40"/>
      <c r="Y299" s="40"/>
      <c r="Z299" s="40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" thickBot="1" x14ac:dyDescent="0.35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40"/>
      <c r="Y300" s="40"/>
      <c r="Z300" s="40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" thickBot="1" x14ac:dyDescent="0.35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40"/>
      <c r="Y301" s="40"/>
      <c r="Z301" s="40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" thickBot="1" x14ac:dyDescent="0.35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15</v>
      </c>
      <c r="K302" s="27">
        <f t="shared" si="16"/>
        <v>13</v>
      </c>
      <c r="L302" s="28">
        <f t="shared" si="17"/>
        <v>0.5357142857142857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 t="s">
        <v>947</v>
      </c>
      <c r="X302" s="40" t="s">
        <v>947</v>
      </c>
      <c r="Y302" s="40" t="s">
        <v>947</v>
      </c>
      <c r="Z302" s="40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" thickBot="1" x14ac:dyDescent="0.35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15</v>
      </c>
      <c r="K303" s="27">
        <f t="shared" si="16"/>
        <v>13</v>
      </c>
      <c r="L303" s="28">
        <f t="shared" si="17"/>
        <v>0.5357142857142857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 t="s">
        <v>947</v>
      </c>
      <c r="X303" s="40" t="s">
        <v>947</v>
      </c>
      <c r="Y303" s="40" t="s">
        <v>947</v>
      </c>
      <c r="Z303" s="40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" thickBot="1" x14ac:dyDescent="0.35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15</v>
      </c>
      <c r="K304" s="27">
        <f t="shared" si="16"/>
        <v>13</v>
      </c>
      <c r="L304" s="28">
        <f t="shared" si="17"/>
        <v>0.5357142857142857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 t="s">
        <v>947</v>
      </c>
      <c r="X304" s="40" t="s">
        <v>947</v>
      </c>
      <c r="Y304" s="40" t="s">
        <v>947</v>
      </c>
      <c r="Z304" s="40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" thickBot="1" x14ac:dyDescent="0.35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15</v>
      </c>
      <c r="K305" s="27">
        <f t="shared" si="16"/>
        <v>13</v>
      </c>
      <c r="L305" s="28">
        <f t="shared" si="17"/>
        <v>0.5357142857142857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 t="s">
        <v>947</v>
      </c>
      <c r="X305" s="40" t="s">
        <v>947</v>
      </c>
      <c r="Y305" s="40" t="s">
        <v>947</v>
      </c>
      <c r="Z305" s="40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" thickBot="1" x14ac:dyDescent="0.35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40"/>
      <c r="Y306" s="40"/>
      <c r="Z306" s="40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" thickBot="1" x14ac:dyDescent="0.35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40"/>
      <c r="Y307" s="40"/>
      <c r="Z307" s="40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" thickBot="1" x14ac:dyDescent="0.35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40"/>
      <c r="Y308" s="40"/>
      <c r="Z308" s="40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" thickBot="1" x14ac:dyDescent="0.35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40"/>
      <c r="Y309" s="40"/>
      <c r="Z309" s="40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" thickBot="1" x14ac:dyDescent="0.35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40"/>
      <c r="Y310" s="40"/>
      <c r="Z310" s="40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" thickBot="1" x14ac:dyDescent="0.35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40"/>
      <c r="Y311" s="40"/>
      <c r="Z311" s="40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" thickBot="1" x14ac:dyDescent="0.35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40"/>
      <c r="Y312" s="40"/>
      <c r="Z312" s="40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" thickBot="1" x14ac:dyDescent="0.35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40"/>
      <c r="Y313" s="40"/>
      <c r="Z313" s="40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" thickBot="1" x14ac:dyDescent="0.35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40"/>
      <c r="Y314" s="40"/>
      <c r="Z314" s="40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" thickBot="1" x14ac:dyDescent="0.35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40"/>
      <c r="Y315" s="40"/>
      <c r="Z315" s="40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" thickBot="1" x14ac:dyDescent="0.35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40"/>
      <c r="Y316" s="40"/>
      <c r="Z316" s="40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" thickBot="1" x14ac:dyDescent="0.35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40"/>
      <c r="Y317" s="40"/>
      <c r="Z317" s="40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" thickBot="1" x14ac:dyDescent="0.35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40"/>
      <c r="Y318" s="40"/>
      <c r="Z318" s="40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" thickBot="1" x14ac:dyDescent="0.35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13</v>
      </c>
      <c r="K319" s="27">
        <f t="shared" si="16"/>
        <v>15</v>
      </c>
      <c r="L319" s="28">
        <f t="shared" si="17"/>
        <v>0.4642857142857143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 t="s">
        <v>947</v>
      </c>
      <c r="X319" s="40" t="s">
        <v>947</v>
      </c>
      <c r="Y319" s="40" t="s">
        <v>947</v>
      </c>
      <c r="Z319" s="40" t="s">
        <v>947</v>
      </c>
      <c r="AA319" s="13" t="s">
        <v>947</v>
      </c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" thickBot="1" x14ac:dyDescent="0.35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13</v>
      </c>
      <c r="K320" s="27">
        <f t="shared" si="16"/>
        <v>15</v>
      </c>
      <c r="L320" s="28">
        <f t="shared" si="17"/>
        <v>0.4642857142857143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 t="s">
        <v>947</v>
      </c>
      <c r="X320" s="40" t="s">
        <v>947</v>
      </c>
      <c r="Y320" s="40" t="s">
        <v>947</v>
      </c>
      <c r="Z320" s="40" t="s">
        <v>947</v>
      </c>
      <c r="AA320" s="13" t="s">
        <v>947</v>
      </c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" thickBot="1" x14ac:dyDescent="0.35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40"/>
      <c r="Y321" s="40"/>
      <c r="Z321" s="40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" thickBot="1" x14ac:dyDescent="0.35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40"/>
      <c r="Y322" s="40"/>
      <c r="Z322" s="40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" thickBot="1" x14ac:dyDescent="0.35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40"/>
      <c r="Y323" s="40"/>
      <c r="Z323" s="40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" thickBot="1" x14ac:dyDescent="0.35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40"/>
      <c r="Y324" s="40"/>
      <c r="Z324" s="40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" thickBot="1" x14ac:dyDescent="0.35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40"/>
      <c r="Y325" s="40"/>
      <c r="Z325" s="40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" thickBot="1" x14ac:dyDescent="0.35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40"/>
      <c r="Y326" s="40"/>
      <c r="Z326" s="40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" thickBot="1" x14ac:dyDescent="0.35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40"/>
      <c r="Y327" s="40"/>
      <c r="Z327" s="40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" thickBot="1" x14ac:dyDescent="0.35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40"/>
      <c r="Y328" s="40"/>
      <c r="Z328" s="40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" thickBot="1" x14ac:dyDescent="0.35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40"/>
      <c r="Y329" s="40"/>
      <c r="Z329" s="40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" thickBot="1" x14ac:dyDescent="0.35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40"/>
      <c r="Y330" s="40"/>
      <c r="Z330" s="40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" thickBot="1" x14ac:dyDescent="0.35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26</v>
      </c>
      <c r="K331" s="27">
        <f t="shared" si="19"/>
        <v>2</v>
      </c>
      <c r="L331" s="28">
        <f t="shared" si="20"/>
        <v>0.9285714285714286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40"/>
      <c r="Y331" s="40"/>
      <c r="Z331" s="40" t="s">
        <v>947</v>
      </c>
      <c r="AA331" s="13" t="s">
        <v>947</v>
      </c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" thickBot="1" x14ac:dyDescent="0.35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40"/>
      <c r="Y332" s="40"/>
      <c r="Z332" s="40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" thickBot="1" x14ac:dyDescent="0.35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40"/>
      <c r="Y333" s="40"/>
      <c r="Z333" s="40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" thickBot="1" x14ac:dyDescent="0.35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40"/>
      <c r="Y334" s="40"/>
      <c r="Z334" s="40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" thickBot="1" x14ac:dyDescent="0.35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40"/>
      <c r="Y335" s="40"/>
      <c r="Z335" s="40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" thickBot="1" x14ac:dyDescent="0.35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40"/>
      <c r="Y336" s="40"/>
      <c r="Z336" s="40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" thickBot="1" x14ac:dyDescent="0.35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40"/>
      <c r="Y337" s="40"/>
      <c r="Z337" s="40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" thickBot="1" x14ac:dyDescent="0.35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19</v>
      </c>
      <c r="K338" s="27">
        <f t="shared" si="19"/>
        <v>9</v>
      </c>
      <c r="L338" s="28">
        <f t="shared" si="20"/>
        <v>0.6785714285714286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 t="s">
        <v>947</v>
      </c>
      <c r="X338" s="40" t="s">
        <v>947</v>
      </c>
      <c r="Y338" s="40" t="s">
        <v>947</v>
      </c>
      <c r="Z338" s="40" t="s">
        <v>947</v>
      </c>
      <c r="AA338" s="13" t="s">
        <v>947</v>
      </c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" thickBot="1" x14ac:dyDescent="0.35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40"/>
      <c r="Y339" s="40"/>
      <c r="Z339" s="40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" thickBot="1" x14ac:dyDescent="0.35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40"/>
      <c r="Y340" s="40"/>
      <c r="Z340" s="40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" thickBot="1" x14ac:dyDescent="0.35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19</v>
      </c>
      <c r="K341" s="27">
        <f t="shared" si="19"/>
        <v>9</v>
      </c>
      <c r="L341" s="28">
        <f t="shared" si="20"/>
        <v>0.6785714285714286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 t="s">
        <v>947</v>
      </c>
      <c r="X341" s="40" t="s">
        <v>947</v>
      </c>
      <c r="Y341" s="40" t="s">
        <v>947</v>
      </c>
      <c r="Z341" s="40" t="s">
        <v>947</v>
      </c>
      <c r="AA341" s="13" t="s">
        <v>947</v>
      </c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" thickBot="1" x14ac:dyDescent="0.35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40"/>
      <c r="Y342" s="40"/>
      <c r="Z342" s="40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" thickBot="1" x14ac:dyDescent="0.35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40"/>
      <c r="Y343" s="40"/>
      <c r="Z343" s="40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" thickBot="1" x14ac:dyDescent="0.35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40"/>
      <c r="Y344" s="40"/>
      <c r="Z344" s="40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" thickBot="1" x14ac:dyDescent="0.35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13</v>
      </c>
      <c r="K345" s="27">
        <f t="shared" si="19"/>
        <v>15</v>
      </c>
      <c r="L345" s="28">
        <f t="shared" si="20"/>
        <v>0.4642857142857143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 t="s">
        <v>947</v>
      </c>
      <c r="X345" s="40" t="s">
        <v>947</v>
      </c>
      <c r="Y345" s="40" t="s">
        <v>947</v>
      </c>
      <c r="Z345" s="40" t="s">
        <v>947</v>
      </c>
      <c r="AA345" s="13" t="s">
        <v>947</v>
      </c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" thickBot="1" x14ac:dyDescent="0.35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13</v>
      </c>
      <c r="K346" s="27">
        <f t="shared" si="19"/>
        <v>15</v>
      </c>
      <c r="L346" s="28">
        <f t="shared" si="20"/>
        <v>0.4642857142857143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 t="s">
        <v>947</v>
      </c>
      <c r="X346" s="40" t="s">
        <v>947</v>
      </c>
      <c r="Y346" s="40" t="s">
        <v>947</v>
      </c>
      <c r="Z346" s="40" t="s">
        <v>947</v>
      </c>
      <c r="AA346" s="13" t="s">
        <v>947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" thickBot="1" x14ac:dyDescent="0.35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13</v>
      </c>
      <c r="K347" s="27">
        <f t="shared" si="19"/>
        <v>15</v>
      </c>
      <c r="L347" s="28">
        <f t="shared" si="20"/>
        <v>0.4642857142857143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 t="s">
        <v>947</v>
      </c>
      <c r="X347" s="40" t="s">
        <v>947</v>
      </c>
      <c r="Y347" s="40" t="s">
        <v>947</v>
      </c>
      <c r="Z347" s="40" t="s">
        <v>947</v>
      </c>
      <c r="AA347" s="13" t="s">
        <v>947</v>
      </c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" thickBot="1" x14ac:dyDescent="0.35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40"/>
      <c r="Y348" s="40"/>
      <c r="Z348" s="40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" thickBot="1" x14ac:dyDescent="0.35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13</v>
      </c>
      <c r="K349" s="27">
        <f t="shared" si="19"/>
        <v>15</v>
      </c>
      <c r="L349" s="28">
        <f t="shared" si="20"/>
        <v>0.4642857142857143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 t="s">
        <v>947</v>
      </c>
      <c r="X349" s="40" t="s">
        <v>947</v>
      </c>
      <c r="Y349" s="40" t="s">
        <v>947</v>
      </c>
      <c r="Z349" s="40" t="s">
        <v>947</v>
      </c>
      <c r="AA349" s="14" t="s">
        <v>947</v>
      </c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" thickBot="1" x14ac:dyDescent="0.35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40"/>
      <c r="Y350" s="40"/>
      <c r="Z350" s="40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" thickBot="1" x14ac:dyDescent="0.35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40"/>
      <c r="Y351" s="40"/>
      <c r="Z351" s="40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" thickBot="1" x14ac:dyDescent="0.35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40"/>
      <c r="Y352" s="40"/>
      <c r="Z352" s="40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" thickBot="1" x14ac:dyDescent="0.35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25</v>
      </c>
      <c r="K353" s="27">
        <f t="shared" si="19"/>
        <v>3</v>
      </c>
      <c r="L353" s="28">
        <f t="shared" si="20"/>
        <v>0.8928571428571429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40"/>
      <c r="Y353" s="40"/>
      <c r="Z353" s="40" t="s">
        <v>947</v>
      </c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" thickBot="1" x14ac:dyDescent="0.35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40"/>
      <c r="Y354" s="40"/>
      <c r="Z354" s="40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" thickBot="1" x14ac:dyDescent="0.35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40"/>
      <c r="Y355" s="40"/>
      <c r="Z355" s="40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" thickBot="1" x14ac:dyDescent="0.35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40"/>
      <c r="Y356" s="40"/>
      <c r="Z356" s="40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" thickBot="1" x14ac:dyDescent="0.35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40"/>
      <c r="Y357" s="40"/>
      <c r="Z357" s="40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" thickBot="1" x14ac:dyDescent="0.35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40"/>
      <c r="Y358" s="40"/>
      <c r="Z358" s="40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" thickBot="1" x14ac:dyDescent="0.35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14</v>
      </c>
      <c r="K359" s="27">
        <f t="shared" si="19"/>
        <v>14</v>
      </c>
      <c r="L359" s="28">
        <f t="shared" si="20"/>
        <v>0.5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 t="s">
        <v>947</v>
      </c>
      <c r="X359" s="40" t="s">
        <v>947</v>
      </c>
      <c r="Y359" s="40" t="s">
        <v>947</v>
      </c>
      <c r="Z359" s="40" t="s">
        <v>947</v>
      </c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" thickBot="1" x14ac:dyDescent="0.35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14</v>
      </c>
      <c r="K360" s="27">
        <f t="shared" si="19"/>
        <v>14</v>
      </c>
      <c r="L360" s="28">
        <f t="shared" si="20"/>
        <v>0.5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 t="s">
        <v>947</v>
      </c>
      <c r="X360" s="40" t="s">
        <v>947</v>
      </c>
      <c r="Y360" s="40" t="s">
        <v>947</v>
      </c>
      <c r="Z360" s="40" t="s">
        <v>947</v>
      </c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" thickBot="1" x14ac:dyDescent="0.35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40"/>
      <c r="Y361" s="40"/>
      <c r="Z361" s="40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" thickBot="1" x14ac:dyDescent="0.35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40"/>
      <c r="Y362" s="40"/>
      <c r="Z362" s="40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" thickBot="1" x14ac:dyDescent="0.35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40"/>
      <c r="Y363" s="40"/>
      <c r="Z363" s="40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" thickBot="1" x14ac:dyDescent="0.35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40"/>
      <c r="Y364" s="40"/>
      <c r="Z364" s="40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" thickBot="1" x14ac:dyDescent="0.35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40"/>
      <c r="Y365" s="40"/>
      <c r="Z365" s="40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" thickBot="1" x14ac:dyDescent="0.35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40"/>
      <c r="Y366" s="40"/>
      <c r="Z366" s="40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" thickBot="1" x14ac:dyDescent="0.35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13</v>
      </c>
      <c r="K367" s="27">
        <f t="shared" si="19"/>
        <v>15</v>
      </c>
      <c r="L367" s="28">
        <f t="shared" si="20"/>
        <v>0.4642857142857143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 t="s">
        <v>947</v>
      </c>
      <c r="X367" s="40" t="s">
        <v>947</v>
      </c>
      <c r="Y367" s="40" t="s">
        <v>947</v>
      </c>
      <c r="Z367" s="40" t="s">
        <v>947</v>
      </c>
      <c r="AA367" s="14" t="s">
        <v>947</v>
      </c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" thickBot="1" x14ac:dyDescent="0.35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40"/>
      <c r="Y368" s="40"/>
      <c r="Z368" s="40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3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4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3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4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3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4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3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4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3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4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3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4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3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4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3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4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3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4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3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4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3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4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3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4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3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4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3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4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3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4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3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4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3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4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3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4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3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4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3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4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3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4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3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4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3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4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3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4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3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4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3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4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3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4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3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4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3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4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3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4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3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4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3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4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3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4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3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4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3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4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3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4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3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4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3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4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3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4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3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4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3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4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3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4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3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4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3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4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3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4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3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4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3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4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3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4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3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4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3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4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3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4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3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4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3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4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3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4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3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4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3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4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3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4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3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4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3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4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3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4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3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4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3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4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3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4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3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4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3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4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3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4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3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4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3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4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3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4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3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4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3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4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3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4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3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4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3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4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3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4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3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4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3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4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3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4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3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4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3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4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3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4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3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4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3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4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3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4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3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4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3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4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3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4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3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4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3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4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3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4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3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4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3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4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3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4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3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4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3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4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3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4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3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4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3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4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3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4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3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4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3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4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3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4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3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4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3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4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3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4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3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4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3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4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3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4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3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4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3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4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3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4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3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4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3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4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3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4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3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4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3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4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3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4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3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4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3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4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3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4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3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4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3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4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3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4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3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4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3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4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3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4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3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4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3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4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3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4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3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4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3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4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3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4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3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4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3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4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3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4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3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4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3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4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3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4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3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4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3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4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3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4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3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4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3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4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3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4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3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4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3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4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3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4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3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4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3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4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3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4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3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4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3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4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3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4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3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4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3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4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3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4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3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4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3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4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3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4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3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4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3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4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3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4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3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4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3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4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3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4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3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4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3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4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3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4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3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4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3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4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3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4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3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4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3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4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3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4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3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4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3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4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3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4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3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4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3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4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3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4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3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4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3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4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3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4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3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4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3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4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3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4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3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4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3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4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3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4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3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4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3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4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3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4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3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4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3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4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3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4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3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4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3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4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3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4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3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4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3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4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3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4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3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4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3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4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3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4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3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4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3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4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3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4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3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4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3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4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3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4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3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4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3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4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3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4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3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4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3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4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3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4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3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4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3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4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3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4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3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4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3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4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3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4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3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4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3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4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3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4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3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4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3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4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3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4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3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4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3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4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3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4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3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4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3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4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3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4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3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4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3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4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3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4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3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4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3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4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3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4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3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4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3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4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3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4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3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4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3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4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3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4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3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4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3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4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3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4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3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4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3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4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3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4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3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4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3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4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3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4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3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4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3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4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3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4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3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4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3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4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3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4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3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4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3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4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3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4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3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4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3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4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3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4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3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4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3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4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3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4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3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4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3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4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3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4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3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4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3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4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3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4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3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4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3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4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3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4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3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4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3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4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3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4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3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4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3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4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3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4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3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4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3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4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3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Z656" s="41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3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Z657" s="41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3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Z658" s="41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3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Z659" s="41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3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Z660" s="41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3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Z661" s="41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3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Z662" s="41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3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Z663" s="41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3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Z664" s="41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3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Z665" s="41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3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Z666" s="41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3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Z667" s="41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3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Z668" s="41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3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Z669" s="41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3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3">
      <c r="D671" s="14"/>
      <c r="E671" s="14"/>
      <c r="F671" s="14"/>
      <c r="G671" s="14"/>
      <c r="H671" s="14"/>
      <c r="I671" s="14"/>
      <c r="L671" s="33"/>
    </row>
    <row r="672" spans="4:40" x14ac:dyDescent="0.3">
      <c r="D672" s="14"/>
      <c r="E672" s="14"/>
      <c r="F672" s="14"/>
      <c r="G672" s="14"/>
      <c r="H672" s="14"/>
      <c r="I672" s="14"/>
      <c r="L672" s="33"/>
    </row>
    <row r="673" spans="4:12" x14ac:dyDescent="0.3">
      <c r="D673" s="14"/>
      <c r="E673" s="14"/>
      <c r="F673" s="14"/>
      <c r="G673" s="14"/>
      <c r="H673" s="14"/>
      <c r="I673" s="14"/>
      <c r="L673" s="33"/>
    </row>
    <row r="674" spans="4:12" x14ac:dyDescent="0.3">
      <c r="L674" s="33"/>
    </row>
  </sheetData>
  <conditionalFormatting sqref="L1:L368 T96:V368">
    <cfRule type="cellIs" dxfId="855" priority="1296" operator="lessThan">
      <formula>0.8</formula>
    </cfRule>
    <cfRule type="cellIs" dxfId="854" priority="1297" operator="greaterThan">
      <formula>0.8</formula>
    </cfRule>
  </conditionalFormatting>
  <conditionalFormatting sqref="D1:I3 D282:I332 D236:I236 D243:I279 D5:I32 D36:I91 D94:I230 D335:I362 D367:I1048576">
    <cfRule type="containsText" dxfId="853" priority="1295" operator="containsText" text="Radio">
      <formula>NOT(ISERROR(SEARCH("Radio",D1)))</formula>
    </cfRule>
  </conditionalFormatting>
  <conditionalFormatting sqref="Y369:Y1048576 T96:V1048576">
    <cfRule type="notContainsText" dxfId="852" priority="1291" operator="notContains" text="Caida">
      <formula>ISERROR(SEARCH("Caida",T96))</formula>
    </cfRule>
    <cfRule type="containsText" dxfId="851" priority="1292" operator="containsText" text="Caida">
      <formula>NOT(ISERROR(SEARCH("Caida",T96)))</formula>
    </cfRule>
  </conditionalFormatting>
  <conditionalFormatting sqref="AA5:AA33 AA270:AA324 AA234 AA328:AA349 AA237 AA37:AA92 AA242:AA267 AA95:AA228">
    <cfRule type="cellIs" dxfId="850" priority="1283" operator="lessThan">
      <formula>0.8</formula>
    </cfRule>
    <cfRule type="cellIs" dxfId="849" priority="1284" operator="greaterThan">
      <formula>0.8</formula>
    </cfRule>
  </conditionalFormatting>
  <conditionalFormatting sqref="AA5:AA33 AA270:AA324 AA234 AA328:AA363 AA237 AA37:AA92 AA242:AA267 AA95:AA228 AA368:AA1048576">
    <cfRule type="notContainsText" dxfId="848" priority="1281" operator="notContains" text="Caida">
      <formula>ISERROR(SEARCH("Caida",AA5))</formula>
    </cfRule>
    <cfRule type="containsText" dxfId="847" priority="1282" operator="containsText" text="Caida">
      <formula>NOT(ISERROR(SEARCH("Caida",AA5)))</formula>
    </cfRule>
  </conditionalFormatting>
  <conditionalFormatting sqref="AA21">
    <cfRule type="containsText" dxfId="846" priority="1280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845" priority="1278" operator="lessThan">
      <formula>0.8</formula>
    </cfRule>
    <cfRule type="cellIs" dxfId="844" priority="1279" operator="greaterThan">
      <formula>0.8</formula>
    </cfRule>
  </conditionalFormatting>
  <conditionalFormatting sqref="AB5:AB33 AB270:AB324 AB234 AB328:AB363 AB237 AB37:AB92 AB242:AB267 AB95:AB228 AB368:AB1048576">
    <cfRule type="notContainsText" dxfId="843" priority="1276" operator="notContains" text="Caida">
      <formula>ISERROR(SEARCH("Caida",AB5))</formula>
    </cfRule>
    <cfRule type="containsText" dxfId="842" priority="1277" operator="containsText" text="Caida">
      <formula>NOT(ISERROR(SEARCH("Caida",AB5)))</formula>
    </cfRule>
  </conditionalFormatting>
  <conditionalFormatting sqref="AB21">
    <cfRule type="containsText" dxfId="841" priority="1275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840" priority="1273" operator="lessThan">
      <formula>0.8</formula>
    </cfRule>
    <cfRule type="cellIs" dxfId="839" priority="1274" operator="greaterThan">
      <formula>0.8</formula>
    </cfRule>
  </conditionalFormatting>
  <conditionalFormatting sqref="AC5:AC33 AC270:AC324 AC234 AC328:AC363 AC237 AC37:AC92 AC242:AC267 AC95:AC228 AC368:AC1048576">
    <cfRule type="notContainsText" dxfId="838" priority="1271" operator="notContains" text="Caida">
      <formula>ISERROR(SEARCH("Caida",AC5))</formula>
    </cfRule>
    <cfRule type="containsText" dxfId="837" priority="1272" operator="containsText" text="Caida">
      <formula>NOT(ISERROR(SEARCH("Caida",AC5)))</formula>
    </cfRule>
  </conditionalFormatting>
  <conditionalFormatting sqref="AC21">
    <cfRule type="containsText" dxfId="836" priority="1270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835" priority="1268" operator="lessThan">
      <formula>0.8</formula>
    </cfRule>
    <cfRule type="cellIs" dxfId="834" priority="1269" operator="greaterThan">
      <formula>0.8</formula>
    </cfRule>
  </conditionalFormatting>
  <conditionalFormatting sqref="AD5:AD33 AD270:AD324 AD234 AD328:AD363 AD237 AD37:AD92 AD242:AD267 AD95:AD228 AD368:AD1048576">
    <cfRule type="notContainsText" dxfId="833" priority="1266" operator="notContains" text="Caida">
      <formula>ISERROR(SEARCH("Caida",AD5))</formula>
    </cfRule>
    <cfRule type="containsText" dxfId="832" priority="1267" operator="containsText" text="Caida">
      <formula>NOT(ISERROR(SEARCH("Caida",AD5)))</formula>
    </cfRule>
  </conditionalFormatting>
  <conditionalFormatting sqref="AD21">
    <cfRule type="containsText" dxfId="831" priority="1265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830" priority="1264" operator="containsText" text="Radio">
      <formula>NOT(ISERROR(SEARCH("Radio",D280)))</formula>
    </cfRule>
  </conditionalFormatting>
  <conditionalFormatting sqref="AA268">
    <cfRule type="cellIs" dxfId="829" priority="1254" operator="lessThan">
      <formula>0.8</formula>
    </cfRule>
    <cfRule type="cellIs" dxfId="828" priority="1255" operator="greaterThan">
      <formula>0.8</formula>
    </cfRule>
  </conditionalFormatting>
  <conditionalFormatting sqref="AA268">
    <cfRule type="notContainsText" dxfId="827" priority="1252" operator="notContains" text="Caida">
      <formula>ISERROR(SEARCH("Caida",AA268))</formula>
    </cfRule>
    <cfRule type="containsText" dxfId="826" priority="1253" operator="containsText" text="Caida">
      <formula>NOT(ISERROR(SEARCH("Caida",AA268)))</formula>
    </cfRule>
  </conditionalFormatting>
  <conditionalFormatting sqref="AB268">
    <cfRule type="cellIs" dxfId="825" priority="1250" operator="lessThan">
      <formula>0.8</formula>
    </cfRule>
    <cfRule type="cellIs" dxfId="824" priority="1251" operator="greaterThan">
      <formula>0.8</formula>
    </cfRule>
  </conditionalFormatting>
  <conditionalFormatting sqref="AB268">
    <cfRule type="notContainsText" dxfId="823" priority="1248" operator="notContains" text="Caida">
      <formula>ISERROR(SEARCH("Caida",AB268))</formula>
    </cfRule>
    <cfRule type="containsText" dxfId="822" priority="1249" operator="containsText" text="Caida">
      <formula>NOT(ISERROR(SEARCH("Caida",AB268)))</formula>
    </cfRule>
  </conditionalFormatting>
  <conditionalFormatting sqref="AC268">
    <cfRule type="cellIs" dxfId="821" priority="1246" operator="lessThan">
      <formula>0.8</formula>
    </cfRule>
    <cfRule type="cellIs" dxfId="820" priority="1247" operator="greaterThan">
      <formula>0.8</formula>
    </cfRule>
  </conditionalFormatting>
  <conditionalFormatting sqref="AC268">
    <cfRule type="notContainsText" dxfId="819" priority="1244" operator="notContains" text="Caida">
      <formula>ISERROR(SEARCH("Caida",AC268))</formula>
    </cfRule>
    <cfRule type="containsText" dxfId="818" priority="1245" operator="containsText" text="Caida">
      <formula>NOT(ISERROR(SEARCH("Caida",AC268)))</formula>
    </cfRule>
  </conditionalFormatting>
  <conditionalFormatting sqref="AD268">
    <cfRule type="cellIs" dxfId="817" priority="1242" operator="lessThan">
      <formula>0.8</formula>
    </cfRule>
    <cfRule type="cellIs" dxfId="816" priority="1243" operator="greaterThan">
      <formula>0.8</formula>
    </cfRule>
  </conditionalFormatting>
  <conditionalFormatting sqref="AD268">
    <cfRule type="notContainsText" dxfId="815" priority="1240" operator="notContains" text="Caida">
      <formula>ISERROR(SEARCH("Caida",AD268))</formula>
    </cfRule>
    <cfRule type="containsText" dxfId="814" priority="1241" operator="containsText" text="Caida">
      <formula>NOT(ISERROR(SEARCH("Caida",AD268)))</formula>
    </cfRule>
  </conditionalFormatting>
  <conditionalFormatting sqref="D281:I281">
    <cfRule type="containsText" dxfId="813" priority="1239" operator="containsText" text="Radio">
      <formula>NOT(ISERROR(SEARCH("Radio",D281)))</formula>
    </cfRule>
  </conditionalFormatting>
  <conditionalFormatting sqref="AA269">
    <cfRule type="cellIs" dxfId="812" priority="1229" operator="lessThan">
      <formula>0.8</formula>
    </cfRule>
    <cfRule type="cellIs" dxfId="811" priority="1230" operator="greaterThan">
      <formula>0.8</formula>
    </cfRule>
  </conditionalFormatting>
  <conditionalFormatting sqref="AA269">
    <cfRule type="notContainsText" dxfId="810" priority="1227" operator="notContains" text="Caida">
      <formula>ISERROR(SEARCH("Caida",AA269))</formula>
    </cfRule>
    <cfRule type="containsText" dxfId="809" priority="1228" operator="containsText" text="Caida">
      <formula>NOT(ISERROR(SEARCH("Caida",AA269)))</formula>
    </cfRule>
  </conditionalFormatting>
  <conditionalFormatting sqref="AB269">
    <cfRule type="cellIs" dxfId="808" priority="1225" operator="lessThan">
      <formula>0.8</formula>
    </cfRule>
    <cfRule type="cellIs" dxfId="807" priority="1226" operator="greaterThan">
      <formula>0.8</formula>
    </cfRule>
  </conditionalFormatting>
  <conditionalFormatting sqref="AB269">
    <cfRule type="notContainsText" dxfId="806" priority="1223" operator="notContains" text="Caida">
      <formula>ISERROR(SEARCH("Caida",AB269))</formula>
    </cfRule>
    <cfRule type="containsText" dxfId="805" priority="1224" operator="containsText" text="Caida">
      <formula>NOT(ISERROR(SEARCH("Caida",AB269)))</formula>
    </cfRule>
  </conditionalFormatting>
  <conditionalFormatting sqref="AC269">
    <cfRule type="cellIs" dxfId="804" priority="1221" operator="lessThan">
      <formula>0.8</formula>
    </cfRule>
    <cfRule type="cellIs" dxfId="803" priority="1222" operator="greaterThan">
      <formula>0.8</formula>
    </cfRule>
  </conditionalFormatting>
  <conditionalFormatting sqref="AC269">
    <cfRule type="notContainsText" dxfId="802" priority="1219" operator="notContains" text="Caida">
      <formula>ISERROR(SEARCH("Caida",AC269))</formula>
    </cfRule>
    <cfRule type="containsText" dxfId="801" priority="1220" operator="containsText" text="Caida">
      <formula>NOT(ISERROR(SEARCH("Caida",AC269)))</formula>
    </cfRule>
  </conditionalFormatting>
  <conditionalFormatting sqref="AD269">
    <cfRule type="cellIs" dxfId="800" priority="1217" operator="lessThan">
      <formula>0.8</formula>
    </cfRule>
    <cfRule type="cellIs" dxfId="799" priority="1218" operator="greaterThan">
      <formula>0.8</formula>
    </cfRule>
  </conditionalFormatting>
  <conditionalFormatting sqref="AD269">
    <cfRule type="notContainsText" dxfId="798" priority="1215" operator="notContains" text="Caida">
      <formula>ISERROR(SEARCH("Caida",AD269))</formula>
    </cfRule>
    <cfRule type="containsText" dxfId="797" priority="1216" operator="containsText" text="Caida">
      <formula>NOT(ISERROR(SEARCH("Caida",AD269)))</formula>
    </cfRule>
  </conditionalFormatting>
  <conditionalFormatting sqref="AD229">
    <cfRule type="cellIs" dxfId="796" priority="1191" operator="lessThan">
      <formula>0.8</formula>
    </cfRule>
    <cfRule type="cellIs" dxfId="795" priority="1192" operator="greaterThan">
      <formula>0.8</formula>
    </cfRule>
  </conditionalFormatting>
  <conditionalFormatting sqref="AD229">
    <cfRule type="notContainsText" dxfId="794" priority="1189" operator="notContains" text="Caida">
      <formula>ISERROR(SEARCH("Caida",AD229))</formula>
    </cfRule>
    <cfRule type="containsText" dxfId="793" priority="1190" operator="containsText" text="Caida">
      <formula>NOT(ISERROR(SEARCH("Caida",AD229)))</formula>
    </cfRule>
  </conditionalFormatting>
  <conditionalFormatting sqref="D4:I4">
    <cfRule type="containsText" dxfId="792" priority="1214" operator="containsText" text="Radio">
      <formula>NOT(ISERROR(SEARCH("Radio",D4)))</formula>
    </cfRule>
  </conditionalFormatting>
  <conditionalFormatting sqref="D231:I231">
    <cfRule type="containsText" dxfId="791" priority="1213" operator="containsText" text="Radio">
      <formula>NOT(ISERROR(SEARCH("Radio",D231)))</formula>
    </cfRule>
  </conditionalFormatting>
  <conditionalFormatting sqref="AA229">
    <cfRule type="cellIs" dxfId="790" priority="1203" operator="lessThan">
      <formula>0.8</formula>
    </cfRule>
    <cfRule type="cellIs" dxfId="789" priority="1204" operator="greaterThan">
      <formula>0.8</formula>
    </cfRule>
  </conditionalFormatting>
  <conditionalFormatting sqref="AA229">
    <cfRule type="notContainsText" dxfId="788" priority="1201" operator="notContains" text="Caida">
      <formula>ISERROR(SEARCH("Caida",AA229))</formula>
    </cfRule>
    <cfRule type="containsText" dxfId="787" priority="1202" operator="containsText" text="Caida">
      <formula>NOT(ISERROR(SEARCH("Caida",AA229)))</formula>
    </cfRule>
  </conditionalFormatting>
  <conditionalFormatting sqref="AB229">
    <cfRule type="cellIs" dxfId="786" priority="1199" operator="lessThan">
      <formula>0.8</formula>
    </cfRule>
    <cfRule type="cellIs" dxfId="785" priority="1200" operator="greaterThan">
      <formula>0.8</formula>
    </cfRule>
  </conditionalFormatting>
  <conditionalFormatting sqref="AB229">
    <cfRule type="notContainsText" dxfId="784" priority="1197" operator="notContains" text="Caida">
      <formula>ISERROR(SEARCH("Caida",AB229))</formula>
    </cfRule>
    <cfRule type="containsText" dxfId="783" priority="1198" operator="containsText" text="Caida">
      <formula>NOT(ISERROR(SEARCH("Caida",AB229)))</formula>
    </cfRule>
  </conditionalFormatting>
  <conditionalFormatting sqref="AC229">
    <cfRule type="cellIs" dxfId="782" priority="1195" operator="lessThan">
      <formula>0.8</formula>
    </cfRule>
    <cfRule type="cellIs" dxfId="781" priority="1196" operator="greaterThan">
      <formula>0.8</formula>
    </cfRule>
  </conditionalFormatting>
  <conditionalFormatting sqref="AC229">
    <cfRule type="notContainsText" dxfId="780" priority="1193" operator="notContains" text="Caida">
      <formula>ISERROR(SEARCH("Caida",AC229))</formula>
    </cfRule>
    <cfRule type="containsText" dxfId="779" priority="1194" operator="containsText" text="Caida">
      <formula>NOT(ISERROR(SEARCH("Caida",AC229)))</formula>
    </cfRule>
  </conditionalFormatting>
  <conditionalFormatting sqref="D232:I232">
    <cfRule type="containsText" dxfId="778" priority="1188" operator="containsText" text="Radio">
      <formula>NOT(ISERROR(SEARCH("Radio",D232)))</formula>
    </cfRule>
  </conditionalFormatting>
  <conditionalFormatting sqref="AA230">
    <cfRule type="cellIs" dxfId="777" priority="1178" operator="lessThan">
      <formula>0.8</formula>
    </cfRule>
    <cfRule type="cellIs" dxfId="776" priority="1179" operator="greaterThan">
      <formula>0.8</formula>
    </cfRule>
  </conditionalFormatting>
  <conditionalFormatting sqref="AA230">
    <cfRule type="notContainsText" dxfId="775" priority="1176" operator="notContains" text="Caida">
      <formula>ISERROR(SEARCH("Caida",AA230))</formula>
    </cfRule>
    <cfRule type="containsText" dxfId="774" priority="1177" operator="containsText" text="Caida">
      <formula>NOT(ISERROR(SEARCH("Caida",AA230)))</formula>
    </cfRule>
  </conditionalFormatting>
  <conditionalFormatting sqref="AB230">
    <cfRule type="cellIs" dxfId="773" priority="1174" operator="lessThan">
      <formula>0.8</formula>
    </cfRule>
    <cfRule type="cellIs" dxfId="772" priority="1175" operator="greaterThan">
      <formula>0.8</formula>
    </cfRule>
  </conditionalFormatting>
  <conditionalFormatting sqref="AB230">
    <cfRule type="notContainsText" dxfId="771" priority="1172" operator="notContains" text="Caida">
      <formula>ISERROR(SEARCH("Caida",AB230))</formula>
    </cfRule>
    <cfRule type="containsText" dxfId="770" priority="1173" operator="containsText" text="Caida">
      <formula>NOT(ISERROR(SEARCH("Caida",AB230)))</formula>
    </cfRule>
  </conditionalFormatting>
  <conditionalFormatting sqref="AC230">
    <cfRule type="cellIs" dxfId="769" priority="1170" operator="lessThan">
      <formula>0.8</formula>
    </cfRule>
    <cfRule type="cellIs" dxfId="768" priority="1171" operator="greaterThan">
      <formula>0.8</formula>
    </cfRule>
  </conditionalFormatting>
  <conditionalFormatting sqref="AC230">
    <cfRule type="notContainsText" dxfId="767" priority="1168" operator="notContains" text="Caida">
      <formula>ISERROR(SEARCH("Caida",AC230))</formula>
    </cfRule>
    <cfRule type="containsText" dxfId="766" priority="1169" operator="containsText" text="Caida">
      <formula>NOT(ISERROR(SEARCH("Caida",AC230)))</formula>
    </cfRule>
  </conditionalFormatting>
  <conditionalFormatting sqref="AD230">
    <cfRule type="cellIs" dxfId="765" priority="1166" operator="lessThan">
      <formula>0.8</formula>
    </cfRule>
    <cfRule type="cellIs" dxfId="764" priority="1167" operator="greaterThan">
      <formula>0.8</formula>
    </cfRule>
  </conditionalFormatting>
  <conditionalFormatting sqref="AD230">
    <cfRule type="notContainsText" dxfId="763" priority="1164" operator="notContains" text="Caida">
      <formula>ISERROR(SEARCH("Caida",AD230))</formula>
    </cfRule>
    <cfRule type="containsText" dxfId="762" priority="1165" operator="containsText" text="Caida">
      <formula>NOT(ISERROR(SEARCH("Caida",AD230)))</formula>
    </cfRule>
  </conditionalFormatting>
  <conditionalFormatting sqref="D233:I233">
    <cfRule type="containsText" dxfId="761" priority="1163" operator="containsText" text="Radio">
      <formula>NOT(ISERROR(SEARCH("Radio",D233)))</formula>
    </cfRule>
  </conditionalFormatting>
  <conditionalFormatting sqref="AA231">
    <cfRule type="cellIs" dxfId="760" priority="1153" operator="lessThan">
      <formula>0.8</formula>
    </cfRule>
    <cfRule type="cellIs" dxfId="759" priority="1154" operator="greaterThan">
      <formula>0.8</formula>
    </cfRule>
  </conditionalFormatting>
  <conditionalFormatting sqref="AA231">
    <cfRule type="notContainsText" dxfId="758" priority="1151" operator="notContains" text="Caida">
      <formula>ISERROR(SEARCH("Caida",AA231))</formula>
    </cfRule>
    <cfRule type="containsText" dxfId="757" priority="1152" operator="containsText" text="Caida">
      <formula>NOT(ISERROR(SEARCH("Caida",AA231)))</formula>
    </cfRule>
  </conditionalFormatting>
  <conditionalFormatting sqref="AB231">
    <cfRule type="cellIs" dxfId="756" priority="1149" operator="lessThan">
      <formula>0.8</formula>
    </cfRule>
    <cfRule type="cellIs" dxfId="755" priority="1150" operator="greaterThan">
      <formula>0.8</formula>
    </cfRule>
  </conditionalFormatting>
  <conditionalFormatting sqref="AB231">
    <cfRule type="notContainsText" dxfId="754" priority="1147" operator="notContains" text="Caida">
      <formula>ISERROR(SEARCH("Caida",AB231))</formula>
    </cfRule>
    <cfRule type="containsText" dxfId="753" priority="1148" operator="containsText" text="Caida">
      <formula>NOT(ISERROR(SEARCH("Caida",AB231)))</formula>
    </cfRule>
  </conditionalFormatting>
  <conditionalFormatting sqref="AC231">
    <cfRule type="cellIs" dxfId="752" priority="1145" operator="lessThan">
      <formula>0.8</formula>
    </cfRule>
    <cfRule type="cellIs" dxfId="751" priority="1146" operator="greaterThan">
      <formula>0.8</formula>
    </cfRule>
  </conditionalFormatting>
  <conditionalFormatting sqref="AC231">
    <cfRule type="notContainsText" dxfId="750" priority="1143" operator="notContains" text="Caida">
      <formula>ISERROR(SEARCH("Caida",AC231))</formula>
    </cfRule>
    <cfRule type="containsText" dxfId="749" priority="1144" operator="containsText" text="Caida">
      <formula>NOT(ISERROR(SEARCH("Caida",AC231)))</formula>
    </cfRule>
  </conditionalFormatting>
  <conditionalFormatting sqref="AD231">
    <cfRule type="cellIs" dxfId="748" priority="1141" operator="lessThan">
      <formula>0.8</formula>
    </cfRule>
    <cfRule type="cellIs" dxfId="747" priority="1142" operator="greaterThan">
      <formula>0.8</formula>
    </cfRule>
  </conditionalFormatting>
  <conditionalFormatting sqref="AD231">
    <cfRule type="notContainsText" dxfId="746" priority="1139" operator="notContains" text="Caida">
      <formula>ISERROR(SEARCH("Caida",AD231))</formula>
    </cfRule>
    <cfRule type="containsText" dxfId="745" priority="1140" operator="containsText" text="Caida">
      <formula>NOT(ISERROR(SEARCH("Caida",AD231)))</formula>
    </cfRule>
  </conditionalFormatting>
  <conditionalFormatting sqref="D234:I234">
    <cfRule type="containsText" dxfId="744" priority="1138" operator="containsText" text="Radio">
      <formula>NOT(ISERROR(SEARCH("Radio",D234)))</formula>
    </cfRule>
  </conditionalFormatting>
  <conditionalFormatting sqref="AA232">
    <cfRule type="cellIs" dxfId="743" priority="1128" operator="lessThan">
      <formula>0.8</formula>
    </cfRule>
    <cfRule type="cellIs" dxfId="742" priority="1129" operator="greaterThan">
      <formula>0.8</formula>
    </cfRule>
  </conditionalFormatting>
  <conditionalFormatting sqref="AA232">
    <cfRule type="notContainsText" dxfId="741" priority="1126" operator="notContains" text="Caida">
      <formula>ISERROR(SEARCH("Caida",AA232))</formula>
    </cfRule>
    <cfRule type="containsText" dxfId="740" priority="1127" operator="containsText" text="Caida">
      <formula>NOT(ISERROR(SEARCH("Caida",AA232)))</formula>
    </cfRule>
  </conditionalFormatting>
  <conditionalFormatting sqref="AB232">
    <cfRule type="cellIs" dxfId="739" priority="1124" operator="lessThan">
      <formula>0.8</formula>
    </cfRule>
    <cfRule type="cellIs" dxfId="738" priority="1125" operator="greaterThan">
      <formula>0.8</formula>
    </cfRule>
  </conditionalFormatting>
  <conditionalFormatting sqref="AB232">
    <cfRule type="notContainsText" dxfId="737" priority="1122" operator="notContains" text="Caida">
      <formula>ISERROR(SEARCH("Caida",AB232))</formula>
    </cfRule>
    <cfRule type="containsText" dxfId="736" priority="1123" operator="containsText" text="Caida">
      <formula>NOT(ISERROR(SEARCH("Caida",AB232)))</formula>
    </cfRule>
  </conditionalFormatting>
  <conditionalFormatting sqref="AC232">
    <cfRule type="cellIs" dxfId="735" priority="1120" operator="lessThan">
      <formula>0.8</formula>
    </cfRule>
    <cfRule type="cellIs" dxfId="734" priority="1121" operator="greaterThan">
      <formula>0.8</formula>
    </cfRule>
  </conditionalFormatting>
  <conditionalFormatting sqref="AC232">
    <cfRule type="notContainsText" dxfId="733" priority="1118" operator="notContains" text="Caida">
      <formula>ISERROR(SEARCH("Caida",AC232))</formula>
    </cfRule>
    <cfRule type="containsText" dxfId="732" priority="1119" operator="containsText" text="Caida">
      <formula>NOT(ISERROR(SEARCH("Caida",AC232)))</formula>
    </cfRule>
  </conditionalFormatting>
  <conditionalFormatting sqref="AD232">
    <cfRule type="cellIs" dxfId="731" priority="1116" operator="lessThan">
      <formula>0.8</formula>
    </cfRule>
    <cfRule type="cellIs" dxfId="730" priority="1117" operator="greaterThan">
      <formula>0.8</formula>
    </cfRule>
  </conditionalFormatting>
  <conditionalFormatting sqref="AD232">
    <cfRule type="notContainsText" dxfId="729" priority="1114" operator="notContains" text="Caida">
      <formula>ISERROR(SEARCH("Caida",AD232))</formula>
    </cfRule>
    <cfRule type="containsText" dxfId="728" priority="1115" operator="containsText" text="Caida">
      <formula>NOT(ISERROR(SEARCH("Caida",AD232)))</formula>
    </cfRule>
  </conditionalFormatting>
  <conditionalFormatting sqref="D235:I235">
    <cfRule type="containsText" dxfId="727" priority="1113" operator="containsText" text="Radio">
      <formula>NOT(ISERROR(SEARCH("Radio",D235)))</formula>
    </cfRule>
  </conditionalFormatting>
  <conditionalFormatting sqref="AA233">
    <cfRule type="cellIs" dxfId="726" priority="1103" operator="lessThan">
      <formula>0.8</formula>
    </cfRule>
    <cfRule type="cellIs" dxfId="725" priority="1104" operator="greaterThan">
      <formula>0.8</formula>
    </cfRule>
  </conditionalFormatting>
  <conditionalFormatting sqref="AA233">
    <cfRule type="notContainsText" dxfId="724" priority="1101" operator="notContains" text="Caida">
      <formula>ISERROR(SEARCH("Caida",AA233))</formula>
    </cfRule>
    <cfRule type="containsText" dxfId="723" priority="1102" operator="containsText" text="Caida">
      <formula>NOT(ISERROR(SEARCH("Caida",AA233)))</formula>
    </cfRule>
  </conditionalFormatting>
  <conditionalFormatting sqref="AB233">
    <cfRule type="cellIs" dxfId="722" priority="1099" operator="lessThan">
      <formula>0.8</formula>
    </cfRule>
    <cfRule type="cellIs" dxfId="721" priority="1100" operator="greaterThan">
      <formula>0.8</formula>
    </cfRule>
  </conditionalFormatting>
  <conditionalFormatting sqref="AB233">
    <cfRule type="notContainsText" dxfId="720" priority="1097" operator="notContains" text="Caida">
      <formula>ISERROR(SEARCH("Caida",AB233))</formula>
    </cfRule>
    <cfRule type="containsText" dxfId="719" priority="1098" operator="containsText" text="Caida">
      <formula>NOT(ISERROR(SEARCH("Caida",AB233)))</formula>
    </cfRule>
  </conditionalFormatting>
  <conditionalFormatting sqref="AC233">
    <cfRule type="cellIs" dxfId="718" priority="1095" operator="lessThan">
      <formula>0.8</formula>
    </cfRule>
    <cfRule type="cellIs" dxfId="717" priority="1096" operator="greaterThan">
      <formula>0.8</formula>
    </cfRule>
  </conditionalFormatting>
  <conditionalFormatting sqref="AC233">
    <cfRule type="notContainsText" dxfId="716" priority="1093" operator="notContains" text="Caida">
      <formula>ISERROR(SEARCH("Caida",AC233))</formula>
    </cfRule>
    <cfRule type="containsText" dxfId="715" priority="1094" operator="containsText" text="Caida">
      <formula>NOT(ISERROR(SEARCH("Caida",AC233)))</formula>
    </cfRule>
  </conditionalFormatting>
  <conditionalFormatting sqref="AD233">
    <cfRule type="cellIs" dxfId="714" priority="1091" operator="lessThan">
      <formula>0.8</formula>
    </cfRule>
    <cfRule type="cellIs" dxfId="713" priority="1092" operator="greaterThan">
      <formula>0.8</formula>
    </cfRule>
  </conditionalFormatting>
  <conditionalFormatting sqref="AD233">
    <cfRule type="notContainsText" dxfId="712" priority="1089" operator="notContains" text="Caida">
      <formula>ISERROR(SEARCH("Caida",AD233))</formula>
    </cfRule>
    <cfRule type="containsText" dxfId="711" priority="1090" operator="containsText" text="Caida">
      <formula>NOT(ISERROR(SEARCH("Caida",AD233)))</formula>
    </cfRule>
  </conditionalFormatting>
  <conditionalFormatting sqref="AA325">
    <cfRule type="cellIs" dxfId="710" priority="1079" operator="lessThan">
      <formula>0.8</formula>
    </cfRule>
    <cfRule type="cellIs" dxfId="709" priority="1080" operator="greaterThan">
      <formula>0.8</formula>
    </cfRule>
  </conditionalFormatting>
  <conditionalFormatting sqref="AA325">
    <cfRule type="notContainsText" dxfId="708" priority="1077" operator="notContains" text="Caida">
      <formula>ISERROR(SEARCH("Caida",AA325))</formula>
    </cfRule>
    <cfRule type="containsText" dxfId="707" priority="1078" operator="containsText" text="Caida">
      <formula>NOT(ISERROR(SEARCH("Caida",AA325)))</formula>
    </cfRule>
  </conditionalFormatting>
  <conditionalFormatting sqref="AB325">
    <cfRule type="cellIs" dxfId="706" priority="1075" operator="lessThan">
      <formula>0.8</formula>
    </cfRule>
    <cfRule type="cellIs" dxfId="705" priority="1076" operator="greaterThan">
      <formula>0.8</formula>
    </cfRule>
  </conditionalFormatting>
  <conditionalFormatting sqref="AB325">
    <cfRule type="notContainsText" dxfId="704" priority="1073" operator="notContains" text="Caida">
      <formula>ISERROR(SEARCH("Caida",AB325))</formula>
    </cfRule>
    <cfRule type="containsText" dxfId="703" priority="1074" operator="containsText" text="Caida">
      <formula>NOT(ISERROR(SEARCH("Caida",AB325)))</formula>
    </cfRule>
  </conditionalFormatting>
  <conditionalFormatting sqref="AC325">
    <cfRule type="cellIs" dxfId="702" priority="1071" operator="lessThan">
      <formula>0.8</formula>
    </cfRule>
    <cfRule type="cellIs" dxfId="701" priority="1072" operator="greaterThan">
      <formula>0.8</formula>
    </cfRule>
  </conditionalFormatting>
  <conditionalFormatting sqref="AC325">
    <cfRule type="notContainsText" dxfId="700" priority="1069" operator="notContains" text="Caida">
      <formula>ISERROR(SEARCH("Caida",AC325))</formula>
    </cfRule>
    <cfRule type="containsText" dxfId="699" priority="1070" operator="containsText" text="Caida">
      <formula>NOT(ISERROR(SEARCH("Caida",AC325)))</formula>
    </cfRule>
  </conditionalFormatting>
  <conditionalFormatting sqref="AD325">
    <cfRule type="cellIs" dxfId="698" priority="1067" operator="lessThan">
      <formula>0.8</formula>
    </cfRule>
    <cfRule type="cellIs" dxfId="697" priority="1068" operator="greaterThan">
      <formula>0.8</formula>
    </cfRule>
  </conditionalFormatting>
  <conditionalFormatting sqref="AD325">
    <cfRule type="notContainsText" dxfId="696" priority="1065" operator="notContains" text="Caida">
      <formula>ISERROR(SEARCH("Caida",AD325))</formula>
    </cfRule>
    <cfRule type="containsText" dxfId="695" priority="1066" operator="containsText" text="Caida">
      <formula>NOT(ISERROR(SEARCH("Caida",AD325)))</formula>
    </cfRule>
  </conditionalFormatting>
  <conditionalFormatting sqref="D333:I333">
    <cfRule type="containsText" dxfId="694" priority="1064" operator="containsText" text="Radio">
      <formula>NOT(ISERROR(SEARCH("Radio",D333)))</formula>
    </cfRule>
  </conditionalFormatting>
  <conditionalFormatting sqref="AA326">
    <cfRule type="cellIs" dxfId="693" priority="1054" operator="lessThan">
      <formula>0.8</formula>
    </cfRule>
    <cfRule type="cellIs" dxfId="692" priority="1055" operator="greaterThan">
      <formula>0.8</formula>
    </cfRule>
  </conditionalFormatting>
  <conditionalFormatting sqref="AA326">
    <cfRule type="notContainsText" dxfId="691" priority="1052" operator="notContains" text="Caida">
      <formula>ISERROR(SEARCH("Caida",AA326))</formula>
    </cfRule>
    <cfRule type="containsText" dxfId="690" priority="1053" operator="containsText" text="Caida">
      <formula>NOT(ISERROR(SEARCH("Caida",AA326)))</formula>
    </cfRule>
  </conditionalFormatting>
  <conditionalFormatting sqref="AB326">
    <cfRule type="cellIs" dxfId="689" priority="1050" operator="lessThan">
      <formula>0.8</formula>
    </cfRule>
    <cfRule type="cellIs" dxfId="688" priority="1051" operator="greaterThan">
      <formula>0.8</formula>
    </cfRule>
  </conditionalFormatting>
  <conditionalFormatting sqref="AB326">
    <cfRule type="notContainsText" dxfId="687" priority="1048" operator="notContains" text="Caida">
      <formula>ISERROR(SEARCH("Caida",AB326))</formula>
    </cfRule>
    <cfRule type="containsText" dxfId="686" priority="1049" operator="containsText" text="Caida">
      <formula>NOT(ISERROR(SEARCH("Caida",AB326)))</formula>
    </cfRule>
  </conditionalFormatting>
  <conditionalFormatting sqref="AC326">
    <cfRule type="cellIs" dxfId="685" priority="1046" operator="lessThan">
      <formula>0.8</formula>
    </cfRule>
    <cfRule type="cellIs" dxfId="684" priority="1047" operator="greaterThan">
      <formula>0.8</formula>
    </cfRule>
  </conditionalFormatting>
  <conditionalFormatting sqref="AC326">
    <cfRule type="notContainsText" dxfId="683" priority="1044" operator="notContains" text="Caida">
      <formula>ISERROR(SEARCH("Caida",AC326))</formula>
    </cfRule>
    <cfRule type="containsText" dxfId="682" priority="1045" operator="containsText" text="Caida">
      <formula>NOT(ISERROR(SEARCH("Caida",AC326)))</formula>
    </cfRule>
  </conditionalFormatting>
  <conditionalFormatting sqref="AD326">
    <cfRule type="cellIs" dxfId="681" priority="1042" operator="lessThan">
      <formula>0.8</formula>
    </cfRule>
    <cfRule type="cellIs" dxfId="680" priority="1043" operator="greaterThan">
      <formula>0.8</formula>
    </cfRule>
  </conditionalFormatting>
  <conditionalFormatting sqref="AD326">
    <cfRule type="notContainsText" dxfId="679" priority="1040" operator="notContains" text="Caida">
      <formula>ISERROR(SEARCH("Caida",AD326))</formula>
    </cfRule>
    <cfRule type="containsText" dxfId="678" priority="1041" operator="containsText" text="Caida">
      <formula>NOT(ISERROR(SEARCH("Caida",AD326)))</formula>
    </cfRule>
  </conditionalFormatting>
  <conditionalFormatting sqref="D334:I334">
    <cfRule type="containsText" dxfId="677" priority="1039" operator="containsText" text="Radio">
      <formula>NOT(ISERROR(SEARCH("Radio",D334)))</formula>
    </cfRule>
  </conditionalFormatting>
  <conditionalFormatting sqref="AA327">
    <cfRule type="cellIs" dxfId="676" priority="1029" operator="lessThan">
      <formula>0.8</formula>
    </cfRule>
    <cfRule type="cellIs" dxfId="675" priority="1030" operator="greaterThan">
      <formula>0.8</formula>
    </cfRule>
  </conditionalFormatting>
  <conditionalFormatting sqref="AA327">
    <cfRule type="notContainsText" dxfId="674" priority="1027" operator="notContains" text="Caida">
      <formula>ISERROR(SEARCH("Caida",AA327))</formula>
    </cfRule>
    <cfRule type="containsText" dxfId="673" priority="1028" operator="containsText" text="Caida">
      <formula>NOT(ISERROR(SEARCH("Caida",AA327)))</formula>
    </cfRule>
  </conditionalFormatting>
  <conditionalFormatting sqref="AB327">
    <cfRule type="cellIs" dxfId="672" priority="1025" operator="lessThan">
      <formula>0.8</formula>
    </cfRule>
    <cfRule type="cellIs" dxfId="671" priority="1026" operator="greaterThan">
      <formula>0.8</formula>
    </cfRule>
  </conditionalFormatting>
  <conditionalFormatting sqref="AB327">
    <cfRule type="notContainsText" dxfId="670" priority="1023" operator="notContains" text="Caida">
      <formula>ISERROR(SEARCH("Caida",AB327))</formula>
    </cfRule>
    <cfRule type="containsText" dxfId="669" priority="1024" operator="containsText" text="Caida">
      <formula>NOT(ISERROR(SEARCH("Caida",AB327)))</formula>
    </cfRule>
  </conditionalFormatting>
  <conditionalFormatting sqref="AC327">
    <cfRule type="cellIs" dxfId="668" priority="1021" operator="lessThan">
      <formula>0.8</formula>
    </cfRule>
    <cfRule type="cellIs" dxfId="667" priority="1022" operator="greaterThan">
      <formula>0.8</formula>
    </cfRule>
  </conditionalFormatting>
  <conditionalFormatting sqref="AC327">
    <cfRule type="notContainsText" dxfId="666" priority="1019" operator="notContains" text="Caida">
      <formula>ISERROR(SEARCH("Caida",AC327))</formula>
    </cfRule>
    <cfRule type="containsText" dxfId="665" priority="1020" operator="containsText" text="Caida">
      <formula>NOT(ISERROR(SEARCH("Caida",AC327)))</formula>
    </cfRule>
  </conditionalFormatting>
  <conditionalFormatting sqref="AD327">
    <cfRule type="cellIs" dxfId="664" priority="1017" operator="lessThan">
      <formula>0.8</formula>
    </cfRule>
    <cfRule type="cellIs" dxfId="663" priority="1018" operator="greaterThan">
      <formula>0.8</formula>
    </cfRule>
  </conditionalFormatting>
  <conditionalFormatting sqref="AD327">
    <cfRule type="notContainsText" dxfId="662" priority="1015" operator="notContains" text="Caida">
      <formula>ISERROR(SEARCH("Caida",AD327))</formula>
    </cfRule>
    <cfRule type="containsText" dxfId="661" priority="1016" operator="containsText" text="Caida">
      <formula>NOT(ISERROR(SEARCH("Caida",AD327)))</formula>
    </cfRule>
  </conditionalFormatting>
  <conditionalFormatting sqref="D237:I237">
    <cfRule type="containsText" dxfId="660" priority="1014" operator="containsText" text="Radio">
      <formula>NOT(ISERROR(SEARCH("Radio",D237)))</formula>
    </cfRule>
  </conditionalFormatting>
  <conditionalFormatting sqref="AA235">
    <cfRule type="cellIs" dxfId="659" priority="1004" operator="lessThan">
      <formula>0.8</formula>
    </cfRule>
    <cfRule type="cellIs" dxfId="658" priority="1005" operator="greaterThan">
      <formula>0.8</formula>
    </cfRule>
  </conditionalFormatting>
  <conditionalFormatting sqref="AA235">
    <cfRule type="notContainsText" dxfId="657" priority="1002" operator="notContains" text="Caida">
      <formula>ISERROR(SEARCH("Caida",AA235))</formula>
    </cfRule>
    <cfRule type="containsText" dxfId="656" priority="1003" operator="containsText" text="Caida">
      <formula>NOT(ISERROR(SEARCH("Caida",AA235)))</formula>
    </cfRule>
  </conditionalFormatting>
  <conditionalFormatting sqref="AB235">
    <cfRule type="cellIs" dxfId="655" priority="1000" operator="lessThan">
      <formula>0.8</formula>
    </cfRule>
    <cfRule type="cellIs" dxfId="654" priority="1001" operator="greaterThan">
      <formula>0.8</formula>
    </cfRule>
  </conditionalFormatting>
  <conditionalFormatting sqref="AB235">
    <cfRule type="notContainsText" dxfId="653" priority="998" operator="notContains" text="Caida">
      <formula>ISERROR(SEARCH("Caida",AB235))</formula>
    </cfRule>
    <cfRule type="containsText" dxfId="652" priority="999" operator="containsText" text="Caida">
      <formula>NOT(ISERROR(SEARCH("Caida",AB235)))</formula>
    </cfRule>
  </conditionalFormatting>
  <conditionalFormatting sqref="AC235">
    <cfRule type="cellIs" dxfId="651" priority="996" operator="lessThan">
      <formula>0.8</formula>
    </cfRule>
    <cfRule type="cellIs" dxfId="650" priority="997" operator="greaterThan">
      <formula>0.8</formula>
    </cfRule>
  </conditionalFormatting>
  <conditionalFormatting sqref="AC235">
    <cfRule type="notContainsText" dxfId="649" priority="994" operator="notContains" text="Caida">
      <formula>ISERROR(SEARCH("Caida",AC235))</formula>
    </cfRule>
    <cfRule type="containsText" dxfId="648" priority="995" operator="containsText" text="Caida">
      <formula>NOT(ISERROR(SEARCH("Caida",AC235)))</formula>
    </cfRule>
  </conditionalFormatting>
  <conditionalFormatting sqref="AD235">
    <cfRule type="cellIs" dxfId="647" priority="992" operator="lessThan">
      <formula>0.8</formula>
    </cfRule>
    <cfRule type="cellIs" dxfId="646" priority="993" operator="greaterThan">
      <formula>0.8</formula>
    </cfRule>
  </conditionalFormatting>
  <conditionalFormatting sqref="AD235">
    <cfRule type="notContainsText" dxfId="645" priority="990" operator="notContains" text="Caida">
      <formula>ISERROR(SEARCH("Caida",AD235))</formula>
    </cfRule>
    <cfRule type="containsText" dxfId="644" priority="991" operator="containsText" text="Caida">
      <formula>NOT(ISERROR(SEARCH("Caida",AD235)))</formula>
    </cfRule>
  </conditionalFormatting>
  <conditionalFormatting sqref="D238:I238">
    <cfRule type="containsText" dxfId="643" priority="989" operator="containsText" text="Radio">
      <formula>NOT(ISERROR(SEARCH("Radio",D238)))</formula>
    </cfRule>
  </conditionalFormatting>
  <conditionalFormatting sqref="AA236">
    <cfRule type="cellIs" dxfId="642" priority="979" operator="lessThan">
      <formula>0.8</formula>
    </cfRule>
    <cfRule type="cellIs" dxfId="641" priority="980" operator="greaterThan">
      <formula>0.8</formula>
    </cfRule>
  </conditionalFormatting>
  <conditionalFormatting sqref="AA236">
    <cfRule type="notContainsText" dxfId="640" priority="977" operator="notContains" text="Caida">
      <formula>ISERROR(SEARCH("Caida",AA236))</formula>
    </cfRule>
    <cfRule type="containsText" dxfId="639" priority="978" operator="containsText" text="Caida">
      <formula>NOT(ISERROR(SEARCH("Caida",AA236)))</formula>
    </cfRule>
  </conditionalFormatting>
  <conditionalFormatting sqref="AB236">
    <cfRule type="cellIs" dxfId="638" priority="975" operator="lessThan">
      <formula>0.8</formula>
    </cfRule>
    <cfRule type="cellIs" dxfId="637" priority="976" operator="greaterThan">
      <formula>0.8</formula>
    </cfRule>
  </conditionalFormatting>
  <conditionalFormatting sqref="AB236">
    <cfRule type="notContainsText" dxfId="636" priority="973" operator="notContains" text="Caida">
      <formula>ISERROR(SEARCH("Caida",AB236))</formula>
    </cfRule>
    <cfRule type="containsText" dxfId="635" priority="974" operator="containsText" text="Caida">
      <formula>NOT(ISERROR(SEARCH("Caida",AB236)))</formula>
    </cfRule>
  </conditionalFormatting>
  <conditionalFormatting sqref="AC236">
    <cfRule type="cellIs" dxfId="634" priority="971" operator="lessThan">
      <formula>0.8</formula>
    </cfRule>
    <cfRule type="cellIs" dxfId="633" priority="972" operator="greaterThan">
      <formula>0.8</formula>
    </cfRule>
  </conditionalFormatting>
  <conditionalFormatting sqref="AC236">
    <cfRule type="notContainsText" dxfId="632" priority="969" operator="notContains" text="Caida">
      <formula>ISERROR(SEARCH("Caida",AC236))</formula>
    </cfRule>
    <cfRule type="containsText" dxfId="631" priority="970" operator="containsText" text="Caida">
      <formula>NOT(ISERROR(SEARCH("Caida",AC236)))</formula>
    </cfRule>
  </conditionalFormatting>
  <conditionalFormatting sqref="AD236">
    <cfRule type="cellIs" dxfId="630" priority="967" operator="lessThan">
      <formula>0.8</formula>
    </cfRule>
    <cfRule type="cellIs" dxfId="629" priority="968" operator="greaterThan">
      <formula>0.8</formula>
    </cfRule>
  </conditionalFormatting>
  <conditionalFormatting sqref="AD236">
    <cfRule type="notContainsText" dxfId="628" priority="965" operator="notContains" text="Caida">
      <formula>ISERROR(SEARCH("Caida",AD236))</formula>
    </cfRule>
    <cfRule type="containsText" dxfId="627" priority="966" operator="containsText" text="Caida">
      <formula>NOT(ISERROR(SEARCH("Caida",AD236)))</formula>
    </cfRule>
  </conditionalFormatting>
  <conditionalFormatting sqref="D33:I35">
    <cfRule type="containsText" dxfId="626" priority="964" operator="containsText" text="Radio">
      <formula>NOT(ISERROR(SEARCH("Radio",D33)))</formula>
    </cfRule>
  </conditionalFormatting>
  <conditionalFormatting sqref="AA34:AA36">
    <cfRule type="cellIs" dxfId="625" priority="954" operator="lessThan">
      <formula>0.8</formula>
    </cfRule>
    <cfRule type="cellIs" dxfId="624" priority="955" operator="greaterThan">
      <formula>0.8</formula>
    </cfRule>
  </conditionalFormatting>
  <conditionalFormatting sqref="AA34:AA36">
    <cfRule type="notContainsText" dxfId="623" priority="952" operator="notContains" text="Caida">
      <formula>ISERROR(SEARCH("Caida",AA34))</formula>
    </cfRule>
    <cfRule type="containsText" dxfId="622" priority="953" operator="containsText" text="Caida">
      <formula>NOT(ISERROR(SEARCH("Caida",AA34)))</formula>
    </cfRule>
  </conditionalFormatting>
  <conditionalFormatting sqref="AB34:AB36">
    <cfRule type="cellIs" dxfId="621" priority="950" operator="lessThan">
      <formula>0.8</formula>
    </cfRule>
    <cfRule type="cellIs" dxfId="620" priority="951" operator="greaterThan">
      <formula>0.8</formula>
    </cfRule>
  </conditionalFormatting>
  <conditionalFormatting sqref="AB34:AB36">
    <cfRule type="notContainsText" dxfId="619" priority="948" operator="notContains" text="Caida">
      <formula>ISERROR(SEARCH("Caida",AB34))</formula>
    </cfRule>
    <cfRule type="containsText" dxfId="618" priority="949" operator="containsText" text="Caida">
      <formula>NOT(ISERROR(SEARCH("Caida",AB34)))</formula>
    </cfRule>
  </conditionalFormatting>
  <conditionalFormatting sqref="AC34:AC36">
    <cfRule type="cellIs" dxfId="617" priority="946" operator="lessThan">
      <formula>0.8</formula>
    </cfRule>
    <cfRule type="cellIs" dxfId="616" priority="947" operator="greaterThan">
      <formula>0.8</formula>
    </cfRule>
  </conditionalFormatting>
  <conditionalFormatting sqref="AC34:AC36">
    <cfRule type="notContainsText" dxfId="615" priority="944" operator="notContains" text="Caida">
      <formula>ISERROR(SEARCH("Caida",AC34))</formula>
    </cfRule>
    <cfRule type="containsText" dxfId="614" priority="945" operator="containsText" text="Caida">
      <formula>NOT(ISERROR(SEARCH("Caida",AC34)))</formula>
    </cfRule>
  </conditionalFormatting>
  <conditionalFormatting sqref="AD34:AD36">
    <cfRule type="cellIs" dxfId="613" priority="942" operator="lessThan">
      <formula>0.8</formula>
    </cfRule>
    <cfRule type="cellIs" dxfId="612" priority="943" operator="greaterThan">
      <formula>0.8</formula>
    </cfRule>
  </conditionalFormatting>
  <conditionalFormatting sqref="AD34:AD36">
    <cfRule type="notContainsText" dxfId="611" priority="940" operator="notContains" text="Caida">
      <formula>ISERROR(SEARCH("Caida",AD34))</formula>
    </cfRule>
    <cfRule type="containsText" dxfId="610" priority="941" operator="containsText" text="Caida">
      <formula>NOT(ISERROR(SEARCH("Caida",AD34)))</formula>
    </cfRule>
  </conditionalFormatting>
  <conditionalFormatting sqref="D239:I239">
    <cfRule type="containsText" dxfId="609" priority="939" operator="containsText" text="Radio">
      <formula>NOT(ISERROR(SEARCH("Radio",D239)))</formula>
    </cfRule>
  </conditionalFormatting>
  <conditionalFormatting sqref="AA238">
    <cfRule type="cellIs" dxfId="608" priority="929" operator="lessThan">
      <formula>0.8</formula>
    </cfRule>
    <cfRule type="cellIs" dxfId="607" priority="930" operator="greaterThan">
      <formula>0.8</formula>
    </cfRule>
  </conditionalFormatting>
  <conditionalFormatting sqref="AA238">
    <cfRule type="notContainsText" dxfId="606" priority="927" operator="notContains" text="Caida">
      <formula>ISERROR(SEARCH("Caida",AA238))</formula>
    </cfRule>
    <cfRule type="containsText" dxfId="605" priority="928" operator="containsText" text="Caida">
      <formula>NOT(ISERROR(SEARCH("Caida",AA238)))</formula>
    </cfRule>
  </conditionalFormatting>
  <conditionalFormatting sqref="AB238">
    <cfRule type="cellIs" dxfId="604" priority="925" operator="lessThan">
      <formula>0.8</formula>
    </cfRule>
    <cfRule type="cellIs" dxfId="603" priority="926" operator="greaterThan">
      <formula>0.8</formula>
    </cfRule>
  </conditionalFormatting>
  <conditionalFormatting sqref="AB238">
    <cfRule type="notContainsText" dxfId="602" priority="923" operator="notContains" text="Caida">
      <formula>ISERROR(SEARCH("Caida",AB238))</formula>
    </cfRule>
    <cfRule type="containsText" dxfId="601" priority="924" operator="containsText" text="Caida">
      <formula>NOT(ISERROR(SEARCH("Caida",AB238)))</formula>
    </cfRule>
  </conditionalFormatting>
  <conditionalFormatting sqref="AC238">
    <cfRule type="cellIs" dxfId="600" priority="921" operator="lessThan">
      <formula>0.8</formula>
    </cfRule>
    <cfRule type="cellIs" dxfId="599" priority="922" operator="greaterThan">
      <formula>0.8</formula>
    </cfRule>
  </conditionalFormatting>
  <conditionalFormatting sqref="AC238">
    <cfRule type="notContainsText" dxfId="598" priority="919" operator="notContains" text="Caida">
      <formula>ISERROR(SEARCH("Caida",AC238))</formula>
    </cfRule>
    <cfRule type="containsText" dxfId="597" priority="920" operator="containsText" text="Caida">
      <formula>NOT(ISERROR(SEARCH("Caida",AC238)))</formula>
    </cfRule>
  </conditionalFormatting>
  <conditionalFormatting sqref="AD238">
    <cfRule type="cellIs" dxfId="596" priority="917" operator="lessThan">
      <formula>0.8</formula>
    </cfRule>
    <cfRule type="cellIs" dxfId="595" priority="918" operator="greaterThan">
      <formula>0.8</formula>
    </cfRule>
  </conditionalFormatting>
  <conditionalFormatting sqref="AD238">
    <cfRule type="notContainsText" dxfId="594" priority="915" operator="notContains" text="Caida">
      <formula>ISERROR(SEARCH("Caida",AD238))</formula>
    </cfRule>
    <cfRule type="containsText" dxfId="593" priority="916" operator="containsText" text="Caida">
      <formula>NOT(ISERROR(SEARCH("Caida",AD238)))</formula>
    </cfRule>
  </conditionalFormatting>
  <conditionalFormatting sqref="D240:I240">
    <cfRule type="containsText" dxfId="592" priority="914" operator="containsText" text="Radio">
      <formula>NOT(ISERROR(SEARCH("Radio",D240)))</formula>
    </cfRule>
  </conditionalFormatting>
  <conditionalFormatting sqref="AA239">
    <cfRule type="cellIs" dxfId="591" priority="904" operator="lessThan">
      <formula>0.8</formula>
    </cfRule>
    <cfRule type="cellIs" dxfId="590" priority="905" operator="greaterThan">
      <formula>0.8</formula>
    </cfRule>
  </conditionalFormatting>
  <conditionalFormatting sqref="AA239">
    <cfRule type="notContainsText" dxfId="589" priority="902" operator="notContains" text="Caida">
      <formula>ISERROR(SEARCH("Caida",AA239))</formula>
    </cfRule>
    <cfRule type="containsText" dxfId="588" priority="903" operator="containsText" text="Caida">
      <formula>NOT(ISERROR(SEARCH("Caida",AA239)))</formula>
    </cfRule>
  </conditionalFormatting>
  <conditionalFormatting sqref="AB239">
    <cfRule type="cellIs" dxfId="587" priority="900" operator="lessThan">
      <formula>0.8</formula>
    </cfRule>
    <cfRule type="cellIs" dxfId="586" priority="901" operator="greaterThan">
      <formula>0.8</formula>
    </cfRule>
  </conditionalFormatting>
  <conditionalFormatting sqref="AB239">
    <cfRule type="notContainsText" dxfId="585" priority="898" operator="notContains" text="Caida">
      <formula>ISERROR(SEARCH("Caida",AB239))</formula>
    </cfRule>
    <cfRule type="containsText" dxfId="584" priority="899" operator="containsText" text="Caida">
      <formula>NOT(ISERROR(SEARCH("Caida",AB239)))</formula>
    </cfRule>
  </conditionalFormatting>
  <conditionalFormatting sqref="AC239">
    <cfRule type="cellIs" dxfId="583" priority="896" operator="lessThan">
      <formula>0.8</formula>
    </cfRule>
    <cfRule type="cellIs" dxfId="582" priority="897" operator="greaterThan">
      <formula>0.8</formula>
    </cfRule>
  </conditionalFormatting>
  <conditionalFormatting sqref="AC239">
    <cfRule type="notContainsText" dxfId="581" priority="894" operator="notContains" text="Caida">
      <formula>ISERROR(SEARCH("Caida",AC239))</formula>
    </cfRule>
    <cfRule type="containsText" dxfId="580" priority="895" operator="containsText" text="Caida">
      <formula>NOT(ISERROR(SEARCH("Caida",AC239)))</formula>
    </cfRule>
  </conditionalFormatting>
  <conditionalFormatting sqref="AD239">
    <cfRule type="cellIs" dxfId="579" priority="892" operator="lessThan">
      <formula>0.8</formula>
    </cfRule>
    <cfRule type="cellIs" dxfId="578" priority="893" operator="greaterThan">
      <formula>0.8</formula>
    </cfRule>
  </conditionalFormatting>
  <conditionalFormatting sqref="AD239">
    <cfRule type="notContainsText" dxfId="577" priority="890" operator="notContains" text="Caida">
      <formula>ISERROR(SEARCH("Caida",AD239))</formula>
    </cfRule>
    <cfRule type="containsText" dxfId="576" priority="891" operator="containsText" text="Caida">
      <formula>NOT(ISERROR(SEARCH("Caida",AD239)))</formula>
    </cfRule>
  </conditionalFormatting>
  <conditionalFormatting sqref="D241:I241">
    <cfRule type="containsText" dxfId="575" priority="889" operator="containsText" text="Radio">
      <formula>NOT(ISERROR(SEARCH("Radio",D241)))</formula>
    </cfRule>
  </conditionalFormatting>
  <conditionalFormatting sqref="AA240">
    <cfRule type="cellIs" dxfId="574" priority="879" operator="lessThan">
      <formula>0.8</formula>
    </cfRule>
    <cfRule type="cellIs" dxfId="573" priority="880" operator="greaterThan">
      <formula>0.8</formula>
    </cfRule>
  </conditionalFormatting>
  <conditionalFormatting sqref="AA240">
    <cfRule type="notContainsText" dxfId="572" priority="877" operator="notContains" text="Caida">
      <formula>ISERROR(SEARCH("Caida",AA240))</formula>
    </cfRule>
    <cfRule type="containsText" dxfId="571" priority="878" operator="containsText" text="Caida">
      <formula>NOT(ISERROR(SEARCH("Caida",AA240)))</formula>
    </cfRule>
  </conditionalFormatting>
  <conditionalFormatting sqref="AB240">
    <cfRule type="cellIs" dxfId="570" priority="875" operator="lessThan">
      <formula>0.8</formula>
    </cfRule>
    <cfRule type="cellIs" dxfId="569" priority="876" operator="greaterThan">
      <formula>0.8</formula>
    </cfRule>
  </conditionalFormatting>
  <conditionalFormatting sqref="AB240">
    <cfRule type="notContainsText" dxfId="568" priority="873" operator="notContains" text="Caida">
      <formula>ISERROR(SEARCH("Caida",AB240))</formula>
    </cfRule>
    <cfRule type="containsText" dxfId="567" priority="874" operator="containsText" text="Caida">
      <formula>NOT(ISERROR(SEARCH("Caida",AB240)))</formula>
    </cfRule>
  </conditionalFormatting>
  <conditionalFormatting sqref="AC240">
    <cfRule type="cellIs" dxfId="566" priority="871" operator="lessThan">
      <formula>0.8</formula>
    </cfRule>
    <cfRule type="cellIs" dxfId="565" priority="872" operator="greaterThan">
      <formula>0.8</formula>
    </cfRule>
  </conditionalFormatting>
  <conditionalFormatting sqref="AC240">
    <cfRule type="notContainsText" dxfId="564" priority="869" operator="notContains" text="Caida">
      <formula>ISERROR(SEARCH("Caida",AC240))</formula>
    </cfRule>
    <cfRule type="containsText" dxfId="563" priority="870" operator="containsText" text="Caida">
      <formula>NOT(ISERROR(SEARCH("Caida",AC240)))</formula>
    </cfRule>
  </conditionalFormatting>
  <conditionalFormatting sqref="AD240">
    <cfRule type="cellIs" dxfId="562" priority="867" operator="lessThan">
      <formula>0.8</formula>
    </cfRule>
    <cfRule type="cellIs" dxfId="561" priority="868" operator="greaterThan">
      <formula>0.8</formula>
    </cfRule>
  </conditionalFormatting>
  <conditionalFormatting sqref="AD240">
    <cfRule type="notContainsText" dxfId="560" priority="865" operator="notContains" text="Caida">
      <formula>ISERROR(SEARCH("Caida",AD240))</formula>
    </cfRule>
    <cfRule type="containsText" dxfId="559" priority="866" operator="containsText" text="Caida">
      <formula>NOT(ISERROR(SEARCH("Caida",AD240)))</formula>
    </cfRule>
  </conditionalFormatting>
  <conditionalFormatting sqref="D242:I242">
    <cfRule type="containsText" dxfId="558" priority="864" operator="containsText" text="Radio">
      <formula>NOT(ISERROR(SEARCH("Radio",D242)))</formula>
    </cfRule>
  </conditionalFormatting>
  <conditionalFormatting sqref="AA241">
    <cfRule type="cellIs" dxfId="557" priority="854" operator="lessThan">
      <formula>0.8</formula>
    </cfRule>
    <cfRule type="cellIs" dxfId="556" priority="855" operator="greaterThan">
      <formula>0.8</formula>
    </cfRule>
  </conditionalFormatting>
  <conditionalFormatting sqref="AA241">
    <cfRule type="notContainsText" dxfId="555" priority="852" operator="notContains" text="Caida">
      <formula>ISERROR(SEARCH("Caida",AA241))</formula>
    </cfRule>
    <cfRule type="containsText" dxfId="554" priority="853" operator="containsText" text="Caida">
      <formula>NOT(ISERROR(SEARCH("Caida",AA241)))</formula>
    </cfRule>
  </conditionalFormatting>
  <conditionalFormatting sqref="AB241">
    <cfRule type="cellIs" dxfId="553" priority="850" operator="lessThan">
      <formula>0.8</formula>
    </cfRule>
    <cfRule type="cellIs" dxfId="552" priority="851" operator="greaterThan">
      <formula>0.8</formula>
    </cfRule>
  </conditionalFormatting>
  <conditionalFormatting sqref="AB241">
    <cfRule type="notContainsText" dxfId="551" priority="848" operator="notContains" text="Caida">
      <formula>ISERROR(SEARCH("Caida",AB241))</formula>
    </cfRule>
    <cfRule type="containsText" dxfId="550" priority="849" operator="containsText" text="Caida">
      <formula>NOT(ISERROR(SEARCH("Caida",AB241)))</formula>
    </cfRule>
  </conditionalFormatting>
  <conditionalFormatting sqref="AC241">
    <cfRule type="cellIs" dxfId="549" priority="846" operator="lessThan">
      <formula>0.8</formula>
    </cfRule>
    <cfRule type="cellIs" dxfId="548" priority="847" operator="greaterThan">
      <formula>0.8</formula>
    </cfRule>
  </conditionalFormatting>
  <conditionalFormatting sqref="AC241">
    <cfRule type="notContainsText" dxfId="547" priority="844" operator="notContains" text="Caida">
      <formula>ISERROR(SEARCH("Caida",AC241))</formula>
    </cfRule>
    <cfRule type="containsText" dxfId="546" priority="845" operator="containsText" text="Caida">
      <formula>NOT(ISERROR(SEARCH("Caida",AC241)))</formula>
    </cfRule>
  </conditionalFormatting>
  <conditionalFormatting sqref="AD241">
    <cfRule type="cellIs" dxfId="545" priority="842" operator="lessThan">
      <formula>0.8</formula>
    </cfRule>
    <cfRule type="cellIs" dxfId="544" priority="843" operator="greaterThan">
      <formula>0.8</formula>
    </cfRule>
  </conditionalFormatting>
  <conditionalFormatting sqref="AD241">
    <cfRule type="notContainsText" dxfId="543" priority="840" operator="notContains" text="Caida">
      <formula>ISERROR(SEARCH("Caida",AD241))</formula>
    </cfRule>
    <cfRule type="containsText" dxfId="542" priority="841" operator="containsText" text="Caida">
      <formula>NOT(ISERROR(SEARCH("Caida",AD241)))</formula>
    </cfRule>
  </conditionalFormatting>
  <conditionalFormatting sqref="M280">
    <cfRule type="cellIs" dxfId="541" priority="829" operator="lessThan">
      <formula>0.8</formula>
    </cfRule>
    <cfRule type="cellIs" dxfId="540" priority="830" operator="greaterThan">
      <formula>0.8</formula>
    </cfRule>
  </conditionalFormatting>
  <conditionalFormatting sqref="M280">
    <cfRule type="notContainsText" dxfId="539" priority="827" operator="notContains" text="Caida">
      <formula>ISERROR(SEARCH("Caida",M280))</formula>
    </cfRule>
    <cfRule type="containsText" dxfId="538" priority="828" operator="containsText" text="Caida">
      <formula>NOT(ISERROR(SEARCH("Caida",M280)))</formula>
    </cfRule>
  </conditionalFormatting>
  <conditionalFormatting sqref="M281">
    <cfRule type="cellIs" dxfId="537" priority="825" operator="lessThan">
      <formula>0.8</formula>
    </cfRule>
    <cfRule type="cellIs" dxfId="536" priority="826" operator="greaterThan">
      <formula>0.8</formula>
    </cfRule>
  </conditionalFormatting>
  <conditionalFormatting sqref="M281">
    <cfRule type="notContainsText" dxfId="535" priority="823" operator="notContains" text="Caida">
      <formula>ISERROR(SEARCH("Caida",M281))</formula>
    </cfRule>
    <cfRule type="containsText" dxfId="534" priority="824" operator="containsText" text="Caida">
      <formula>NOT(ISERROR(SEARCH("Caida",M281)))</formula>
    </cfRule>
  </conditionalFormatting>
  <conditionalFormatting sqref="M5">
    <cfRule type="cellIs" dxfId="533" priority="821" operator="lessThan">
      <formula>0.8</formula>
    </cfRule>
    <cfRule type="cellIs" dxfId="532" priority="822" operator="greaterThan">
      <formula>0.8</formula>
    </cfRule>
  </conditionalFormatting>
  <conditionalFormatting sqref="M5">
    <cfRule type="notContainsText" dxfId="531" priority="819" operator="notContains" text="Caida">
      <formula>ISERROR(SEARCH("Caida",M5))</formula>
    </cfRule>
    <cfRule type="containsText" dxfId="530" priority="820" operator="containsText" text="Caida">
      <formula>NOT(ISERROR(SEARCH("Caida",M5)))</formula>
    </cfRule>
  </conditionalFormatting>
  <conditionalFormatting sqref="M231">
    <cfRule type="cellIs" dxfId="529" priority="817" operator="lessThan">
      <formula>0.8</formula>
    </cfRule>
    <cfRule type="cellIs" dxfId="528" priority="818" operator="greaterThan">
      <formula>0.8</formula>
    </cfRule>
  </conditionalFormatting>
  <conditionalFormatting sqref="M231">
    <cfRule type="notContainsText" dxfId="527" priority="815" operator="notContains" text="Caida">
      <formula>ISERROR(SEARCH("Caida",M231))</formula>
    </cfRule>
    <cfRule type="containsText" dxfId="526" priority="816" operator="containsText" text="Caida">
      <formula>NOT(ISERROR(SEARCH("Caida",M231)))</formula>
    </cfRule>
  </conditionalFormatting>
  <conditionalFormatting sqref="M232">
    <cfRule type="cellIs" dxfId="525" priority="813" operator="lessThan">
      <formula>0.8</formula>
    </cfRule>
    <cfRule type="cellIs" dxfId="524" priority="814" operator="greaterThan">
      <formula>0.8</formula>
    </cfRule>
  </conditionalFormatting>
  <conditionalFormatting sqref="M232">
    <cfRule type="notContainsText" dxfId="523" priority="811" operator="notContains" text="Caida">
      <formula>ISERROR(SEARCH("Caida",M232))</formula>
    </cfRule>
    <cfRule type="containsText" dxfId="522" priority="812" operator="containsText" text="Caida">
      <formula>NOT(ISERROR(SEARCH("Caida",M232)))</formula>
    </cfRule>
  </conditionalFormatting>
  <conditionalFormatting sqref="M233">
    <cfRule type="cellIs" dxfId="521" priority="809" operator="lessThan">
      <formula>0.8</formula>
    </cfRule>
    <cfRule type="cellIs" dxfId="520" priority="810" operator="greaterThan">
      <formula>0.8</formula>
    </cfRule>
  </conditionalFormatting>
  <conditionalFormatting sqref="M233">
    <cfRule type="notContainsText" dxfId="519" priority="807" operator="notContains" text="Caida">
      <formula>ISERROR(SEARCH("Caida",M233))</formula>
    </cfRule>
    <cfRule type="containsText" dxfId="518" priority="808" operator="containsText" text="Caida">
      <formula>NOT(ISERROR(SEARCH("Caida",M233)))</formula>
    </cfRule>
  </conditionalFormatting>
  <conditionalFormatting sqref="M234">
    <cfRule type="cellIs" dxfId="517" priority="805" operator="lessThan">
      <formula>0.8</formula>
    </cfRule>
    <cfRule type="cellIs" dxfId="516" priority="806" operator="greaterThan">
      <formula>0.8</formula>
    </cfRule>
  </conditionalFormatting>
  <conditionalFormatting sqref="M234">
    <cfRule type="notContainsText" dxfId="515" priority="803" operator="notContains" text="Caida">
      <formula>ISERROR(SEARCH("Caida",M234))</formula>
    </cfRule>
    <cfRule type="containsText" dxfId="514" priority="804" operator="containsText" text="Caida">
      <formula>NOT(ISERROR(SEARCH("Caida",M234)))</formula>
    </cfRule>
  </conditionalFormatting>
  <conditionalFormatting sqref="M235">
    <cfRule type="cellIs" dxfId="513" priority="801" operator="lessThan">
      <formula>0.8</formula>
    </cfRule>
    <cfRule type="cellIs" dxfId="512" priority="802" operator="greaterThan">
      <formula>0.8</formula>
    </cfRule>
  </conditionalFormatting>
  <conditionalFormatting sqref="M235">
    <cfRule type="notContainsText" dxfId="511" priority="799" operator="notContains" text="Caida">
      <formula>ISERROR(SEARCH("Caida",M235))</formula>
    </cfRule>
    <cfRule type="containsText" dxfId="510" priority="800" operator="containsText" text="Caida">
      <formula>NOT(ISERROR(SEARCH("Caida",M235)))</formula>
    </cfRule>
  </conditionalFormatting>
  <conditionalFormatting sqref="M333">
    <cfRule type="cellIs" dxfId="509" priority="797" operator="lessThan">
      <formula>0.8</formula>
    </cfRule>
    <cfRule type="cellIs" dxfId="508" priority="798" operator="greaterThan">
      <formula>0.8</formula>
    </cfRule>
  </conditionalFormatting>
  <conditionalFormatting sqref="M333">
    <cfRule type="notContainsText" dxfId="507" priority="795" operator="notContains" text="Caida">
      <formula>ISERROR(SEARCH("Caida",M333))</formula>
    </cfRule>
    <cfRule type="containsText" dxfId="506" priority="796" operator="containsText" text="Caida">
      <formula>NOT(ISERROR(SEARCH("Caida",M333)))</formula>
    </cfRule>
  </conditionalFormatting>
  <conditionalFormatting sqref="M334">
    <cfRule type="cellIs" dxfId="505" priority="793" operator="lessThan">
      <formula>0.8</formula>
    </cfRule>
    <cfRule type="cellIs" dxfId="504" priority="794" operator="greaterThan">
      <formula>0.8</formula>
    </cfRule>
  </conditionalFormatting>
  <conditionalFormatting sqref="M334">
    <cfRule type="notContainsText" dxfId="503" priority="791" operator="notContains" text="Caida">
      <formula>ISERROR(SEARCH("Caida",M334))</formula>
    </cfRule>
    <cfRule type="containsText" dxfId="502" priority="792" operator="containsText" text="Caida">
      <formula>NOT(ISERROR(SEARCH("Caida",M334)))</formula>
    </cfRule>
  </conditionalFormatting>
  <conditionalFormatting sqref="N6:N92 N236:N279 N96:N230">
    <cfRule type="cellIs" dxfId="501" priority="789" operator="lessThan">
      <formula>0.8</formula>
    </cfRule>
    <cfRule type="cellIs" dxfId="500" priority="790" operator="greaterThan">
      <formula>0.8</formula>
    </cfRule>
  </conditionalFormatting>
  <conditionalFormatting sqref="N6:N92 N236:N279 N96:N230">
    <cfRule type="notContainsText" dxfId="499" priority="787" operator="notContains" text="Caida">
      <formula>ISERROR(SEARCH("Caida",N6))</formula>
    </cfRule>
    <cfRule type="containsText" dxfId="498" priority="788" operator="containsText" text="Caida">
      <formula>NOT(ISERROR(SEARCH("Caida",N6)))</formula>
    </cfRule>
  </conditionalFormatting>
  <conditionalFormatting sqref="N335:N364 N282:N332">
    <cfRule type="cellIs" dxfId="497" priority="785" operator="lessThan">
      <formula>0.8</formula>
    </cfRule>
    <cfRule type="cellIs" dxfId="496" priority="786" operator="greaterThan">
      <formula>0.8</formula>
    </cfRule>
  </conditionalFormatting>
  <conditionalFormatting sqref="N335:N364 N282:N332 N369:N1048576">
    <cfRule type="notContainsText" dxfId="495" priority="783" operator="notContains" text="Caida">
      <formula>ISERROR(SEARCH("Caida",N282))</formula>
    </cfRule>
    <cfRule type="containsText" dxfId="494" priority="784" operator="containsText" text="Caida">
      <formula>NOT(ISERROR(SEARCH("Caida",N282)))</formula>
    </cfRule>
  </conditionalFormatting>
  <conditionalFormatting sqref="M6:M92 M236:M279 M96:M230">
    <cfRule type="cellIs" dxfId="493" priority="838" operator="lessThan">
      <formula>0.8</formula>
    </cfRule>
    <cfRule type="cellIs" dxfId="492" priority="839" operator="greaterThan">
      <formula>0.8</formula>
    </cfRule>
  </conditionalFormatting>
  <conditionalFormatting sqref="M6:M92 M236:M279 M96:M230">
    <cfRule type="notContainsText" dxfId="491" priority="836" operator="notContains" text="Caida">
      <formula>ISERROR(SEARCH("Caida",M6))</formula>
    </cfRule>
    <cfRule type="containsText" dxfId="490" priority="837" operator="containsText" text="Caida">
      <formula>NOT(ISERROR(SEARCH("Caida",M6)))</formula>
    </cfRule>
  </conditionalFormatting>
  <conditionalFormatting sqref="M335:M364 M282:M332">
    <cfRule type="cellIs" dxfId="489" priority="834" operator="lessThan">
      <formula>0.8</formula>
    </cfRule>
    <cfRule type="cellIs" dxfId="488" priority="835" operator="greaterThan">
      <formula>0.8</formula>
    </cfRule>
  </conditionalFormatting>
  <conditionalFormatting sqref="M335:M364 M282:M332 M369:M1048576">
    <cfRule type="notContainsText" dxfId="487" priority="832" operator="notContains" text="Caida">
      <formula>ISERROR(SEARCH("Caida",M282))</formula>
    </cfRule>
    <cfRule type="containsText" dxfId="486" priority="833" operator="containsText" text="Caida">
      <formula>NOT(ISERROR(SEARCH("Caida",M282)))</formula>
    </cfRule>
  </conditionalFormatting>
  <conditionalFormatting sqref="M22">
    <cfRule type="containsText" dxfId="485" priority="831" operator="containsText" text="Instaladas en Funcionamiento Caida">
      <formula>NOT(ISERROR(SEARCH("Instaladas en Funcionamiento Caida",M22)))</formula>
    </cfRule>
  </conditionalFormatting>
  <conditionalFormatting sqref="N334">
    <cfRule type="cellIs" dxfId="484" priority="744" operator="lessThan">
      <formula>0.8</formula>
    </cfRule>
    <cfRule type="cellIs" dxfId="483" priority="745" operator="greaterThan">
      <formula>0.8</formula>
    </cfRule>
  </conditionalFormatting>
  <conditionalFormatting sqref="N334">
    <cfRule type="notContainsText" dxfId="482" priority="742" operator="notContains" text="Caida">
      <formula>ISERROR(SEARCH("Caida",N334))</formula>
    </cfRule>
    <cfRule type="containsText" dxfId="481" priority="743" operator="containsText" text="Caida">
      <formula>NOT(ISERROR(SEARCH("Caida",N334)))</formula>
    </cfRule>
  </conditionalFormatting>
  <conditionalFormatting sqref="N22">
    <cfRule type="containsText" dxfId="480" priority="782" operator="containsText" text="Instaladas en Funcionamiento Caida">
      <formula>NOT(ISERROR(SEARCH("Instaladas en Funcionamiento Caida",N22)))</formula>
    </cfRule>
  </conditionalFormatting>
  <conditionalFormatting sqref="N280">
    <cfRule type="cellIs" dxfId="479" priority="780" operator="lessThan">
      <formula>0.8</formula>
    </cfRule>
    <cfRule type="cellIs" dxfId="478" priority="781" operator="greaterThan">
      <formula>0.8</formula>
    </cfRule>
  </conditionalFormatting>
  <conditionalFormatting sqref="N280">
    <cfRule type="notContainsText" dxfId="477" priority="778" operator="notContains" text="Caida">
      <formula>ISERROR(SEARCH("Caida",N280))</formula>
    </cfRule>
    <cfRule type="containsText" dxfId="476" priority="779" operator="containsText" text="Caida">
      <formula>NOT(ISERROR(SEARCH("Caida",N280)))</formula>
    </cfRule>
  </conditionalFormatting>
  <conditionalFormatting sqref="N281">
    <cfRule type="cellIs" dxfId="475" priority="776" operator="lessThan">
      <formula>0.8</formula>
    </cfRule>
    <cfRule type="cellIs" dxfId="474" priority="777" operator="greaterThan">
      <formula>0.8</formula>
    </cfRule>
  </conditionalFormatting>
  <conditionalFormatting sqref="N281">
    <cfRule type="notContainsText" dxfId="473" priority="774" operator="notContains" text="Caida">
      <formula>ISERROR(SEARCH("Caida",N281))</formula>
    </cfRule>
    <cfRule type="containsText" dxfId="472" priority="775" operator="containsText" text="Caida">
      <formula>NOT(ISERROR(SEARCH("Caida",N281)))</formula>
    </cfRule>
  </conditionalFormatting>
  <conditionalFormatting sqref="N5">
    <cfRule type="cellIs" dxfId="471" priority="772" operator="lessThan">
      <formula>0.8</formula>
    </cfRule>
    <cfRule type="cellIs" dxfId="470" priority="773" operator="greaterThan">
      <formula>0.8</formula>
    </cfRule>
  </conditionalFormatting>
  <conditionalFormatting sqref="N5">
    <cfRule type="notContainsText" dxfId="469" priority="770" operator="notContains" text="Caida">
      <formula>ISERROR(SEARCH("Caida",N5))</formula>
    </cfRule>
    <cfRule type="containsText" dxfId="468" priority="771" operator="containsText" text="Caida">
      <formula>NOT(ISERROR(SEARCH("Caida",N5)))</formula>
    </cfRule>
  </conditionalFormatting>
  <conditionalFormatting sqref="N231">
    <cfRule type="cellIs" dxfId="467" priority="768" operator="lessThan">
      <formula>0.8</formula>
    </cfRule>
    <cfRule type="cellIs" dxfId="466" priority="769" operator="greaterThan">
      <formula>0.8</formula>
    </cfRule>
  </conditionalFormatting>
  <conditionalFormatting sqref="N231">
    <cfRule type="notContainsText" dxfId="465" priority="766" operator="notContains" text="Caida">
      <formula>ISERROR(SEARCH("Caida",N231))</formula>
    </cfRule>
    <cfRule type="containsText" dxfId="464" priority="767" operator="containsText" text="Caida">
      <formula>NOT(ISERROR(SEARCH("Caida",N231)))</formula>
    </cfRule>
  </conditionalFormatting>
  <conditionalFormatting sqref="N232">
    <cfRule type="cellIs" dxfId="463" priority="764" operator="lessThan">
      <formula>0.8</formula>
    </cfRule>
    <cfRule type="cellIs" dxfId="462" priority="765" operator="greaterThan">
      <formula>0.8</formula>
    </cfRule>
  </conditionalFormatting>
  <conditionalFormatting sqref="N232">
    <cfRule type="notContainsText" dxfId="461" priority="762" operator="notContains" text="Caida">
      <formula>ISERROR(SEARCH("Caida",N232))</formula>
    </cfRule>
    <cfRule type="containsText" dxfId="460" priority="763" operator="containsText" text="Caida">
      <formula>NOT(ISERROR(SEARCH("Caida",N232)))</formula>
    </cfRule>
  </conditionalFormatting>
  <conditionalFormatting sqref="N233">
    <cfRule type="cellIs" dxfId="459" priority="760" operator="lessThan">
      <formula>0.8</formula>
    </cfRule>
    <cfRule type="cellIs" dxfId="458" priority="761" operator="greaterThan">
      <formula>0.8</formula>
    </cfRule>
  </conditionalFormatting>
  <conditionalFormatting sqref="N233">
    <cfRule type="notContainsText" dxfId="457" priority="758" operator="notContains" text="Caida">
      <formula>ISERROR(SEARCH("Caida",N233))</formula>
    </cfRule>
    <cfRule type="containsText" dxfId="456" priority="759" operator="containsText" text="Caida">
      <formula>NOT(ISERROR(SEARCH("Caida",N233)))</formula>
    </cfRule>
  </conditionalFormatting>
  <conditionalFormatting sqref="N234">
    <cfRule type="cellIs" dxfId="455" priority="756" operator="lessThan">
      <formula>0.8</formula>
    </cfRule>
    <cfRule type="cellIs" dxfId="454" priority="757" operator="greaterThan">
      <formula>0.8</formula>
    </cfRule>
  </conditionalFormatting>
  <conditionalFormatting sqref="N234">
    <cfRule type="notContainsText" dxfId="453" priority="754" operator="notContains" text="Caida">
      <formula>ISERROR(SEARCH("Caida",N234))</formula>
    </cfRule>
    <cfRule type="containsText" dxfId="452" priority="755" operator="containsText" text="Caida">
      <formula>NOT(ISERROR(SEARCH("Caida",N234)))</formula>
    </cfRule>
  </conditionalFormatting>
  <conditionalFormatting sqref="N235">
    <cfRule type="cellIs" dxfId="451" priority="752" operator="lessThan">
      <formula>0.8</formula>
    </cfRule>
    <cfRule type="cellIs" dxfId="450" priority="753" operator="greaterThan">
      <formula>0.8</formula>
    </cfRule>
  </conditionalFormatting>
  <conditionalFormatting sqref="N235">
    <cfRule type="notContainsText" dxfId="449" priority="750" operator="notContains" text="Caida">
      <formula>ISERROR(SEARCH("Caida",N235))</formula>
    </cfRule>
    <cfRule type="containsText" dxfId="448" priority="751" operator="containsText" text="Caida">
      <formula>NOT(ISERROR(SEARCH("Caida",N235)))</formula>
    </cfRule>
  </conditionalFormatting>
  <conditionalFormatting sqref="N333">
    <cfRule type="cellIs" dxfId="447" priority="748" operator="lessThan">
      <formula>0.8</formula>
    </cfRule>
    <cfRule type="cellIs" dxfId="446" priority="749" operator="greaterThan">
      <formula>0.8</formula>
    </cfRule>
  </conditionalFormatting>
  <conditionalFormatting sqref="N333">
    <cfRule type="notContainsText" dxfId="445" priority="746" operator="notContains" text="Caida">
      <formula>ISERROR(SEARCH("Caida",N333))</formula>
    </cfRule>
    <cfRule type="containsText" dxfId="444" priority="747" operator="containsText" text="Caida">
      <formula>NOT(ISERROR(SEARCH("Caida",N333)))</formula>
    </cfRule>
  </conditionalFormatting>
  <conditionalFormatting sqref="O236:O279 O6:O92 O96:O230">
    <cfRule type="cellIs" dxfId="443" priority="740" operator="lessThan">
      <formula>0.8</formula>
    </cfRule>
    <cfRule type="cellIs" dxfId="442" priority="741" operator="greaterThan">
      <formula>0.8</formula>
    </cfRule>
  </conditionalFormatting>
  <conditionalFormatting sqref="O236:O279 O6:O92 O96:O230">
    <cfRule type="notContainsText" dxfId="441" priority="738" operator="notContains" text="Caida">
      <formula>ISERROR(SEARCH("Caida",O6))</formula>
    </cfRule>
    <cfRule type="containsText" dxfId="440" priority="739" operator="containsText" text="Caida">
      <formula>NOT(ISERROR(SEARCH("Caida",O6)))</formula>
    </cfRule>
  </conditionalFormatting>
  <conditionalFormatting sqref="O334">
    <cfRule type="cellIs" dxfId="439" priority="695" operator="lessThan">
      <formula>0.8</formula>
    </cfRule>
    <cfRule type="cellIs" dxfId="438" priority="696" operator="greaterThan">
      <formula>0.8</formula>
    </cfRule>
  </conditionalFormatting>
  <conditionalFormatting sqref="O334">
    <cfRule type="notContainsText" dxfId="437" priority="693" operator="notContains" text="Caida">
      <formula>ISERROR(SEARCH("Caida",O334))</formula>
    </cfRule>
    <cfRule type="containsText" dxfId="436" priority="694" operator="containsText" text="Caida">
      <formula>NOT(ISERROR(SEARCH("Caida",O334)))</formula>
    </cfRule>
  </conditionalFormatting>
  <conditionalFormatting sqref="O335:O364 O282:O332">
    <cfRule type="cellIs" dxfId="435" priority="736" operator="lessThan">
      <formula>0.8</formula>
    </cfRule>
    <cfRule type="cellIs" dxfId="434" priority="737" operator="greaterThan">
      <formula>0.8</formula>
    </cfRule>
  </conditionalFormatting>
  <conditionalFormatting sqref="O335:O364 O282:O332 O369:O1048576">
    <cfRule type="notContainsText" dxfId="433" priority="734" operator="notContains" text="Caida">
      <formula>ISERROR(SEARCH("Caida",O282))</formula>
    </cfRule>
    <cfRule type="containsText" dxfId="432" priority="735" operator="containsText" text="Caida">
      <formula>NOT(ISERROR(SEARCH("Caida",O282)))</formula>
    </cfRule>
  </conditionalFormatting>
  <conditionalFormatting sqref="O22">
    <cfRule type="containsText" dxfId="431" priority="733" operator="containsText" text="Instaladas en Funcionamiento Caida">
      <formula>NOT(ISERROR(SEARCH("Instaladas en Funcionamiento Caida",O22)))</formula>
    </cfRule>
  </conditionalFormatting>
  <conditionalFormatting sqref="O280">
    <cfRule type="cellIs" dxfId="430" priority="731" operator="lessThan">
      <formula>0.8</formula>
    </cfRule>
    <cfRule type="cellIs" dxfId="429" priority="732" operator="greaterThan">
      <formula>0.8</formula>
    </cfRule>
  </conditionalFormatting>
  <conditionalFormatting sqref="O280">
    <cfRule type="notContainsText" dxfId="428" priority="729" operator="notContains" text="Caida">
      <formula>ISERROR(SEARCH("Caida",O280))</formula>
    </cfRule>
    <cfRule type="containsText" dxfId="427" priority="730" operator="containsText" text="Caida">
      <formula>NOT(ISERROR(SEARCH("Caida",O280)))</formula>
    </cfRule>
  </conditionalFormatting>
  <conditionalFormatting sqref="O281">
    <cfRule type="cellIs" dxfId="426" priority="727" operator="lessThan">
      <formula>0.8</formula>
    </cfRule>
    <cfRule type="cellIs" dxfId="425" priority="728" operator="greaterThan">
      <formula>0.8</formula>
    </cfRule>
  </conditionalFormatting>
  <conditionalFormatting sqref="O281">
    <cfRule type="notContainsText" dxfId="424" priority="725" operator="notContains" text="Caida">
      <formula>ISERROR(SEARCH("Caida",O281))</formula>
    </cfRule>
    <cfRule type="containsText" dxfId="423" priority="726" operator="containsText" text="Caida">
      <formula>NOT(ISERROR(SEARCH("Caida",O281)))</formula>
    </cfRule>
  </conditionalFormatting>
  <conditionalFormatting sqref="O5">
    <cfRule type="cellIs" dxfId="422" priority="723" operator="lessThan">
      <formula>0.8</formula>
    </cfRule>
    <cfRule type="cellIs" dxfId="421" priority="724" operator="greaterThan">
      <formula>0.8</formula>
    </cfRule>
  </conditionalFormatting>
  <conditionalFormatting sqref="O5">
    <cfRule type="notContainsText" dxfId="420" priority="721" operator="notContains" text="Caida">
      <formula>ISERROR(SEARCH("Caida",O5))</formula>
    </cfRule>
    <cfRule type="containsText" dxfId="419" priority="722" operator="containsText" text="Caida">
      <formula>NOT(ISERROR(SEARCH("Caida",O5)))</formula>
    </cfRule>
  </conditionalFormatting>
  <conditionalFormatting sqref="O231">
    <cfRule type="cellIs" dxfId="418" priority="719" operator="lessThan">
      <formula>0.8</formula>
    </cfRule>
    <cfRule type="cellIs" dxfId="417" priority="720" operator="greaterThan">
      <formula>0.8</formula>
    </cfRule>
  </conditionalFormatting>
  <conditionalFormatting sqref="O231">
    <cfRule type="notContainsText" dxfId="416" priority="717" operator="notContains" text="Caida">
      <formula>ISERROR(SEARCH("Caida",O231))</formula>
    </cfRule>
    <cfRule type="containsText" dxfId="415" priority="718" operator="containsText" text="Caida">
      <formula>NOT(ISERROR(SEARCH("Caida",O231)))</formula>
    </cfRule>
  </conditionalFormatting>
  <conditionalFormatting sqref="O232">
    <cfRule type="cellIs" dxfId="414" priority="715" operator="lessThan">
      <formula>0.8</formula>
    </cfRule>
    <cfRule type="cellIs" dxfId="413" priority="716" operator="greaterThan">
      <formula>0.8</formula>
    </cfRule>
  </conditionalFormatting>
  <conditionalFormatting sqref="O232">
    <cfRule type="notContainsText" dxfId="412" priority="713" operator="notContains" text="Caida">
      <formula>ISERROR(SEARCH("Caida",O232))</formula>
    </cfRule>
    <cfRule type="containsText" dxfId="411" priority="714" operator="containsText" text="Caida">
      <formula>NOT(ISERROR(SEARCH("Caida",O232)))</formula>
    </cfRule>
  </conditionalFormatting>
  <conditionalFormatting sqref="O233">
    <cfRule type="cellIs" dxfId="410" priority="711" operator="lessThan">
      <formula>0.8</formula>
    </cfRule>
    <cfRule type="cellIs" dxfId="409" priority="712" operator="greaterThan">
      <formula>0.8</formula>
    </cfRule>
  </conditionalFormatting>
  <conditionalFormatting sqref="O233">
    <cfRule type="notContainsText" dxfId="408" priority="709" operator="notContains" text="Caida">
      <formula>ISERROR(SEARCH("Caida",O233))</formula>
    </cfRule>
    <cfRule type="containsText" dxfId="407" priority="710" operator="containsText" text="Caida">
      <formula>NOT(ISERROR(SEARCH("Caida",O233)))</formula>
    </cfRule>
  </conditionalFormatting>
  <conditionalFormatting sqref="O234">
    <cfRule type="cellIs" dxfId="406" priority="707" operator="lessThan">
      <formula>0.8</formula>
    </cfRule>
    <cfRule type="cellIs" dxfId="405" priority="708" operator="greaterThan">
      <formula>0.8</formula>
    </cfRule>
  </conditionalFormatting>
  <conditionalFormatting sqref="O234">
    <cfRule type="notContainsText" dxfId="404" priority="705" operator="notContains" text="Caida">
      <formula>ISERROR(SEARCH("Caida",O234))</formula>
    </cfRule>
    <cfRule type="containsText" dxfId="403" priority="706" operator="containsText" text="Caida">
      <formula>NOT(ISERROR(SEARCH("Caida",O234)))</formula>
    </cfRule>
  </conditionalFormatting>
  <conditionalFormatting sqref="O235">
    <cfRule type="cellIs" dxfId="402" priority="703" operator="lessThan">
      <formula>0.8</formula>
    </cfRule>
    <cfRule type="cellIs" dxfId="401" priority="704" operator="greaterThan">
      <formula>0.8</formula>
    </cfRule>
  </conditionalFormatting>
  <conditionalFormatting sqref="O235">
    <cfRule type="notContainsText" dxfId="400" priority="701" operator="notContains" text="Caida">
      <formula>ISERROR(SEARCH("Caida",O235))</formula>
    </cfRule>
    <cfRule type="containsText" dxfId="399" priority="702" operator="containsText" text="Caida">
      <formula>NOT(ISERROR(SEARCH("Caida",O235)))</formula>
    </cfRule>
  </conditionalFormatting>
  <conditionalFormatting sqref="O333">
    <cfRule type="cellIs" dxfId="398" priority="699" operator="lessThan">
      <formula>0.8</formula>
    </cfRule>
    <cfRule type="cellIs" dxfId="397" priority="700" operator="greaterThan">
      <formula>0.8</formula>
    </cfRule>
  </conditionalFormatting>
  <conditionalFormatting sqref="O333">
    <cfRule type="notContainsText" dxfId="396" priority="697" operator="notContains" text="Caida">
      <formula>ISERROR(SEARCH("Caida",O333))</formula>
    </cfRule>
    <cfRule type="containsText" dxfId="395" priority="698" operator="containsText" text="Caida">
      <formula>NOT(ISERROR(SEARCH("Caida",O333)))</formula>
    </cfRule>
  </conditionalFormatting>
  <conditionalFormatting sqref="P6:P92 P236:P279 P96:P230">
    <cfRule type="cellIs" dxfId="394" priority="691" operator="lessThan">
      <formula>0.8</formula>
    </cfRule>
    <cfRule type="cellIs" dxfId="393" priority="692" operator="greaterThan">
      <formula>0.8</formula>
    </cfRule>
  </conditionalFormatting>
  <conditionalFormatting sqref="P6:P92 P236:P279 P96:P230">
    <cfRule type="notContainsText" dxfId="392" priority="689" operator="notContains" text="Caida">
      <formula>ISERROR(SEARCH("Caida",P6))</formula>
    </cfRule>
    <cfRule type="containsText" dxfId="391" priority="690" operator="containsText" text="Caida">
      <formula>NOT(ISERROR(SEARCH("Caida",P6)))</formula>
    </cfRule>
  </conditionalFormatting>
  <conditionalFormatting sqref="P334:R334">
    <cfRule type="cellIs" dxfId="390" priority="646" operator="lessThan">
      <formula>0.8</formula>
    </cfRule>
    <cfRule type="cellIs" dxfId="389" priority="647" operator="greaterThan">
      <formula>0.8</formula>
    </cfRule>
  </conditionalFormatting>
  <conditionalFormatting sqref="P334:R334">
    <cfRule type="notContainsText" dxfId="388" priority="644" operator="notContains" text="Caida">
      <formula>ISERROR(SEARCH("Caida",P334))</formula>
    </cfRule>
    <cfRule type="containsText" dxfId="387" priority="645" operator="containsText" text="Caida">
      <formula>NOT(ISERROR(SEARCH("Caida",P334)))</formula>
    </cfRule>
  </conditionalFormatting>
  <conditionalFormatting sqref="P335:P364 P282:P332">
    <cfRule type="cellIs" dxfId="386" priority="687" operator="lessThan">
      <formula>0.8</formula>
    </cfRule>
    <cfRule type="cellIs" dxfId="385" priority="688" operator="greaterThan">
      <formula>0.8</formula>
    </cfRule>
  </conditionalFormatting>
  <conditionalFormatting sqref="P335:P364 P282:P332 P369:P1048576">
    <cfRule type="notContainsText" dxfId="384" priority="685" operator="notContains" text="Caida">
      <formula>ISERROR(SEARCH("Caida",P282))</formula>
    </cfRule>
    <cfRule type="containsText" dxfId="383" priority="686" operator="containsText" text="Caida">
      <formula>NOT(ISERROR(SEARCH("Caida",P282)))</formula>
    </cfRule>
  </conditionalFormatting>
  <conditionalFormatting sqref="P22:R22">
    <cfRule type="containsText" dxfId="382" priority="684" operator="containsText" text="Instaladas en Funcionamiento Caida">
      <formula>NOT(ISERROR(SEARCH("Instaladas en Funcionamiento Caida",P22)))</formula>
    </cfRule>
  </conditionalFormatting>
  <conditionalFormatting sqref="P280:R280">
    <cfRule type="cellIs" dxfId="381" priority="682" operator="lessThan">
      <formula>0.8</formula>
    </cfRule>
    <cfRule type="cellIs" dxfId="380" priority="683" operator="greaterThan">
      <formula>0.8</formula>
    </cfRule>
  </conditionalFormatting>
  <conditionalFormatting sqref="P280:R280">
    <cfRule type="notContainsText" dxfId="379" priority="680" operator="notContains" text="Caida">
      <formula>ISERROR(SEARCH("Caida",P280))</formula>
    </cfRule>
    <cfRule type="containsText" dxfId="378" priority="681" operator="containsText" text="Caida">
      <formula>NOT(ISERROR(SEARCH("Caida",P280)))</formula>
    </cfRule>
  </conditionalFormatting>
  <conditionalFormatting sqref="P281:R281">
    <cfRule type="cellIs" dxfId="377" priority="678" operator="lessThan">
      <formula>0.8</formula>
    </cfRule>
    <cfRule type="cellIs" dxfId="376" priority="679" operator="greaterThan">
      <formula>0.8</formula>
    </cfRule>
  </conditionalFormatting>
  <conditionalFormatting sqref="P281:R281">
    <cfRule type="notContainsText" dxfId="375" priority="676" operator="notContains" text="Caida">
      <formula>ISERROR(SEARCH("Caida",P281))</formula>
    </cfRule>
    <cfRule type="containsText" dxfId="374" priority="677" operator="containsText" text="Caida">
      <formula>NOT(ISERROR(SEARCH("Caida",P281)))</formula>
    </cfRule>
  </conditionalFormatting>
  <conditionalFormatting sqref="P5:R5">
    <cfRule type="cellIs" dxfId="373" priority="674" operator="lessThan">
      <formula>0.8</formula>
    </cfRule>
    <cfRule type="cellIs" dxfId="372" priority="675" operator="greaterThan">
      <formula>0.8</formula>
    </cfRule>
  </conditionalFormatting>
  <conditionalFormatting sqref="P5:R5">
    <cfRule type="notContainsText" dxfId="371" priority="672" operator="notContains" text="Caida">
      <formula>ISERROR(SEARCH("Caida",P5))</formula>
    </cfRule>
    <cfRule type="containsText" dxfId="370" priority="673" operator="containsText" text="Caida">
      <formula>NOT(ISERROR(SEARCH("Caida",P5)))</formula>
    </cfRule>
  </conditionalFormatting>
  <conditionalFormatting sqref="P231:R231">
    <cfRule type="cellIs" dxfId="369" priority="670" operator="lessThan">
      <formula>0.8</formula>
    </cfRule>
    <cfRule type="cellIs" dxfId="368" priority="671" operator="greaterThan">
      <formula>0.8</formula>
    </cfRule>
  </conditionalFormatting>
  <conditionalFormatting sqref="P231:R231">
    <cfRule type="notContainsText" dxfId="367" priority="668" operator="notContains" text="Caida">
      <formula>ISERROR(SEARCH("Caida",P231))</formula>
    </cfRule>
    <cfRule type="containsText" dxfId="366" priority="669" operator="containsText" text="Caida">
      <formula>NOT(ISERROR(SEARCH("Caida",P231)))</formula>
    </cfRule>
  </conditionalFormatting>
  <conditionalFormatting sqref="P232:R232">
    <cfRule type="cellIs" dxfId="365" priority="666" operator="lessThan">
      <formula>0.8</formula>
    </cfRule>
    <cfRule type="cellIs" dxfId="364" priority="667" operator="greaterThan">
      <formula>0.8</formula>
    </cfRule>
  </conditionalFormatting>
  <conditionalFormatting sqref="P232:R232">
    <cfRule type="notContainsText" dxfId="363" priority="664" operator="notContains" text="Caida">
      <formula>ISERROR(SEARCH("Caida",P232))</formula>
    </cfRule>
    <cfRule type="containsText" dxfId="362" priority="665" operator="containsText" text="Caida">
      <formula>NOT(ISERROR(SEARCH("Caida",P232)))</formula>
    </cfRule>
  </conditionalFormatting>
  <conditionalFormatting sqref="P233:R233">
    <cfRule type="cellIs" dxfId="361" priority="662" operator="lessThan">
      <formula>0.8</formula>
    </cfRule>
    <cfRule type="cellIs" dxfId="360" priority="663" operator="greaterThan">
      <formula>0.8</formula>
    </cfRule>
  </conditionalFormatting>
  <conditionalFormatting sqref="P233:R233">
    <cfRule type="notContainsText" dxfId="359" priority="660" operator="notContains" text="Caida">
      <formula>ISERROR(SEARCH("Caida",P233))</formula>
    </cfRule>
    <cfRule type="containsText" dxfId="358" priority="661" operator="containsText" text="Caida">
      <formula>NOT(ISERROR(SEARCH("Caida",P233)))</formula>
    </cfRule>
  </conditionalFormatting>
  <conditionalFormatting sqref="P234:R234">
    <cfRule type="cellIs" dxfId="357" priority="658" operator="lessThan">
      <formula>0.8</formula>
    </cfRule>
    <cfRule type="cellIs" dxfId="356" priority="659" operator="greaterThan">
      <formula>0.8</formula>
    </cfRule>
  </conditionalFormatting>
  <conditionalFormatting sqref="P234:R234">
    <cfRule type="notContainsText" dxfId="355" priority="656" operator="notContains" text="Caida">
      <formula>ISERROR(SEARCH("Caida",P234))</formula>
    </cfRule>
    <cfRule type="containsText" dxfId="354" priority="657" operator="containsText" text="Caida">
      <formula>NOT(ISERROR(SEARCH("Caida",P234)))</formula>
    </cfRule>
  </conditionalFormatting>
  <conditionalFormatting sqref="P235:R235">
    <cfRule type="cellIs" dxfId="353" priority="654" operator="lessThan">
      <formula>0.8</formula>
    </cfRule>
    <cfRule type="cellIs" dxfId="352" priority="655" operator="greaterThan">
      <formula>0.8</formula>
    </cfRule>
  </conditionalFormatting>
  <conditionalFormatting sqref="P235:R235">
    <cfRule type="notContainsText" dxfId="351" priority="652" operator="notContains" text="Caida">
      <formula>ISERROR(SEARCH("Caida",P235))</formula>
    </cfRule>
    <cfRule type="containsText" dxfId="350" priority="653" operator="containsText" text="Caida">
      <formula>NOT(ISERROR(SEARCH("Caida",P235)))</formula>
    </cfRule>
  </conditionalFormatting>
  <conditionalFormatting sqref="P333:R333">
    <cfRule type="cellIs" dxfId="349" priority="650" operator="lessThan">
      <formula>0.8</formula>
    </cfRule>
    <cfRule type="cellIs" dxfId="348" priority="651" operator="greaterThan">
      <formula>0.8</formula>
    </cfRule>
  </conditionalFormatting>
  <conditionalFormatting sqref="P333:R333">
    <cfRule type="notContainsText" dxfId="347" priority="648" operator="notContains" text="Caida">
      <formula>ISERROR(SEARCH("Caida",P333))</formula>
    </cfRule>
    <cfRule type="containsText" dxfId="346" priority="649" operator="containsText" text="Caida">
      <formula>NOT(ISERROR(SEARCH("Caida",P333)))</formula>
    </cfRule>
  </conditionalFormatting>
  <conditionalFormatting sqref="Q369:Q1048576">
    <cfRule type="notContainsText" dxfId="345" priority="636" operator="notContains" text="Caida">
      <formula>ISERROR(SEARCH("Caida",Q369))</formula>
    </cfRule>
    <cfRule type="containsText" dxfId="344" priority="637" operator="containsText" text="Caida">
      <formula>NOT(ISERROR(SEARCH("Caida",Q369)))</formula>
    </cfRule>
  </conditionalFormatting>
  <conditionalFormatting sqref="R369:R1048576">
    <cfRule type="notContainsText" dxfId="343" priority="587" operator="notContains" text="Caida">
      <formula>ISERROR(SEARCH("Caida",R369))</formula>
    </cfRule>
    <cfRule type="containsText" dxfId="342" priority="588" operator="containsText" text="Caida">
      <formula>NOT(ISERROR(SEARCH("Caida",R369)))</formula>
    </cfRule>
  </conditionalFormatting>
  <conditionalFormatting sqref="AB93:AB94">
    <cfRule type="cellIs" dxfId="341" priority="529" operator="lessThan">
      <formula>0.8</formula>
    </cfRule>
    <cfRule type="cellIs" dxfId="340" priority="530" operator="greaterThan">
      <formula>0.8</formula>
    </cfRule>
  </conditionalFormatting>
  <conditionalFormatting sqref="AB93:AB94">
    <cfRule type="notContainsText" dxfId="339" priority="527" operator="notContains" text="Caida">
      <formula>ISERROR(SEARCH("Caida",AB93))</formula>
    </cfRule>
    <cfRule type="containsText" dxfId="338" priority="528" operator="containsText" text="Caida">
      <formula>NOT(ISERROR(SEARCH("Caida",AB93)))</formula>
    </cfRule>
  </conditionalFormatting>
  <conditionalFormatting sqref="AA93:AA94">
    <cfRule type="cellIs" dxfId="337" priority="533" operator="lessThan">
      <formula>0.8</formula>
    </cfRule>
    <cfRule type="cellIs" dxfId="336" priority="534" operator="greaterThan">
      <formula>0.8</formula>
    </cfRule>
  </conditionalFormatting>
  <conditionalFormatting sqref="AA93:AA94">
    <cfRule type="notContainsText" dxfId="335" priority="531" operator="notContains" text="Caida">
      <formula>ISERROR(SEARCH("Caida",AA93))</formula>
    </cfRule>
    <cfRule type="containsText" dxfId="334" priority="532" operator="containsText" text="Caida">
      <formula>NOT(ISERROR(SEARCH("Caida",AA93)))</formula>
    </cfRule>
  </conditionalFormatting>
  <conditionalFormatting sqref="AC93:AC94">
    <cfRule type="cellIs" dxfId="333" priority="525" operator="lessThan">
      <formula>0.8</formula>
    </cfRule>
    <cfRule type="cellIs" dxfId="332" priority="526" operator="greaterThan">
      <formula>0.8</formula>
    </cfRule>
  </conditionalFormatting>
  <conditionalFormatting sqref="AC93:AC94">
    <cfRule type="notContainsText" dxfId="331" priority="523" operator="notContains" text="Caida">
      <formula>ISERROR(SEARCH("Caida",AC93))</formula>
    </cfRule>
    <cfRule type="containsText" dxfId="330" priority="524" operator="containsText" text="Caida">
      <formula>NOT(ISERROR(SEARCH("Caida",AC93)))</formula>
    </cfRule>
  </conditionalFormatting>
  <conditionalFormatting sqref="AD93:AD94">
    <cfRule type="cellIs" dxfId="329" priority="521" operator="lessThan">
      <formula>0.8</formula>
    </cfRule>
    <cfRule type="cellIs" dxfId="328" priority="522" operator="greaterThan">
      <formula>0.8</formula>
    </cfRule>
  </conditionalFormatting>
  <conditionalFormatting sqref="AD93:AD94">
    <cfRule type="notContainsText" dxfId="327" priority="519" operator="notContains" text="Caida">
      <formula>ISERROR(SEARCH("Caida",AD93))</formula>
    </cfRule>
    <cfRule type="containsText" dxfId="326" priority="520" operator="containsText" text="Caida">
      <formula>NOT(ISERROR(SEARCH("Caida",AD93)))</formula>
    </cfRule>
  </conditionalFormatting>
  <conditionalFormatting sqref="D92:I93">
    <cfRule type="containsText" dxfId="325" priority="543" operator="containsText" text="Radio">
      <formula>NOT(ISERROR(SEARCH("Radio",D92)))</formula>
    </cfRule>
  </conditionalFormatting>
  <conditionalFormatting sqref="M93:M95">
    <cfRule type="cellIs" dxfId="324" priority="517" operator="lessThan">
      <formula>0.8</formula>
    </cfRule>
    <cfRule type="cellIs" dxfId="323" priority="518" operator="greaterThan">
      <formula>0.8</formula>
    </cfRule>
  </conditionalFormatting>
  <conditionalFormatting sqref="M93:M95">
    <cfRule type="notContainsText" dxfId="322" priority="515" operator="notContains" text="Caida">
      <formula>ISERROR(SEARCH("Caida",M93))</formula>
    </cfRule>
    <cfRule type="containsText" dxfId="321" priority="516" operator="containsText" text="Caida">
      <formula>NOT(ISERROR(SEARCH("Caida",M93)))</formula>
    </cfRule>
  </conditionalFormatting>
  <conditionalFormatting sqref="N93:N95">
    <cfRule type="cellIs" dxfId="320" priority="513" operator="lessThan">
      <formula>0.8</formula>
    </cfRule>
    <cfRule type="cellIs" dxfId="319" priority="514" operator="greaterThan">
      <formula>0.8</formula>
    </cfRule>
  </conditionalFormatting>
  <conditionalFormatting sqref="N93:N95">
    <cfRule type="notContainsText" dxfId="318" priority="511" operator="notContains" text="Caida">
      <formula>ISERROR(SEARCH("Caida",N93))</formula>
    </cfRule>
    <cfRule type="containsText" dxfId="317" priority="512" operator="containsText" text="Caida">
      <formula>NOT(ISERROR(SEARCH("Caida",N93)))</formula>
    </cfRule>
  </conditionalFormatting>
  <conditionalFormatting sqref="O93:O95">
    <cfRule type="cellIs" dxfId="316" priority="509" operator="lessThan">
      <formula>0.8</formula>
    </cfRule>
    <cfRule type="cellIs" dxfId="315" priority="510" operator="greaterThan">
      <formula>0.8</formula>
    </cfRule>
  </conditionalFormatting>
  <conditionalFormatting sqref="O93:O95">
    <cfRule type="notContainsText" dxfId="314" priority="507" operator="notContains" text="Caida">
      <formula>ISERROR(SEARCH("Caida",O93))</formula>
    </cfRule>
    <cfRule type="containsText" dxfId="313" priority="508" operator="containsText" text="Caida">
      <formula>NOT(ISERROR(SEARCH("Caida",O93)))</formula>
    </cfRule>
  </conditionalFormatting>
  <conditionalFormatting sqref="P93:P95">
    <cfRule type="cellIs" dxfId="312" priority="505" operator="lessThan">
      <formula>0.8</formula>
    </cfRule>
    <cfRule type="cellIs" dxfId="311" priority="506" operator="greaterThan">
      <formula>0.8</formula>
    </cfRule>
  </conditionalFormatting>
  <conditionalFormatting sqref="P93:P95">
    <cfRule type="notContainsText" dxfId="310" priority="503" operator="notContains" text="Caida">
      <formula>ISERROR(SEARCH("Caida",P93))</formula>
    </cfRule>
    <cfRule type="containsText" dxfId="309" priority="504" operator="containsText" text="Caida">
      <formula>NOT(ISERROR(SEARCH("Caida",P93)))</formula>
    </cfRule>
  </conditionalFormatting>
  <conditionalFormatting sqref="D363:I363">
    <cfRule type="containsText" dxfId="308" priority="492" operator="containsText" text="Radio">
      <formula>NOT(ISERROR(SEARCH("Radio",D363)))</formula>
    </cfRule>
  </conditionalFormatting>
  <conditionalFormatting sqref="AA364">
    <cfRule type="notContainsText" dxfId="307" priority="486" operator="notContains" text="Caida">
      <formula>ISERROR(SEARCH("Caida",AA364))</formula>
    </cfRule>
    <cfRule type="containsText" dxfId="306" priority="487" operator="containsText" text="Caida">
      <formula>NOT(ISERROR(SEARCH("Caida",AA364)))</formula>
    </cfRule>
  </conditionalFormatting>
  <conditionalFormatting sqref="AB364">
    <cfRule type="notContainsText" dxfId="305" priority="484" operator="notContains" text="Caida">
      <formula>ISERROR(SEARCH("Caida",AB364))</formula>
    </cfRule>
    <cfRule type="containsText" dxfId="304" priority="485" operator="containsText" text="Caida">
      <formula>NOT(ISERROR(SEARCH("Caida",AB364)))</formula>
    </cfRule>
  </conditionalFormatting>
  <conditionalFormatting sqref="AC364">
    <cfRule type="notContainsText" dxfId="303" priority="482" operator="notContains" text="Caida">
      <formula>ISERROR(SEARCH("Caida",AC364))</formula>
    </cfRule>
    <cfRule type="containsText" dxfId="302" priority="483" operator="containsText" text="Caida">
      <formula>NOT(ISERROR(SEARCH("Caida",AC364)))</formula>
    </cfRule>
  </conditionalFormatting>
  <conditionalFormatting sqref="AD364">
    <cfRule type="notContainsText" dxfId="301" priority="480" operator="notContains" text="Caida">
      <formula>ISERROR(SEARCH("Caida",AD364))</formula>
    </cfRule>
    <cfRule type="containsText" dxfId="300" priority="481" operator="containsText" text="Caida">
      <formula>NOT(ISERROR(SEARCH("Caida",AD364)))</formula>
    </cfRule>
  </conditionalFormatting>
  <conditionalFormatting sqref="M365">
    <cfRule type="cellIs" dxfId="299" priority="478" operator="lessThan">
      <formula>0.8</formula>
    </cfRule>
    <cfRule type="cellIs" dxfId="298" priority="479" operator="greaterThan">
      <formula>0.8</formula>
    </cfRule>
  </conditionalFormatting>
  <conditionalFormatting sqref="M365">
    <cfRule type="notContainsText" dxfId="297" priority="476" operator="notContains" text="Caida">
      <formula>ISERROR(SEARCH("Caida",M365))</formula>
    </cfRule>
    <cfRule type="containsText" dxfId="296" priority="477" operator="containsText" text="Caida">
      <formula>NOT(ISERROR(SEARCH("Caida",M365)))</formula>
    </cfRule>
  </conditionalFormatting>
  <conditionalFormatting sqref="N365">
    <cfRule type="cellIs" dxfId="295" priority="474" operator="lessThan">
      <formula>0.8</formula>
    </cfRule>
    <cfRule type="cellIs" dxfId="294" priority="475" operator="greaterThan">
      <formula>0.8</formula>
    </cfRule>
  </conditionalFormatting>
  <conditionalFormatting sqref="N365">
    <cfRule type="notContainsText" dxfId="293" priority="472" operator="notContains" text="Caida">
      <formula>ISERROR(SEARCH("Caida",N365))</formula>
    </cfRule>
    <cfRule type="containsText" dxfId="292" priority="473" operator="containsText" text="Caida">
      <formula>NOT(ISERROR(SEARCH("Caida",N365)))</formula>
    </cfRule>
  </conditionalFormatting>
  <conditionalFormatting sqref="O365">
    <cfRule type="cellIs" dxfId="291" priority="470" operator="lessThan">
      <formula>0.8</formula>
    </cfRule>
    <cfRule type="cellIs" dxfId="290" priority="471" operator="greaterThan">
      <formula>0.8</formula>
    </cfRule>
  </conditionalFormatting>
  <conditionalFormatting sqref="O365">
    <cfRule type="notContainsText" dxfId="289" priority="468" operator="notContains" text="Caida">
      <formula>ISERROR(SEARCH("Caida",O365))</formula>
    </cfRule>
    <cfRule type="containsText" dxfId="288" priority="469" operator="containsText" text="Caida">
      <formula>NOT(ISERROR(SEARCH("Caida",O365)))</formula>
    </cfRule>
  </conditionalFormatting>
  <conditionalFormatting sqref="P365:R365">
    <cfRule type="cellIs" dxfId="287" priority="466" operator="lessThan">
      <formula>0.8</formula>
    </cfRule>
    <cfRule type="cellIs" dxfId="286" priority="467" operator="greaterThan">
      <formula>0.8</formula>
    </cfRule>
  </conditionalFormatting>
  <conditionalFormatting sqref="P365:R365">
    <cfRule type="notContainsText" dxfId="285" priority="464" operator="notContains" text="Caida">
      <formula>ISERROR(SEARCH("Caida",P365))</formula>
    </cfRule>
    <cfRule type="containsText" dxfId="284" priority="465" operator="containsText" text="Caida">
      <formula>NOT(ISERROR(SEARCH("Caida",P365)))</formula>
    </cfRule>
  </conditionalFormatting>
  <conditionalFormatting sqref="D364:I364">
    <cfRule type="containsText" dxfId="283" priority="453" operator="containsText" text="Radio">
      <formula>NOT(ISERROR(SEARCH("Radio",D364)))</formula>
    </cfRule>
  </conditionalFormatting>
  <conditionalFormatting sqref="AA365">
    <cfRule type="notContainsText" dxfId="282" priority="447" operator="notContains" text="Caida">
      <formula>ISERROR(SEARCH("Caida",AA365))</formula>
    </cfRule>
    <cfRule type="containsText" dxfId="281" priority="448" operator="containsText" text="Caida">
      <formula>NOT(ISERROR(SEARCH("Caida",AA365)))</formula>
    </cfRule>
  </conditionalFormatting>
  <conditionalFormatting sqref="AB365">
    <cfRule type="notContainsText" dxfId="280" priority="445" operator="notContains" text="Caida">
      <formula>ISERROR(SEARCH("Caida",AB365))</formula>
    </cfRule>
    <cfRule type="containsText" dxfId="279" priority="446" operator="containsText" text="Caida">
      <formula>NOT(ISERROR(SEARCH("Caida",AB365)))</formula>
    </cfRule>
  </conditionalFormatting>
  <conditionalFormatting sqref="AC365">
    <cfRule type="notContainsText" dxfId="278" priority="443" operator="notContains" text="Caida">
      <formula>ISERROR(SEARCH("Caida",AC365))</formula>
    </cfRule>
    <cfRule type="containsText" dxfId="277" priority="444" operator="containsText" text="Caida">
      <formula>NOT(ISERROR(SEARCH("Caida",AC365)))</formula>
    </cfRule>
  </conditionalFormatting>
  <conditionalFormatting sqref="AD365">
    <cfRule type="notContainsText" dxfId="276" priority="441" operator="notContains" text="Caida">
      <formula>ISERROR(SEARCH("Caida",AD365))</formula>
    </cfRule>
    <cfRule type="containsText" dxfId="275" priority="442" operator="containsText" text="Caida">
      <formula>NOT(ISERROR(SEARCH("Caida",AD365)))</formula>
    </cfRule>
  </conditionalFormatting>
  <conditionalFormatting sqref="M366">
    <cfRule type="cellIs" dxfId="274" priority="439" operator="lessThan">
      <formula>0.8</formula>
    </cfRule>
    <cfRule type="cellIs" dxfId="273" priority="440" operator="greaterThan">
      <formula>0.8</formula>
    </cfRule>
  </conditionalFormatting>
  <conditionalFormatting sqref="M366">
    <cfRule type="notContainsText" dxfId="272" priority="437" operator="notContains" text="Caida">
      <formula>ISERROR(SEARCH("Caida",M366))</formula>
    </cfRule>
    <cfRule type="containsText" dxfId="271" priority="438" operator="containsText" text="Caida">
      <formula>NOT(ISERROR(SEARCH("Caida",M366)))</formula>
    </cfRule>
  </conditionalFormatting>
  <conditionalFormatting sqref="N366">
    <cfRule type="cellIs" dxfId="270" priority="435" operator="lessThan">
      <formula>0.8</formula>
    </cfRule>
    <cfRule type="cellIs" dxfId="269" priority="436" operator="greaterThan">
      <formula>0.8</formula>
    </cfRule>
  </conditionalFormatting>
  <conditionalFormatting sqref="N366">
    <cfRule type="notContainsText" dxfId="268" priority="433" operator="notContains" text="Caida">
      <formula>ISERROR(SEARCH("Caida",N366))</formula>
    </cfRule>
    <cfRule type="containsText" dxfId="267" priority="434" operator="containsText" text="Caida">
      <formula>NOT(ISERROR(SEARCH("Caida",N366)))</formula>
    </cfRule>
  </conditionalFormatting>
  <conditionalFormatting sqref="O366">
    <cfRule type="cellIs" dxfId="266" priority="431" operator="lessThan">
      <formula>0.8</formula>
    </cfRule>
    <cfRule type="cellIs" dxfId="265" priority="432" operator="greaterThan">
      <formula>0.8</formula>
    </cfRule>
  </conditionalFormatting>
  <conditionalFormatting sqref="O366">
    <cfRule type="notContainsText" dxfId="264" priority="429" operator="notContains" text="Caida">
      <formula>ISERROR(SEARCH("Caida",O366))</formula>
    </cfRule>
    <cfRule type="containsText" dxfId="263" priority="430" operator="containsText" text="Caida">
      <formula>NOT(ISERROR(SEARCH("Caida",O366)))</formula>
    </cfRule>
  </conditionalFormatting>
  <conditionalFormatting sqref="P366:R366">
    <cfRule type="cellIs" dxfId="262" priority="427" operator="lessThan">
      <formula>0.8</formula>
    </cfRule>
    <cfRule type="cellIs" dxfId="261" priority="428" operator="greaterThan">
      <formula>0.8</formula>
    </cfRule>
  </conditionalFormatting>
  <conditionalFormatting sqref="P366:R366">
    <cfRule type="notContainsText" dxfId="260" priority="425" operator="notContains" text="Caida">
      <formula>ISERROR(SEARCH("Caida",P366))</formula>
    </cfRule>
    <cfRule type="containsText" dxfId="259" priority="426" operator="containsText" text="Caida">
      <formula>NOT(ISERROR(SEARCH("Caida",P366)))</formula>
    </cfRule>
  </conditionalFormatting>
  <conditionalFormatting sqref="D365:I365">
    <cfRule type="containsText" dxfId="258" priority="414" operator="containsText" text="Radio">
      <formula>NOT(ISERROR(SEARCH("Radio",D365)))</formula>
    </cfRule>
  </conditionalFormatting>
  <conditionalFormatting sqref="AA366">
    <cfRule type="notContainsText" dxfId="257" priority="408" operator="notContains" text="Caida">
      <formula>ISERROR(SEARCH("Caida",AA366))</formula>
    </cfRule>
    <cfRule type="containsText" dxfId="256" priority="409" operator="containsText" text="Caida">
      <formula>NOT(ISERROR(SEARCH("Caida",AA366)))</formula>
    </cfRule>
  </conditionalFormatting>
  <conditionalFormatting sqref="AB366">
    <cfRule type="notContainsText" dxfId="255" priority="406" operator="notContains" text="Caida">
      <formula>ISERROR(SEARCH("Caida",AB366))</formula>
    </cfRule>
    <cfRule type="containsText" dxfId="254" priority="407" operator="containsText" text="Caida">
      <formula>NOT(ISERROR(SEARCH("Caida",AB366)))</formula>
    </cfRule>
  </conditionalFormatting>
  <conditionalFormatting sqref="AC366">
    <cfRule type="notContainsText" dxfId="253" priority="404" operator="notContains" text="Caida">
      <formula>ISERROR(SEARCH("Caida",AC366))</formula>
    </cfRule>
    <cfRule type="containsText" dxfId="252" priority="405" operator="containsText" text="Caida">
      <formula>NOT(ISERROR(SEARCH("Caida",AC366)))</formula>
    </cfRule>
  </conditionalFormatting>
  <conditionalFormatting sqref="AD366">
    <cfRule type="notContainsText" dxfId="251" priority="402" operator="notContains" text="Caida">
      <formula>ISERROR(SEARCH("Caida",AD366))</formula>
    </cfRule>
    <cfRule type="containsText" dxfId="250" priority="403" operator="containsText" text="Caida">
      <formula>NOT(ISERROR(SEARCH("Caida",AD366)))</formula>
    </cfRule>
  </conditionalFormatting>
  <conditionalFormatting sqref="M367">
    <cfRule type="cellIs" dxfId="249" priority="400" operator="lessThan">
      <formula>0.8</formula>
    </cfRule>
    <cfRule type="cellIs" dxfId="248" priority="401" operator="greaterThan">
      <formula>0.8</formula>
    </cfRule>
  </conditionalFormatting>
  <conditionalFormatting sqref="M367">
    <cfRule type="notContainsText" dxfId="247" priority="398" operator="notContains" text="Caida">
      <formula>ISERROR(SEARCH("Caida",M367))</formula>
    </cfRule>
    <cfRule type="containsText" dxfId="246" priority="399" operator="containsText" text="Caida">
      <formula>NOT(ISERROR(SEARCH("Caida",M367)))</formula>
    </cfRule>
  </conditionalFormatting>
  <conditionalFormatting sqref="N367">
    <cfRule type="cellIs" dxfId="245" priority="396" operator="lessThan">
      <formula>0.8</formula>
    </cfRule>
    <cfRule type="cellIs" dxfId="244" priority="397" operator="greaterThan">
      <formula>0.8</formula>
    </cfRule>
  </conditionalFormatting>
  <conditionalFormatting sqref="N367">
    <cfRule type="notContainsText" dxfId="243" priority="394" operator="notContains" text="Caida">
      <formula>ISERROR(SEARCH("Caida",N367))</formula>
    </cfRule>
    <cfRule type="containsText" dxfId="242" priority="395" operator="containsText" text="Caida">
      <formula>NOT(ISERROR(SEARCH("Caida",N367)))</formula>
    </cfRule>
  </conditionalFormatting>
  <conditionalFormatting sqref="O367">
    <cfRule type="cellIs" dxfId="241" priority="392" operator="lessThan">
      <formula>0.8</formula>
    </cfRule>
    <cfRule type="cellIs" dxfId="240" priority="393" operator="greaterThan">
      <formula>0.8</formula>
    </cfRule>
  </conditionalFormatting>
  <conditionalFormatting sqref="O367">
    <cfRule type="notContainsText" dxfId="239" priority="390" operator="notContains" text="Caida">
      <formula>ISERROR(SEARCH("Caida",O367))</formula>
    </cfRule>
    <cfRule type="containsText" dxfId="238" priority="391" operator="containsText" text="Caida">
      <formula>NOT(ISERROR(SEARCH("Caida",O367)))</formula>
    </cfRule>
  </conditionalFormatting>
  <conditionalFormatting sqref="P367:R367">
    <cfRule type="cellIs" dxfId="237" priority="388" operator="lessThan">
      <formula>0.8</formula>
    </cfRule>
    <cfRule type="cellIs" dxfId="236" priority="389" operator="greaterThan">
      <formula>0.8</formula>
    </cfRule>
  </conditionalFormatting>
  <conditionalFormatting sqref="P367:R367">
    <cfRule type="notContainsText" dxfId="235" priority="386" operator="notContains" text="Caida">
      <formula>ISERROR(SEARCH("Caida",P367))</formula>
    </cfRule>
    <cfRule type="containsText" dxfId="234" priority="387" operator="containsText" text="Caida">
      <formula>NOT(ISERROR(SEARCH("Caida",P367)))</formula>
    </cfRule>
  </conditionalFormatting>
  <conditionalFormatting sqref="D366:I366">
    <cfRule type="containsText" dxfId="233" priority="375" operator="containsText" text="Radio">
      <formula>NOT(ISERROR(SEARCH("Radio",D366)))</formula>
    </cfRule>
  </conditionalFormatting>
  <conditionalFormatting sqref="AA367">
    <cfRule type="notContainsText" dxfId="232" priority="369" operator="notContains" text="Caida">
      <formula>ISERROR(SEARCH("Caida",AA367))</formula>
    </cfRule>
    <cfRule type="containsText" dxfId="231" priority="370" operator="containsText" text="Caida">
      <formula>NOT(ISERROR(SEARCH("Caida",AA367)))</formula>
    </cfRule>
  </conditionalFormatting>
  <conditionalFormatting sqref="AB367">
    <cfRule type="notContainsText" dxfId="230" priority="367" operator="notContains" text="Caida">
      <formula>ISERROR(SEARCH("Caida",AB367))</formula>
    </cfRule>
    <cfRule type="containsText" dxfId="229" priority="368" operator="containsText" text="Caida">
      <formula>NOT(ISERROR(SEARCH("Caida",AB367)))</formula>
    </cfRule>
  </conditionalFormatting>
  <conditionalFormatting sqref="AC367">
    <cfRule type="notContainsText" dxfId="228" priority="365" operator="notContains" text="Caida">
      <formula>ISERROR(SEARCH("Caida",AC367))</formula>
    </cfRule>
    <cfRule type="containsText" dxfId="227" priority="366" operator="containsText" text="Caida">
      <formula>NOT(ISERROR(SEARCH("Caida",AC367)))</formula>
    </cfRule>
  </conditionalFormatting>
  <conditionalFormatting sqref="AD367">
    <cfRule type="notContainsText" dxfId="226" priority="363" operator="notContains" text="Caida">
      <formula>ISERROR(SEARCH("Caida",AD367))</formula>
    </cfRule>
    <cfRule type="containsText" dxfId="225" priority="364" operator="containsText" text="Caida">
      <formula>NOT(ISERROR(SEARCH("Caida",AD367)))</formula>
    </cfRule>
  </conditionalFormatting>
  <conditionalFormatting sqref="S231">
    <cfRule type="cellIs" dxfId="224" priority="316" operator="lessThan">
      <formula>0.8</formula>
    </cfRule>
    <cfRule type="cellIs" dxfId="223" priority="317" operator="greaterThan">
      <formula>0.8</formula>
    </cfRule>
  </conditionalFormatting>
  <conditionalFormatting sqref="S231">
    <cfRule type="notContainsText" dxfId="222" priority="314" operator="notContains" text="Caida">
      <formula>ISERROR(SEARCH("Caida",S231))</formula>
    </cfRule>
    <cfRule type="containsText" dxfId="221" priority="315" operator="containsText" text="Caida">
      <formula>NOT(ISERROR(SEARCH("Caida",S231)))</formula>
    </cfRule>
  </conditionalFormatting>
  <conditionalFormatting sqref="S232">
    <cfRule type="cellIs" dxfId="220" priority="312" operator="lessThan">
      <formula>0.8</formula>
    </cfRule>
    <cfRule type="cellIs" dxfId="219" priority="313" operator="greaterThan">
      <formula>0.8</formula>
    </cfRule>
  </conditionalFormatting>
  <conditionalFormatting sqref="S232">
    <cfRule type="notContainsText" dxfId="218" priority="310" operator="notContains" text="Caida">
      <formula>ISERROR(SEARCH("Caida",S232))</formula>
    </cfRule>
    <cfRule type="containsText" dxfId="217" priority="311" operator="containsText" text="Caida">
      <formula>NOT(ISERROR(SEARCH("Caida",S232)))</formula>
    </cfRule>
  </conditionalFormatting>
  <conditionalFormatting sqref="M368">
    <cfRule type="cellIs" dxfId="216" priority="361" operator="lessThan">
      <formula>0.8</formula>
    </cfRule>
    <cfRule type="cellIs" dxfId="215" priority="362" operator="greaterThan">
      <formula>0.8</formula>
    </cfRule>
  </conditionalFormatting>
  <conditionalFormatting sqref="M368">
    <cfRule type="notContainsText" dxfId="214" priority="359" operator="notContains" text="Caida">
      <formula>ISERROR(SEARCH("Caida",M368))</formula>
    </cfRule>
    <cfRule type="containsText" dxfId="213" priority="360" operator="containsText" text="Caida">
      <formula>NOT(ISERROR(SEARCH("Caida",M368)))</formula>
    </cfRule>
  </conditionalFormatting>
  <conditionalFormatting sqref="N368">
    <cfRule type="cellIs" dxfId="212" priority="357" operator="lessThan">
      <formula>0.8</formula>
    </cfRule>
    <cfRule type="cellIs" dxfId="211" priority="358" operator="greaterThan">
      <formula>0.8</formula>
    </cfRule>
  </conditionalFormatting>
  <conditionalFormatting sqref="N368">
    <cfRule type="notContainsText" dxfId="210" priority="355" operator="notContains" text="Caida">
      <formula>ISERROR(SEARCH("Caida",N368))</formula>
    </cfRule>
    <cfRule type="containsText" dxfId="209" priority="356" operator="containsText" text="Caida">
      <formula>NOT(ISERROR(SEARCH("Caida",N368)))</formula>
    </cfRule>
  </conditionalFormatting>
  <conditionalFormatting sqref="O368">
    <cfRule type="cellIs" dxfId="208" priority="353" operator="lessThan">
      <formula>0.8</formula>
    </cfRule>
    <cfRule type="cellIs" dxfId="207" priority="354" operator="greaterThan">
      <formula>0.8</formula>
    </cfRule>
  </conditionalFormatting>
  <conditionalFormatting sqref="O368">
    <cfRule type="notContainsText" dxfId="206" priority="351" operator="notContains" text="Caida">
      <formula>ISERROR(SEARCH("Caida",O368))</formula>
    </cfRule>
    <cfRule type="containsText" dxfId="205" priority="352" operator="containsText" text="Caida">
      <formula>NOT(ISERROR(SEARCH("Caida",O368)))</formula>
    </cfRule>
  </conditionalFormatting>
  <conditionalFormatting sqref="P368:R368">
    <cfRule type="cellIs" dxfId="204" priority="349" operator="lessThan">
      <formula>0.8</formula>
    </cfRule>
    <cfRule type="cellIs" dxfId="203" priority="350" operator="greaterThan">
      <formula>0.8</formula>
    </cfRule>
  </conditionalFormatting>
  <conditionalFormatting sqref="P368:R368">
    <cfRule type="notContainsText" dxfId="202" priority="347" operator="notContains" text="Caida">
      <formula>ISERROR(SEARCH("Caida",P368))</formula>
    </cfRule>
    <cfRule type="containsText" dxfId="201" priority="348" operator="containsText" text="Caida">
      <formula>NOT(ISERROR(SEARCH("Caida",P368)))</formula>
    </cfRule>
  </conditionalFormatting>
  <conditionalFormatting sqref="S366">
    <cfRule type="cellIs" dxfId="200" priority="280" operator="lessThan">
      <formula>0.8</formula>
    </cfRule>
    <cfRule type="cellIs" dxfId="199" priority="281" operator="greaterThan">
      <formula>0.8</formula>
    </cfRule>
  </conditionalFormatting>
  <conditionalFormatting sqref="S366">
    <cfRule type="notContainsText" dxfId="198" priority="278" operator="notContains" text="Caida">
      <formula>ISERROR(SEARCH("Caida",S366))</formula>
    </cfRule>
    <cfRule type="containsText" dxfId="197" priority="279" operator="containsText" text="Caida">
      <formula>NOT(ISERROR(SEARCH("Caida",S366)))</formula>
    </cfRule>
  </conditionalFormatting>
  <conditionalFormatting sqref="S367">
    <cfRule type="cellIs" dxfId="196" priority="276" operator="lessThan">
      <formula>0.8</formula>
    </cfRule>
    <cfRule type="cellIs" dxfId="195" priority="277" operator="greaterThan">
      <formula>0.8</formula>
    </cfRule>
  </conditionalFormatting>
  <conditionalFormatting sqref="S367">
    <cfRule type="notContainsText" dxfId="194" priority="274" operator="notContains" text="Caida">
      <formula>ISERROR(SEARCH("Caida",S367))</formula>
    </cfRule>
    <cfRule type="containsText" dxfId="193" priority="275" operator="containsText" text="Caida">
      <formula>NOT(ISERROR(SEARCH("Caida",S367)))</formula>
    </cfRule>
  </conditionalFormatting>
  <conditionalFormatting sqref="S368">
    <cfRule type="cellIs" dxfId="192" priority="272" operator="lessThan">
      <formula>0.8</formula>
    </cfRule>
    <cfRule type="cellIs" dxfId="191" priority="273" operator="greaterThan">
      <formula>0.8</formula>
    </cfRule>
  </conditionalFormatting>
  <conditionalFormatting sqref="S368">
    <cfRule type="notContainsText" dxfId="190" priority="270" operator="notContains" text="Caida">
      <formula>ISERROR(SEARCH("Caida",S368))</formula>
    </cfRule>
    <cfRule type="containsText" dxfId="189" priority="271" operator="containsText" text="Caida">
      <formula>NOT(ISERROR(SEARCH("Caida",S368)))</formula>
    </cfRule>
  </conditionalFormatting>
  <conditionalFormatting sqref="S236:S279 S6:S92 S96:S230">
    <cfRule type="cellIs" dxfId="188" priority="337" operator="lessThan">
      <formula>0.8</formula>
    </cfRule>
    <cfRule type="cellIs" dxfId="187" priority="338" operator="greaterThan">
      <formula>0.8</formula>
    </cfRule>
  </conditionalFormatting>
  <conditionalFormatting sqref="S236:S279 S6:S92 S96:S230">
    <cfRule type="notContainsText" dxfId="186" priority="335" operator="notContains" text="Caida">
      <formula>ISERROR(SEARCH("Caida",S6))</formula>
    </cfRule>
    <cfRule type="containsText" dxfId="185" priority="336" operator="containsText" text="Caida">
      <formula>NOT(ISERROR(SEARCH("Caida",S6)))</formula>
    </cfRule>
  </conditionalFormatting>
  <conditionalFormatting sqref="S334">
    <cfRule type="cellIs" dxfId="184" priority="292" operator="lessThan">
      <formula>0.8</formula>
    </cfRule>
    <cfRule type="cellIs" dxfId="183" priority="293" operator="greaterThan">
      <formula>0.8</formula>
    </cfRule>
  </conditionalFormatting>
  <conditionalFormatting sqref="S334">
    <cfRule type="notContainsText" dxfId="182" priority="290" operator="notContains" text="Caida">
      <formula>ISERROR(SEARCH("Caida",S334))</formula>
    </cfRule>
    <cfRule type="containsText" dxfId="181" priority="291" operator="containsText" text="Caida">
      <formula>NOT(ISERROR(SEARCH("Caida",S334)))</formula>
    </cfRule>
  </conditionalFormatting>
  <conditionalFormatting sqref="S335:S364 S282:S332">
    <cfRule type="cellIs" dxfId="180" priority="333" operator="lessThan">
      <formula>0.8</formula>
    </cfRule>
    <cfRule type="cellIs" dxfId="179" priority="334" operator="greaterThan">
      <formula>0.8</formula>
    </cfRule>
  </conditionalFormatting>
  <conditionalFormatting sqref="S335:S364 S282:S332 S369:S1048576">
    <cfRule type="notContainsText" dxfId="178" priority="331" operator="notContains" text="Caida">
      <formula>ISERROR(SEARCH("Caida",S282))</formula>
    </cfRule>
    <cfRule type="containsText" dxfId="177" priority="332" operator="containsText" text="Caida">
      <formula>NOT(ISERROR(SEARCH("Caida",S282)))</formula>
    </cfRule>
  </conditionalFormatting>
  <conditionalFormatting sqref="S22">
    <cfRule type="containsText" dxfId="176" priority="330" operator="containsText" text="Instaladas en Funcionamiento Caida">
      <formula>NOT(ISERROR(SEARCH("Instaladas en Funcionamiento Caida",S22)))</formula>
    </cfRule>
  </conditionalFormatting>
  <conditionalFormatting sqref="S280">
    <cfRule type="cellIs" dxfId="175" priority="328" operator="lessThan">
      <formula>0.8</formula>
    </cfRule>
    <cfRule type="cellIs" dxfId="174" priority="329" operator="greaterThan">
      <formula>0.8</formula>
    </cfRule>
  </conditionalFormatting>
  <conditionalFormatting sqref="S280">
    <cfRule type="notContainsText" dxfId="173" priority="326" operator="notContains" text="Caida">
      <formula>ISERROR(SEARCH("Caida",S280))</formula>
    </cfRule>
    <cfRule type="containsText" dxfId="172" priority="327" operator="containsText" text="Caida">
      <formula>NOT(ISERROR(SEARCH("Caida",S280)))</formula>
    </cfRule>
  </conditionalFormatting>
  <conditionalFormatting sqref="S281">
    <cfRule type="cellIs" dxfId="171" priority="324" operator="lessThan">
      <formula>0.8</formula>
    </cfRule>
    <cfRule type="cellIs" dxfId="170" priority="325" operator="greaterThan">
      <formula>0.8</formula>
    </cfRule>
  </conditionalFormatting>
  <conditionalFormatting sqref="S281">
    <cfRule type="notContainsText" dxfId="169" priority="322" operator="notContains" text="Caida">
      <formula>ISERROR(SEARCH("Caida",S281))</formula>
    </cfRule>
    <cfRule type="containsText" dxfId="168" priority="323" operator="containsText" text="Caida">
      <formula>NOT(ISERROR(SEARCH("Caida",S281)))</formula>
    </cfRule>
  </conditionalFormatting>
  <conditionalFormatting sqref="S5">
    <cfRule type="cellIs" dxfId="167" priority="320" operator="lessThan">
      <formula>0.8</formula>
    </cfRule>
    <cfRule type="cellIs" dxfId="166" priority="321" operator="greaterThan">
      <formula>0.8</formula>
    </cfRule>
  </conditionalFormatting>
  <conditionalFormatting sqref="S5">
    <cfRule type="notContainsText" dxfId="165" priority="318" operator="notContains" text="Caida">
      <formula>ISERROR(SEARCH("Caida",S5))</formula>
    </cfRule>
    <cfRule type="containsText" dxfId="164" priority="319" operator="containsText" text="Caida">
      <formula>NOT(ISERROR(SEARCH("Caida",S5)))</formula>
    </cfRule>
  </conditionalFormatting>
  <conditionalFormatting sqref="S233">
    <cfRule type="cellIs" dxfId="163" priority="308" operator="lessThan">
      <formula>0.8</formula>
    </cfRule>
    <cfRule type="cellIs" dxfId="162" priority="309" operator="greaterThan">
      <formula>0.8</formula>
    </cfRule>
  </conditionalFormatting>
  <conditionalFormatting sqref="S233">
    <cfRule type="notContainsText" dxfId="161" priority="306" operator="notContains" text="Caida">
      <formula>ISERROR(SEARCH("Caida",S233))</formula>
    </cfRule>
    <cfRule type="containsText" dxfId="160" priority="307" operator="containsText" text="Caida">
      <formula>NOT(ISERROR(SEARCH("Caida",S233)))</formula>
    </cfRule>
  </conditionalFormatting>
  <conditionalFormatting sqref="S234">
    <cfRule type="cellIs" dxfId="159" priority="304" operator="lessThan">
      <formula>0.8</formula>
    </cfRule>
    <cfRule type="cellIs" dxfId="158" priority="305" operator="greaterThan">
      <formula>0.8</formula>
    </cfRule>
  </conditionalFormatting>
  <conditionalFormatting sqref="S234">
    <cfRule type="notContainsText" dxfId="157" priority="302" operator="notContains" text="Caida">
      <formula>ISERROR(SEARCH("Caida",S234))</formula>
    </cfRule>
    <cfRule type="containsText" dxfId="156" priority="303" operator="containsText" text="Caida">
      <formula>NOT(ISERROR(SEARCH("Caida",S234)))</formula>
    </cfRule>
  </conditionalFormatting>
  <conditionalFormatting sqref="S235">
    <cfRule type="cellIs" dxfId="155" priority="300" operator="lessThan">
      <formula>0.8</formula>
    </cfRule>
    <cfRule type="cellIs" dxfId="154" priority="301" operator="greaterThan">
      <formula>0.8</formula>
    </cfRule>
  </conditionalFormatting>
  <conditionalFormatting sqref="S235">
    <cfRule type="notContainsText" dxfId="153" priority="298" operator="notContains" text="Caida">
      <formula>ISERROR(SEARCH("Caida",S235))</formula>
    </cfRule>
    <cfRule type="containsText" dxfId="152" priority="299" operator="containsText" text="Caida">
      <formula>NOT(ISERROR(SEARCH("Caida",S235)))</formula>
    </cfRule>
  </conditionalFormatting>
  <conditionalFormatting sqref="S333">
    <cfRule type="cellIs" dxfId="151" priority="296" operator="lessThan">
      <formula>0.8</formula>
    </cfRule>
    <cfRule type="cellIs" dxfId="150" priority="297" operator="greaterThan">
      <formula>0.8</formula>
    </cfRule>
  </conditionalFormatting>
  <conditionalFormatting sqref="S333">
    <cfRule type="notContainsText" dxfId="149" priority="294" operator="notContains" text="Caida">
      <formula>ISERROR(SEARCH("Caida",S333))</formula>
    </cfRule>
    <cfRule type="containsText" dxfId="148" priority="295" operator="containsText" text="Caida">
      <formula>NOT(ISERROR(SEARCH("Caida",S333)))</formula>
    </cfRule>
  </conditionalFormatting>
  <conditionalFormatting sqref="S93:S95">
    <cfRule type="cellIs" dxfId="147" priority="288" operator="lessThan">
      <formula>0.8</formula>
    </cfRule>
    <cfRule type="cellIs" dxfId="146" priority="289" operator="greaterThan">
      <formula>0.8</formula>
    </cfRule>
  </conditionalFormatting>
  <conditionalFormatting sqref="S93:S95">
    <cfRule type="notContainsText" dxfId="145" priority="286" operator="notContains" text="Caida">
      <formula>ISERROR(SEARCH("Caida",S93))</formula>
    </cfRule>
    <cfRule type="containsText" dxfId="144" priority="287" operator="containsText" text="Caida">
      <formula>NOT(ISERROR(SEARCH("Caida",S93)))</formula>
    </cfRule>
  </conditionalFormatting>
  <conditionalFormatting sqref="S365">
    <cfRule type="cellIs" dxfId="143" priority="284" operator="lessThan">
      <formula>0.8</formula>
    </cfRule>
    <cfRule type="cellIs" dxfId="142" priority="285" operator="greaterThan">
      <formula>0.8</formula>
    </cfRule>
  </conditionalFormatting>
  <conditionalFormatting sqref="S365">
    <cfRule type="notContainsText" dxfId="141" priority="282" operator="notContains" text="Caida">
      <formula>ISERROR(SEARCH("Caida",S365))</formula>
    </cfRule>
    <cfRule type="containsText" dxfId="140" priority="283" operator="containsText" text="Caida">
      <formula>NOT(ISERROR(SEARCH("Caida",S365)))</formula>
    </cfRule>
  </conditionalFormatting>
  <conditionalFormatting sqref="T6:V92">
    <cfRule type="cellIs" dxfId="139" priority="268" operator="lessThan">
      <formula>0.8</formula>
    </cfRule>
    <cfRule type="cellIs" dxfId="138" priority="269" operator="greaterThan">
      <formula>0.8</formula>
    </cfRule>
  </conditionalFormatting>
  <conditionalFormatting sqref="T6:V92">
    <cfRule type="notContainsText" dxfId="137" priority="266" operator="notContains" text="Caida">
      <formula>ISERROR(SEARCH("Caida",T6))</formula>
    </cfRule>
    <cfRule type="containsText" dxfId="136" priority="267" operator="containsText" text="Caida">
      <formula>NOT(ISERROR(SEARCH("Caida",T6)))</formula>
    </cfRule>
  </conditionalFormatting>
  <conditionalFormatting sqref="T22:Z22">
    <cfRule type="containsText" dxfId="135" priority="265" operator="containsText" text="Instaladas en Funcionamiento Caida">
      <formula>NOT(ISERROR(SEARCH("Instaladas en Funcionamiento Caida",T22)))</formula>
    </cfRule>
  </conditionalFormatting>
  <conditionalFormatting sqref="T5:Z5">
    <cfRule type="cellIs" dxfId="134" priority="263" operator="lessThan">
      <formula>0.8</formula>
    </cfRule>
    <cfRule type="cellIs" dxfId="133" priority="264" operator="greaterThan">
      <formula>0.8</formula>
    </cfRule>
  </conditionalFormatting>
  <conditionalFormatting sqref="T5:Z5">
    <cfRule type="notContainsText" dxfId="132" priority="261" operator="notContains" text="Caida">
      <formula>ISERROR(SEARCH("Caida",T5))</formula>
    </cfRule>
    <cfRule type="containsText" dxfId="131" priority="262" operator="containsText" text="Caida">
      <formula>NOT(ISERROR(SEARCH("Caida",T5)))</formula>
    </cfRule>
  </conditionalFormatting>
  <conditionalFormatting sqref="T93:V95">
    <cfRule type="cellIs" dxfId="130" priority="259" operator="lessThan">
      <formula>0.8</formula>
    </cfRule>
    <cfRule type="cellIs" dxfId="129" priority="260" operator="greaterThan">
      <formula>0.8</formula>
    </cfRule>
  </conditionalFormatting>
  <conditionalFormatting sqref="T93:V95">
    <cfRule type="notContainsText" dxfId="128" priority="257" operator="notContains" text="Caida">
      <formula>ISERROR(SEARCH("Caida",T93))</formula>
    </cfRule>
    <cfRule type="containsText" dxfId="127" priority="258" operator="containsText" text="Caida">
      <formula>NOT(ISERROR(SEARCH("Caida",T93)))</formula>
    </cfRule>
  </conditionalFormatting>
  <conditionalFormatting sqref="X369:X1048576">
    <cfRule type="notContainsText" dxfId="126" priority="249" operator="notContains" text="Caida">
      <formula>ISERROR(SEARCH("Caida",X369))</formula>
    </cfRule>
    <cfRule type="containsText" dxfId="125" priority="250" operator="containsText" text="Caida">
      <formula>NOT(ISERROR(SEARCH("Caida",X369)))</formula>
    </cfRule>
  </conditionalFormatting>
  <conditionalFormatting sqref="W369:W1048576">
    <cfRule type="notContainsText" dxfId="124" priority="180" operator="notContains" text="Caida">
      <formula>ISERROR(SEARCH("Caida",W369))</formula>
    </cfRule>
    <cfRule type="containsText" dxfId="123" priority="181" operator="containsText" text="Caida">
      <formula>NOT(ISERROR(SEARCH("Caida",W369)))</formula>
    </cfRule>
  </conditionalFormatting>
  <conditionalFormatting sqref="D1:D1048576">
    <cfRule type="containsText" dxfId="122" priority="117" operator="containsText" text="fija">
      <formula>NOT(ISERROR(SEARCH("fija",D1)))</formula>
    </cfRule>
    <cfRule type="containsText" dxfId="121" priority="118" operator="containsText" text="domo">
      <formula>NOT(ISERROR(SEARCH("domo",D1)))</formula>
    </cfRule>
  </conditionalFormatting>
  <conditionalFormatting sqref="AE95:AG367">
    <cfRule type="cellIs" dxfId="120" priority="115" operator="lessThan">
      <formula>0.8</formula>
    </cfRule>
    <cfRule type="cellIs" dxfId="119" priority="116" operator="greaterThan">
      <formula>0.8</formula>
    </cfRule>
  </conditionalFormatting>
  <conditionalFormatting sqref="AE95:AG1048576">
    <cfRule type="notContainsText" dxfId="118" priority="113" operator="notContains" text="Caida">
      <formula>ISERROR(SEARCH("Caida",AE95))</formula>
    </cfRule>
    <cfRule type="containsText" dxfId="117" priority="114" operator="containsText" text="Caida">
      <formula>NOT(ISERROR(SEARCH("Caida",AE95)))</formula>
    </cfRule>
  </conditionalFormatting>
  <conditionalFormatting sqref="AE6:AG92">
    <cfRule type="cellIs" dxfId="116" priority="111" operator="lessThan">
      <formula>0.8</formula>
    </cfRule>
    <cfRule type="cellIs" dxfId="115" priority="112" operator="greaterThan">
      <formula>0.8</formula>
    </cfRule>
  </conditionalFormatting>
  <conditionalFormatting sqref="AE6:AG92">
    <cfRule type="notContainsText" dxfId="114" priority="109" operator="notContains" text="Caida">
      <formula>ISERROR(SEARCH("Caida",AE6))</formula>
    </cfRule>
    <cfRule type="containsText" dxfId="113" priority="110" operator="containsText" text="Caida">
      <formula>NOT(ISERROR(SEARCH("Caida",AE6)))</formula>
    </cfRule>
  </conditionalFormatting>
  <conditionalFormatting sqref="AE22:AG22">
    <cfRule type="containsText" dxfId="112" priority="108" operator="containsText" text="Instaladas en Funcionamiento Caida">
      <formula>NOT(ISERROR(SEARCH("Instaladas en Funcionamiento Caida",AE22)))</formula>
    </cfRule>
  </conditionalFormatting>
  <conditionalFormatting sqref="AE5:AG5">
    <cfRule type="cellIs" dxfId="111" priority="106" operator="lessThan">
      <formula>0.8</formula>
    </cfRule>
    <cfRule type="cellIs" dxfId="110" priority="107" operator="greaterThan">
      <formula>0.8</formula>
    </cfRule>
  </conditionalFormatting>
  <conditionalFormatting sqref="AE5:AG5">
    <cfRule type="notContainsText" dxfId="109" priority="104" operator="notContains" text="Caida">
      <formula>ISERROR(SEARCH("Caida",AE5))</formula>
    </cfRule>
    <cfRule type="containsText" dxfId="108" priority="105" operator="containsText" text="Caida">
      <formula>NOT(ISERROR(SEARCH("Caida",AE5)))</formula>
    </cfRule>
  </conditionalFormatting>
  <conditionalFormatting sqref="AE93:AG94">
    <cfRule type="cellIs" dxfId="107" priority="102" operator="lessThan">
      <formula>0.8</formula>
    </cfRule>
    <cfRule type="cellIs" dxfId="106" priority="103" operator="greaterThan">
      <formula>0.8</formula>
    </cfRule>
  </conditionalFormatting>
  <conditionalFormatting sqref="AE93:AG94">
    <cfRule type="notContainsText" dxfId="105" priority="100" operator="notContains" text="Caida">
      <formula>ISERROR(SEARCH("Caida",AE93))</formula>
    </cfRule>
    <cfRule type="containsText" dxfId="104" priority="101" operator="containsText" text="Caida">
      <formula>NOT(ISERROR(SEARCH("Caida",AE93)))</formula>
    </cfRule>
  </conditionalFormatting>
  <conditionalFormatting sqref="AG1 AG5:AG1048576">
    <cfRule type="cellIs" dxfId="103" priority="79" operator="equal">
      <formula>"APAGADO"</formula>
    </cfRule>
    <cfRule type="cellIs" dxfId="102" priority="99" operator="equal">
      <formula>"APAGADO"</formula>
    </cfRule>
  </conditionalFormatting>
  <conditionalFormatting sqref="AH95:AN367">
    <cfRule type="cellIs" dxfId="101" priority="97" operator="lessThan">
      <formula>0.8</formula>
    </cfRule>
    <cfRule type="cellIs" dxfId="100" priority="98" operator="greaterThan">
      <formula>0.8</formula>
    </cfRule>
  </conditionalFormatting>
  <conditionalFormatting sqref="AH95:AN1048576">
    <cfRule type="notContainsText" dxfId="99" priority="95" operator="notContains" text="Caida">
      <formula>ISERROR(SEARCH("Caida",AH95))</formula>
    </cfRule>
    <cfRule type="containsText" dxfId="98" priority="96" operator="containsText" text="Caida">
      <formula>NOT(ISERROR(SEARCH("Caida",AH95)))</formula>
    </cfRule>
  </conditionalFormatting>
  <conditionalFormatting sqref="AH6:AN92">
    <cfRule type="cellIs" dxfId="97" priority="93" operator="lessThan">
      <formula>0.8</formula>
    </cfRule>
    <cfRule type="cellIs" dxfId="96" priority="94" operator="greaterThan">
      <formula>0.8</formula>
    </cfRule>
  </conditionalFormatting>
  <conditionalFormatting sqref="AH6:AN92">
    <cfRule type="notContainsText" dxfId="95" priority="91" operator="notContains" text="Caida">
      <formula>ISERROR(SEARCH("Caida",AH6))</formula>
    </cfRule>
    <cfRule type="containsText" dxfId="94" priority="92" operator="containsText" text="Caida">
      <formula>NOT(ISERROR(SEARCH("Caida",AH6)))</formula>
    </cfRule>
  </conditionalFormatting>
  <conditionalFormatting sqref="AH22:AN22">
    <cfRule type="containsText" dxfId="93" priority="90" operator="containsText" text="Instaladas en Funcionamiento Caida">
      <formula>NOT(ISERROR(SEARCH("Instaladas en Funcionamiento Caida",AH22)))</formula>
    </cfRule>
  </conditionalFormatting>
  <conditionalFormatting sqref="AH5:AN5">
    <cfRule type="cellIs" dxfId="92" priority="88" operator="lessThan">
      <formula>0.8</formula>
    </cfRule>
    <cfRule type="cellIs" dxfId="91" priority="89" operator="greaterThan">
      <formula>0.8</formula>
    </cfRule>
  </conditionalFormatting>
  <conditionalFormatting sqref="AH5:AN5">
    <cfRule type="notContainsText" dxfId="90" priority="86" operator="notContains" text="Caida">
      <formula>ISERROR(SEARCH("Caida",AH5))</formula>
    </cfRule>
    <cfRule type="containsText" dxfId="89" priority="87" operator="containsText" text="Caida">
      <formula>NOT(ISERROR(SEARCH("Caida",AH5)))</formula>
    </cfRule>
  </conditionalFormatting>
  <conditionalFormatting sqref="AH93:AN94">
    <cfRule type="cellIs" dxfId="88" priority="84" operator="lessThan">
      <formula>0.8</formula>
    </cfRule>
    <cfRule type="cellIs" dxfId="87" priority="85" operator="greaterThan">
      <formula>0.8</formula>
    </cfRule>
  </conditionalFormatting>
  <conditionalFormatting sqref="AH93:AN94">
    <cfRule type="notContainsText" dxfId="86" priority="82" operator="notContains" text="Caida">
      <formula>ISERROR(SEARCH("Caida",AH93))</formula>
    </cfRule>
    <cfRule type="containsText" dxfId="85" priority="83" operator="containsText" text="Caida">
      <formula>NOT(ISERROR(SEARCH("Caida",AH93)))</formula>
    </cfRule>
  </conditionalFormatting>
  <conditionalFormatting sqref="AH1:AN1 AH5:AN1048576">
    <cfRule type="cellIs" dxfId="84" priority="81" operator="equal">
      <formula>"APAGADO"</formula>
    </cfRule>
  </conditionalFormatting>
  <conditionalFormatting sqref="AG249">
    <cfRule type="cellIs" dxfId="83" priority="80" operator="equal">
      <formula>"APAGADO"</formula>
    </cfRule>
  </conditionalFormatting>
  <conditionalFormatting sqref="W96:W368">
    <cfRule type="cellIs" dxfId="82" priority="77" operator="lessThan">
      <formula>0.8</formula>
    </cfRule>
    <cfRule type="cellIs" dxfId="81" priority="78" operator="greaterThan">
      <formula>0.8</formula>
    </cfRule>
  </conditionalFormatting>
  <conditionalFormatting sqref="W96:W368">
    <cfRule type="notContainsText" dxfId="80" priority="75" operator="notContains" text="Caida">
      <formula>ISERROR(SEARCH("Caida",W96))</formula>
    </cfRule>
    <cfRule type="containsText" dxfId="79" priority="76" operator="containsText" text="Caida">
      <formula>NOT(ISERROR(SEARCH("Caida",W96)))</formula>
    </cfRule>
  </conditionalFormatting>
  <conditionalFormatting sqref="W6:W92">
    <cfRule type="cellIs" dxfId="78" priority="73" operator="lessThan">
      <formula>0.8</formula>
    </cfRule>
    <cfRule type="cellIs" dxfId="77" priority="74" operator="greaterThan">
      <formula>0.8</formula>
    </cfRule>
  </conditionalFormatting>
  <conditionalFormatting sqref="W6:W92">
    <cfRule type="notContainsText" dxfId="76" priority="71" operator="notContains" text="Caida">
      <formula>ISERROR(SEARCH("Caida",W6))</formula>
    </cfRule>
    <cfRule type="containsText" dxfId="75" priority="72" operator="containsText" text="Caida">
      <formula>NOT(ISERROR(SEARCH("Caida",W6)))</formula>
    </cfRule>
  </conditionalFormatting>
  <conditionalFormatting sqref="W93:W95">
    <cfRule type="cellIs" dxfId="74" priority="69" operator="lessThan">
      <formula>0.8</formula>
    </cfRule>
    <cfRule type="cellIs" dxfId="73" priority="70" operator="greaterThan">
      <formula>0.8</formula>
    </cfRule>
  </conditionalFormatting>
  <conditionalFormatting sqref="W93:W95">
    <cfRule type="notContainsText" dxfId="72" priority="67" operator="notContains" text="Caida">
      <formula>ISERROR(SEARCH("Caida",W93))</formula>
    </cfRule>
    <cfRule type="containsText" dxfId="71" priority="68" operator="containsText" text="Caida">
      <formula>NOT(ISERROR(SEARCH("Caida",W93)))</formula>
    </cfRule>
  </conditionalFormatting>
  <conditionalFormatting sqref="Q6:Q92 Q236:Q279 Q96:Q230">
    <cfRule type="cellIs" dxfId="70" priority="65" operator="lessThan">
      <formula>0.8</formula>
    </cfRule>
    <cfRule type="cellIs" dxfId="69" priority="66" operator="greaterThan">
      <formula>0.8</formula>
    </cfRule>
  </conditionalFormatting>
  <conditionalFormatting sqref="Q6:Q92 Q236:Q279 Q96:Q230">
    <cfRule type="notContainsText" dxfId="68" priority="63" operator="notContains" text="Caida">
      <formula>ISERROR(SEARCH("Caida",Q6))</formula>
    </cfRule>
    <cfRule type="containsText" dxfId="67" priority="64" operator="containsText" text="Caida">
      <formula>NOT(ISERROR(SEARCH("Caida",Q6)))</formula>
    </cfRule>
  </conditionalFormatting>
  <conditionalFormatting sqref="Q335:Q364 Q282:Q332">
    <cfRule type="cellIs" dxfId="66" priority="61" operator="lessThan">
      <formula>0.8</formula>
    </cfRule>
    <cfRule type="cellIs" dxfId="65" priority="62" operator="greaterThan">
      <formula>0.8</formula>
    </cfRule>
  </conditionalFormatting>
  <conditionalFormatting sqref="Q335:Q364 Q282:Q332">
    <cfRule type="notContainsText" dxfId="64" priority="59" operator="notContains" text="Caida">
      <formula>ISERROR(SEARCH("Caida",Q282))</formula>
    </cfRule>
    <cfRule type="containsText" dxfId="63" priority="60" operator="containsText" text="Caida">
      <formula>NOT(ISERROR(SEARCH("Caida",Q282)))</formula>
    </cfRule>
  </conditionalFormatting>
  <conditionalFormatting sqref="Q93:Q95">
    <cfRule type="cellIs" dxfId="62" priority="57" operator="lessThan">
      <formula>0.8</formula>
    </cfRule>
    <cfRule type="cellIs" dxfId="61" priority="58" operator="greaterThan">
      <formula>0.8</formula>
    </cfRule>
  </conditionalFormatting>
  <conditionalFormatting sqref="Q93:Q95">
    <cfRule type="notContainsText" dxfId="60" priority="55" operator="notContains" text="Caida">
      <formula>ISERROR(SEARCH("Caida",Q93))</formula>
    </cfRule>
    <cfRule type="containsText" dxfId="59" priority="56" operator="containsText" text="Caida">
      <formula>NOT(ISERROR(SEARCH("Caida",Q93)))</formula>
    </cfRule>
  </conditionalFormatting>
  <conditionalFormatting sqref="R6:R92 R236:R279 R96:R230">
    <cfRule type="cellIs" dxfId="58" priority="53" operator="lessThan">
      <formula>0.8</formula>
    </cfRule>
    <cfRule type="cellIs" dxfId="57" priority="54" operator="greaterThan">
      <formula>0.8</formula>
    </cfRule>
  </conditionalFormatting>
  <conditionalFormatting sqref="R6:R92 R236:R279 R96:R230">
    <cfRule type="notContainsText" dxfId="56" priority="51" operator="notContains" text="Caida">
      <formula>ISERROR(SEARCH("Caida",R6))</formula>
    </cfRule>
    <cfRule type="containsText" dxfId="55" priority="52" operator="containsText" text="Caida">
      <formula>NOT(ISERROR(SEARCH("Caida",R6)))</formula>
    </cfRule>
  </conditionalFormatting>
  <conditionalFormatting sqref="R335:R364 R282:R332">
    <cfRule type="cellIs" dxfId="54" priority="49" operator="lessThan">
      <formula>0.8</formula>
    </cfRule>
    <cfRule type="cellIs" dxfId="53" priority="50" operator="greaterThan">
      <formula>0.8</formula>
    </cfRule>
  </conditionalFormatting>
  <conditionalFormatting sqref="R335:R364 R282:R332">
    <cfRule type="notContainsText" dxfId="52" priority="47" operator="notContains" text="Caida">
      <formula>ISERROR(SEARCH("Caida",R282))</formula>
    </cfRule>
    <cfRule type="containsText" dxfId="51" priority="48" operator="containsText" text="Caida">
      <formula>NOT(ISERROR(SEARCH("Caida",R282)))</formula>
    </cfRule>
  </conditionalFormatting>
  <conditionalFormatting sqref="R93:R95">
    <cfRule type="cellIs" dxfId="50" priority="45" operator="lessThan">
      <formula>0.8</formula>
    </cfRule>
    <cfRule type="cellIs" dxfId="49" priority="46" operator="greaterThan">
      <formula>0.8</formula>
    </cfRule>
  </conditionalFormatting>
  <conditionalFormatting sqref="R93:R95">
    <cfRule type="notContainsText" dxfId="48" priority="43" operator="notContains" text="Caida">
      <formula>ISERROR(SEARCH("Caida",R93))</formula>
    </cfRule>
    <cfRule type="containsText" dxfId="47" priority="44" operator="containsText" text="Caida">
      <formula>NOT(ISERROR(SEARCH("Caida",R93)))</formula>
    </cfRule>
  </conditionalFormatting>
  <conditionalFormatting sqref="X96:X368">
    <cfRule type="cellIs" dxfId="46" priority="41" operator="lessThan">
      <formula>0.8</formula>
    </cfRule>
    <cfRule type="cellIs" dxfId="45" priority="42" operator="greaterThan">
      <formula>0.8</formula>
    </cfRule>
  </conditionalFormatting>
  <conditionalFormatting sqref="X96:X368">
    <cfRule type="notContainsText" dxfId="44" priority="39" operator="notContains" text="Caida">
      <formula>ISERROR(SEARCH("Caida",X96))</formula>
    </cfRule>
    <cfRule type="containsText" dxfId="43" priority="40" operator="containsText" text="Caida">
      <formula>NOT(ISERROR(SEARCH("Caida",X96)))</formula>
    </cfRule>
  </conditionalFormatting>
  <conditionalFormatting sqref="X6:X92">
    <cfRule type="cellIs" dxfId="42" priority="37" operator="lessThan">
      <formula>0.8</formula>
    </cfRule>
    <cfRule type="cellIs" dxfId="41" priority="38" operator="greaterThan">
      <formula>0.8</formula>
    </cfRule>
  </conditionalFormatting>
  <conditionalFormatting sqref="X6:X92">
    <cfRule type="notContainsText" dxfId="40" priority="35" operator="notContains" text="Caida">
      <formula>ISERROR(SEARCH("Caida",X6))</formula>
    </cfRule>
    <cfRule type="containsText" dxfId="39" priority="36" operator="containsText" text="Caida">
      <formula>NOT(ISERROR(SEARCH("Caida",X6)))</formula>
    </cfRule>
  </conditionalFormatting>
  <conditionalFormatting sqref="X93:X95">
    <cfRule type="cellIs" dxfId="38" priority="33" operator="lessThan">
      <formula>0.8</formula>
    </cfRule>
    <cfRule type="cellIs" dxfId="37" priority="34" operator="greaterThan">
      <formula>0.8</formula>
    </cfRule>
  </conditionalFormatting>
  <conditionalFormatting sqref="X93:X95">
    <cfRule type="notContainsText" dxfId="36" priority="31" operator="notContains" text="Caida">
      <formula>ISERROR(SEARCH("Caida",X93))</formula>
    </cfRule>
    <cfRule type="containsText" dxfId="35" priority="32" operator="containsText" text="Caida">
      <formula>NOT(ISERROR(SEARCH("Caida",X93)))</formula>
    </cfRule>
  </conditionalFormatting>
  <conditionalFormatting sqref="Y96:Y368">
    <cfRule type="cellIs" dxfId="34" priority="29" operator="lessThan">
      <formula>0.8</formula>
    </cfRule>
    <cfRule type="cellIs" dxfId="33" priority="30" operator="greaterThan">
      <formula>0.8</formula>
    </cfRule>
  </conditionalFormatting>
  <conditionalFormatting sqref="Y96:Y368">
    <cfRule type="notContainsText" dxfId="32" priority="27" operator="notContains" text="Caida">
      <formula>ISERROR(SEARCH("Caida",Y96))</formula>
    </cfRule>
    <cfRule type="containsText" dxfId="31" priority="28" operator="containsText" text="Caida">
      <formula>NOT(ISERROR(SEARCH("Caida",Y96)))</formula>
    </cfRule>
  </conditionalFormatting>
  <conditionalFormatting sqref="Y6:Y92">
    <cfRule type="cellIs" dxfId="30" priority="25" operator="lessThan">
      <formula>0.8</formula>
    </cfRule>
    <cfRule type="cellIs" dxfId="29" priority="26" operator="greaterThan">
      <formula>0.8</formula>
    </cfRule>
  </conditionalFormatting>
  <conditionalFormatting sqref="Y6:Y92">
    <cfRule type="notContainsText" dxfId="28" priority="23" operator="notContains" text="Caida">
      <formula>ISERROR(SEARCH("Caida",Y6))</formula>
    </cfRule>
    <cfRule type="containsText" dxfId="27" priority="24" operator="containsText" text="Caida">
      <formula>NOT(ISERROR(SEARCH("Caida",Y6)))</formula>
    </cfRule>
  </conditionalFormatting>
  <conditionalFormatting sqref="Y93:Y95">
    <cfRule type="cellIs" dxfId="26" priority="21" operator="lessThan">
      <formula>0.8</formula>
    </cfRule>
    <cfRule type="cellIs" dxfId="25" priority="22" operator="greaterThan">
      <formula>0.8</formula>
    </cfRule>
  </conditionalFormatting>
  <conditionalFormatting sqref="Y93:Y95">
    <cfRule type="notContainsText" dxfId="24" priority="19" operator="notContains" text="Caida">
      <formula>ISERROR(SEARCH("Caida",Y93))</formula>
    </cfRule>
    <cfRule type="containsText" dxfId="23" priority="20" operator="containsText" text="Caida">
      <formula>NOT(ISERROR(SEARCH("Caida",Y93)))</formula>
    </cfRule>
  </conditionalFormatting>
  <conditionalFormatting sqref="Z369:Z1048576">
    <cfRule type="notContainsText" dxfId="22" priority="17" operator="notContains" text="Caida">
      <formula>ISERROR(SEARCH("Caida",Z369))</formula>
    </cfRule>
    <cfRule type="containsText" dxfId="21" priority="18" operator="containsText" text="Caida">
      <formula>NOT(ISERROR(SEARCH("Caida",Z369)))</formula>
    </cfRule>
  </conditionalFormatting>
  <conditionalFormatting sqref="Z96:Z107 Z109:Z368">
    <cfRule type="cellIs" dxfId="20" priority="15" operator="lessThan">
      <formula>0.8</formula>
    </cfRule>
    <cfRule type="cellIs" dxfId="19" priority="16" operator="greaterThan">
      <formula>0.8</formula>
    </cfRule>
  </conditionalFormatting>
  <conditionalFormatting sqref="Z96:Z107 Z109:Z368">
    <cfRule type="notContainsText" dxfId="18" priority="13" operator="notContains" text="Caida">
      <formula>ISERROR(SEARCH("Caida",Z96))</formula>
    </cfRule>
    <cfRule type="containsText" dxfId="17" priority="14" operator="containsText" text="Caida">
      <formula>NOT(ISERROR(SEARCH("Caida",Z96)))</formula>
    </cfRule>
  </conditionalFormatting>
  <conditionalFormatting sqref="Z6:Z92">
    <cfRule type="cellIs" dxfId="16" priority="11" operator="lessThan">
      <formula>0.8</formula>
    </cfRule>
    <cfRule type="cellIs" dxfId="15" priority="12" operator="greaterThan">
      <formula>0.8</formula>
    </cfRule>
  </conditionalFormatting>
  <conditionalFormatting sqref="Z6:Z92">
    <cfRule type="notContainsText" dxfId="14" priority="9" operator="notContains" text="Caida">
      <formula>ISERROR(SEARCH("Caida",Z6))</formula>
    </cfRule>
    <cfRule type="containsText" dxfId="13" priority="10" operator="containsText" text="Caida">
      <formula>NOT(ISERROR(SEARCH("Caida",Z6)))</formula>
    </cfRule>
  </conditionalFormatting>
  <conditionalFormatting sqref="Z93:Z95">
    <cfRule type="cellIs" dxfId="12" priority="7" operator="lessThan">
      <formula>0.8</formula>
    </cfRule>
    <cfRule type="cellIs" dxfId="11" priority="8" operator="greaterThan">
      <formula>0.8</formula>
    </cfRule>
  </conditionalFormatting>
  <conditionalFormatting sqref="Z93:Z95">
    <cfRule type="notContainsText" dxfId="10" priority="5" operator="notContains" text="Caida">
      <formula>ISERROR(SEARCH("Caida",Z93))</formula>
    </cfRule>
    <cfRule type="containsText" dxfId="9" priority="6" operator="containsText" text="Caida">
      <formula>NOT(ISERROR(SEARCH("Caida",Z93)))</formula>
    </cfRule>
  </conditionalFormatting>
  <conditionalFormatting sqref="Z108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Z108">
    <cfRule type="notContainsText" dxfId="1" priority="1" operator="notContains" text="Caida">
      <formula>ISERROR(SEARCH("Caida",Z108))</formula>
    </cfRule>
    <cfRule type="containsText" dxfId="0" priority="2" operator="containsText" text="Caida">
      <formula>NOT(ISERROR(SEARCH("Caida",Z108)))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3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 t="str">
        <f>'RESUMEN TOTAL'!W7</f>
        <v>APAGADO</v>
      </c>
      <c r="Q4" t="str">
        <f>'RESUMEN TOTAL'!X7</f>
        <v>APAGADO</v>
      </c>
      <c r="R4" t="str">
        <f>'RESUMEN TOTAL'!Y7</f>
        <v>APAGADO</v>
      </c>
      <c r="S4" t="str">
        <f>'RESUMEN TOTAL'!Z7</f>
        <v>APAGADO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3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 t="str">
        <f>'RESUMEN TOTAL'!Z10</f>
        <v>APAGADO</v>
      </c>
      <c r="T7" t="str">
        <f>'RESUMEN TOTAL'!AA10</f>
        <v>APAGADO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 t="str">
        <f>'RESUMEN TOTAL'!Z13</f>
        <v>APAGADO</v>
      </c>
      <c r="T10" t="str">
        <f>'RESUMEN TOTAL'!AA13</f>
        <v>APAGADO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 t="str">
        <f>'RESUMEN TOTAL'!Z14</f>
        <v>APAGADO</v>
      </c>
      <c r="T11" t="str">
        <f>'RESUMEN TOTAL'!AA14</f>
        <v>APAGADO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 t="str">
        <f>'RESUMEN TOTAL'!Z17</f>
        <v>APAGADO</v>
      </c>
      <c r="T14" t="str">
        <f>'RESUMEN TOTAL'!AA17</f>
        <v>APAGADO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 t="str">
        <f>'RESUMEN TOTAL'!Z18</f>
        <v>APAGADO</v>
      </c>
      <c r="T15" t="str">
        <f>'RESUMEN TOTAL'!AA18</f>
        <v>APAGADO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3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3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3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 t="str">
        <f>'RESUMEN TOTAL'!W24</f>
        <v>APAGADO</v>
      </c>
      <c r="Q21" t="str">
        <f>'RESUMEN TOTAL'!X24</f>
        <v>APAGADO</v>
      </c>
      <c r="R21" t="str">
        <f>'RESUMEN TOTAL'!Y24</f>
        <v>APAGADO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 t="str">
        <f>'RESUMEN TOTAL'!Z44</f>
        <v>APAGADO</v>
      </c>
      <c r="T41" t="str">
        <f>'RESUMEN TOTAL'!AA44</f>
        <v>APAGADO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 t="str">
        <f>'RESUMEN TOTAL'!Z52</f>
        <v>APAGADO</v>
      </c>
      <c r="T49" t="str">
        <f>'RESUMEN TOTAL'!AA52</f>
        <v>APAGADO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 t="str">
        <f>'RESUMEN TOTAL'!W57</f>
        <v>APAGADO</v>
      </c>
      <c r="Q54" t="str">
        <f>'RESUMEN TOTAL'!X57</f>
        <v>APAGADO</v>
      </c>
      <c r="R54" t="str">
        <f>'RESUMEN TOTAL'!Y57</f>
        <v>APAGADO</v>
      </c>
      <c r="S54" t="str">
        <f>'RESUMEN TOTAL'!Z57</f>
        <v>APAGADO</v>
      </c>
      <c r="T54" t="str">
        <f>'RESUMEN TOTAL'!AA57</f>
        <v>APAGADO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 t="str">
        <f>'RESUMEN TOTAL'!W60</f>
        <v>APAGADO</v>
      </c>
      <c r="Q57" t="str">
        <f>'RESUMEN TOTAL'!X60</f>
        <v>APAGADO</v>
      </c>
      <c r="R57" t="str">
        <f>'RESUMEN TOTAL'!Y60</f>
        <v>APAGADO</v>
      </c>
      <c r="S57" t="str">
        <f>'RESUMEN TOTAL'!Z60</f>
        <v>APAGADO</v>
      </c>
      <c r="T57" t="str">
        <f>'RESUMEN TOTAL'!AA60</f>
        <v>APAGADO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 t="str">
        <f>'RESUMEN TOTAL'!W63</f>
        <v>APAGADO</v>
      </c>
      <c r="Q60" t="str">
        <f>'RESUMEN TOTAL'!X63</f>
        <v>APAGADO</v>
      </c>
      <c r="R60" t="str">
        <f>'RESUMEN TOTAL'!Y63</f>
        <v>APAGADO</v>
      </c>
      <c r="S60" t="str">
        <f>'RESUMEN TOTAL'!Z63</f>
        <v>APAGADO</v>
      </c>
      <c r="T60" t="str">
        <f>'RESUMEN TOTAL'!AA63</f>
        <v>APAGADO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 t="str">
        <f>'RESUMEN TOTAL'!W65</f>
        <v>APAGADO</v>
      </c>
      <c r="Q62" t="str">
        <f>'RESUMEN TOTAL'!X65</f>
        <v>APAGADO</v>
      </c>
      <c r="R62" t="str">
        <f>'RESUMEN TOTAL'!Y65</f>
        <v>APAGADO</v>
      </c>
      <c r="S62" t="str">
        <f>'RESUMEN TOTAL'!Z65</f>
        <v>APAGADO</v>
      </c>
      <c r="T62" t="str">
        <f>'RESUMEN TOTAL'!AA65</f>
        <v>APAGADO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 t="str">
        <f>'RESUMEN TOTAL'!W68</f>
        <v>APAGADO</v>
      </c>
      <c r="Q65" t="str">
        <f>'RESUMEN TOTAL'!X68</f>
        <v>APAGADO</v>
      </c>
      <c r="R65" t="str">
        <f>'RESUMEN TOTAL'!Y68</f>
        <v>APAGADO</v>
      </c>
      <c r="S65" t="str">
        <f>'RESUMEN TOTAL'!Z68</f>
        <v>APAGADO</v>
      </c>
      <c r="T65" t="str">
        <f>'RESUMEN TOTAL'!AA68</f>
        <v>APAGADO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 t="str">
        <f>'RESUMEN TOTAL'!W80</f>
        <v>APAGADO</v>
      </c>
      <c r="Q77" t="str">
        <f>'RESUMEN TOTAL'!X80</f>
        <v>APAGADO</v>
      </c>
      <c r="R77" t="str">
        <f>'RESUMEN TOTAL'!Y80</f>
        <v>APAGADO</v>
      </c>
      <c r="S77" t="str">
        <f>'RESUMEN TOTAL'!Z80</f>
        <v>APAGADO</v>
      </c>
      <c r="T77" t="str">
        <f>'RESUMEN TOTAL'!AA80</f>
        <v>APAGADO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 t="str">
        <f>'RESUMEN TOTAL'!W88</f>
        <v>APAGADO</v>
      </c>
      <c r="Q85" t="str">
        <f>'RESUMEN TOTAL'!X88</f>
        <v>APAGADO</v>
      </c>
      <c r="R85" t="str">
        <f>'RESUMEN TOTAL'!Y88</f>
        <v>APAGADO</v>
      </c>
      <c r="S85" t="str">
        <f>'RESUMEN TOTAL'!Z88</f>
        <v>APAGADO</v>
      </c>
      <c r="T85" t="str">
        <f>'RESUMEN TOTAL'!AA88</f>
        <v>APAGADO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 t="str">
        <f>'RESUMEN TOTAL'!W90</f>
        <v>APAGADO</v>
      </c>
      <c r="Q87" t="str">
        <f>'RESUMEN TOTAL'!X90</f>
        <v>APAGADO</v>
      </c>
      <c r="R87" t="str">
        <f>'RESUMEN TOTAL'!Y90</f>
        <v>APAGADO</v>
      </c>
      <c r="S87" t="str">
        <f>'RESUMEN TOTAL'!Z90</f>
        <v>APAGADO</v>
      </c>
      <c r="T87" t="str">
        <f>'RESUMEN TOTAL'!AA90</f>
        <v>APAGADO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 t="str">
        <f>'RESUMEN TOTAL'!W91</f>
        <v>APAGADO</v>
      </c>
      <c r="Q88" t="str">
        <f>'RESUMEN TOTAL'!X91</f>
        <v>APAGADO</v>
      </c>
      <c r="R88" t="str">
        <f>'RESUMEN TOTAL'!Y91</f>
        <v>APAGADO</v>
      </c>
      <c r="S88" t="str">
        <f>'RESUMEN TOTAL'!Z91</f>
        <v>APAGADO</v>
      </c>
      <c r="T88" t="str">
        <f>'RESUMEN TOTAL'!AA91</f>
        <v>APAGADO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 t="str">
        <f>'RESUMEN TOTAL'!W92</f>
        <v>APAGADO</v>
      </c>
      <c r="Q89" t="str">
        <f>'RESUMEN TOTAL'!X92</f>
        <v>APAGADO</v>
      </c>
      <c r="R89" t="str">
        <f>'RESUMEN TOTAL'!Y92</f>
        <v>APAGADO</v>
      </c>
      <c r="S89" t="str">
        <f>'RESUMEN TOTAL'!Z92</f>
        <v>APAGADO</v>
      </c>
      <c r="T89" t="str">
        <f>'RESUMEN TOTAL'!AA92</f>
        <v>APAGADO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 t="str">
        <f>'RESUMEN TOTAL'!W104</f>
        <v>APAGADO</v>
      </c>
      <c r="Q101" t="str">
        <f>'RESUMEN TOTAL'!X104</f>
        <v>APAGADO</v>
      </c>
      <c r="R101" t="str">
        <f>'RESUMEN TOTAL'!Y104</f>
        <v>APAGADO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 t="str">
        <f>'RESUMEN TOTAL'!W105</f>
        <v>APAGADO</v>
      </c>
      <c r="Q102" t="str">
        <f>'RESUMEN TOTAL'!X105</f>
        <v>APAGADO</v>
      </c>
      <c r="R102" t="str">
        <f>'RESUMEN TOTAL'!Y105</f>
        <v>APAGADO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 t="str">
        <f>'RESUMEN TOTAL'!W106</f>
        <v>APAGADO</v>
      </c>
      <c r="Q103" t="str">
        <f>'RESUMEN TOTAL'!X106</f>
        <v>APAGADO</v>
      </c>
      <c r="R103" t="str">
        <f>'RESUMEN TOTAL'!Y106</f>
        <v>APAGADO</v>
      </c>
      <c r="S103" t="str">
        <f>'RESUMEN TOTAL'!Z106</f>
        <v>APAGADO</v>
      </c>
      <c r="T103" t="str">
        <f>'RESUMEN TOTAL'!AA106</f>
        <v>APAGADO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 t="str">
        <f>'RESUMEN TOTAL'!W107</f>
        <v>APAGADO</v>
      </c>
      <c r="Q104" t="str">
        <f>'RESUMEN TOTAL'!X107</f>
        <v>APAGADO</v>
      </c>
      <c r="R104" t="str">
        <f>'RESUMEN TOTAL'!Y107</f>
        <v>APAGADO</v>
      </c>
      <c r="S104" t="str">
        <f>'RESUMEN TOTAL'!Z107</f>
        <v>APAGADO</v>
      </c>
      <c r="T104" t="str">
        <f>'RESUMEN TOTAL'!AA107</f>
        <v>APAGADO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 t="str">
        <f>'RESUMEN TOTAL'!W108</f>
        <v>APAGADO</v>
      </c>
      <c r="Q105" t="str">
        <f>'RESUMEN TOTAL'!X108</f>
        <v>APAGADO</v>
      </c>
      <c r="R105" t="str">
        <f>'RESUMEN TOTAL'!Y108</f>
        <v>APAGADO</v>
      </c>
      <c r="S105" t="str">
        <f>'RESUMEN TOTAL'!Z108</f>
        <v>APAGADO</v>
      </c>
      <c r="T105" t="str">
        <f>'RESUMEN TOTAL'!AA108</f>
        <v>APAGADO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 t="str">
        <f>'RESUMEN TOTAL'!W109</f>
        <v>APAGADO</v>
      </c>
      <c r="Q106" t="str">
        <f>'RESUMEN TOTAL'!X109</f>
        <v>APAGADO</v>
      </c>
      <c r="R106" t="str">
        <f>'RESUMEN TOTAL'!Y109</f>
        <v>APAGADO</v>
      </c>
      <c r="S106" t="str">
        <f>'RESUMEN TOTAL'!Z109</f>
        <v>APAGADO</v>
      </c>
      <c r="T106" t="str">
        <f>'RESUMEN TOTAL'!AA109</f>
        <v>APAGADO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 t="str">
        <f>'RESUMEN TOTAL'!W115</f>
        <v>APAGADO</v>
      </c>
      <c r="Q112" t="str">
        <f>'RESUMEN TOTAL'!X115</f>
        <v>APAGADO</v>
      </c>
      <c r="R112" t="str">
        <f>'RESUMEN TOTAL'!Y115</f>
        <v>APAGADO</v>
      </c>
      <c r="S112" t="str">
        <f>'RESUMEN TOTAL'!Z115</f>
        <v>APAGADO</v>
      </c>
      <c r="T112" t="str">
        <f>'RESUMEN TOTAL'!AA115</f>
        <v>APAGADO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 t="str">
        <f>'RESUMEN TOTAL'!W116</f>
        <v>APAGADO</v>
      </c>
      <c r="Q113" t="str">
        <f>'RESUMEN TOTAL'!X116</f>
        <v>APAGADO</v>
      </c>
      <c r="R113" t="str">
        <f>'RESUMEN TOTAL'!Y116</f>
        <v>APAGADO</v>
      </c>
      <c r="S113" t="str">
        <f>'RESUMEN TOTAL'!Z116</f>
        <v>APAGADO</v>
      </c>
      <c r="T113" t="str">
        <f>'RESUMEN TOTAL'!AA116</f>
        <v>APAGADO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 t="str">
        <f>'RESUMEN TOTAL'!W120</f>
        <v>APAGADO</v>
      </c>
      <c r="Q117" t="str">
        <f>'RESUMEN TOTAL'!X120</f>
        <v>APAGADO</v>
      </c>
      <c r="R117" t="str">
        <f>'RESUMEN TOTAL'!Y120</f>
        <v>APAGADO</v>
      </c>
      <c r="S117" t="str">
        <f>'RESUMEN TOTAL'!Z120</f>
        <v>APAGADO</v>
      </c>
      <c r="T117" t="str">
        <f>'RESUMEN TOTAL'!AA120</f>
        <v>APAGADO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 t="str">
        <f>'RESUMEN TOTAL'!W121</f>
        <v>APAGADO</v>
      </c>
      <c r="Q118" t="str">
        <f>'RESUMEN TOTAL'!X121</f>
        <v>APAGADO</v>
      </c>
      <c r="R118" t="str">
        <f>'RESUMEN TOTAL'!Y121</f>
        <v>APAGADO</v>
      </c>
      <c r="S118" t="str">
        <f>'RESUMEN TOTAL'!Z121</f>
        <v>APAGADO</v>
      </c>
      <c r="T118" t="str">
        <f>'RESUMEN TOTAL'!AA121</f>
        <v>APAGADO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 t="str">
        <f>'RESUMEN TOTAL'!W122</f>
        <v>APAGADO</v>
      </c>
      <c r="Q119" t="str">
        <f>'RESUMEN TOTAL'!X122</f>
        <v>APAGADO</v>
      </c>
      <c r="R119" t="str">
        <f>'RESUMEN TOTAL'!Y122</f>
        <v>APAGADO</v>
      </c>
      <c r="S119" t="str">
        <f>'RESUMEN TOTAL'!Z122</f>
        <v>APAGADO</v>
      </c>
      <c r="T119" t="str">
        <f>'RESUMEN TOTAL'!AA122</f>
        <v>APAGADO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 t="str">
        <f>'RESUMEN TOTAL'!W123</f>
        <v>APAGADO</v>
      </c>
      <c r="Q120" t="str">
        <f>'RESUMEN TOTAL'!X123</f>
        <v>APAGADO</v>
      </c>
      <c r="R120" t="str">
        <f>'RESUMEN TOTAL'!Y123</f>
        <v>APAGADO</v>
      </c>
      <c r="S120" t="str">
        <f>'RESUMEN TOTAL'!Z123</f>
        <v>APAGADO</v>
      </c>
      <c r="T120" t="str">
        <f>'RESUMEN TOTAL'!AA123</f>
        <v>APAGADO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 t="str">
        <f>'RESUMEN TOTAL'!W129</f>
        <v>APAGADO</v>
      </c>
      <c r="Q126" t="str">
        <f>'RESUMEN TOTAL'!X129</f>
        <v>APAGADO</v>
      </c>
      <c r="R126" t="str">
        <f>'RESUMEN TOTAL'!Y129</f>
        <v>APAGADO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 t="str">
        <f>'RESUMEN TOTAL'!W130</f>
        <v>APAGADO</v>
      </c>
      <c r="Q127" t="str">
        <f>'RESUMEN TOTAL'!X130</f>
        <v>APAGADO</v>
      </c>
      <c r="R127" t="str">
        <f>'RESUMEN TOTAL'!Y130</f>
        <v>APAGADO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 t="str">
        <f>'RESUMEN TOTAL'!W133</f>
        <v>APAGADO</v>
      </c>
      <c r="Q130" t="str">
        <f>'RESUMEN TOTAL'!X133</f>
        <v>APAGADO</v>
      </c>
      <c r="R130" t="str">
        <f>'RESUMEN TOTAL'!Y133</f>
        <v>APAGADO</v>
      </c>
      <c r="S130" t="str">
        <f>'RESUMEN TOTAL'!Z133</f>
        <v>APAGADO</v>
      </c>
      <c r="T130" t="str">
        <f>'RESUMEN TOTAL'!AA133</f>
        <v>APAGADO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 t="str">
        <f>'RESUMEN TOTAL'!W138</f>
        <v>APAGADO</v>
      </c>
      <c r="Q135" t="str">
        <f>'RESUMEN TOTAL'!X138</f>
        <v>APAGADO</v>
      </c>
      <c r="R135" t="str">
        <f>'RESUMEN TOTAL'!Y138</f>
        <v>APAGADO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 t="str">
        <f>'RESUMEN TOTAL'!W139</f>
        <v>APAGADO</v>
      </c>
      <c r="Q136" t="str">
        <f>'RESUMEN TOTAL'!X139</f>
        <v>APAGADO</v>
      </c>
      <c r="R136" t="str">
        <f>'RESUMEN TOTAL'!Y139</f>
        <v>APAGADO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 t="str">
        <f>'RESUMEN TOTAL'!W140</f>
        <v>APAGADO</v>
      </c>
      <c r="Q137" t="str">
        <f>'RESUMEN TOTAL'!X140</f>
        <v>APAGADO</v>
      </c>
      <c r="R137" t="str">
        <f>'RESUMEN TOTAL'!Y140</f>
        <v>APAGADO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 t="str">
        <f>'RESUMEN TOTAL'!W141</f>
        <v>APAGADO</v>
      </c>
      <c r="Q138" t="str">
        <f>'RESUMEN TOTAL'!X141</f>
        <v>APAGADO</v>
      </c>
      <c r="R138" t="str">
        <f>'RESUMEN TOTAL'!Y141</f>
        <v>APAGADO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 t="str">
        <f>'RESUMEN TOTAL'!W149</f>
        <v>APAGADO</v>
      </c>
      <c r="Q146" t="str">
        <f>'RESUMEN TOTAL'!X149</f>
        <v>APAGADO</v>
      </c>
      <c r="R146" t="str">
        <f>'RESUMEN TOTAL'!Y149</f>
        <v>APAGADO</v>
      </c>
      <c r="S146" t="str">
        <f>'RESUMEN TOTAL'!Z149</f>
        <v>APAGADO</v>
      </c>
      <c r="T146" t="str">
        <f>'RESUMEN TOTAL'!AA149</f>
        <v>APAGADO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 t="str">
        <f>'RESUMEN TOTAL'!W150</f>
        <v>APAGADO</v>
      </c>
      <c r="Q147" t="str">
        <f>'RESUMEN TOTAL'!X150</f>
        <v>APAGADO</v>
      </c>
      <c r="R147" t="str">
        <f>'RESUMEN TOTAL'!Y150</f>
        <v>APAGADO</v>
      </c>
      <c r="S147" t="str">
        <f>'RESUMEN TOTAL'!Z150</f>
        <v>APAGADO</v>
      </c>
      <c r="T147" t="str">
        <f>'RESUMEN TOTAL'!AA150</f>
        <v>APAGADO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 t="str">
        <f>'RESUMEN TOTAL'!W151</f>
        <v>APAGADO</v>
      </c>
      <c r="Q148" t="str">
        <f>'RESUMEN TOTAL'!X151</f>
        <v>APAGADO</v>
      </c>
      <c r="R148" t="str">
        <f>'RESUMEN TOTAL'!Y151</f>
        <v>APAGADO</v>
      </c>
      <c r="S148" t="str">
        <f>'RESUMEN TOTAL'!Z151</f>
        <v>APAGADO</v>
      </c>
      <c r="T148" t="str">
        <f>'RESUMEN TOTAL'!AA151</f>
        <v>APAGADO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 t="str">
        <f>'RESUMEN TOTAL'!W159</f>
        <v>APAGADO</v>
      </c>
      <c r="Q156" t="str">
        <f>'RESUMEN TOTAL'!X159</f>
        <v>APAGADO</v>
      </c>
      <c r="R156" t="str">
        <f>'RESUMEN TOTAL'!Y159</f>
        <v>APAGADO</v>
      </c>
      <c r="S156" t="str">
        <f>'RESUMEN TOTAL'!Z159</f>
        <v>APAGADO</v>
      </c>
      <c r="T156" t="str">
        <f>'RESUMEN TOTAL'!AA159</f>
        <v>APAGADO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 t="str">
        <f>'RESUMEN TOTAL'!Z171</f>
        <v>APAGADO</v>
      </c>
      <c r="T168" t="str">
        <f>'RESUMEN TOTAL'!AA171</f>
        <v>APAGADO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 t="str">
        <f>'RESUMEN TOTAL'!Z173</f>
        <v>APAGADO</v>
      </c>
      <c r="T170" t="str">
        <f>'RESUMEN TOTAL'!AA173</f>
        <v>APAGADO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 t="str">
        <f>'RESUMEN TOTAL'!W174</f>
        <v>APAGADO</v>
      </c>
      <c r="Q171" t="str">
        <f>'RESUMEN TOTAL'!X174</f>
        <v>APAGADO</v>
      </c>
      <c r="R171" t="str">
        <f>'RESUMEN TOTAL'!Y174</f>
        <v>APAGADO</v>
      </c>
      <c r="S171" t="str">
        <f>'RESUMEN TOTAL'!Z174</f>
        <v>APAGADO</v>
      </c>
      <c r="T171" t="str">
        <f>'RESUMEN TOTAL'!AA174</f>
        <v>APAGADO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 t="str">
        <f>'RESUMEN TOTAL'!W180</f>
        <v>APAGADO</v>
      </c>
      <c r="Q177" t="str">
        <f>'RESUMEN TOTAL'!X180</f>
        <v>APAGADO</v>
      </c>
      <c r="R177" t="str">
        <f>'RESUMEN TOTAL'!Y180</f>
        <v>APAGADO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 t="str">
        <f>'RESUMEN TOTAL'!W188</f>
        <v>APAGADO</v>
      </c>
      <c r="Q185" t="str">
        <f>'RESUMEN TOTAL'!X188</f>
        <v>APAGADO</v>
      </c>
      <c r="R185" t="str">
        <f>'RESUMEN TOTAL'!Y188</f>
        <v>APAGADO</v>
      </c>
      <c r="S185" t="str">
        <f>'RESUMEN TOTAL'!Z188</f>
        <v>APAGADO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 t="str">
        <f>'RESUMEN TOTAL'!W191</f>
        <v>APAGADO</v>
      </c>
      <c r="Q188" t="str">
        <f>'RESUMEN TOTAL'!X191</f>
        <v>APAGADO</v>
      </c>
      <c r="R188" t="str">
        <f>'RESUMEN TOTAL'!Y191</f>
        <v>APAGADO</v>
      </c>
      <c r="S188" t="str">
        <f>'RESUMEN TOTAL'!Z191</f>
        <v>APAGADO</v>
      </c>
      <c r="T188" t="str">
        <f>'RESUMEN TOTAL'!AA191</f>
        <v>APAGADO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 t="str">
        <f>'RESUMEN TOTAL'!W192</f>
        <v>APAGADO</v>
      </c>
      <c r="Q189" t="str">
        <f>'RESUMEN TOTAL'!X192</f>
        <v>APAGADO</v>
      </c>
      <c r="R189" t="str">
        <f>'RESUMEN TOTAL'!Y192</f>
        <v>APAGADO</v>
      </c>
      <c r="S189" t="str">
        <f>'RESUMEN TOTAL'!Z192</f>
        <v>APAGADO</v>
      </c>
      <c r="T189" t="str">
        <f>'RESUMEN TOTAL'!AA192</f>
        <v>APAGADO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 t="str">
        <f>'RESUMEN TOTAL'!W193</f>
        <v>APAGADO</v>
      </c>
      <c r="Q190" t="str">
        <f>'RESUMEN TOTAL'!X193</f>
        <v>APAGADO</v>
      </c>
      <c r="R190" t="str">
        <f>'RESUMEN TOTAL'!Y193</f>
        <v>APAGADO</v>
      </c>
      <c r="S190" t="str">
        <f>'RESUMEN TOTAL'!Z193</f>
        <v>APAGADO</v>
      </c>
      <c r="T190" t="str">
        <f>'RESUMEN TOTAL'!AA193</f>
        <v>APAGADO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 t="str">
        <f>'RESUMEN TOTAL'!W194</f>
        <v>APAGADO</v>
      </c>
      <c r="Q191" t="str">
        <f>'RESUMEN TOTAL'!X194</f>
        <v>APAGADO</v>
      </c>
      <c r="R191" t="str">
        <f>'RESUMEN TOTAL'!Y194</f>
        <v>APAGADO</v>
      </c>
      <c r="S191" t="str">
        <f>'RESUMEN TOTAL'!Z194</f>
        <v>APAGADO</v>
      </c>
      <c r="T191" t="str">
        <f>'RESUMEN TOTAL'!AA194</f>
        <v>APAGADO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 t="str">
        <f>'RESUMEN TOTAL'!W197</f>
        <v>APAGADO</v>
      </c>
      <c r="Q194" t="str">
        <f>'RESUMEN TOTAL'!X197</f>
        <v>APAGADO</v>
      </c>
      <c r="R194" t="str">
        <f>'RESUMEN TOTAL'!Y197</f>
        <v>APAGADO</v>
      </c>
      <c r="S194" t="str">
        <f>'RESUMEN TOTAL'!Z197</f>
        <v>APAGADO</v>
      </c>
      <c r="T194" t="str">
        <f>'RESUMEN TOTAL'!AA197</f>
        <v>APAGADO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 t="str">
        <f>'RESUMEN TOTAL'!W198</f>
        <v>APAGADO</v>
      </c>
      <c r="Q195" t="str">
        <f>'RESUMEN TOTAL'!X198</f>
        <v>APAGADO</v>
      </c>
      <c r="R195" t="str">
        <f>'RESUMEN TOTAL'!Y198</f>
        <v>APAGADO</v>
      </c>
      <c r="S195" t="str">
        <f>'RESUMEN TOTAL'!Z198</f>
        <v>APAGADO</v>
      </c>
      <c r="T195" t="str">
        <f>'RESUMEN TOTAL'!AA198</f>
        <v>APAGADO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 t="str">
        <f>'RESUMEN TOTAL'!W206</f>
        <v>APAGADO</v>
      </c>
      <c r="Q203" t="str">
        <f>'RESUMEN TOTAL'!X206</f>
        <v>APAGADO</v>
      </c>
      <c r="R203" t="str">
        <f>'RESUMEN TOTAL'!Y206</f>
        <v>APAGADO</v>
      </c>
      <c r="S203" t="str">
        <f>'RESUMEN TOTAL'!Z206</f>
        <v>APAGADO</v>
      </c>
      <c r="T203" t="str">
        <f>'RESUMEN TOTAL'!AA206</f>
        <v>APAGADO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 t="str">
        <f>'RESUMEN TOTAL'!Z230</f>
        <v>APAGADO</v>
      </c>
      <c r="T227" t="str">
        <f>'RESUMEN TOTAL'!AA230</f>
        <v>APAGADO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 t="str">
        <f>'RESUMEN TOTAL'!W238</f>
        <v>APAGADO</v>
      </c>
      <c r="Q235" t="str">
        <f>'RESUMEN TOTAL'!X238</f>
        <v>APAGADO</v>
      </c>
      <c r="R235" t="str">
        <f>'RESUMEN TOTAL'!Y238</f>
        <v>APAGADO</v>
      </c>
      <c r="S235" t="str">
        <f>'RESUMEN TOTAL'!Z238</f>
        <v>APAGADO</v>
      </c>
      <c r="T235" t="str">
        <f>'RESUMEN TOTAL'!AA238</f>
        <v>APAGADO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 t="str">
        <f>'RESUMEN TOTAL'!Z245</f>
        <v>APAGADO</v>
      </c>
      <c r="T242" t="str">
        <f>'RESUMEN TOTAL'!AA245</f>
        <v>APAGADO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 t="str">
        <f>'RESUMEN TOTAL'!Z248</f>
        <v>APAGADO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 t="str">
        <f>'RESUMEN TOTAL'!W249</f>
        <v>APAGADO</v>
      </c>
      <c r="Q246" t="str">
        <f>'RESUMEN TOTAL'!X249</f>
        <v>APAGADO</v>
      </c>
      <c r="R246" t="str">
        <f>'RESUMEN TOTAL'!Y249</f>
        <v>APAGADO</v>
      </c>
      <c r="S246" t="str">
        <f>'RESUMEN TOTAL'!Z249</f>
        <v>APAGADO</v>
      </c>
      <c r="T246" t="str">
        <f>'RESUMEN TOTAL'!AA249</f>
        <v>APAGADO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 t="str">
        <f>'RESUMEN TOTAL'!W250</f>
        <v>APAGADO</v>
      </c>
      <c r="Q247" t="str">
        <f>'RESUMEN TOTAL'!X250</f>
        <v>APAGADO</v>
      </c>
      <c r="R247" t="str">
        <f>'RESUMEN TOTAL'!Y250</f>
        <v>APAGADO</v>
      </c>
      <c r="S247" t="str">
        <f>'RESUMEN TOTAL'!Z250</f>
        <v>APAGADO</v>
      </c>
      <c r="T247" t="str">
        <f>'RESUMEN TOTAL'!AA250</f>
        <v>APAGADO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 t="str">
        <f>'RESUMEN TOTAL'!W251</f>
        <v>APAGADO</v>
      </c>
      <c r="Q248" t="str">
        <f>'RESUMEN TOTAL'!X251</f>
        <v>APAGADO</v>
      </c>
      <c r="R248" t="str">
        <f>'RESUMEN TOTAL'!Y251</f>
        <v>APAGADO</v>
      </c>
      <c r="S248" t="str">
        <f>'RESUMEN TOTAL'!Z251</f>
        <v>APAGADO</v>
      </c>
      <c r="T248" t="str">
        <f>'RESUMEN TOTAL'!AA251</f>
        <v>APAGADO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 t="str">
        <f>'RESUMEN TOTAL'!W252</f>
        <v>APAGADO</v>
      </c>
      <c r="Q249" t="str">
        <f>'RESUMEN TOTAL'!X252</f>
        <v>APAGADO</v>
      </c>
      <c r="R249" t="str">
        <f>'RESUMEN TOTAL'!Y252</f>
        <v>APAGADO</v>
      </c>
      <c r="S249" t="str">
        <f>'RESUMEN TOTAL'!Z252</f>
        <v>APAGADO</v>
      </c>
      <c r="T249" t="str">
        <f>'RESUMEN TOTAL'!AA252</f>
        <v>APAGADO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 t="str">
        <f>'RESUMEN TOTAL'!W259</f>
        <v>APAGADO</v>
      </c>
      <c r="Q256" t="str">
        <f>'RESUMEN TOTAL'!X259</f>
        <v>APAGADO</v>
      </c>
      <c r="R256" t="str">
        <f>'RESUMEN TOTAL'!Y259</f>
        <v>APAGADO</v>
      </c>
      <c r="S256" t="str">
        <f>'RESUMEN TOTAL'!Z259</f>
        <v>APAGADO</v>
      </c>
      <c r="T256" t="str">
        <f>'RESUMEN TOTAL'!AA259</f>
        <v>APAGADO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 t="str">
        <f>'RESUMEN TOTAL'!W270</f>
        <v>APAGADO</v>
      </c>
      <c r="Q267" t="str">
        <f>'RESUMEN TOTAL'!X270</f>
        <v>APAGADO</v>
      </c>
      <c r="R267" t="str">
        <f>'RESUMEN TOTAL'!Y270</f>
        <v>APAGADO</v>
      </c>
      <c r="S267" t="str">
        <f>'RESUMEN TOTAL'!Z270</f>
        <v>APAGADO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 t="str">
        <f>'RESUMEN TOTAL'!W271</f>
        <v>APAGADO</v>
      </c>
      <c r="Q268" t="str">
        <f>'RESUMEN TOTAL'!X271</f>
        <v>APAGADO</v>
      </c>
      <c r="R268" t="str">
        <f>'RESUMEN TOTAL'!Y271</f>
        <v>APAGADO</v>
      </c>
      <c r="S268" t="str">
        <f>'RESUMEN TOTAL'!Z271</f>
        <v>APAGADO</v>
      </c>
      <c r="T268" t="str">
        <f>'RESUMEN TOTAL'!AA271</f>
        <v>APAGADO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 t="str">
        <f>'RESUMEN TOTAL'!W272</f>
        <v>APAGADO</v>
      </c>
      <c r="Q269" t="str">
        <f>'RESUMEN TOTAL'!X272</f>
        <v>APAGADO</v>
      </c>
      <c r="R269" t="str">
        <f>'RESUMEN TOTAL'!Y272</f>
        <v>APAGADO</v>
      </c>
      <c r="S269" t="str">
        <f>'RESUMEN TOTAL'!Z272</f>
        <v>APAGADO</v>
      </c>
      <c r="T269" t="str">
        <f>'RESUMEN TOTAL'!AA272</f>
        <v>APAGADO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 t="str">
        <f>'RESUMEN TOTAL'!W277</f>
        <v>APAGADO</v>
      </c>
      <c r="Q274" t="str">
        <f>'RESUMEN TOTAL'!X277</f>
        <v>APAGADO</v>
      </c>
      <c r="R274" t="str">
        <f>'RESUMEN TOTAL'!Y277</f>
        <v>APAGADO</v>
      </c>
      <c r="S274" t="str">
        <f>'RESUMEN TOTAL'!Z277</f>
        <v>APAGADO</v>
      </c>
      <c r="T274" t="str">
        <f>'RESUMEN TOTAL'!AA277</f>
        <v>APAGADO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 t="str">
        <f>'RESUMEN TOTAL'!W279</f>
        <v>APAGADO</v>
      </c>
      <c r="Q276" t="str">
        <f>'RESUMEN TOTAL'!X279</f>
        <v>APAGADO</v>
      </c>
      <c r="R276" t="str">
        <f>'RESUMEN TOTAL'!Y279</f>
        <v>APAGADO</v>
      </c>
      <c r="S276" t="str">
        <f>'RESUMEN TOTAL'!Z279</f>
        <v>APAGADO</v>
      </c>
      <c r="T276" t="str">
        <f>'RESUMEN TOTAL'!AA279</f>
        <v>APAGADO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 t="str">
        <f>'RESUMEN TOTAL'!W280</f>
        <v>APAGADO</v>
      </c>
      <c r="Q277" t="str">
        <f>'RESUMEN TOTAL'!X280</f>
        <v>APAGADO</v>
      </c>
      <c r="R277" t="str">
        <f>'RESUMEN TOTAL'!Y280</f>
        <v>APAGADO</v>
      </c>
      <c r="S277" t="str">
        <f>'RESUMEN TOTAL'!Z280</f>
        <v>APAGADO</v>
      </c>
      <c r="T277" t="str">
        <f>'RESUMEN TOTAL'!AA280</f>
        <v>APAGADO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 t="str">
        <f>'RESUMEN TOTAL'!W287</f>
        <v>APAGADO</v>
      </c>
      <c r="Q284" t="str">
        <f>'RESUMEN TOTAL'!X287</f>
        <v>APAGADO</v>
      </c>
      <c r="R284" t="str">
        <f>'RESUMEN TOTAL'!Y287</f>
        <v>APAGADO</v>
      </c>
      <c r="S284" t="str">
        <f>'RESUMEN TOTAL'!Z287</f>
        <v>APAGADO</v>
      </c>
      <c r="T284" t="str">
        <f>'RESUMEN TOTAL'!AA287</f>
        <v>APAGADO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 t="str">
        <f>'RESUMEN TOTAL'!W288</f>
        <v>APAGADO</v>
      </c>
      <c r="Q285" t="str">
        <f>'RESUMEN TOTAL'!X288</f>
        <v>APAGADO</v>
      </c>
      <c r="R285" t="str">
        <f>'RESUMEN TOTAL'!Y288</f>
        <v>APAGADO</v>
      </c>
      <c r="S285" t="str">
        <f>'RESUMEN TOTAL'!Z288</f>
        <v>APAGADO</v>
      </c>
      <c r="T285" t="str">
        <f>'RESUMEN TOTAL'!AA288</f>
        <v>APAGADO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 t="str">
        <f>'RESUMEN TOTAL'!W289</f>
        <v>APAGADO</v>
      </c>
      <c r="Q286" t="str">
        <f>'RESUMEN TOTAL'!X289</f>
        <v>APAGADO</v>
      </c>
      <c r="R286" t="str">
        <f>'RESUMEN TOTAL'!Y289</f>
        <v>APAGADO</v>
      </c>
      <c r="S286" t="str">
        <f>'RESUMEN TOTAL'!Z289</f>
        <v>APAGADO</v>
      </c>
      <c r="T286" t="str">
        <f>'RESUMEN TOTAL'!AA289</f>
        <v>APAGADO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 t="str">
        <f>'RESUMEN TOTAL'!W290</f>
        <v>APAGADO</v>
      </c>
      <c r="Q287" t="str">
        <f>'RESUMEN TOTAL'!X290</f>
        <v>APAGADO</v>
      </c>
      <c r="R287" t="str">
        <f>'RESUMEN TOTAL'!Y290</f>
        <v>APAGADO</v>
      </c>
      <c r="S287" t="str">
        <f>'RESUMEN TOTAL'!Z290</f>
        <v>APAGADO</v>
      </c>
      <c r="T287" t="str">
        <f>'RESUMEN TOTAL'!AA290</f>
        <v>APAGADO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 t="str">
        <f>'RESUMEN TOTAL'!W291</f>
        <v>APAGADO</v>
      </c>
      <c r="Q288" t="str">
        <f>'RESUMEN TOTAL'!X291</f>
        <v>APAGADO</v>
      </c>
      <c r="R288" t="str">
        <f>'RESUMEN TOTAL'!Y291</f>
        <v>APAGADO</v>
      </c>
      <c r="S288" t="str">
        <f>'RESUMEN TOTAL'!Z291</f>
        <v>APAGADO</v>
      </c>
      <c r="T288" t="str">
        <f>'RESUMEN TOTAL'!AA291</f>
        <v>APAGADO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 t="str">
        <f>'RESUMEN TOTAL'!W292</f>
        <v>APAGADO</v>
      </c>
      <c r="Q289" t="str">
        <f>'RESUMEN TOTAL'!X292</f>
        <v>APAGADO</v>
      </c>
      <c r="R289" t="str">
        <f>'RESUMEN TOTAL'!Y292</f>
        <v>APAGADO</v>
      </c>
      <c r="S289" t="str">
        <f>'RESUMEN TOTAL'!Z292</f>
        <v>APAGADO</v>
      </c>
      <c r="T289" t="str">
        <f>'RESUMEN TOTAL'!AA292</f>
        <v>APAGADO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 t="str">
        <f>'RESUMEN TOTAL'!W293</f>
        <v>APAGADO</v>
      </c>
      <c r="Q290" t="str">
        <f>'RESUMEN TOTAL'!X293</f>
        <v>APAGADO</v>
      </c>
      <c r="R290" t="str">
        <f>'RESUMEN TOTAL'!Y293</f>
        <v>APAGADO</v>
      </c>
      <c r="S290" t="str">
        <f>'RESUMEN TOTAL'!Z293</f>
        <v>APAGADO</v>
      </c>
      <c r="T290" t="str">
        <f>'RESUMEN TOTAL'!AA293</f>
        <v>APAGADO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 t="str">
        <f>'RESUMEN TOTAL'!AA295</f>
        <v>APAGADO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 t="str">
        <f>'RESUMEN TOTAL'!W302</f>
        <v>APAGADO</v>
      </c>
      <c r="Q299" t="str">
        <f>'RESUMEN TOTAL'!X302</f>
        <v>APAGADO</v>
      </c>
      <c r="R299" t="str">
        <f>'RESUMEN TOTAL'!Y302</f>
        <v>APAGADO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 t="str">
        <f>'RESUMEN TOTAL'!W303</f>
        <v>APAGADO</v>
      </c>
      <c r="Q300" t="str">
        <f>'RESUMEN TOTAL'!X303</f>
        <v>APAGADO</v>
      </c>
      <c r="R300" t="str">
        <f>'RESUMEN TOTAL'!Y303</f>
        <v>APAGADO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 t="str">
        <f>'RESUMEN TOTAL'!W304</f>
        <v>APAGADO</v>
      </c>
      <c r="Q301" t="str">
        <f>'RESUMEN TOTAL'!X304</f>
        <v>APAGADO</v>
      </c>
      <c r="R301" t="str">
        <f>'RESUMEN TOTAL'!Y304</f>
        <v>APAGADO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 t="str">
        <f>'RESUMEN TOTAL'!W305</f>
        <v>APAGADO</v>
      </c>
      <c r="Q302" t="str">
        <f>'RESUMEN TOTAL'!X305</f>
        <v>APAGADO</v>
      </c>
      <c r="R302" t="str">
        <f>'RESUMEN TOTAL'!Y305</f>
        <v>APAGADO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 t="str">
        <f>'RESUMEN TOTAL'!W319</f>
        <v>APAGADO</v>
      </c>
      <c r="Q316" t="str">
        <f>'RESUMEN TOTAL'!X319</f>
        <v>APAGADO</v>
      </c>
      <c r="R316" t="str">
        <f>'RESUMEN TOTAL'!Y319</f>
        <v>APAGADO</v>
      </c>
      <c r="S316" t="str">
        <f>'RESUMEN TOTAL'!Z319</f>
        <v>APAGADO</v>
      </c>
      <c r="T316" t="str">
        <f>'RESUMEN TOTAL'!AA319</f>
        <v>APAGADO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 t="str">
        <f>'RESUMEN TOTAL'!W320</f>
        <v>APAGADO</v>
      </c>
      <c r="Q317" t="str">
        <f>'RESUMEN TOTAL'!X320</f>
        <v>APAGADO</v>
      </c>
      <c r="R317" t="str">
        <f>'RESUMEN TOTAL'!Y320</f>
        <v>APAGADO</v>
      </c>
      <c r="S317" t="str">
        <f>'RESUMEN TOTAL'!Z320</f>
        <v>APAGADO</v>
      </c>
      <c r="T317" t="str">
        <f>'RESUMEN TOTAL'!AA320</f>
        <v>APAGADO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 t="str">
        <f>'RESUMEN TOTAL'!Z331</f>
        <v>APAGADO</v>
      </c>
      <c r="T328" t="str">
        <f>'RESUMEN TOTAL'!AA331</f>
        <v>APAGADO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 t="str">
        <f>'RESUMEN TOTAL'!W338</f>
        <v>APAGADO</v>
      </c>
      <c r="Q335" t="str">
        <f>'RESUMEN TOTAL'!X338</f>
        <v>APAGADO</v>
      </c>
      <c r="R335" t="str">
        <f>'RESUMEN TOTAL'!Y338</f>
        <v>APAGADO</v>
      </c>
      <c r="S335" t="str">
        <f>'RESUMEN TOTAL'!Z338</f>
        <v>APAGADO</v>
      </c>
      <c r="T335" t="str">
        <f>'RESUMEN TOTAL'!AA338</f>
        <v>APAGADO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 t="str">
        <f>'RESUMEN TOTAL'!W341</f>
        <v>APAGADO</v>
      </c>
      <c r="Q338" t="str">
        <f>'RESUMEN TOTAL'!X341</f>
        <v>APAGADO</v>
      </c>
      <c r="R338" t="str">
        <f>'RESUMEN TOTAL'!Y341</f>
        <v>APAGADO</v>
      </c>
      <c r="S338" t="str">
        <f>'RESUMEN TOTAL'!Z341</f>
        <v>APAGADO</v>
      </c>
      <c r="T338" t="str">
        <f>'RESUMEN TOTAL'!AA341</f>
        <v>APAGADO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 t="str">
        <f>'RESUMEN TOTAL'!W345</f>
        <v>APAGADO</v>
      </c>
      <c r="Q342" t="str">
        <f>'RESUMEN TOTAL'!X345</f>
        <v>APAGADO</v>
      </c>
      <c r="R342" t="str">
        <f>'RESUMEN TOTAL'!Y345</f>
        <v>APAGADO</v>
      </c>
      <c r="S342" t="str">
        <f>'RESUMEN TOTAL'!Z345</f>
        <v>APAGADO</v>
      </c>
      <c r="T342" t="str">
        <f>'RESUMEN TOTAL'!AA345</f>
        <v>APAGADO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 t="str">
        <f>'RESUMEN TOTAL'!W346</f>
        <v>APAGADO</v>
      </c>
      <c r="Q343" t="str">
        <f>'RESUMEN TOTAL'!X346</f>
        <v>APAGADO</v>
      </c>
      <c r="R343" t="str">
        <f>'RESUMEN TOTAL'!Y346</f>
        <v>APAGADO</v>
      </c>
      <c r="S343" t="str">
        <f>'RESUMEN TOTAL'!Z346</f>
        <v>APAGADO</v>
      </c>
      <c r="T343" t="str">
        <f>'RESUMEN TOTAL'!AA346</f>
        <v>APAGADO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 t="str">
        <f>'RESUMEN TOTAL'!W347</f>
        <v>APAGADO</v>
      </c>
      <c r="Q344" t="str">
        <f>'RESUMEN TOTAL'!X347</f>
        <v>APAGADO</v>
      </c>
      <c r="R344" t="str">
        <f>'RESUMEN TOTAL'!Y347</f>
        <v>APAGADO</v>
      </c>
      <c r="S344" t="str">
        <f>'RESUMEN TOTAL'!Z347</f>
        <v>APAGADO</v>
      </c>
      <c r="T344" t="str">
        <f>'RESUMEN TOTAL'!AA347</f>
        <v>APAGADO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 t="str">
        <f>'RESUMEN TOTAL'!W349</f>
        <v>APAGADO</v>
      </c>
      <c r="Q346" t="str">
        <f>'RESUMEN TOTAL'!X349</f>
        <v>APAGADO</v>
      </c>
      <c r="R346" t="str">
        <f>'RESUMEN TOTAL'!Y349</f>
        <v>APAGADO</v>
      </c>
      <c r="S346" t="str">
        <f>'RESUMEN TOTAL'!Z349</f>
        <v>APAGADO</v>
      </c>
      <c r="T346" t="str">
        <f>'RESUMEN TOTAL'!AA349</f>
        <v>APAGADO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 t="str">
        <f>'RESUMEN TOTAL'!Z353</f>
        <v>APAGADO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 t="str">
        <f>'RESUMEN TOTAL'!W359</f>
        <v>APAGADO</v>
      </c>
      <c r="Q356" t="str">
        <f>'RESUMEN TOTAL'!X359</f>
        <v>APAGADO</v>
      </c>
      <c r="R356" t="str">
        <f>'RESUMEN TOTAL'!Y359</f>
        <v>APAGADO</v>
      </c>
      <c r="S356" t="str">
        <f>'RESUMEN TOTAL'!Z359</f>
        <v>APAGADO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 t="str">
        <f>'RESUMEN TOTAL'!W360</f>
        <v>APAGADO</v>
      </c>
      <c r="Q357" t="str">
        <f>'RESUMEN TOTAL'!X360</f>
        <v>APAGADO</v>
      </c>
      <c r="R357" t="str">
        <f>'RESUMEN TOTAL'!Y360</f>
        <v>APAGADO</v>
      </c>
      <c r="S357" t="str">
        <f>'RESUMEN TOTAL'!Z360</f>
        <v>APAGADO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 t="str">
        <f>'RESUMEN TOTAL'!W367</f>
        <v>APAGADO</v>
      </c>
      <c r="Q364" t="str">
        <f>'RESUMEN TOTAL'!X367</f>
        <v>APAGADO</v>
      </c>
      <c r="R364" t="str">
        <f>'RESUMEN TOTAL'!Y367</f>
        <v>APAGADO</v>
      </c>
      <c r="S364" t="str">
        <f>'RESUMEN TOTAL'!Z367</f>
        <v>APAGADO</v>
      </c>
      <c r="T364" t="str">
        <f>'RESUMEN TOTAL'!AA367</f>
        <v>APAGADO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M351" activePane="bottomRight" state="frozen"/>
      <selection pane="topRight" activeCell="F1" sqref="F1"/>
      <selection pane="bottomLeft" activeCell="A3" sqref="A3"/>
      <selection pane="bottomRight" activeCell="L374" sqref="L374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79</v>
      </c>
      <c r="Q1" s="39">
        <f t="shared" si="0"/>
        <v>79</v>
      </c>
      <c r="R1" s="39">
        <f t="shared" si="0"/>
        <v>79</v>
      </c>
      <c r="S1" s="39">
        <f t="shared" si="0"/>
        <v>79</v>
      </c>
      <c r="T1" s="39">
        <f t="shared" si="0"/>
        <v>73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conditionalFormatting sqref="F3:AG366">
    <cfRule type="cellIs" dxfId="8" priority="2" operator="equal">
      <formula>"apagado"</formula>
    </cfRule>
    <cfRule type="cellIs" dxfId="7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N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50</v>
      </c>
      <c r="Q1" s="39">
        <f>COUNTIFS(Q3:Q366, "=APAGADO",E3:E366,"=Fibra Optica")</f>
        <v>50</v>
      </c>
      <c r="R1" s="39">
        <f>COUNTIFS(R3:R366, "=APAGADO",E3:E366,"=Fibra Optica")</f>
        <v>50</v>
      </c>
      <c r="S1" s="39">
        <f>COUNTIFS(S3:S366, "=APAGADO",E3:E366,"=Fibra Optica")</f>
        <v>56</v>
      </c>
      <c r="T1" s="39">
        <f>COUNTIFS(T3:T366, "=APAGADO",E3:E366,"=Fibra Optica")</f>
        <v>53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6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L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3" ht="21" x14ac:dyDescent="0.4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29</v>
      </c>
      <c r="Q1" s="39">
        <f>COUNTIFS(Q3:Q366, "=APAGADO",E3:E366,"=radio")</f>
        <v>29</v>
      </c>
      <c r="R1" s="39">
        <f>COUNTIFS(R3:R366, "=APAGADO",E3:E366,"=radio")</f>
        <v>29</v>
      </c>
      <c r="S1" s="39">
        <f>COUNTIFS(S3:S366, "=APAGADO",E3:E366,"=radio")</f>
        <v>22</v>
      </c>
      <c r="T1" s="39">
        <f>COUNTIFS(T3:T366, "=APAGADO",E3:E366,"=radio")</f>
        <v>20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5" priority="2" operator="containsText" text="APAGADO">
      <formula>NOT(ISERROR(SEARCH("APAGADO",AE2)))</formula>
    </cfRule>
  </conditionalFormatting>
  <conditionalFormatting sqref="F3:AG369">
    <cfRule type="containsText" dxfId="4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4.4" x14ac:dyDescent="0.3"/>
  <cols>
    <col min="4" max="4" width="15.6640625" bestFit="1" customWidth="1"/>
  </cols>
  <sheetData>
    <row r="1" spans="1:5" x14ac:dyDescent="0.3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3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3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3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3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3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3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3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3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3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3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3">
      <c r="A12" s="38">
        <f>'APAGADOS RADIO'!P2</f>
        <v>44603</v>
      </c>
      <c r="B12">
        <f>'APAGADOS RADIO'!P1</f>
        <v>29</v>
      </c>
      <c r="C12">
        <f>'APAGADOS FIBRA'!P1</f>
        <v>50</v>
      </c>
      <c r="D12">
        <f t="shared" si="0"/>
        <v>79</v>
      </c>
      <c r="E12">
        <f>'RESUMEN TOTAL'!B1</f>
        <v>364</v>
      </c>
    </row>
    <row r="13" spans="1:5" x14ac:dyDescent="0.3">
      <c r="A13" s="38">
        <f>'APAGADOS RADIO'!Q2</f>
        <v>44604</v>
      </c>
      <c r="B13">
        <f>'APAGADOS RADIO'!Q1</f>
        <v>29</v>
      </c>
      <c r="C13">
        <f>'APAGADOS FIBRA'!Q1</f>
        <v>50</v>
      </c>
      <c r="D13">
        <f t="shared" si="0"/>
        <v>79</v>
      </c>
      <c r="E13">
        <f>'RESUMEN TOTAL'!B1</f>
        <v>364</v>
      </c>
    </row>
    <row r="14" spans="1:5" x14ac:dyDescent="0.3">
      <c r="A14" s="38">
        <f>'APAGADOS RADIO'!R2</f>
        <v>44605</v>
      </c>
      <c r="B14">
        <f>'APAGADOS RADIO'!R1</f>
        <v>29</v>
      </c>
      <c r="C14">
        <f>'APAGADOS FIBRA'!R1</f>
        <v>50</v>
      </c>
      <c r="D14">
        <f t="shared" si="0"/>
        <v>79</v>
      </c>
      <c r="E14">
        <f>'RESUMEN TOTAL'!B1</f>
        <v>364</v>
      </c>
    </row>
    <row r="15" spans="1:5" x14ac:dyDescent="0.3">
      <c r="A15" s="38">
        <f>'APAGADOS RADIO'!S2</f>
        <v>44606</v>
      </c>
      <c r="B15">
        <f>'APAGADOS RADIO'!S1</f>
        <v>22</v>
      </c>
      <c r="C15">
        <f>'APAGADOS FIBRA'!S1</f>
        <v>56</v>
      </c>
      <c r="D15">
        <f t="shared" si="0"/>
        <v>78</v>
      </c>
      <c r="E15">
        <f>'RESUMEN TOTAL'!B1</f>
        <v>364</v>
      </c>
    </row>
    <row r="16" spans="1:5" x14ac:dyDescent="0.3">
      <c r="A16" s="38">
        <f>'APAGADOS RADIO'!T2</f>
        <v>44607</v>
      </c>
      <c r="B16">
        <f>'APAGADOS RADIO'!T1</f>
        <v>20</v>
      </c>
      <c r="C16">
        <f>'APAGADOS FIBRA'!T1</f>
        <v>53</v>
      </c>
      <c r="D16">
        <f t="shared" si="0"/>
        <v>73</v>
      </c>
      <c r="E16">
        <f>'RESUMEN TOTAL'!B1</f>
        <v>364</v>
      </c>
    </row>
    <row r="17" spans="1:5" x14ac:dyDescent="0.3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3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3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3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3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3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3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3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3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3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3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3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3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3">
      <c r="A30" s="38"/>
    </row>
    <row r="34" spans="1:29" x14ac:dyDescent="0.3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3"/>
    <row r="36" spans="1:29" s="43" customFormat="1" x14ac:dyDescent="0.3"/>
    <row r="37" spans="1:29" s="3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2022-02-15T15:00:14Z</dcterms:modified>
</cp:coreProperties>
</file>