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DAEAE612-71A1-42E8-9A5F-DE554FA68462}" xr6:coauthVersionLast="47" xr6:coauthVersionMax="47" xr10:uidLastSave="{00000000-0000-0000-0000-000000000000}"/>
  <bookViews>
    <workbookView xWindow="28680" yWindow="-120" windowWidth="29040" windowHeight="16440" firstSheet="3" activeTab="11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G5" i="14"/>
  <c r="G6" i="14"/>
  <c r="G7" i="14"/>
  <c r="G8" i="14"/>
  <c r="G9" i="14"/>
  <c r="G10" i="14"/>
  <c r="G11" i="14"/>
  <c r="G12" i="14"/>
  <c r="G13" i="14"/>
  <c r="G2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N377" i="2" l="1"/>
  <c r="M377" i="2"/>
  <c r="L377" i="2"/>
  <c r="D13" i="14"/>
  <c r="B13" i="14" s="1"/>
  <c r="E13" i="14" s="1"/>
  <c r="C13" i="14"/>
  <c r="D11" i="14"/>
  <c r="B11" i="14" s="1"/>
  <c r="D10" i="14"/>
  <c r="B10" i="14" s="1"/>
  <c r="C11" i="14"/>
  <c r="C12" i="14"/>
  <c r="C10" i="14"/>
  <c r="D9" i="14"/>
  <c r="D12" i="14"/>
  <c r="C9" i="14"/>
  <c r="D8" i="14"/>
  <c r="B8" i="14" s="1"/>
  <c r="C8" i="14"/>
  <c r="B12" i="14"/>
  <c r="B9" i="14"/>
  <c r="D7" i="14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N343" i="2" s="1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1" i="2"/>
  <c r="N264" i="2"/>
  <c r="N265" i="2"/>
  <c r="N266" i="2"/>
  <c r="N267" i="2"/>
  <c r="N269" i="2"/>
  <c r="N273" i="2"/>
  <c r="N274" i="2"/>
  <c r="N275" i="2"/>
  <c r="N277" i="2"/>
  <c r="N280" i="2"/>
  <c r="N288" i="2"/>
  <c r="N289" i="2"/>
  <c r="N290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2" i="2"/>
  <c r="N323" i="2"/>
  <c r="N325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N352" i="2" s="1"/>
  <c r="L353" i="2"/>
  <c r="L354" i="2"/>
  <c r="L355" i="2"/>
  <c r="N355" i="2" s="1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E11" i="14" l="1"/>
  <c r="E9" i="14"/>
  <c r="E10" i="14"/>
  <c r="E12" i="14"/>
  <c r="E8" i="14"/>
  <c r="N324" i="2"/>
  <c r="N262" i="2"/>
  <c r="N279" i="2"/>
  <c r="N296" i="2"/>
  <c r="N282" i="2"/>
  <c r="N281" i="2"/>
  <c r="N284" i="2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<sst xmlns="http://schemas.openxmlformats.org/spreadsheetml/2006/main" count="3030" uniqueCount="1351">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</sst>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20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90" zoomScaleNormal="90" workbookViewId="0">
      <pane xSplit="14" ySplit="4" topLeftCell="Z359" activePane="bottomRight" state="frozen"/>
      <selection pane="topRight" activeCell="M1" sqref="M1"/>
      <selection pane="bottomLeft" activeCell="A5" sqref="A5"/>
      <selection pane="bottomRight" activeCell="N359" sqref="N359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4" width="8.6640625" style="22" customWidth="1"/>
  </cols>
  <sheetData>
    <row r="1" spans="1:44" s="5" customFormat="1" ht="27.75" customHeight="1" thickTop="1" x14ac:dyDescent="0.3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0" thickTop="1" thickBot="1" x14ac:dyDescent="0.4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19</v>
      </c>
      <c r="M7" s="17">
        <f t="shared" si="6"/>
        <v>9</v>
      </c>
      <c r="N7" s="18">
        <f t="shared" si="7"/>
        <v>0.6785714285714286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23</v>
      </c>
      <c r="M21" s="17">
        <f t="shared" si="6"/>
        <v>5</v>
      </c>
      <c r="N21" s="18">
        <f t="shared" si="7"/>
        <v>0.8214285714285714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25</v>
      </c>
      <c r="M22" s="17">
        <f t="shared" si="6"/>
        <v>3</v>
      </c>
      <c r="N22" s="18">
        <f t="shared" si="7"/>
        <v>0.8928571428571429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26</v>
      </c>
      <c r="M24" s="17">
        <f t="shared" si="6"/>
        <v>2</v>
      </c>
      <c r="N24" s="18">
        <f t="shared" si="7"/>
        <v>0.9285714285714286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18</v>
      </c>
      <c r="M62" s="17">
        <f t="shared" si="6"/>
        <v>10</v>
      </c>
      <c r="N62" s="18">
        <f t="shared" si="7"/>
        <v>0.6428571428571429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18</v>
      </c>
      <c r="M63" s="17">
        <f t="shared" si="6"/>
        <v>10</v>
      </c>
      <c r="N63" s="18">
        <f t="shared" si="7"/>
        <v>0.6428571428571429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18</v>
      </c>
      <c r="M65" s="17">
        <f t="shared" si="6"/>
        <v>10</v>
      </c>
      <c r="N65" s="18">
        <f t="shared" si="7"/>
        <v>0.6428571428571429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18</v>
      </c>
      <c r="M68" s="17">
        <f t="shared" si="6"/>
        <v>10</v>
      </c>
      <c r="N68" s="18">
        <f t="shared" si="7"/>
        <v>0.6428571428571429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18</v>
      </c>
      <c r="M80" s="17">
        <f t="shared" si="9"/>
        <v>10</v>
      </c>
      <c r="N80" s="18">
        <f t="shared" si="10"/>
        <v>0.6428571428571429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27</v>
      </c>
      <c r="M102" s="17">
        <f t="shared" si="9"/>
        <v>1</v>
      </c>
      <c r="N102" s="18">
        <f t="shared" si="10"/>
        <v>0.9642857142857143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24</v>
      </c>
      <c r="M115" s="17">
        <f t="shared" si="9"/>
        <v>4</v>
      </c>
      <c r="N115" s="18">
        <f t="shared" si="10"/>
        <v>0.8571428571428571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27</v>
      </c>
      <c r="M116" s="17">
        <f t="shared" si="9"/>
        <v>1</v>
      </c>
      <c r="N116" s="18">
        <f t="shared" si="10"/>
        <v>0.9642857142857143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18</v>
      </c>
      <c r="M133" s="17">
        <f t="shared" ref="M133:M196" si="12">COUNTIF(O133:AP133,"APAGADO")</f>
        <v>10</v>
      </c>
      <c r="N133" s="18">
        <f t="shared" ref="N133:N196" si="13">(L133)/(M133+L133)</f>
        <v>0.6428571428571429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25</v>
      </c>
      <c r="M156" s="17">
        <f t="shared" si="12"/>
        <v>3</v>
      </c>
      <c r="N156" s="18">
        <f t="shared" si="13"/>
        <v>0.8928571428571429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26</v>
      </c>
      <c r="M157" s="17">
        <f t="shared" si="12"/>
        <v>2</v>
      </c>
      <c r="N157" s="18">
        <f t="shared" si="13"/>
        <v>0.9285714285714286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25</v>
      </c>
      <c r="M171" s="17">
        <f t="shared" si="12"/>
        <v>3</v>
      </c>
      <c r="N171" s="18">
        <f t="shared" si="13"/>
        <v>0.8928571428571429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27</v>
      </c>
      <c r="M173" s="17">
        <f t="shared" si="12"/>
        <v>1</v>
      </c>
      <c r="N173" s="18">
        <f t="shared" si="13"/>
        <v>0.9642857142857143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23</v>
      </c>
      <c r="M174" s="17">
        <f t="shared" si="12"/>
        <v>5</v>
      </c>
      <c r="N174" s="18">
        <f t="shared" si="13"/>
        <v>0.8214285714285714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25</v>
      </c>
      <c r="M177" s="17">
        <f t="shared" si="12"/>
        <v>3</v>
      </c>
      <c r="N177" s="18">
        <f t="shared" si="13"/>
        <v>0.8928571428571429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18</v>
      </c>
      <c r="M191" s="17">
        <f t="shared" si="12"/>
        <v>10</v>
      </c>
      <c r="N191" s="18">
        <f t="shared" si="13"/>
        <v>0.6428571428571429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18</v>
      </c>
      <c r="M192" s="17">
        <f t="shared" si="12"/>
        <v>10</v>
      </c>
      <c r="N192" s="18">
        <f t="shared" si="13"/>
        <v>0.6428571428571429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21</v>
      </c>
      <c r="M194" s="17">
        <f t="shared" si="12"/>
        <v>7</v>
      </c>
      <c r="N194" s="18">
        <f t="shared" si="13"/>
        <v>0.75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18</v>
      </c>
      <c r="M206" s="17">
        <f t="shared" si="15"/>
        <v>10</v>
      </c>
      <c r="N206" s="18">
        <f t="shared" si="16"/>
        <v>0.6428571428571429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18</v>
      </c>
      <c r="M207" s="17">
        <f t="shared" si="15"/>
        <v>10</v>
      </c>
      <c r="N207" s="18">
        <f t="shared" si="16"/>
        <v>0.6428571428571429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27</v>
      </c>
      <c r="M241" s="17">
        <f t="shared" si="15"/>
        <v>1</v>
      </c>
      <c r="N241" s="18">
        <f t="shared" si="16"/>
        <v>0.9642857142857143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27</v>
      </c>
      <c r="M244" s="17">
        <f t="shared" si="15"/>
        <v>1</v>
      </c>
      <c r="N244" s="18">
        <f t="shared" si="16"/>
        <v>0.9642857142857143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27</v>
      </c>
      <c r="M246" s="17">
        <f t="shared" si="15"/>
        <v>1</v>
      </c>
      <c r="N246" s="18">
        <f t="shared" si="16"/>
        <v>0.9642857142857143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20</v>
      </c>
      <c r="M283" s="17">
        <f t="shared" si="18"/>
        <v>8</v>
      </c>
      <c r="N283" s="18">
        <f t="shared" si="19"/>
        <v>0.7142857142857143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23</v>
      </c>
      <c r="M296" s="17">
        <f t="shared" si="18"/>
        <v>5</v>
      </c>
      <c r="N296" s="18">
        <f t="shared" si="19"/>
        <v>0.8214285714285714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18</v>
      </c>
      <c r="M303" s="17">
        <f t="shared" si="18"/>
        <v>10</v>
      </c>
      <c r="N303" s="18">
        <f t="shared" si="19"/>
        <v>0.6428571428571429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27</v>
      </c>
      <c r="M327" s="17">
        <f t="shared" ref="M327:M372" si="21">COUNTIF(O327:AP327,"APAGADO")</f>
        <v>1</v>
      </c>
      <c r="N327" s="18">
        <f t="shared" ref="N327:N372" si="22">(L327)/(M327+L327)</f>
        <v>0.9642857142857143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18</v>
      </c>
      <c r="M352" s="17">
        <f t="shared" si="21"/>
        <v>10</v>
      </c>
      <c r="N352" s="18">
        <f t="shared" si="22"/>
        <v>0.6428571428571429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26</v>
      </c>
      <c r="M355" s="17">
        <f t="shared" si="21"/>
        <v>2</v>
      </c>
      <c r="N355" s="18">
        <f t="shared" si="22"/>
        <v>0.9285714285714286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" thickBot="1" x14ac:dyDescent="0.35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" thickBot="1" x14ac:dyDescent="0.35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" thickBot="1" x14ac:dyDescent="0.35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" thickBot="1" x14ac:dyDescent="0.35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" thickBot="1" x14ac:dyDescent="0.35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28</v>
      </c>
      <c r="M377" s="73">
        <f t="shared" si="24"/>
        <v>0</v>
      </c>
      <c r="N377" s="74">
        <f t="shared" si="25"/>
        <v>1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</row>
    <row r="378" spans="1:44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7">
    <cfRule type="cellIs" dxfId="519" priority="1893" operator="lessThan">
      <formula>0.8</formula>
    </cfRule>
    <cfRule type="cellIs" dxfId="518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7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6" priority="1888" operator="notContains" text="Caida">
      <formula>ISERROR(SEARCH("Caida",O95))</formula>
    </cfRule>
    <cfRule type="containsText" dxfId="515" priority="1889" operator="containsText" text="Caida">
      <formula>NOT(ISERROR(SEARCH("Caida",O95)))</formula>
    </cfRule>
  </conditionalFormatting>
  <conditionalFormatting sqref="E282:K282">
    <cfRule type="containsText" dxfId="514" priority="1861" operator="containsText" text="Radio">
      <formula>NOT(ISERROR(SEARCH("Radio",E282)))</formula>
    </cfRule>
  </conditionalFormatting>
  <conditionalFormatting sqref="E283:K283">
    <cfRule type="containsText" dxfId="513" priority="1836" operator="containsText" text="Radio">
      <formula>NOT(ISERROR(SEARCH("Radio",E283)))</formula>
    </cfRule>
  </conditionalFormatting>
  <conditionalFormatting sqref="E4:K4">
    <cfRule type="containsText" dxfId="512" priority="1811" operator="containsText" text="Radio">
      <formula>NOT(ISERROR(SEARCH("Radio",E4)))</formula>
    </cfRule>
  </conditionalFormatting>
  <conditionalFormatting sqref="E231:K231">
    <cfRule type="containsText" dxfId="511" priority="1810" operator="containsText" text="Radio">
      <formula>NOT(ISERROR(SEARCH("Radio",E231)))</formula>
    </cfRule>
  </conditionalFormatting>
  <conditionalFormatting sqref="E232:K232">
    <cfRule type="containsText" dxfId="510" priority="1785" operator="containsText" text="Radio">
      <formula>NOT(ISERROR(SEARCH("Radio",E232)))</formula>
    </cfRule>
  </conditionalFormatting>
  <conditionalFormatting sqref="E233:K233">
    <cfRule type="containsText" dxfId="509" priority="1760" operator="containsText" text="Radio">
      <formula>NOT(ISERROR(SEARCH("Radio",E233)))</formula>
    </cfRule>
  </conditionalFormatting>
  <conditionalFormatting sqref="E234:K234">
    <cfRule type="containsText" dxfId="508" priority="1735" operator="containsText" text="Radio">
      <formula>NOT(ISERROR(SEARCH("Radio",E234)))</formula>
    </cfRule>
  </conditionalFormatting>
  <conditionalFormatting sqref="E235:K235">
    <cfRule type="containsText" dxfId="507" priority="1710" operator="containsText" text="Radio">
      <formula>NOT(ISERROR(SEARCH("Radio",E235)))</formula>
    </cfRule>
  </conditionalFormatting>
  <conditionalFormatting sqref="E335:K335">
    <cfRule type="containsText" dxfId="506" priority="1661" operator="containsText" text="Radio">
      <formula>NOT(ISERROR(SEARCH("Radio",E335)))</formula>
    </cfRule>
  </conditionalFormatting>
  <conditionalFormatting sqref="E336:K336">
    <cfRule type="containsText" dxfId="505" priority="1636" operator="containsText" text="Radio">
      <formula>NOT(ISERROR(SEARCH("Radio",E336)))</formula>
    </cfRule>
  </conditionalFormatting>
  <conditionalFormatting sqref="E237:K237">
    <cfRule type="containsText" dxfId="504" priority="1611" operator="containsText" text="Radio">
      <formula>NOT(ISERROR(SEARCH("Radio",E237)))</formula>
    </cfRule>
  </conditionalFormatting>
  <conditionalFormatting sqref="E238:K238">
    <cfRule type="containsText" dxfId="503" priority="1586" operator="containsText" text="Radio">
      <formula>NOT(ISERROR(SEARCH("Radio",E238)))</formula>
    </cfRule>
  </conditionalFormatting>
  <conditionalFormatting sqref="E33:K35">
    <cfRule type="containsText" dxfId="502" priority="1561" operator="containsText" text="Radio">
      <formula>NOT(ISERROR(SEARCH("Radio",E33)))</formula>
    </cfRule>
  </conditionalFormatting>
  <conditionalFormatting sqref="E239:K239">
    <cfRule type="containsText" dxfId="501" priority="1536" operator="containsText" text="Radio">
      <formula>NOT(ISERROR(SEARCH("Radio",E239)))</formula>
    </cfRule>
  </conditionalFormatting>
  <conditionalFormatting sqref="E240:K240">
    <cfRule type="containsText" dxfId="500" priority="1511" operator="containsText" text="Radio">
      <formula>NOT(ISERROR(SEARCH("Radio",E240)))</formula>
    </cfRule>
  </conditionalFormatting>
  <conditionalFormatting sqref="E241:K241">
    <cfRule type="containsText" dxfId="499" priority="1486" operator="containsText" text="Radio">
      <formula>NOT(ISERROR(SEARCH("Radio",E241)))</formula>
    </cfRule>
  </conditionalFormatting>
  <conditionalFormatting sqref="E242:K242">
    <cfRule type="containsText" dxfId="498" priority="1461" operator="containsText" text="Radio">
      <formula>NOT(ISERROR(SEARCH("Radio",E242)))</formula>
    </cfRule>
  </conditionalFormatting>
  <conditionalFormatting sqref="P6:P92 P96:P230">
    <cfRule type="cellIs" dxfId="497" priority="1386" operator="lessThan">
      <formula>0.8</formula>
    </cfRule>
    <cfRule type="cellIs" dxfId="496" priority="1387" operator="greaterThan">
      <formula>0.8</formula>
    </cfRule>
  </conditionalFormatting>
  <conditionalFormatting sqref="P6:P92 P96:P230">
    <cfRule type="notContainsText" dxfId="495" priority="1384" operator="notContains" text="Caida">
      <formula>ISERROR(SEARCH("Caida",P6))</formula>
    </cfRule>
    <cfRule type="containsText" dxfId="494" priority="1385" operator="containsText" text="Caida">
      <formula>NOT(ISERROR(SEARCH("Caida",P6)))</formula>
    </cfRule>
  </conditionalFormatting>
  <conditionalFormatting sqref="P337:P366 P284:P334">
    <cfRule type="cellIs" dxfId="493" priority="1382" operator="lessThan">
      <formula>0.8</formula>
    </cfRule>
    <cfRule type="cellIs" dxfId="492" priority="1383" operator="greaterThan">
      <formula>0.8</formula>
    </cfRule>
  </conditionalFormatting>
  <conditionalFormatting sqref="P337:P366 P284:P334 P391:P1048576">
    <cfRule type="notContainsText" dxfId="491" priority="1380" operator="notContains" text="Caida">
      <formula>ISERROR(SEARCH("Caida",P284))</formula>
    </cfRule>
    <cfRule type="containsText" dxfId="490" priority="1381" operator="containsText" text="Caida">
      <formula>NOT(ISERROR(SEARCH("Caida",P284)))</formula>
    </cfRule>
  </conditionalFormatting>
  <conditionalFormatting sqref="O391:O1048576">
    <cfRule type="notContainsText" dxfId="489" priority="1429" operator="notContains" text="Caida">
      <formula>ISERROR(SEARCH("Caida",O391))</formula>
    </cfRule>
    <cfRule type="containsText" dxfId="488" priority="1430" operator="containsText" text="Caida">
      <formula>NOT(ISERROR(SEARCH("Caida",O391)))</formula>
    </cfRule>
  </conditionalFormatting>
  <conditionalFormatting sqref="P336">
    <cfRule type="cellIs" dxfId="487" priority="1341" operator="lessThan">
      <formula>0.8</formula>
    </cfRule>
    <cfRule type="cellIs" dxfId="486" priority="1342" operator="greaterThan">
      <formula>0.8</formula>
    </cfRule>
  </conditionalFormatting>
  <conditionalFormatting sqref="P336">
    <cfRule type="notContainsText" dxfId="485" priority="1339" operator="notContains" text="Caida">
      <formula>ISERROR(SEARCH("Caida",P336))</formula>
    </cfRule>
    <cfRule type="containsText" dxfId="484" priority="1340" operator="containsText" text="Caida">
      <formula>NOT(ISERROR(SEARCH("Caida",P336)))</formula>
    </cfRule>
  </conditionalFormatting>
  <conditionalFormatting sqref="P22">
    <cfRule type="containsText" dxfId="483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2" priority="1377" operator="lessThan">
      <formula>0.8</formula>
    </cfRule>
    <cfRule type="cellIs" dxfId="481" priority="1378" operator="greaterThan">
      <formula>0.8</formula>
    </cfRule>
  </conditionalFormatting>
  <conditionalFormatting sqref="P282">
    <cfRule type="notContainsText" dxfId="480" priority="1375" operator="notContains" text="Caida">
      <formula>ISERROR(SEARCH("Caida",P282))</formula>
    </cfRule>
    <cfRule type="containsText" dxfId="479" priority="1376" operator="containsText" text="Caida">
      <formula>NOT(ISERROR(SEARCH("Caida",P282)))</formula>
    </cfRule>
  </conditionalFormatting>
  <conditionalFormatting sqref="P283">
    <cfRule type="cellIs" dxfId="478" priority="1373" operator="lessThan">
      <formula>0.8</formula>
    </cfRule>
    <cfRule type="cellIs" dxfId="477" priority="1374" operator="greaterThan">
      <formula>0.8</formula>
    </cfRule>
  </conditionalFormatting>
  <conditionalFormatting sqref="P283">
    <cfRule type="notContainsText" dxfId="476" priority="1371" operator="notContains" text="Caida">
      <formula>ISERROR(SEARCH("Caida",P283))</formula>
    </cfRule>
    <cfRule type="containsText" dxfId="475" priority="1372" operator="containsText" text="Caida">
      <formula>NOT(ISERROR(SEARCH("Caida",P283)))</formula>
    </cfRule>
  </conditionalFormatting>
  <conditionalFormatting sqref="P5">
    <cfRule type="cellIs" dxfId="474" priority="1369" operator="lessThan">
      <formula>0.8</formula>
    </cfRule>
    <cfRule type="cellIs" dxfId="473" priority="1370" operator="greaterThan">
      <formula>0.8</formula>
    </cfRule>
  </conditionalFormatting>
  <conditionalFormatting sqref="P5">
    <cfRule type="notContainsText" dxfId="472" priority="1367" operator="notContains" text="Caida">
      <formula>ISERROR(SEARCH("Caida",P5))</formula>
    </cfRule>
    <cfRule type="containsText" dxfId="471" priority="1368" operator="containsText" text="Caida">
      <formula>NOT(ISERROR(SEARCH("Caida",P5)))</formula>
    </cfRule>
  </conditionalFormatting>
  <conditionalFormatting sqref="P231">
    <cfRule type="cellIs" dxfId="470" priority="1365" operator="lessThan">
      <formula>0.8</formula>
    </cfRule>
    <cfRule type="cellIs" dxfId="469" priority="1366" operator="greaterThan">
      <formula>0.8</formula>
    </cfRule>
  </conditionalFormatting>
  <conditionalFormatting sqref="P231">
    <cfRule type="notContainsText" dxfId="468" priority="1363" operator="notContains" text="Caida">
      <formula>ISERROR(SEARCH("Caida",P231))</formula>
    </cfRule>
    <cfRule type="containsText" dxfId="467" priority="1364" operator="containsText" text="Caida">
      <formula>NOT(ISERROR(SEARCH("Caida",P231)))</formula>
    </cfRule>
  </conditionalFormatting>
  <conditionalFormatting sqref="P232">
    <cfRule type="cellIs" dxfId="466" priority="1361" operator="lessThan">
      <formula>0.8</formula>
    </cfRule>
    <cfRule type="cellIs" dxfId="465" priority="1362" operator="greaterThan">
      <formula>0.8</formula>
    </cfRule>
  </conditionalFormatting>
  <conditionalFormatting sqref="P232">
    <cfRule type="notContainsText" dxfId="464" priority="1359" operator="notContains" text="Caida">
      <formula>ISERROR(SEARCH("Caida",P232))</formula>
    </cfRule>
    <cfRule type="containsText" dxfId="463" priority="1360" operator="containsText" text="Caida">
      <formula>NOT(ISERROR(SEARCH("Caida",P232)))</formula>
    </cfRule>
  </conditionalFormatting>
  <conditionalFormatting sqref="P233">
    <cfRule type="cellIs" dxfId="462" priority="1357" operator="lessThan">
      <formula>0.8</formula>
    </cfRule>
    <cfRule type="cellIs" dxfId="461" priority="1358" operator="greaterThan">
      <formula>0.8</formula>
    </cfRule>
  </conditionalFormatting>
  <conditionalFormatting sqref="P233">
    <cfRule type="notContainsText" dxfId="460" priority="1355" operator="notContains" text="Caida">
      <formula>ISERROR(SEARCH("Caida",P233))</formula>
    </cfRule>
    <cfRule type="containsText" dxfId="459" priority="1356" operator="containsText" text="Caida">
      <formula>NOT(ISERROR(SEARCH("Caida",P233)))</formula>
    </cfRule>
  </conditionalFormatting>
  <conditionalFormatting sqref="P234">
    <cfRule type="cellIs" dxfId="458" priority="1353" operator="lessThan">
      <formula>0.8</formula>
    </cfRule>
    <cfRule type="cellIs" dxfId="457" priority="1354" operator="greaterThan">
      <formula>0.8</formula>
    </cfRule>
  </conditionalFormatting>
  <conditionalFormatting sqref="P234">
    <cfRule type="notContainsText" dxfId="456" priority="1351" operator="notContains" text="Caida">
      <formula>ISERROR(SEARCH("Caida",P234))</formula>
    </cfRule>
    <cfRule type="containsText" dxfId="455" priority="1352" operator="containsText" text="Caida">
      <formula>NOT(ISERROR(SEARCH("Caida",P234)))</formula>
    </cfRule>
  </conditionalFormatting>
  <conditionalFormatting sqref="P235">
    <cfRule type="cellIs" dxfId="454" priority="1349" operator="lessThan">
      <formula>0.8</formula>
    </cfRule>
    <cfRule type="cellIs" dxfId="453" priority="1350" operator="greaterThan">
      <formula>0.8</formula>
    </cfRule>
  </conditionalFormatting>
  <conditionalFormatting sqref="P235">
    <cfRule type="notContainsText" dxfId="452" priority="1347" operator="notContains" text="Caida">
      <formula>ISERROR(SEARCH("Caida",P235))</formula>
    </cfRule>
    <cfRule type="containsText" dxfId="451" priority="1348" operator="containsText" text="Caida">
      <formula>NOT(ISERROR(SEARCH("Caida",P235)))</formula>
    </cfRule>
  </conditionalFormatting>
  <conditionalFormatting sqref="P335">
    <cfRule type="cellIs" dxfId="450" priority="1345" operator="lessThan">
      <formula>0.8</formula>
    </cfRule>
    <cfRule type="cellIs" dxfId="449" priority="1346" operator="greaterThan">
      <formula>0.8</formula>
    </cfRule>
  </conditionalFormatting>
  <conditionalFormatting sqref="P335">
    <cfRule type="notContainsText" dxfId="448" priority="1343" operator="notContains" text="Caida">
      <formula>ISERROR(SEARCH("Caida",P335))</formula>
    </cfRule>
    <cfRule type="containsText" dxfId="447" priority="1344" operator="containsText" text="Caida">
      <formula>NOT(ISERROR(SEARCH("Caida",P335)))</formula>
    </cfRule>
  </conditionalFormatting>
  <conditionalFormatting sqref="Q6:Q92 Q96:Q230">
    <cfRule type="cellIs" dxfId="446" priority="1337" operator="lessThan">
      <formula>0.8</formula>
    </cfRule>
    <cfRule type="cellIs" dxfId="445" priority="1338" operator="greaterThan">
      <formula>0.8</formula>
    </cfRule>
  </conditionalFormatting>
  <conditionalFormatting sqref="Q6:Q92 Q96:Q230">
    <cfRule type="notContainsText" dxfId="444" priority="1335" operator="notContains" text="Caida">
      <formula>ISERROR(SEARCH("Caida",Q6))</formula>
    </cfRule>
    <cfRule type="containsText" dxfId="443" priority="1336" operator="containsText" text="Caida">
      <formula>NOT(ISERROR(SEARCH("Caida",Q6)))</formula>
    </cfRule>
  </conditionalFormatting>
  <conditionalFormatting sqref="Q336">
    <cfRule type="cellIs" dxfId="442" priority="1292" operator="lessThan">
      <formula>0.8</formula>
    </cfRule>
    <cfRule type="cellIs" dxfId="441" priority="1293" operator="greaterThan">
      <formula>0.8</formula>
    </cfRule>
  </conditionalFormatting>
  <conditionalFormatting sqref="Q336">
    <cfRule type="notContainsText" dxfId="440" priority="1290" operator="notContains" text="Caida">
      <formula>ISERROR(SEARCH("Caida",Q336))</formula>
    </cfRule>
    <cfRule type="containsText" dxfId="439" priority="1291" operator="containsText" text="Caida">
      <formula>NOT(ISERROR(SEARCH("Caida",Q336)))</formula>
    </cfRule>
  </conditionalFormatting>
  <conditionalFormatting sqref="Q337:Q366 Q284:Q334">
    <cfRule type="cellIs" dxfId="438" priority="1333" operator="lessThan">
      <formula>0.8</formula>
    </cfRule>
    <cfRule type="cellIs" dxfId="437" priority="1334" operator="greaterThan">
      <formula>0.8</formula>
    </cfRule>
  </conditionalFormatting>
  <conditionalFormatting sqref="Q337:Q366 Q284:Q334 Q391:Q1048576">
    <cfRule type="notContainsText" dxfId="436" priority="1331" operator="notContains" text="Caida">
      <formula>ISERROR(SEARCH("Caida",Q284))</formula>
    </cfRule>
    <cfRule type="containsText" dxfId="435" priority="1332" operator="containsText" text="Caida">
      <formula>NOT(ISERROR(SEARCH("Caida",Q284)))</formula>
    </cfRule>
  </conditionalFormatting>
  <conditionalFormatting sqref="Q22">
    <cfRule type="containsText" dxfId="434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3" priority="1328" operator="lessThan">
      <formula>0.8</formula>
    </cfRule>
    <cfRule type="cellIs" dxfId="432" priority="1329" operator="greaterThan">
      <formula>0.8</formula>
    </cfRule>
  </conditionalFormatting>
  <conditionalFormatting sqref="Q282">
    <cfRule type="notContainsText" dxfId="431" priority="1326" operator="notContains" text="Caida">
      <formula>ISERROR(SEARCH("Caida",Q282))</formula>
    </cfRule>
    <cfRule type="containsText" dxfId="430" priority="1327" operator="containsText" text="Caida">
      <formula>NOT(ISERROR(SEARCH("Caida",Q282)))</formula>
    </cfRule>
  </conditionalFormatting>
  <conditionalFormatting sqref="Q283">
    <cfRule type="cellIs" dxfId="429" priority="1324" operator="lessThan">
      <formula>0.8</formula>
    </cfRule>
    <cfRule type="cellIs" dxfId="428" priority="1325" operator="greaterThan">
      <formula>0.8</formula>
    </cfRule>
  </conditionalFormatting>
  <conditionalFormatting sqref="Q283">
    <cfRule type="notContainsText" dxfId="427" priority="1322" operator="notContains" text="Caida">
      <formula>ISERROR(SEARCH("Caida",Q283))</formula>
    </cfRule>
    <cfRule type="containsText" dxfId="426" priority="1323" operator="containsText" text="Caida">
      <formula>NOT(ISERROR(SEARCH("Caida",Q283)))</formula>
    </cfRule>
  </conditionalFormatting>
  <conditionalFormatting sqref="Q5">
    <cfRule type="cellIs" dxfId="425" priority="1320" operator="lessThan">
      <formula>0.8</formula>
    </cfRule>
    <cfRule type="cellIs" dxfId="424" priority="1321" operator="greaterThan">
      <formula>0.8</formula>
    </cfRule>
  </conditionalFormatting>
  <conditionalFormatting sqref="Q5">
    <cfRule type="notContainsText" dxfId="423" priority="1318" operator="notContains" text="Caida">
      <formula>ISERROR(SEARCH("Caida",Q5))</formula>
    </cfRule>
    <cfRule type="containsText" dxfId="422" priority="1319" operator="containsText" text="Caida">
      <formula>NOT(ISERROR(SEARCH("Caida",Q5)))</formula>
    </cfRule>
  </conditionalFormatting>
  <conditionalFormatting sqref="Q231">
    <cfRule type="cellIs" dxfId="421" priority="1316" operator="lessThan">
      <formula>0.8</formula>
    </cfRule>
    <cfRule type="cellIs" dxfId="420" priority="1317" operator="greaterThan">
      <formula>0.8</formula>
    </cfRule>
  </conditionalFormatting>
  <conditionalFormatting sqref="Q231">
    <cfRule type="notContainsText" dxfId="419" priority="1314" operator="notContains" text="Caida">
      <formula>ISERROR(SEARCH("Caida",Q231))</formula>
    </cfRule>
    <cfRule type="containsText" dxfId="418" priority="1315" operator="containsText" text="Caida">
      <formula>NOT(ISERROR(SEARCH("Caida",Q231)))</formula>
    </cfRule>
  </conditionalFormatting>
  <conditionalFormatting sqref="Q232">
    <cfRule type="cellIs" dxfId="417" priority="1312" operator="lessThan">
      <formula>0.8</formula>
    </cfRule>
    <cfRule type="cellIs" dxfId="416" priority="1313" operator="greaterThan">
      <formula>0.8</formula>
    </cfRule>
  </conditionalFormatting>
  <conditionalFormatting sqref="Q232">
    <cfRule type="notContainsText" dxfId="415" priority="1310" operator="notContains" text="Caida">
      <formula>ISERROR(SEARCH("Caida",Q232))</formula>
    </cfRule>
    <cfRule type="containsText" dxfId="414" priority="1311" operator="containsText" text="Caida">
      <formula>NOT(ISERROR(SEARCH("Caida",Q232)))</formula>
    </cfRule>
  </conditionalFormatting>
  <conditionalFormatting sqref="Q233">
    <cfRule type="cellIs" dxfId="413" priority="1308" operator="lessThan">
      <formula>0.8</formula>
    </cfRule>
    <cfRule type="cellIs" dxfId="412" priority="1309" operator="greaterThan">
      <formula>0.8</formula>
    </cfRule>
  </conditionalFormatting>
  <conditionalFormatting sqref="Q233">
    <cfRule type="notContainsText" dxfId="411" priority="1306" operator="notContains" text="Caida">
      <formula>ISERROR(SEARCH("Caida",Q233))</formula>
    </cfRule>
    <cfRule type="containsText" dxfId="410" priority="1307" operator="containsText" text="Caida">
      <formula>NOT(ISERROR(SEARCH("Caida",Q233)))</formula>
    </cfRule>
  </conditionalFormatting>
  <conditionalFormatting sqref="Q234">
    <cfRule type="cellIs" dxfId="409" priority="1304" operator="lessThan">
      <formula>0.8</formula>
    </cfRule>
    <cfRule type="cellIs" dxfId="408" priority="1305" operator="greaterThan">
      <formula>0.8</formula>
    </cfRule>
  </conditionalFormatting>
  <conditionalFormatting sqref="Q234">
    <cfRule type="notContainsText" dxfId="407" priority="1302" operator="notContains" text="Caida">
      <formula>ISERROR(SEARCH("Caida",Q234))</formula>
    </cfRule>
    <cfRule type="containsText" dxfId="406" priority="1303" operator="containsText" text="Caida">
      <formula>NOT(ISERROR(SEARCH("Caida",Q234)))</formula>
    </cfRule>
  </conditionalFormatting>
  <conditionalFormatting sqref="Q235">
    <cfRule type="cellIs" dxfId="405" priority="1300" operator="lessThan">
      <formula>0.8</formula>
    </cfRule>
    <cfRule type="cellIs" dxfId="404" priority="1301" operator="greaterThan">
      <formula>0.8</formula>
    </cfRule>
  </conditionalFormatting>
  <conditionalFormatting sqref="Q235">
    <cfRule type="notContainsText" dxfId="403" priority="1298" operator="notContains" text="Caida">
      <formula>ISERROR(SEARCH("Caida",Q235))</formula>
    </cfRule>
    <cfRule type="containsText" dxfId="402" priority="1299" operator="containsText" text="Caida">
      <formula>NOT(ISERROR(SEARCH("Caida",Q235)))</formula>
    </cfRule>
  </conditionalFormatting>
  <conditionalFormatting sqref="Q335">
    <cfRule type="cellIs" dxfId="401" priority="1296" operator="lessThan">
      <formula>0.8</formula>
    </cfRule>
    <cfRule type="cellIs" dxfId="400" priority="1297" operator="greaterThan">
      <formula>0.8</formula>
    </cfRule>
  </conditionalFormatting>
  <conditionalFormatting sqref="Q335">
    <cfRule type="notContainsText" dxfId="399" priority="1294" operator="notContains" text="Caida">
      <formula>ISERROR(SEARCH("Caida",Q335))</formula>
    </cfRule>
    <cfRule type="containsText" dxfId="398" priority="1295" operator="containsText" text="Caida">
      <formula>NOT(ISERROR(SEARCH("Caida",Q335)))</formula>
    </cfRule>
  </conditionalFormatting>
  <conditionalFormatting sqref="R6:R92 R96:R230">
    <cfRule type="cellIs" dxfId="397" priority="1288" operator="lessThan">
      <formula>0.8</formula>
    </cfRule>
    <cfRule type="cellIs" dxfId="396" priority="1289" operator="greaterThan">
      <formula>0.8</formula>
    </cfRule>
  </conditionalFormatting>
  <conditionalFormatting sqref="R6:R92 R96:R230">
    <cfRule type="notContainsText" dxfId="395" priority="1286" operator="notContains" text="Caida">
      <formula>ISERROR(SEARCH("Caida",R6))</formula>
    </cfRule>
    <cfRule type="containsText" dxfId="394" priority="1287" operator="containsText" text="Caida">
      <formula>NOT(ISERROR(SEARCH("Caida",R6)))</formula>
    </cfRule>
  </conditionalFormatting>
  <conditionalFormatting sqref="R336:T336">
    <cfRule type="cellIs" dxfId="393" priority="1243" operator="lessThan">
      <formula>0.8</formula>
    </cfRule>
    <cfRule type="cellIs" dxfId="392" priority="1244" operator="greaterThan">
      <formula>0.8</formula>
    </cfRule>
  </conditionalFormatting>
  <conditionalFormatting sqref="R336:T336">
    <cfRule type="notContainsText" dxfId="391" priority="1241" operator="notContains" text="Caida">
      <formula>ISERROR(SEARCH("Caida",R336))</formula>
    </cfRule>
    <cfRule type="containsText" dxfId="390" priority="1242" operator="containsText" text="Caida">
      <formula>NOT(ISERROR(SEARCH("Caida",R336)))</formula>
    </cfRule>
  </conditionalFormatting>
  <conditionalFormatting sqref="R337:R366 R284:R334">
    <cfRule type="cellIs" dxfId="389" priority="1284" operator="lessThan">
      <formula>0.8</formula>
    </cfRule>
    <cfRule type="cellIs" dxfId="388" priority="1285" operator="greaterThan">
      <formula>0.8</formula>
    </cfRule>
  </conditionalFormatting>
  <conditionalFormatting sqref="R337:R366 R284:R334 R391:R1048576">
    <cfRule type="notContainsText" dxfId="387" priority="1282" operator="notContains" text="Caida">
      <formula>ISERROR(SEARCH("Caida",R284))</formula>
    </cfRule>
    <cfRule type="containsText" dxfId="386" priority="1283" operator="containsText" text="Caida">
      <formula>NOT(ISERROR(SEARCH("Caida",R284)))</formula>
    </cfRule>
  </conditionalFormatting>
  <conditionalFormatting sqref="R22:T22">
    <cfRule type="containsText" dxfId="385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4" priority="1279" operator="lessThan">
      <formula>0.8</formula>
    </cfRule>
    <cfRule type="cellIs" dxfId="383" priority="1280" operator="greaterThan">
      <formula>0.8</formula>
    </cfRule>
  </conditionalFormatting>
  <conditionalFormatting sqref="R282:T282">
    <cfRule type="notContainsText" dxfId="382" priority="1277" operator="notContains" text="Caida">
      <formula>ISERROR(SEARCH("Caida",R282))</formula>
    </cfRule>
    <cfRule type="containsText" dxfId="381" priority="1278" operator="containsText" text="Caida">
      <formula>NOT(ISERROR(SEARCH("Caida",R282)))</formula>
    </cfRule>
  </conditionalFormatting>
  <conditionalFormatting sqref="R283:T283">
    <cfRule type="cellIs" dxfId="380" priority="1275" operator="lessThan">
      <formula>0.8</formula>
    </cfRule>
    <cfRule type="cellIs" dxfId="379" priority="1276" operator="greaterThan">
      <formula>0.8</formula>
    </cfRule>
  </conditionalFormatting>
  <conditionalFormatting sqref="R283:T283">
    <cfRule type="notContainsText" dxfId="378" priority="1273" operator="notContains" text="Caida">
      <formula>ISERROR(SEARCH("Caida",R283))</formula>
    </cfRule>
    <cfRule type="containsText" dxfId="377" priority="1274" operator="containsText" text="Caida">
      <formula>NOT(ISERROR(SEARCH("Caida",R283)))</formula>
    </cfRule>
  </conditionalFormatting>
  <conditionalFormatting sqref="R5:T5">
    <cfRule type="cellIs" dxfId="376" priority="1271" operator="lessThan">
      <formula>0.8</formula>
    </cfRule>
    <cfRule type="cellIs" dxfId="375" priority="1272" operator="greaterThan">
      <formula>0.8</formula>
    </cfRule>
  </conditionalFormatting>
  <conditionalFormatting sqref="R5:T5">
    <cfRule type="notContainsText" dxfId="374" priority="1269" operator="notContains" text="Caida">
      <formula>ISERROR(SEARCH("Caida",R5))</formula>
    </cfRule>
    <cfRule type="containsText" dxfId="373" priority="1270" operator="containsText" text="Caida">
      <formula>NOT(ISERROR(SEARCH("Caida",R5)))</formula>
    </cfRule>
  </conditionalFormatting>
  <conditionalFormatting sqref="R231:T231">
    <cfRule type="cellIs" dxfId="372" priority="1267" operator="lessThan">
      <formula>0.8</formula>
    </cfRule>
    <cfRule type="cellIs" dxfId="371" priority="1268" operator="greaterThan">
      <formula>0.8</formula>
    </cfRule>
  </conditionalFormatting>
  <conditionalFormatting sqref="R231:T231">
    <cfRule type="notContainsText" dxfId="370" priority="1265" operator="notContains" text="Caida">
      <formula>ISERROR(SEARCH("Caida",R231))</formula>
    </cfRule>
    <cfRule type="containsText" dxfId="369" priority="1266" operator="containsText" text="Caida">
      <formula>NOT(ISERROR(SEARCH("Caida",R231)))</formula>
    </cfRule>
  </conditionalFormatting>
  <conditionalFormatting sqref="R232:T232">
    <cfRule type="cellIs" dxfId="368" priority="1263" operator="lessThan">
      <formula>0.8</formula>
    </cfRule>
    <cfRule type="cellIs" dxfId="367" priority="1264" operator="greaterThan">
      <formula>0.8</formula>
    </cfRule>
  </conditionalFormatting>
  <conditionalFormatting sqref="R232:T232">
    <cfRule type="notContainsText" dxfId="366" priority="1261" operator="notContains" text="Caida">
      <formula>ISERROR(SEARCH("Caida",R232))</formula>
    </cfRule>
    <cfRule type="containsText" dxfId="365" priority="1262" operator="containsText" text="Caida">
      <formula>NOT(ISERROR(SEARCH("Caida",R232)))</formula>
    </cfRule>
  </conditionalFormatting>
  <conditionalFormatting sqref="R233:T233">
    <cfRule type="cellIs" dxfId="364" priority="1259" operator="lessThan">
      <formula>0.8</formula>
    </cfRule>
    <cfRule type="cellIs" dxfId="363" priority="1260" operator="greaterThan">
      <formula>0.8</formula>
    </cfRule>
  </conditionalFormatting>
  <conditionalFormatting sqref="R233:T233">
    <cfRule type="notContainsText" dxfId="362" priority="1257" operator="notContains" text="Caida">
      <formula>ISERROR(SEARCH("Caida",R233))</formula>
    </cfRule>
    <cfRule type="containsText" dxfId="361" priority="1258" operator="containsText" text="Caida">
      <formula>NOT(ISERROR(SEARCH("Caida",R233)))</formula>
    </cfRule>
  </conditionalFormatting>
  <conditionalFormatting sqref="R234:T234">
    <cfRule type="cellIs" dxfId="360" priority="1255" operator="lessThan">
      <formula>0.8</formula>
    </cfRule>
    <cfRule type="cellIs" dxfId="359" priority="1256" operator="greaterThan">
      <formula>0.8</formula>
    </cfRule>
  </conditionalFormatting>
  <conditionalFormatting sqref="R234:T234">
    <cfRule type="notContainsText" dxfId="358" priority="1253" operator="notContains" text="Caida">
      <formula>ISERROR(SEARCH("Caida",R234))</formula>
    </cfRule>
    <cfRule type="containsText" dxfId="357" priority="1254" operator="containsText" text="Caida">
      <formula>NOT(ISERROR(SEARCH("Caida",R234)))</formula>
    </cfRule>
  </conditionalFormatting>
  <conditionalFormatting sqref="R235:T235">
    <cfRule type="cellIs" dxfId="356" priority="1251" operator="lessThan">
      <formula>0.8</formula>
    </cfRule>
    <cfRule type="cellIs" dxfId="355" priority="1252" operator="greaterThan">
      <formula>0.8</formula>
    </cfRule>
  </conditionalFormatting>
  <conditionalFormatting sqref="R235:T235">
    <cfRule type="notContainsText" dxfId="354" priority="1249" operator="notContains" text="Caida">
      <formula>ISERROR(SEARCH("Caida",R235))</formula>
    </cfRule>
    <cfRule type="containsText" dxfId="353" priority="1250" operator="containsText" text="Caida">
      <formula>NOT(ISERROR(SEARCH("Caida",R235)))</formula>
    </cfRule>
  </conditionalFormatting>
  <conditionalFormatting sqref="R335:T335">
    <cfRule type="cellIs" dxfId="352" priority="1247" operator="lessThan">
      <formula>0.8</formula>
    </cfRule>
    <cfRule type="cellIs" dxfId="351" priority="1248" operator="greaterThan">
      <formula>0.8</formula>
    </cfRule>
  </conditionalFormatting>
  <conditionalFormatting sqref="R335:T335">
    <cfRule type="notContainsText" dxfId="350" priority="1245" operator="notContains" text="Caida">
      <formula>ISERROR(SEARCH("Caida",R335))</formula>
    </cfRule>
    <cfRule type="containsText" dxfId="349" priority="1246" operator="containsText" text="Caida">
      <formula>NOT(ISERROR(SEARCH("Caida",R335)))</formula>
    </cfRule>
  </conditionalFormatting>
  <conditionalFormatting sqref="S391:S1048576">
    <cfRule type="notContainsText" dxfId="348" priority="1233" operator="notContains" text="Caida">
      <formula>ISERROR(SEARCH("Caida",S391))</formula>
    </cfRule>
    <cfRule type="containsText" dxfId="347" priority="1234" operator="containsText" text="Caida">
      <formula>NOT(ISERROR(SEARCH("Caida",S391)))</formula>
    </cfRule>
  </conditionalFormatting>
  <conditionalFormatting sqref="T391:T1048576">
    <cfRule type="notContainsText" dxfId="346" priority="1184" operator="notContains" text="Caida">
      <formula>ISERROR(SEARCH("Caida",T391))</formula>
    </cfRule>
    <cfRule type="containsText" dxfId="345" priority="1185" operator="containsText" text="Caida">
      <formula>NOT(ISERROR(SEARCH("Caida",T391)))</formula>
    </cfRule>
  </conditionalFormatting>
  <conditionalFormatting sqref="E92:K93">
    <cfRule type="containsText" dxfId="344" priority="1140" operator="containsText" text="Radio">
      <formula>NOT(ISERROR(SEARCH("Radio",E92)))</formula>
    </cfRule>
  </conditionalFormatting>
  <conditionalFormatting sqref="P93:P95">
    <cfRule type="cellIs" dxfId="343" priority="1110" operator="lessThan">
      <formula>0.8</formula>
    </cfRule>
    <cfRule type="cellIs" dxfId="342" priority="1111" operator="greaterThan">
      <formula>0.8</formula>
    </cfRule>
  </conditionalFormatting>
  <conditionalFormatting sqref="P93:P95">
    <cfRule type="notContainsText" dxfId="341" priority="1108" operator="notContains" text="Caida">
      <formula>ISERROR(SEARCH("Caida",P93))</formula>
    </cfRule>
    <cfRule type="containsText" dxfId="340" priority="1109" operator="containsText" text="Caida">
      <formula>NOT(ISERROR(SEARCH("Caida",P93)))</formula>
    </cfRule>
  </conditionalFormatting>
  <conditionalFormatting sqref="Q93:Q95">
    <cfRule type="cellIs" dxfId="339" priority="1106" operator="lessThan">
      <formula>0.8</formula>
    </cfRule>
    <cfRule type="cellIs" dxfId="338" priority="1107" operator="greaterThan">
      <formula>0.8</formula>
    </cfRule>
  </conditionalFormatting>
  <conditionalFormatting sqref="Q93:Q95">
    <cfRule type="notContainsText" dxfId="337" priority="1104" operator="notContains" text="Caida">
      <formula>ISERROR(SEARCH("Caida",Q93))</formula>
    </cfRule>
    <cfRule type="containsText" dxfId="336" priority="1105" operator="containsText" text="Caida">
      <formula>NOT(ISERROR(SEARCH("Caida",Q93)))</formula>
    </cfRule>
  </conditionalFormatting>
  <conditionalFormatting sqref="R93:R95">
    <cfRule type="cellIs" dxfId="335" priority="1102" operator="lessThan">
      <formula>0.8</formula>
    </cfRule>
    <cfRule type="cellIs" dxfId="334" priority="1103" operator="greaterThan">
      <formula>0.8</formula>
    </cfRule>
  </conditionalFormatting>
  <conditionalFormatting sqref="R93:R95">
    <cfRule type="notContainsText" dxfId="333" priority="1100" operator="notContains" text="Caida">
      <formula>ISERROR(SEARCH("Caida",R93))</formula>
    </cfRule>
    <cfRule type="containsText" dxfId="332" priority="1101" operator="containsText" text="Caida">
      <formula>NOT(ISERROR(SEARCH("Caida",R93)))</formula>
    </cfRule>
  </conditionalFormatting>
  <conditionalFormatting sqref="E365:K365">
    <cfRule type="containsText" dxfId="331" priority="1089" operator="containsText" text="Radio">
      <formula>NOT(ISERROR(SEARCH("Radio",E365)))</formula>
    </cfRule>
  </conditionalFormatting>
  <conditionalFormatting sqref="P367">
    <cfRule type="cellIs" dxfId="330" priority="1071" operator="lessThan">
      <formula>0.8</formula>
    </cfRule>
    <cfRule type="cellIs" dxfId="329" priority="1072" operator="greaterThan">
      <formula>0.8</formula>
    </cfRule>
  </conditionalFormatting>
  <conditionalFormatting sqref="P367">
    <cfRule type="notContainsText" dxfId="328" priority="1069" operator="notContains" text="Caida">
      <formula>ISERROR(SEARCH("Caida",P367))</formula>
    </cfRule>
    <cfRule type="containsText" dxfId="327" priority="1070" operator="containsText" text="Caida">
      <formula>NOT(ISERROR(SEARCH("Caida",P367)))</formula>
    </cfRule>
  </conditionalFormatting>
  <conditionalFormatting sqref="Q367">
    <cfRule type="cellIs" dxfId="326" priority="1067" operator="lessThan">
      <formula>0.8</formula>
    </cfRule>
    <cfRule type="cellIs" dxfId="325" priority="1068" operator="greaterThan">
      <formula>0.8</formula>
    </cfRule>
  </conditionalFormatting>
  <conditionalFormatting sqref="Q367">
    <cfRule type="notContainsText" dxfId="324" priority="1065" operator="notContains" text="Caida">
      <formula>ISERROR(SEARCH("Caida",Q367))</formula>
    </cfRule>
    <cfRule type="containsText" dxfId="323" priority="1066" operator="containsText" text="Caida">
      <formula>NOT(ISERROR(SEARCH("Caida",Q367)))</formula>
    </cfRule>
  </conditionalFormatting>
  <conditionalFormatting sqref="R367:T367">
    <cfRule type="cellIs" dxfId="322" priority="1063" operator="lessThan">
      <formula>0.8</formula>
    </cfRule>
    <cfRule type="cellIs" dxfId="321" priority="1064" operator="greaterThan">
      <formula>0.8</formula>
    </cfRule>
  </conditionalFormatting>
  <conditionalFormatting sqref="R367:T367">
    <cfRule type="notContainsText" dxfId="320" priority="1061" operator="notContains" text="Caida">
      <formula>ISERROR(SEARCH("Caida",R367))</formula>
    </cfRule>
    <cfRule type="containsText" dxfId="319" priority="1062" operator="containsText" text="Caida">
      <formula>NOT(ISERROR(SEARCH("Caida",R367)))</formula>
    </cfRule>
  </conditionalFormatting>
  <conditionalFormatting sqref="E366:K366">
    <cfRule type="containsText" dxfId="318" priority="1050" operator="containsText" text="Radio">
      <formula>NOT(ISERROR(SEARCH("Radio",E366)))</formula>
    </cfRule>
  </conditionalFormatting>
  <conditionalFormatting sqref="P368">
    <cfRule type="cellIs" dxfId="317" priority="1032" operator="lessThan">
      <formula>0.8</formula>
    </cfRule>
    <cfRule type="cellIs" dxfId="316" priority="1033" operator="greaterThan">
      <formula>0.8</formula>
    </cfRule>
  </conditionalFormatting>
  <conditionalFormatting sqref="P368">
    <cfRule type="notContainsText" dxfId="315" priority="1030" operator="notContains" text="Caida">
      <formula>ISERROR(SEARCH("Caida",P368))</formula>
    </cfRule>
    <cfRule type="containsText" dxfId="314" priority="1031" operator="containsText" text="Caida">
      <formula>NOT(ISERROR(SEARCH("Caida",P368)))</formula>
    </cfRule>
  </conditionalFormatting>
  <conditionalFormatting sqref="Q368">
    <cfRule type="cellIs" dxfId="313" priority="1028" operator="lessThan">
      <formula>0.8</formula>
    </cfRule>
    <cfRule type="cellIs" dxfId="312" priority="1029" operator="greaterThan">
      <formula>0.8</formula>
    </cfRule>
  </conditionalFormatting>
  <conditionalFormatting sqref="Q368">
    <cfRule type="notContainsText" dxfId="311" priority="1026" operator="notContains" text="Caida">
      <formula>ISERROR(SEARCH("Caida",Q368))</formula>
    </cfRule>
    <cfRule type="containsText" dxfId="310" priority="1027" operator="containsText" text="Caida">
      <formula>NOT(ISERROR(SEARCH("Caida",Q368)))</formula>
    </cfRule>
  </conditionalFormatting>
  <conditionalFormatting sqref="R368:T368">
    <cfRule type="cellIs" dxfId="309" priority="1024" operator="lessThan">
      <formula>0.8</formula>
    </cfRule>
    <cfRule type="cellIs" dxfId="308" priority="1025" operator="greaterThan">
      <formula>0.8</formula>
    </cfRule>
  </conditionalFormatting>
  <conditionalFormatting sqref="R368:T368">
    <cfRule type="notContainsText" dxfId="307" priority="1022" operator="notContains" text="Caida">
      <formula>ISERROR(SEARCH("Caida",R368))</formula>
    </cfRule>
    <cfRule type="containsText" dxfId="306" priority="1023" operator="containsText" text="Caida">
      <formula>NOT(ISERROR(SEARCH("Caida",R368)))</formula>
    </cfRule>
  </conditionalFormatting>
  <conditionalFormatting sqref="E367:K367">
    <cfRule type="containsText" dxfId="305" priority="1011" operator="containsText" text="Radio">
      <formula>NOT(ISERROR(SEARCH("Radio",E367)))</formula>
    </cfRule>
  </conditionalFormatting>
  <conditionalFormatting sqref="P369">
    <cfRule type="cellIs" dxfId="304" priority="993" operator="lessThan">
      <formula>0.8</formula>
    </cfRule>
    <cfRule type="cellIs" dxfId="303" priority="994" operator="greaterThan">
      <formula>0.8</formula>
    </cfRule>
  </conditionalFormatting>
  <conditionalFormatting sqref="P369">
    <cfRule type="notContainsText" dxfId="302" priority="991" operator="notContains" text="Caida">
      <formula>ISERROR(SEARCH("Caida",P369))</formula>
    </cfRule>
    <cfRule type="containsText" dxfId="301" priority="992" operator="containsText" text="Caida">
      <formula>NOT(ISERROR(SEARCH("Caida",P369)))</formula>
    </cfRule>
  </conditionalFormatting>
  <conditionalFormatting sqref="Q369">
    <cfRule type="cellIs" dxfId="300" priority="989" operator="lessThan">
      <formula>0.8</formula>
    </cfRule>
    <cfRule type="cellIs" dxfId="299" priority="990" operator="greaterThan">
      <formula>0.8</formula>
    </cfRule>
  </conditionalFormatting>
  <conditionalFormatting sqref="Q369">
    <cfRule type="notContainsText" dxfId="298" priority="987" operator="notContains" text="Caida">
      <formula>ISERROR(SEARCH("Caida",Q369))</formula>
    </cfRule>
    <cfRule type="containsText" dxfId="297" priority="988" operator="containsText" text="Caida">
      <formula>NOT(ISERROR(SEARCH("Caida",Q369)))</formula>
    </cfRule>
  </conditionalFormatting>
  <conditionalFormatting sqref="R369:T369">
    <cfRule type="cellIs" dxfId="296" priority="985" operator="lessThan">
      <formula>0.8</formula>
    </cfRule>
    <cfRule type="cellIs" dxfId="295" priority="986" operator="greaterThan">
      <formula>0.8</formula>
    </cfRule>
  </conditionalFormatting>
  <conditionalFormatting sqref="R369:T369">
    <cfRule type="notContainsText" dxfId="294" priority="983" operator="notContains" text="Caida">
      <formula>ISERROR(SEARCH("Caida",R369))</formula>
    </cfRule>
    <cfRule type="containsText" dxfId="293" priority="984" operator="containsText" text="Caida">
      <formula>NOT(ISERROR(SEARCH("Caida",R369)))</formula>
    </cfRule>
  </conditionalFormatting>
  <conditionalFormatting sqref="E368:K368">
    <cfRule type="containsText" dxfId="292" priority="972" operator="containsText" text="Radio">
      <formula>NOT(ISERROR(SEARCH("Radio",E368)))</formula>
    </cfRule>
  </conditionalFormatting>
  <conditionalFormatting sqref="U231">
    <cfRule type="cellIs" dxfId="291" priority="913" operator="lessThan">
      <formula>0.8</formula>
    </cfRule>
    <cfRule type="cellIs" dxfId="290" priority="914" operator="greaterThan">
      <formula>0.8</formula>
    </cfRule>
  </conditionalFormatting>
  <conditionalFormatting sqref="U231">
    <cfRule type="notContainsText" dxfId="289" priority="911" operator="notContains" text="Caida">
      <formula>ISERROR(SEARCH("Caida",U231))</formula>
    </cfRule>
    <cfRule type="containsText" dxfId="288" priority="912" operator="containsText" text="Caida">
      <formula>NOT(ISERROR(SEARCH("Caida",U231)))</formula>
    </cfRule>
  </conditionalFormatting>
  <conditionalFormatting sqref="U232">
    <cfRule type="cellIs" dxfId="287" priority="909" operator="lessThan">
      <formula>0.8</formula>
    </cfRule>
    <cfRule type="cellIs" dxfId="286" priority="910" operator="greaterThan">
      <formula>0.8</formula>
    </cfRule>
  </conditionalFormatting>
  <conditionalFormatting sqref="U232">
    <cfRule type="notContainsText" dxfId="285" priority="907" operator="notContains" text="Caida">
      <formula>ISERROR(SEARCH("Caida",U232))</formula>
    </cfRule>
    <cfRule type="containsText" dxfId="284" priority="908" operator="containsText" text="Caida">
      <formula>NOT(ISERROR(SEARCH("Caida",U232)))</formula>
    </cfRule>
  </conditionalFormatting>
  <conditionalFormatting sqref="P370:P372">
    <cfRule type="cellIs" dxfId="283" priority="954" operator="lessThan">
      <formula>0.8</formula>
    </cfRule>
    <cfRule type="cellIs" dxfId="282" priority="955" operator="greaterThan">
      <formula>0.8</formula>
    </cfRule>
  </conditionalFormatting>
  <conditionalFormatting sqref="P370:P372">
    <cfRule type="notContainsText" dxfId="281" priority="952" operator="notContains" text="Caida">
      <formula>ISERROR(SEARCH("Caida",P370))</formula>
    </cfRule>
    <cfRule type="containsText" dxfId="280" priority="953" operator="containsText" text="Caida">
      <formula>NOT(ISERROR(SEARCH("Caida",P370)))</formula>
    </cfRule>
  </conditionalFormatting>
  <conditionalFormatting sqref="Q370:Q372">
    <cfRule type="cellIs" dxfId="279" priority="950" operator="lessThan">
      <formula>0.8</formula>
    </cfRule>
    <cfRule type="cellIs" dxfId="278" priority="951" operator="greaterThan">
      <formula>0.8</formula>
    </cfRule>
  </conditionalFormatting>
  <conditionalFormatting sqref="Q370:Q372">
    <cfRule type="notContainsText" dxfId="277" priority="948" operator="notContains" text="Caida">
      <formula>ISERROR(SEARCH("Caida",Q370))</formula>
    </cfRule>
    <cfRule type="containsText" dxfId="276" priority="949" operator="containsText" text="Caida">
      <formula>NOT(ISERROR(SEARCH("Caida",Q370)))</formula>
    </cfRule>
  </conditionalFormatting>
  <conditionalFormatting sqref="R370:T370">
    <cfRule type="cellIs" dxfId="275" priority="946" operator="lessThan">
      <formula>0.8</formula>
    </cfRule>
    <cfRule type="cellIs" dxfId="274" priority="947" operator="greaterThan">
      <formula>0.8</formula>
    </cfRule>
  </conditionalFormatting>
  <conditionalFormatting sqref="R370:T370">
    <cfRule type="notContainsText" dxfId="273" priority="944" operator="notContains" text="Caida">
      <formula>ISERROR(SEARCH("Caida",R370))</formula>
    </cfRule>
    <cfRule type="containsText" dxfId="272" priority="945" operator="containsText" text="Caida">
      <formula>NOT(ISERROR(SEARCH("Caida",R370)))</formula>
    </cfRule>
  </conditionalFormatting>
  <conditionalFormatting sqref="U368">
    <cfRule type="cellIs" dxfId="271" priority="877" operator="lessThan">
      <formula>0.8</formula>
    </cfRule>
    <cfRule type="cellIs" dxfId="270" priority="878" operator="greaterThan">
      <formula>0.8</formula>
    </cfRule>
  </conditionalFormatting>
  <conditionalFormatting sqref="U368">
    <cfRule type="notContainsText" dxfId="269" priority="875" operator="notContains" text="Caida">
      <formula>ISERROR(SEARCH("Caida",U368))</formula>
    </cfRule>
    <cfRule type="containsText" dxfId="268" priority="876" operator="containsText" text="Caida">
      <formula>NOT(ISERROR(SEARCH("Caida",U368)))</formula>
    </cfRule>
  </conditionalFormatting>
  <conditionalFormatting sqref="U369">
    <cfRule type="cellIs" dxfId="267" priority="873" operator="lessThan">
      <formula>0.8</formula>
    </cfRule>
    <cfRule type="cellIs" dxfId="266" priority="874" operator="greaterThan">
      <formula>0.8</formula>
    </cfRule>
  </conditionalFormatting>
  <conditionalFormatting sqref="U369">
    <cfRule type="notContainsText" dxfId="265" priority="871" operator="notContains" text="Caida">
      <formula>ISERROR(SEARCH("Caida",U369))</formula>
    </cfRule>
    <cfRule type="containsText" dxfId="264" priority="872" operator="containsText" text="Caida">
      <formula>NOT(ISERROR(SEARCH("Caida",U369)))</formula>
    </cfRule>
  </conditionalFormatting>
  <conditionalFormatting sqref="U370:U372">
    <cfRule type="cellIs" dxfId="263" priority="869" operator="lessThan">
      <formula>0.8</formula>
    </cfRule>
    <cfRule type="cellIs" dxfId="262" priority="870" operator="greaterThan">
      <formula>0.8</formula>
    </cfRule>
  </conditionalFormatting>
  <conditionalFormatting sqref="U370:U372">
    <cfRule type="notContainsText" dxfId="261" priority="867" operator="notContains" text="Caida">
      <formula>ISERROR(SEARCH("Caida",U370))</formula>
    </cfRule>
    <cfRule type="containsText" dxfId="260" priority="868" operator="containsText" text="Caida">
      <formula>NOT(ISERROR(SEARCH("Caida",U370)))</formula>
    </cfRule>
  </conditionalFormatting>
  <conditionalFormatting sqref="U6:U92 U96:U230">
    <cfRule type="cellIs" dxfId="259" priority="934" operator="lessThan">
      <formula>0.8</formula>
    </cfRule>
    <cfRule type="cellIs" dxfId="258" priority="935" operator="greaterThan">
      <formula>0.8</formula>
    </cfRule>
  </conditionalFormatting>
  <conditionalFormatting sqref="U6:U92 U96:U230">
    <cfRule type="notContainsText" dxfId="257" priority="932" operator="notContains" text="Caida">
      <formula>ISERROR(SEARCH("Caida",U6))</formula>
    </cfRule>
    <cfRule type="containsText" dxfId="256" priority="933" operator="containsText" text="Caida">
      <formula>NOT(ISERROR(SEARCH("Caida",U6)))</formula>
    </cfRule>
  </conditionalFormatting>
  <conditionalFormatting sqref="U336">
    <cfRule type="cellIs" dxfId="255" priority="889" operator="lessThan">
      <formula>0.8</formula>
    </cfRule>
    <cfRule type="cellIs" dxfId="254" priority="890" operator="greaterThan">
      <formula>0.8</formula>
    </cfRule>
  </conditionalFormatting>
  <conditionalFormatting sqref="U336">
    <cfRule type="notContainsText" dxfId="253" priority="887" operator="notContains" text="Caida">
      <formula>ISERROR(SEARCH("Caida",U336))</formula>
    </cfRule>
    <cfRule type="containsText" dxfId="252" priority="888" operator="containsText" text="Caida">
      <formula>NOT(ISERROR(SEARCH("Caida",U336)))</formula>
    </cfRule>
  </conditionalFormatting>
  <conditionalFormatting sqref="U337:U366 U284:U334">
    <cfRule type="cellIs" dxfId="251" priority="930" operator="lessThan">
      <formula>0.8</formula>
    </cfRule>
    <cfRule type="cellIs" dxfId="250" priority="931" operator="greaterThan">
      <formula>0.8</formula>
    </cfRule>
  </conditionalFormatting>
  <conditionalFormatting sqref="U337:U366 U284:U334 U391:U1048576">
    <cfRule type="notContainsText" dxfId="249" priority="928" operator="notContains" text="Caida">
      <formula>ISERROR(SEARCH("Caida",U284))</formula>
    </cfRule>
    <cfRule type="containsText" dxfId="248" priority="929" operator="containsText" text="Caida">
      <formula>NOT(ISERROR(SEARCH("Caida",U284)))</formula>
    </cfRule>
  </conditionalFormatting>
  <conditionalFormatting sqref="U22">
    <cfRule type="containsText" dxfId="247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6" priority="925" operator="lessThan">
      <formula>0.8</formula>
    </cfRule>
    <cfRule type="cellIs" dxfId="245" priority="926" operator="greaterThan">
      <formula>0.8</formula>
    </cfRule>
  </conditionalFormatting>
  <conditionalFormatting sqref="U282">
    <cfRule type="notContainsText" dxfId="244" priority="923" operator="notContains" text="Caida">
      <formula>ISERROR(SEARCH("Caida",U282))</formula>
    </cfRule>
    <cfRule type="containsText" dxfId="243" priority="924" operator="containsText" text="Caida">
      <formula>NOT(ISERROR(SEARCH("Caida",U282)))</formula>
    </cfRule>
  </conditionalFormatting>
  <conditionalFormatting sqref="U283">
    <cfRule type="cellIs" dxfId="242" priority="921" operator="lessThan">
      <formula>0.8</formula>
    </cfRule>
    <cfRule type="cellIs" dxfId="241" priority="922" operator="greaterThan">
      <formula>0.8</formula>
    </cfRule>
  </conditionalFormatting>
  <conditionalFormatting sqref="U283">
    <cfRule type="notContainsText" dxfId="240" priority="919" operator="notContains" text="Caida">
      <formula>ISERROR(SEARCH("Caida",U283))</formula>
    </cfRule>
    <cfRule type="containsText" dxfId="239" priority="920" operator="containsText" text="Caida">
      <formula>NOT(ISERROR(SEARCH("Caida",U283)))</formula>
    </cfRule>
  </conditionalFormatting>
  <conditionalFormatting sqref="U5">
    <cfRule type="cellIs" dxfId="238" priority="917" operator="lessThan">
      <formula>0.8</formula>
    </cfRule>
    <cfRule type="cellIs" dxfId="237" priority="918" operator="greaterThan">
      <formula>0.8</formula>
    </cfRule>
  </conditionalFormatting>
  <conditionalFormatting sqref="U5">
    <cfRule type="notContainsText" dxfId="236" priority="915" operator="notContains" text="Caida">
      <formula>ISERROR(SEARCH("Caida",U5))</formula>
    </cfRule>
    <cfRule type="containsText" dxfId="235" priority="916" operator="containsText" text="Caida">
      <formula>NOT(ISERROR(SEARCH("Caida",U5)))</formula>
    </cfRule>
  </conditionalFormatting>
  <conditionalFormatting sqref="U233">
    <cfRule type="cellIs" dxfId="234" priority="905" operator="lessThan">
      <formula>0.8</formula>
    </cfRule>
    <cfRule type="cellIs" dxfId="233" priority="906" operator="greaterThan">
      <formula>0.8</formula>
    </cfRule>
  </conditionalFormatting>
  <conditionalFormatting sqref="U233">
    <cfRule type="notContainsText" dxfId="232" priority="903" operator="notContains" text="Caida">
      <formula>ISERROR(SEARCH("Caida",U233))</formula>
    </cfRule>
    <cfRule type="containsText" dxfId="231" priority="904" operator="containsText" text="Caida">
      <formula>NOT(ISERROR(SEARCH("Caida",U233)))</formula>
    </cfRule>
  </conditionalFormatting>
  <conditionalFormatting sqref="U234">
    <cfRule type="cellIs" dxfId="230" priority="901" operator="lessThan">
      <formula>0.8</formula>
    </cfRule>
    <cfRule type="cellIs" dxfId="229" priority="902" operator="greaterThan">
      <formula>0.8</formula>
    </cfRule>
  </conditionalFormatting>
  <conditionalFormatting sqref="U234">
    <cfRule type="notContainsText" dxfId="228" priority="899" operator="notContains" text="Caida">
      <formula>ISERROR(SEARCH("Caida",U234))</formula>
    </cfRule>
    <cfRule type="containsText" dxfId="227" priority="900" operator="containsText" text="Caida">
      <formula>NOT(ISERROR(SEARCH("Caida",U234)))</formula>
    </cfRule>
  </conditionalFormatting>
  <conditionalFormatting sqref="U235">
    <cfRule type="cellIs" dxfId="226" priority="897" operator="lessThan">
      <formula>0.8</formula>
    </cfRule>
    <cfRule type="cellIs" dxfId="225" priority="898" operator="greaterThan">
      <formula>0.8</formula>
    </cfRule>
  </conditionalFormatting>
  <conditionalFormatting sqref="U235">
    <cfRule type="notContainsText" dxfId="224" priority="895" operator="notContains" text="Caida">
      <formula>ISERROR(SEARCH("Caida",U235))</formula>
    </cfRule>
    <cfRule type="containsText" dxfId="223" priority="896" operator="containsText" text="Caida">
      <formula>NOT(ISERROR(SEARCH("Caida",U235)))</formula>
    </cfRule>
  </conditionalFormatting>
  <conditionalFormatting sqref="U335">
    <cfRule type="cellIs" dxfId="222" priority="893" operator="lessThan">
      <formula>0.8</formula>
    </cfRule>
    <cfRule type="cellIs" dxfId="221" priority="894" operator="greaterThan">
      <formula>0.8</formula>
    </cfRule>
  </conditionalFormatting>
  <conditionalFormatting sqref="U335">
    <cfRule type="notContainsText" dxfId="220" priority="891" operator="notContains" text="Caida">
      <formula>ISERROR(SEARCH("Caida",U335))</formula>
    </cfRule>
    <cfRule type="containsText" dxfId="219" priority="892" operator="containsText" text="Caida">
      <formula>NOT(ISERROR(SEARCH("Caida",U335)))</formula>
    </cfRule>
  </conditionalFormatting>
  <conditionalFormatting sqref="U93:U95">
    <cfRule type="cellIs" dxfId="218" priority="885" operator="lessThan">
      <formula>0.8</formula>
    </cfRule>
    <cfRule type="cellIs" dxfId="217" priority="886" operator="greaterThan">
      <formula>0.8</formula>
    </cfRule>
  </conditionalFormatting>
  <conditionalFormatting sqref="U93:U95">
    <cfRule type="notContainsText" dxfId="216" priority="883" operator="notContains" text="Caida">
      <formula>ISERROR(SEARCH("Caida",U93))</formula>
    </cfRule>
    <cfRule type="containsText" dxfId="215" priority="884" operator="containsText" text="Caida">
      <formula>NOT(ISERROR(SEARCH("Caida",U93)))</formula>
    </cfRule>
  </conditionalFormatting>
  <conditionalFormatting sqref="U367">
    <cfRule type="cellIs" dxfId="214" priority="881" operator="lessThan">
      <formula>0.8</formula>
    </cfRule>
    <cfRule type="cellIs" dxfId="213" priority="882" operator="greaterThan">
      <formula>0.8</formula>
    </cfRule>
  </conditionalFormatting>
  <conditionalFormatting sqref="U367">
    <cfRule type="notContainsText" dxfId="212" priority="879" operator="notContains" text="Caida">
      <formula>ISERROR(SEARCH("Caida",U367))</formula>
    </cfRule>
    <cfRule type="containsText" dxfId="211" priority="880" operator="containsText" text="Caida">
      <formula>NOT(ISERROR(SEARCH("Caida",U367)))</formula>
    </cfRule>
  </conditionalFormatting>
  <conditionalFormatting sqref="V6:X92">
    <cfRule type="cellIs" dxfId="210" priority="865" operator="lessThan">
      <formula>0.8</formula>
    </cfRule>
    <cfRule type="cellIs" dxfId="209" priority="866" operator="greaterThan">
      <formula>0.8</formula>
    </cfRule>
  </conditionalFormatting>
  <conditionalFormatting sqref="V6:X92">
    <cfRule type="notContainsText" dxfId="208" priority="863" operator="notContains" text="Caida">
      <formula>ISERROR(SEARCH("Caida",V6))</formula>
    </cfRule>
    <cfRule type="containsText" dxfId="207" priority="864" operator="containsText" text="Caida">
      <formula>NOT(ISERROR(SEARCH("Caida",V6)))</formula>
    </cfRule>
  </conditionalFormatting>
  <conditionalFormatting sqref="V22:AJ22">
    <cfRule type="containsText" dxfId="206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5" priority="860" operator="lessThan">
      <formula>0.8</formula>
    </cfRule>
    <cfRule type="cellIs" dxfId="204" priority="861" operator="greaterThan">
      <formula>0.8</formula>
    </cfRule>
  </conditionalFormatting>
  <conditionalFormatting sqref="V5:AJ5">
    <cfRule type="notContainsText" dxfId="203" priority="858" operator="notContains" text="Caida">
      <formula>ISERROR(SEARCH("Caida",V5))</formula>
    </cfRule>
    <cfRule type="containsText" dxfId="202" priority="859" operator="containsText" text="Caida">
      <formula>NOT(ISERROR(SEARCH("Caida",V5)))</formula>
    </cfRule>
  </conditionalFormatting>
  <conditionalFormatting sqref="V93:X95">
    <cfRule type="cellIs" dxfId="201" priority="856" operator="lessThan">
      <formula>0.8</formula>
    </cfRule>
    <cfRule type="cellIs" dxfId="200" priority="857" operator="greaterThan">
      <formula>0.8</formula>
    </cfRule>
  </conditionalFormatting>
  <conditionalFormatting sqref="V93:X95">
    <cfRule type="notContainsText" dxfId="199" priority="854" operator="notContains" text="Caida">
      <formula>ISERROR(SEARCH("Caida",V93))</formula>
    </cfRule>
    <cfRule type="containsText" dxfId="198" priority="855" operator="containsText" text="Caida">
      <formula>NOT(ISERROR(SEARCH("Caida",V93)))</formula>
    </cfRule>
  </conditionalFormatting>
  <conditionalFormatting sqref="E1:E372 E391:E1048576">
    <cfRule type="containsText" dxfId="197" priority="714" operator="containsText" text="fija">
      <formula>NOT(ISERROR(SEARCH("fija",E1)))</formula>
    </cfRule>
    <cfRule type="containsText" dxfId="196" priority="715" operator="containsText" text="domo">
      <formula>NOT(ISERROR(SEARCH("domo",E1)))</formula>
    </cfRule>
  </conditionalFormatting>
  <conditionalFormatting sqref="AK6:AP92">
    <cfRule type="cellIs" dxfId="195" priority="690" operator="lessThan">
      <formula>0.8</formula>
    </cfRule>
    <cfRule type="cellIs" dxfId="194" priority="691" operator="greaterThan">
      <formula>0.8</formula>
    </cfRule>
  </conditionalFormatting>
  <conditionalFormatting sqref="AK6:AP92">
    <cfRule type="notContainsText" dxfId="193" priority="688" operator="notContains" text="Caida">
      <formula>ISERROR(SEARCH("Caida",AK6))</formula>
    </cfRule>
    <cfRule type="containsText" dxfId="192" priority="689" operator="containsText" text="Caida">
      <formula>NOT(ISERROR(SEARCH("Caida",AK6)))</formula>
    </cfRule>
  </conditionalFormatting>
  <conditionalFormatting sqref="AK22:AR22">
    <cfRule type="containsText" dxfId="191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90" priority="685" operator="lessThan">
      <formula>0.8</formula>
    </cfRule>
    <cfRule type="cellIs" dxfId="189" priority="686" operator="greaterThan">
      <formula>0.8</formula>
    </cfRule>
  </conditionalFormatting>
  <conditionalFormatting sqref="AK5:AR5">
    <cfRule type="notContainsText" dxfId="188" priority="683" operator="notContains" text="Caida">
      <formula>ISERROR(SEARCH("Caida",AK5))</formula>
    </cfRule>
    <cfRule type="containsText" dxfId="187" priority="684" operator="containsText" text="Caida">
      <formula>NOT(ISERROR(SEARCH("Caida",AK5)))</formula>
    </cfRule>
  </conditionalFormatting>
  <conditionalFormatting sqref="AK93:AP94">
    <cfRule type="cellIs" dxfId="186" priority="681" operator="lessThan">
      <formula>0.8</formula>
    </cfRule>
    <cfRule type="cellIs" dxfId="185" priority="682" operator="greaterThan">
      <formula>0.8</formula>
    </cfRule>
  </conditionalFormatting>
  <conditionalFormatting sqref="AK93:AP94">
    <cfRule type="notContainsText" dxfId="184" priority="679" operator="notContains" text="Caida">
      <formula>ISERROR(SEARCH("Caida",AK93))</formula>
    </cfRule>
    <cfRule type="containsText" dxfId="183" priority="680" operator="containsText" text="Caida">
      <formula>NOT(ISERROR(SEARCH("Caida",AK93)))</formula>
    </cfRule>
  </conditionalFormatting>
  <conditionalFormatting sqref="O247:O372 O5:AJ369 AK1:AR1 AK391:AR1048576 AK5:AR372">
    <cfRule type="cellIs" dxfId="182" priority="678" operator="equal">
      <formula>"APAGADO"</formula>
    </cfRule>
  </conditionalFormatting>
  <conditionalFormatting sqref="S6:S92 S96:S230">
    <cfRule type="cellIs" dxfId="181" priority="662" operator="lessThan">
      <formula>0.8</formula>
    </cfRule>
    <cfRule type="cellIs" dxfId="180" priority="663" operator="greaterThan">
      <formula>0.8</formula>
    </cfRule>
  </conditionalFormatting>
  <conditionalFormatting sqref="S6:S92 S96:S230">
    <cfRule type="notContainsText" dxfId="179" priority="660" operator="notContains" text="Caida">
      <formula>ISERROR(SEARCH("Caida",S6))</formula>
    </cfRule>
    <cfRule type="containsText" dxfId="178" priority="661" operator="containsText" text="Caida">
      <formula>NOT(ISERROR(SEARCH("Caida",S6)))</formula>
    </cfRule>
  </conditionalFormatting>
  <conditionalFormatting sqref="S337:S366 S284:S334">
    <cfRule type="cellIs" dxfId="177" priority="658" operator="lessThan">
      <formula>0.8</formula>
    </cfRule>
    <cfRule type="cellIs" dxfId="176" priority="659" operator="greaterThan">
      <formula>0.8</formula>
    </cfRule>
  </conditionalFormatting>
  <conditionalFormatting sqref="S337:S366 S284:S334">
    <cfRule type="notContainsText" dxfId="175" priority="656" operator="notContains" text="Caida">
      <formula>ISERROR(SEARCH("Caida",S284))</formula>
    </cfRule>
    <cfRule type="containsText" dxfId="174" priority="657" operator="containsText" text="Caida">
      <formula>NOT(ISERROR(SEARCH("Caida",S284)))</formula>
    </cfRule>
  </conditionalFormatting>
  <conditionalFormatting sqref="S93:S95">
    <cfRule type="cellIs" dxfId="173" priority="654" operator="lessThan">
      <formula>0.8</formula>
    </cfRule>
    <cfRule type="cellIs" dxfId="172" priority="655" operator="greaterThan">
      <formula>0.8</formula>
    </cfRule>
  </conditionalFormatting>
  <conditionalFormatting sqref="S93:S95">
    <cfRule type="notContainsText" dxfId="171" priority="652" operator="notContains" text="Caida">
      <formula>ISERROR(SEARCH("Caida",S93))</formula>
    </cfRule>
    <cfRule type="containsText" dxfId="170" priority="653" operator="containsText" text="Caida">
      <formula>NOT(ISERROR(SEARCH("Caida",S93)))</formula>
    </cfRule>
  </conditionalFormatting>
  <conditionalFormatting sqref="T6:T92 T96:T230">
    <cfRule type="cellIs" dxfId="169" priority="650" operator="lessThan">
      <formula>0.8</formula>
    </cfRule>
    <cfRule type="cellIs" dxfId="168" priority="651" operator="greaterThan">
      <formula>0.8</formula>
    </cfRule>
  </conditionalFormatting>
  <conditionalFormatting sqref="T6:T92 T96:T230">
    <cfRule type="notContainsText" dxfId="167" priority="648" operator="notContains" text="Caida">
      <formula>ISERROR(SEARCH("Caida",T6))</formula>
    </cfRule>
    <cfRule type="containsText" dxfId="166" priority="649" operator="containsText" text="Caida">
      <formula>NOT(ISERROR(SEARCH("Caida",T6)))</formula>
    </cfRule>
  </conditionalFormatting>
  <conditionalFormatting sqref="T337:T366 T284:T334">
    <cfRule type="cellIs" dxfId="165" priority="646" operator="lessThan">
      <formula>0.8</formula>
    </cfRule>
    <cfRule type="cellIs" dxfId="164" priority="647" operator="greaterThan">
      <formula>0.8</formula>
    </cfRule>
  </conditionalFormatting>
  <conditionalFormatting sqref="T337:T366 T284:T334">
    <cfRule type="notContainsText" dxfId="163" priority="644" operator="notContains" text="Caida">
      <formula>ISERROR(SEARCH("Caida",T284))</formula>
    </cfRule>
    <cfRule type="containsText" dxfId="162" priority="645" operator="containsText" text="Caida">
      <formula>NOT(ISERROR(SEARCH("Caida",T284)))</formula>
    </cfRule>
  </conditionalFormatting>
  <conditionalFormatting sqref="T93:T95">
    <cfRule type="cellIs" dxfId="161" priority="642" operator="lessThan">
      <formula>0.8</formula>
    </cfRule>
    <cfRule type="cellIs" dxfId="160" priority="643" operator="greaterThan">
      <formula>0.8</formula>
    </cfRule>
  </conditionalFormatting>
  <conditionalFormatting sqref="T93:T95">
    <cfRule type="notContainsText" dxfId="159" priority="640" operator="notContains" text="Caida">
      <formula>ISERROR(SEARCH("Caida",T93))</formula>
    </cfRule>
    <cfRule type="containsText" dxfId="158" priority="641" operator="containsText" text="Caida">
      <formula>NOT(ISERROR(SEARCH("Caida",T93)))</formula>
    </cfRule>
  </conditionalFormatting>
  <conditionalFormatting sqref="F1:F372 F391:F1048576">
    <cfRule type="cellIs" dxfId="157" priority="569" operator="equal">
      <formula>"PTP A FO"</formula>
    </cfRule>
  </conditionalFormatting>
  <conditionalFormatting sqref="R371:T372">
    <cfRule type="cellIs" dxfId="156" priority="198" operator="lessThan">
      <formula>0.8</formula>
    </cfRule>
    <cfRule type="cellIs" dxfId="155" priority="199" operator="greaterThan">
      <formula>0.8</formula>
    </cfRule>
  </conditionalFormatting>
  <conditionalFormatting sqref="R371:T372">
    <cfRule type="notContainsText" dxfId="154" priority="196" operator="notContains" text="Caida">
      <formula>ISERROR(SEARCH("Caida",R371))</formula>
    </cfRule>
    <cfRule type="containsText" dxfId="153" priority="197" operator="containsText" text="Caida">
      <formula>NOT(ISERROR(SEARCH("Caida",R371)))</formula>
    </cfRule>
  </conditionalFormatting>
  <conditionalFormatting sqref="O6:O92">
    <cfRule type="cellIs" dxfId="152" priority="186" operator="lessThan">
      <formula>0.8</formula>
    </cfRule>
    <cfRule type="cellIs" dxfId="151" priority="187" operator="greaterThan">
      <formula>0.8</formula>
    </cfRule>
  </conditionalFormatting>
  <conditionalFormatting sqref="O6:O92">
    <cfRule type="notContainsText" dxfId="150" priority="184" operator="notContains" text="Caida">
      <formula>ISERROR(SEARCH("Caida",O6))</formula>
    </cfRule>
    <cfRule type="containsText" dxfId="149" priority="185" operator="containsText" text="Caida">
      <formula>NOT(ISERROR(SEARCH("Caida",O6)))</formula>
    </cfRule>
  </conditionalFormatting>
  <conditionalFormatting sqref="O22">
    <cfRule type="containsText" dxfId="148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7" priority="181" operator="lessThan">
      <formula>0.8</formula>
    </cfRule>
    <cfRule type="cellIs" dxfId="146" priority="182" operator="greaterThan">
      <formula>0.8</formula>
    </cfRule>
  </conditionalFormatting>
  <conditionalFormatting sqref="O5">
    <cfRule type="notContainsText" dxfId="145" priority="179" operator="notContains" text="Caida">
      <formula>ISERROR(SEARCH("Caida",O5))</formula>
    </cfRule>
    <cfRule type="containsText" dxfId="144" priority="180" operator="containsText" text="Caida">
      <formula>NOT(ISERROR(SEARCH("Caida",O5)))</formula>
    </cfRule>
  </conditionalFormatting>
  <conditionalFormatting sqref="O93:O94">
    <cfRule type="cellIs" dxfId="143" priority="177" operator="lessThan">
      <formula>0.8</formula>
    </cfRule>
    <cfRule type="cellIs" dxfId="142" priority="178" operator="greaterThan">
      <formula>0.8</formula>
    </cfRule>
  </conditionalFormatting>
  <conditionalFormatting sqref="O93:O94">
    <cfRule type="notContainsText" dxfId="141" priority="175" operator="notContains" text="Caida">
      <formula>ISERROR(SEARCH("Caida",O93))</formula>
    </cfRule>
    <cfRule type="containsText" dxfId="140" priority="176" operator="containsText" text="Caida">
      <formula>NOT(ISERROR(SEARCH("Caida",O93)))</formula>
    </cfRule>
  </conditionalFormatting>
  <conditionalFormatting sqref="AR6:AR92">
    <cfRule type="cellIs" dxfId="139" priority="168" operator="lessThan">
      <formula>0.8</formula>
    </cfRule>
    <cfRule type="cellIs" dxfId="138" priority="169" operator="greaterThan">
      <formula>0.8</formula>
    </cfRule>
  </conditionalFormatting>
  <conditionalFormatting sqref="AR6:AR92">
    <cfRule type="notContainsText" dxfId="137" priority="166" operator="notContains" text="Caida">
      <formula>ISERROR(SEARCH("Caida",AR6))</formula>
    </cfRule>
    <cfRule type="containsText" dxfId="136" priority="167" operator="containsText" text="Caida">
      <formula>NOT(ISERROR(SEARCH("Caida",AR6)))</formula>
    </cfRule>
  </conditionalFormatting>
  <conditionalFormatting sqref="AR93:AR94">
    <cfRule type="cellIs" dxfId="135" priority="164" operator="lessThan">
      <formula>0.8</formula>
    </cfRule>
    <cfRule type="cellIs" dxfId="134" priority="165" operator="greaterThan">
      <formula>0.8</formula>
    </cfRule>
  </conditionalFormatting>
  <conditionalFormatting sqref="AR93:AR94">
    <cfRule type="notContainsText" dxfId="133" priority="162" operator="notContains" text="Caida">
      <formula>ISERROR(SEARCH("Caida",AR93))</formula>
    </cfRule>
    <cfRule type="containsText" dxfId="132" priority="163" operator="containsText" text="Caida">
      <formula>NOT(ISERROR(SEARCH("Caida",AR93)))</formula>
    </cfRule>
  </conditionalFormatting>
  <conditionalFormatting sqref="Y6:AF92">
    <cfRule type="cellIs" dxfId="131" priority="103" operator="lessThan">
      <formula>0.8</formula>
    </cfRule>
    <cfRule type="cellIs" dxfId="130" priority="104" operator="greaterThan">
      <formula>0.8</formula>
    </cfRule>
  </conditionalFormatting>
  <conditionalFormatting sqref="Y6:AF92">
    <cfRule type="notContainsText" dxfId="129" priority="101" operator="notContains" text="Caida">
      <formula>ISERROR(SEARCH("Caida",Y6))</formula>
    </cfRule>
    <cfRule type="containsText" dxfId="128" priority="102" operator="containsText" text="Caida">
      <formula>NOT(ISERROR(SEARCH("Caida",Y6)))</formula>
    </cfRule>
  </conditionalFormatting>
  <conditionalFormatting sqref="Y93:AF95">
    <cfRule type="cellIs" dxfId="127" priority="99" operator="lessThan">
      <formula>0.8</formula>
    </cfRule>
    <cfRule type="cellIs" dxfId="126" priority="100" operator="greaterThan">
      <formula>0.8</formula>
    </cfRule>
  </conditionalFormatting>
  <conditionalFormatting sqref="Y93:AF95">
    <cfRule type="notContainsText" dxfId="125" priority="97" operator="notContains" text="Caida">
      <formula>ISERROR(SEARCH("Caida",Y93))</formula>
    </cfRule>
    <cfRule type="containsText" dxfId="124" priority="98" operator="containsText" text="Caida">
      <formula>NOT(ISERROR(SEARCH("Caida",Y93)))</formula>
    </cfRule>
  </conditionalFormatting>
  <conditionalFormatting sqref="AF1:AF3 AF5:AF376 AF378:AF1048576">
    <cfRule type="cellIs" dxfId="123" priority="96" operator="equal">
      <formula>"apagado"</formula>
    </cfRule>
  </conditionalFormatting>
  <conditionalFormatting sqref="AE1:AE3 AE5:AE376 AE378:AE1048576">
    <cfRule type="cellIs" dxfId="122" priority="95" operator="equal">
      <formula>"apagado"</formula>
    </cfRule>
  </conditionalFormatting>
  <conditionalFormatting sqref="AD1:AD3 AD5:AD376 AD378:AD1048576">
    <cfRule type="cellIs" dxfId="121" priority="94" operator="equal">
      <formula>"apagado"</formula>
    </cfRule>
  </conditionalFormatting>
  <conditionalFormatting sqref="AC1:AC3 AC5:AC376 AC378:AC1048576">
    <cfRule type="cellIs" dxfId="120" priority="93" operator="equal">
      <formula>"apagado"</formula>
    </cfRule>
  </conditionalFormatting>
  <conditionalFormatting sqref="AB1:AB3 AB5:AB376 AB378:AB1048576">
    <cfRule type="cellIs" dxfId="119" priority="92" operator="equal">
      <formula>"apagado"</formula>
    </cfRule>
  </conditionalFormatting>
  <conditionalFormatting sqref="AA1:AA3 AA5:AA376 AA378:AA1048576">
    <cfRule type="cellIs" dxfId="118" priority="91" operator="equal">
      <formula>"apagado"</formula>
    </cfRule>
  </conditionalFormatting>
  <conditionalFormatting sqref="Z1:Z3 Z5:Z376 Z378:Z1048576">
    <cfRule type="cellIs" dxfId="117" priority="90" operator="equal">
      <formula>"apagado"</formula>
    </cfRule>
  </conditionalFormatting>
  <conditionalFormatting sqref="Y1:Y3 Y5:Y376 Y378:Y1048576">
    <cfRule type="cellIs" dxfId="116" priority="89" operator="equal">
      <formula>"apagado"</formula>
    </cfRule>
  </conditionalFormatting>
  <conditionalFormatting sqref="AG6:AG92">
    <cfRule type="cellIs" dxfId="115" priority="87" operator="lessThan">
      <formula>0.8</formula>
    </cfRule>
    <cfRule type="cellIs" dxfId="114" priority="88" operator="greaterThan">
      <formula>0.8</formula>
    </cfRule>
  </conditionalFormatting>
  <conditionalFormatting sqref="AG6:AG92">
    <cfRule type="notContainsText" dxfId="113" priority="85" operator="notContains" text="Caida">
      <formula>ISERROR(SEARCH("Caida",AG6))</formula>
    </cfRule>
    <cfRule type="containsText" dxfId="112" priority="86" operator="containsText" text="Caida">
      <formula>NOT(ISERROR(SEARCH("Caida",AG6)))</formula>
    </cfRule>
  </conditionalFormatting>
  <conditionalFormatting sqref="AG93:AG95">
    <cfRule type="cellIs" dxfId="111" priority="83" operator="lessThan">
      <formula>0.8</formula>
    </cfRule>
    <cfRule type="cellIs" dxfId="110" priority="84" operator="greaterThan">
      <formula>0.8</formula>
    </cfRule>
  </conditionalFormatting>
  <conditionalFormatting sqref="AG93:AG95">
    <cfRule type="notContainsText" dxfId="109" priority="81" operator="notContains" text="Caida">
      <formula>ISERROR(SEARCH("Caida",AG93))</formula>
    </cfRule>
    <cfRule type="containsText" dxfId="108" priority="82" operator="containsText" text="Caida">
      <formula>NOT(ISERROR(SEARCH("Caida",AG93)))</formula>
    </cfRule>
  </conditionalFormatting>
  <conditionalFormatting sqref="AG1:AG3 AG5:AG376 AG378:AG1048576">
    <cfRule type="cellIs" dxfId="107" priority="80" operator="equal">
      <formula>"apagado"</formula>
    </cfRule>
  </conditionalFormatting>
  <conditionalFormatting sqref="AH6:AH92">
    <cfRule type="cellIs" dxfId="106" priority="78" operator="lessThan">
      <formula>0.8</formula>
    </cfRule>
    <cfRule type="cellIs" dxfId="105" priority="79" operator="greaterThan">
      <formula>0.8</formula>
    </cfRule>
  </conditionalFormatting>
  <conditionalFormatting sqref="AH6:AH92">
    <cfRule type="notContainsText" dxfId="104" priority="76" operator="notContains" text="Caida">
      <formula>ISERROR(SEARCH("Caida",AH6))</formula>
    </cfRule>
    <cfRule type="containsText" dxfId="103" priority="77" operator="containsText" text="Caida">
      <formula>NOT(ISERROR(SEARCH("Caida",AH6)))</formula>
    </cfRule>
  </conditionalFormatting>
  <conditionalFormatting sqref="AH93:AH95">
    <cfRule type="cellIs" dxfId="102" priority="74" operator="lessThan">
      <formula>0.8</formula>
    </cfRule>
    <cfRule type="cellIs" dxfId="101" priority="75" operator="greaterThan">
      <formula>0.8</formula>
    </cfRule>
  </conditionalFormatting>
  <conditionalFormatting sqref="AH93:AH95">
    <cfRule type="notContainsText" dxfId="100" priority="72" operator="notContains" text="Caida">
      <formula>ISERROR(SEARCH("Caida",AH93))</formula>
    </cfRule>
    <cfRule type="containsText" dxfId="99" priority="73" operator="containsText" text="Caida">
      <formula>NOT(ISERROR(SEARCH("Caida",AH93)))</formula>
    </cfRule>
  </conditionalFormatting>
  <conditionalFormatting sqref="AH1:AH3 AH5:AH376 AH378:AH1048576">
    <cfRule type="cellIs" dxfId="98" priority="71" operator="equal">
      <formula>"apagado"</formula>
    </cfRule>
  </conditionalFormatting>
  <conditionalFormatting sqref="AI6:AI92">
    <cfRule type="cellIs" dxfId="97" priority="69" operator="lessThan">
      <formula>0.8</formula>
    </cfRule>
    <cfRule type="cellIs" dxfId="96" priority="70" operator="greaterThan">
      <formula>0.8</formula>
    </cfRule>
  </conditionalFormatting>
  <conditionalFormatting sqref="AI6:AI92">
    <cfRule type="notContainsText" dxfId="95" priority="67" operator="notContains" text="Caida">
      <formula>ISERROR(SEARCH("Caida",AI6))</formula>
    </cfRule>
    <cfRule type="containsText" dxfId="94" priority="68" operator="containsText" text="Caida">
      <formula>NOT(ISERROR(SEARCH("Caida",AI6)))</formula>
    </cfRule>
  </conditionalFormatting>
  <conditionalFormatting sqref="AI93:AI95">
    <cfRule type="cellIs" dxfId="93" priority="65" operator="lessThan">
      <formula>0.8</formula>
    </cfRule>
    <cfRule type="cellIs" dxfId="92" priority="66" operator="greaterThan">
      <formula>0.8</formula>
    </cfRule>
  </conditionalFormatting>
  <conditionalFormatting sqref="AI93:AI95">
    <cfRule type="notContainsText" dxfId="91" priority="63" operator="notContains" text="Caida">
      <formula>ISERROR(SEARCH("Caida",AI93))</formula>
    </cfRule>
    <cfRule type="containsText" dxfId="90" priority="64" operator="containsText" text="Caida">
      <formula>NOT(ISERROR(SEARCH("Caida",AI93)))</formula>
    </cfRule>
  </conditionalFormatting>
  <conditionalFormatting sqref="AI1:AI3 AI5:AI376 AI378:AI1048576">
    <cfRule type="cellIs" dxfId="89" priority="62" operator="equal">
      <formula>"apagado"</formula>
    </cfRule>
  </conditionalFormatting>
  <conditionalFormatting sqref="AJ6:AJ92">
    <cfRule type="cellIs" dxfId="88" priority="60" operator="lessThan">
      <formula>0.8</formula>
    </cfRule>
    <cfRule type="cellIs" dxfId="87" priority="61" operator="greaterThan">
      <formula>0.8</formula>
    </cfRule>
  </conditionalFormatting>
  <conditionalFormatting sqref="AJ6:AJ92">
    <cfRule type="notContainsText" dxfId="86" priority="58" operator="notContains" text="Caida">
      <formula>ISERROR(SEARCH("Caida",AJ6))</formula>
    </cfRule>
    <cfRule type="containsText" dxfId="85" priority="59" operator="containsText" text="Caida">
      <formula>NOT(ISERROR(SEARCH("Caida",AJ6)))</formula>
    </cfRule>
  </conditionalFormatting>
  <conditionalFormatting sqref="AJ93:AJ95">
    <cfRule type="cellIs" dxfId="84" priority="56" operator="lessThan">
      <formula>0.8</formula>
    </cfRule>
    <cfRule type="cellIs" dxfId="83" priority="57" operator="greaterThan">
      <formula>0.8</formula>
    </cfRule>
  </conditionalFormatting>
  <conditionalFormatting sqref="AJ93:AJ95">
    <cfRule type="notContainsText" dxfId="82" priority="54" operator="notContains" text="Caida">
      <formula>ISERROR(SEARCH("Caida",AJ93))</formula>
    </cfRule>
    <cfRule type="containsText" dxfId="81" priority="55" operator="containsText" text="Caida">
      <formula>NOT(ISERROR(SEARCH("Caida",AJ93)))</formula>
    </cfRule>
  </conditionalFormatting>
  <conditionalFormatting sqref="AJ1:AJ3 AJ5:AJ376 AJ378:AJ1048576">
    <cfRule type="cellIs" dxfId="80" priority="53" operator="equal">
      <formula>"apagado"</formula>
    </cfRule>
  </conditionalFormatting>
  <conditionalFormatting sqref="AQ95:AQ369">
    <cfRule type="cellIs" dxfId="79" priority="34" operator="lessThan">
      <formula>0.8</formula>
    </cfRule>
    <cfRule type="cellIs" dxfId="78" priority="35" operator="greaterThan">
      <formula>0.8</formula>
    </cfRule>
  </conditionalFormatting>
  <conditionalFormatting sqref="AQ95:AQ372 AQ391:AQ1048576">
    <cfRule type="notContainsText" dxfId="77" priority="32" operator="notContains" text="Caida">
      <formula>ISERROR(SEARCH("Caida",AQ95))</formula>
    </cfRule>
    <cfRule type="containsText" dxfId="76" priority="33" operator="containsText" text="Caida">
      <formula>NOT(ISERROR(SEARCH("Caida",AQ95)))</formula>
    </cfRule>
  </conditionalFormatting>
  <conditionalFormatting sqref="AQ6:AQ92">
    <cfRule type="cellIs" dxfId="75" priority="30" operator="lessThan">
      <formula>0.8</formula>
    </cfRule>
    <cfRule type="cellIs" dxfId="74" priority="31" operator="greaterThan">
      <formula>0.8</formula>
    </cfRule>
  </conditionalFormatting>
  <conditionalFormatting sqref="AQ6:AQ92">
    <cfRule type="notContainsText" dxfId="73" priority="28" operator="notContains" text="Caida">
      <formula>ISERROR(SEARCH("Caida",AQ6))</formula>
    </cfRule>
    <cfRule type="containsText" dxfId="72" priority="29" operator="containsText" text="Caida">
      <formula>NOT(ISERROR(SEARCH("Caida",AQ6)))</formula>
    </cfRule>
  </conditionalFormatting>
  <conditionalFormatting sqref="AQ93:AQ94">
    <cfRule type="cellIs" dxfId="71" priority="26" operator="lessThan">
      <formula>0.8</formula>
    </cfRule>
    <cfRule type="cellIs" dxfId="70" priority="27" operator="greaterThan">
      <formula>0.8</formula>
    </cfRule>
  </conditionalFormatting>
  <conditionalFormatting sqref="AQ93:AQ94">
    <cfRule type="notContainsText" dxfId="69" priority="24" operator="notContains" text="Caida">
      <formula>ISERROR(SEARCH("Caida",AQ93))</formula>
    </cfRule>
    <cfRule type="containsText" dxfId="68" priority="25" operator="containsText" text="Caida">
      <formula>NOT(ISERROR(SEARCH("Caida",AQ93)))</formula>
    </cfRule>
  </conditionalFormatting>
  <conditionalFormatting sqref="AQ10">
    <cfRule type="cellIs" dxfId="67" priority="19" operator="equal">
      <formula>"apagado"</formula>
    </cfRule>
    <cfRule type="cellIs" dxfId="66" priority="22" operator="lessThan">
      <formula>0.8</formula>
    </cfRule>
    <cfRule type="cellIs" dxfId="65" priority="23" operator="greaterThan">
      <formula>0.8</formula>
    </cfRule>
  </conditionalFormatting>
  <conditionalFormatting sqref="AQ10">
    <cfRule type="notContainsText" dxfId="64" priority="20" operator="notContains" text="Caida">
      <formula>ISERROR(SEARCH("Caida",AQ10))</formula>
    </cfRule>
    <cfRule type="containsText" dxfId="63" priority="21" operator="containsText" text="Caida">
      <formula>NOT(ISERROR(SEARCH("Caida",AQ10)))</formula>
    </cfRule>
  </conditionalFormatting>
  <conditionalFormatting sqref="AQ1:AQ3 AQ5:AQ376 AQ378:AQ1048576">
    <cfRule type="cellIs" dxfId="62" priority="18" operator="equal">
      <formula>"apagado"</formula>
    </cfRule>
  </conditionalFormatting>
  <conditionalFormatting sqref="O5:AR376">
    <cfRule type="cellIs" dxfId="61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>
    <row r="1" spans="1:8" ht="19.2" thickTop="1" thickBot="1" x14ac:dyDescent="0.4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" thickTop="1" x14ac:dyDescent="0.3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3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3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3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3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3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3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3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3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3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3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3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1310</v>
      </c>
    </row>
    <row r="2" spans="1:1" ht="15" thickBot="1" x14ac:dyDescent="0.35"/>
    <row r="3" spans="1:1" ht="19.2" thickTop="1" thickBot="1" x14ac:dyDescent="0.35">
      <c r="A3" s="48">
        <v>44652</v>
      </c>
    </row>
    <row r="4" spans="1:1" ht="19.2" thickTop="1" thickBot="1" x14ac:dyDescent="0.35">
      <c r="A4" s="48">
        <v>44653</v>
      </c>
    </row>
    <row r="5" spans="1:1" ht="19.2" thickTop="1" thickBot="1" x14ac:dyDescent="0.35">
      <c r="A5" s="48">
        <v>44654</v>
      </c>
    </row>
    <row r="6" spans="1:1" ht="19.2" thickTop="1" thickBot="1" x14ac:dyDescent="0.35">
      <c r="A6" s="48">
        <v>44655</v>
      </c>
    </row>
    <row r="7" spans="1:1" ht="19.2" thickTop="1" thickBot="1" x14ac:dyDescent="0.35">
      <c r="A7" s="48">
        <v>44656</v>
      </c>
    </row>
    <row r="8" spans="1:1" ht="19.2" thickTop="1" thickBot="1" x14ac:dyDescent="0.35">
      <c r="A8" s="48">
        <v>44657</v>
      </c>
    </row>
    <row r="9" spans="1:1" ht="19.2" thickTop="1" thickBot="1" x14ac:dyDescent="0.35">
      <c r="A9" s="48">
        <v>44658</v>
      </c>
    </row>
    <row r="10" spans="1:1" ht="19.2" thickTop="1" thickBot="1" x14ac:dyDescent="0.35">
      <c r="A10" s="48">
        <v>44659</v>
      </c>
    </row>
    <row r="11" spans="1:1" ht="19.2" thickTop="1" thickBot="1" x14ac:dyDescent="0.35">
      <c r="A11" s="48">
        <v>44660</v>
      </c>
    </row>
    <row r="12" spans="1:1" ht="19.2" thickTop="1" thickBot="1" x14ac:dyDescent="0.35">
      <c r="A12" s="48">
        <v>44661</v>
      </c>
    </row>
    <row r="13" spans="1:1" ht="19.2" thickTop="1" thickBot="1" x14ac:dyDescent="0.35">
      <c r="A13" s="48">
        <v>44662</v>
      </c>
    </row>
    <row r="14" spans="1:1" ht="19.2" thickTop="1" thickBot="1" x14ac:dyDescent="0.35">
      <c r="A14" s="48">
        <v>44663</v>
      </c>
    </row>
    <row r="15" spans="1:1" ht="19.2" thickTop="1" thickBot="1" x14ac:dyDescent="0.35">
      <c r="A15" s="48">
        <v>44664</v>
      </c>
    </row>
    <row r="16" spans="1:1" ht="19.2" thickTop="1" thickBot="1" x14ac:dyDescent="0.35">
      <c r="A16" s="48">
        <v>44665</v>
      </c>
    </row>
    <row r="17" spans="1:2" ht="19.2" thickTop="1" thickBot="1" x14ac:dyDescent="0.35">
      <c r="A17" s="48">
        <v>44666</v>
      </c>
    </row>
    <row r="18" spans="1:2" ht="19.2" thickTop="1" thickBot="1" x14ac:dyDescent="0.35">
      <c r="A18" s="48">
        <v>44667</v>
      </c>
    </row>
    <row r="19" spans="1:2" ht="19.2" thickTop="1" thickBot="1" x14ac:dyDescent="0.35">
      <c r="A19" s="48">
        <v>44668</v>
      </c>
    </row>
    <row r="20" spans="1:2" ht="19.2" thickTop="1" thickBot="1" x14ac:dyDescent="0.35">
      <c r="A20" s="48">
        <v>44669</v>
      </c>
    </row>
    <row r="21" spans="1:2" ht="19.2" thickTop="1" thickBot="1" x14ac:dyDescent="0.35">
      <c r="A21" s="48">
        <v>44670</v>
      </c>
    </row>
    <row r="22" spans="1:2" ht="19.2" thickTop="1" thickBot="1" x14ac:dyDescent="0.35">
      <c r="A22" s="48">
        <v>44671</v>
      </c>
    </row>
    <row r="23" spans="1:2" ht="19.2" thickTop="1" thickBot="1" x14ac:dyDescent="0.35">
      <c r="A23" s="48">
        <v>44672</v>
      </c>
      <c r="B23" s="49"/>
    </row>
    <row r="24" spans="1:2" ht="19.2" thickTop="1" thickBot="1" x14ac:dyDescent="0.35">
      <c r="A24" s="48">
        <v>44673</v>
      </c>
      <c r="B24" s="50"/>
    </row>
    <row r="25" spans="1:2" ht="19.2" thickTop="1" thickBot="1" x14ac:dyDescent="0.35">
      <c r="A25" s="48">
        <v>44674</v>
      </c>
    </row>
    <row r="26" spans="1:2" ht="19.2" thickTop="1" thickBot="1" x14ac:dyDescent="0.35">
      <c r="A26" s="48">
        <v>44675</v>
      </c>
    </row>
    <row r="27" spans="1:2" ht="19.2" thickTop="1" thickBot="1" x14ac:dyDescent="0.35">
      <c r="A27" s="48">
        <v>44676</v>
      </c>
    </row>
    <row r="28" spans="1:2" ht="19.2" thickTop="1" thickBot="1" x14ac:dyDescent="0.35">
      <c r="A28" s="48">
        <v>44677</v>
      </c>
    </row>
    <row r="29" spans="1:2" ht="19.2" thickTop="1" thickBot="1" x14ac:dyDescent="0.35">
      <c r="A29" s="48">
        <v>44678</v>
      </c>
    </row>
    <row r="30" spans="1:2" ht="19.2" thickTop="1" thickBot="1" x14ac:dyDescent="0.35">
      <c r="A30" s="48">
        <v>44679</v>
      </c>
    </row>
    <row r="31" spans="1:2" ht="19.2" thickTop="1" thickBot="1" x14ac:dyDescent="0.35">
      <c r="A31" s="48">
        <v>44680</v>
      </c>
    </row>
    <row r="32" spans="1:2" ht="19.2" thickTop="1" thickBot="1" x14ac:dyDescent="0.35">
      <c r="A32" s="48">
        <v>44681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1321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1322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1323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tabSelected="1" workbookViewId="0">
      <selection activeCell="E33" sqref="E33"/>
    </sheetView>
  </sheetViews>
  <sheetFormatPr baseColWidth="10" defaultRowHeight="14.4" x14ac:dyDescent="0.3"/>
  <cols>
    <col min="5" max="5" width="15.6640625" bestFit="1" customWidth="1"/>
    <col min="7" max="7" width="11.5546875" style="77"/>
  </cols>
  <sheetData>
    <row r="1" spans="1:7" x14ac:dyDescent="0.3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3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3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31" si="0">E3/F3</f>
        <v>9.1152815013404831E-2</v>
      </c>
    </row>
    <row r="4" spans="1:7" x14ac:dyDescent="0.3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3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3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3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3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3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3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3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3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3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3">
      <c r="A14" s="25">
        <f>'APAGADOS RADIO'!R3</f>
        <v>44664</v>
      </c>
      <c r="C14" s="30"/>
      <c r="F14">
        <f>'RESUMEN TOTAL'!C1</f>
        <v>373</v>
      </c>
    </row>
    <row r="15" spans="1:7" x14ac:dyDescent="0.3">
      <c r="A15" s="25">
        <f>'APAGADOS RADIO'!S3</f>
        <v>44665</v>
      </c>
      <c r="C15" s="30"/>
      <c r="F15">
        <f>'RESUMEN TOTAL'!C1</f>
        <v>373</v>
      </c>
    </row>
    <row r="16" spans="1:7" x14ac:dyDescent="0.3">
      <c r="A16" s="25">
        <f>'APAGADOS RADIO'!T3</f>
        <v>44666</v>
      </c>
      <c r="C16" s="30"/>
      <c r="F16">
        <f>'RESUMEN TOTAL'!C1</f>
        <v>373</v>
      </c>
    </row>
    <row r="17" spans="1:6" x14ac:dyDescent="0.3">
      <c r="A17" s="25">
        <f>'APAGADOS RADIO'!U3</f>
        <v>44667</v>
      </c>
      <c r="C17" s="30"/>
      <c r="F17">
        <f>'RESUMEN TOTAL'!C1</f>
        <v>373</v>
      </c>
    </row>
    <row r="18" spans="1:6" x14ac:dyDescent="0.3">
      <c r="A18" s="25">
        <f>'APAGADOS RADIO'!V3</f>
        <v>44668</v>
      </c>
      <c r="C18" s="30"/>
      <c r="F18">
        <f>'RESUMEN TOTAL'!C1</f>
        <v>373</v>
      </c>
    </row>
    <row r="19" spans="1:6" x14ac:dyDescent="0.3">
      <c r="A19" s="25">
        <f>'APAGADOS RADIO'!W3</f>
        <v>44669</v>
      </c>
      <c r="C19" s="30"/>
      <c r="F19">
        <f>'RESUMEN TOTAL'!C1</f>
        <v>373</v>
      </c>
    </row>
    <row r="20" spans="1:6" x14ac:dyDescent="0.3">
      <c r="A20" s="25">
        <f>'APAGADOS RADIO'!X3</f>
        <v>44670</v>
      </c>
      <c r="C20" s="30"/>
      <c r="F20">
        <f>'RESUMEN TOTAL'!C1</f>
        <v>373</v>
      </c>
    </row>
    <row r="21" spans="1:6" x14ac:dyDescent="0.3">
      <c r="A21" s="25">
        <f>'APAGADOS RADIO'!Y3</f>
        <v>44671</v>
      </c>
      <c r="C21" s="30"/>
      <c r="F21">
        <f>'RESUMEN TOTAL'!C1</f>
        <v>373</v>
      </c>
    </row>
    <row r="22" spans="1:6" x14ac:dyDescent="0.3">
      <c r="A22" s="25">
        <f>'APAGADOS RADIO'!Z3</f>
        <v>44672</v>
      </c>
      <c r="C22" s="30"/>
      <c r="F22">
        <f>'RESUMEN TOTAL'!C1</f>
        <v>373</v>
      </c>
    </row>
    <row r="23" spans="1:6" x14ac:dyDescent="0.3">
      <c r="A23" s="25">
        <f>'APAGADOS RADIO'!AA3</f>
        <v>44673</v>
      </c>
      <c r="C23" s="30"/>
      <c r="F23">
        <f>'RESUMEN TOTAL'!C1</f>
        <v>373</v>
      </c>
    </row>
    <row r="24" spans="1:6" x14ac:dyDescent="0.3">
      <c r="A24" s="25">
        <f>'APAGADOS RADIO'!AB3</f>
        <v>44674</v>
      </c>
      <c r="C24" s="30"/>
      <c r="F24">
        <f>'RESUMEN TOTAL'!C1</f>
        <v>373</v>
      </c>
    </row>
    <row r="25" spans="1:6" x14ac:dyDescent="0.3">
      <c r="A25" s="25">
        <f>'APAGADOS RADIO'!AC3</f>
        <v>44675</v>
      </c>
      <c r="C25" s="30"/>
      <c r="F25">
        <f>'RESUMEN TOTAL'!C1</f>
        <v>373</v>
      </c>
    </row>
    <row r="26" spans="1:6" x14ac:dyDescent="0.3">
      <c r="A26" s="25">
        <f>'APAGADOS RADIO'!AD3</f>
        <v>44676</v>
      </c>
      <c r="C26" s="30"/>
      <c r="F26">
        <f>'RESUMEN TOTAL'!C1</f>
        <v>373</v>
      </c>
    </row>
    <row r="27" spans="1:6" x14ac:dyDescent="0.3">
      <c r="A27" s="25">
        <f>'APAGADOS RADIO'!AE3</f>
        <v>44677</v>
      </c>
      <c r="C27" s="30"/>
      <c r="F27">
        <f>'RESUMEN TOTAL'!C1</f>
        <v>373</v>
      </c>
    </row>
    <row r="28" spans="1:6" x14ac:dyDescent="0.3">
      <c r="A28" s="25">
        <f>'APAGADOS RADIO'!AF3</f>
        <v>44678</v>
      </c>
      <c r="C28" s="30"/>
      <c r="F28">
        <f>'RESUMEN TOTAL'!C1</f>
        <v>373</v>
      </c>
    </row>
    <row r="29" spans="1:6" x14ac:dyDescent="0.3">
      <c r="A29" s="25">
        <f>'APAGADOS RADIO'!AG3</f>
        <v>44679</v>
      </c>
      <c r="C29" s="30"/>
      <c r="F29">
        <f>'RESUMEN TOTAL'!C1</f>
        <v>373</v>
      </c>
    </row>
    <row r="30" spans="1:6" x14ac:dyDescent="0.3">
      <c r="A30" s="25">
        <f>'APAGADOS RADIO'!AH3</f>
        <v>44680</v>
      </c>
      <c r="C30" s="30"/>
      <c r="F30">
        <f>'RESUMEN TOTAL'!C1</f>
        <v>373</v>
      </c>
    </row>
    <row r="31" spans="1:6" x14ac:dyDescent="0.3">
      <c r="A31" s="25">
        <f>'APAGADOS RADIO'!AI3</f>
        <v>44681</v>
      </c>
      <c r="F31">
        <f>'RESUMEN TOTAL'!C1</f>
        <v>373</v>
      </c>
    </row>
    <row r="32" spans="1:6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77"/>
    </row>
    <row r="36" spans="1:30" s="30" customFormat="1" x14ac:dyDescent="0.3">
      <c r="G36" s="77"/>
    </row>
    <row r="37" spans="1:30" s="20" customFormat="1" x14ac:dyDescent="0.3">
      <c r="G37" s="77"/>
    </row>
    <row r="40" spans="1:30" x14ac:dyDescent="0.3">
      <c r="A40" s="70" t="s">
        <v>938</v>
      </c>
      <c r="B40" s="70" t="s">
        <v>937</v>
      </c>
    </row>
    <row r="41" spans="1:30" x14ac:dyDescent="0.3">
      <c r="A41" s="70">
        <v>38</v>
      </c>
      <c r="B41" s="70">
        <v>373</v>
      </c>
      <c r="D41" s="25">
        <v>44652</v>
      </c>
      <c r="E41" s="77">
        <f>A41/B41</f>
        <v>0.10187667560321716</v>
      </c>
    </row>
    <row r="42" spans="1:30" x14ac:dyDescent="0.3">
      <c r="A42" s="70">
        <v>34</v>
      </c>
      <c r="B42" s="70">
        <v>373</v>
      </c>
      <c r="D42" s="25">
        <v>44653</v>
      </c>
      <c r="E42" s="77">
        <f>A42/B42</f>
        <v>9.1152815013404831E-2</v>
      </c>
    </row>
    <row r="43" spans="1:30" x14ac:dyDescent="0.3">
      <c r="A43" s="70">
        <v>34</v>
      </c>
      <c r="B43" s="70">
        <v>373</v>
      </c>
      <c r="D43" s="25">
        <v>44654</v>
      </c>
      <c r="E43" s="77">
        <f>A43/B43</f>
        <v>9.1152815013404831E-2</v>
      </c>
    </row>
    <row r="44" spans="1:30" x14ac:dyDescent="0.3">
      <c r="A44" s="70">
        <v>36</v>
      </c>
      <c r="B44" s="70">
        <v>373</v>
      </c>
      <c r="D44" s="25">
        <v>44655</v>
      </c>
      <c r="E44" s="77">
        <f>A44/B44</f>
        <v>9.6514745308310987E-2</v>
      </c>
    </row>
    <row r="45" spans="1:30" x14ac:dyDescent="0.3">
      <c r="A45" s="70">
        <v>32</v>
      </c>
      <c r="B45" s="70">
        <v>373</v>
      </c>
      <c r="D45" s="25">
        <v>44656</v>
      </c>
      <c r="E45" s="77">
        <f>A45/B45</f>
        <v>8.5790884718498661E-2</v>
      </c>
    </row>
    <row r="46" spans="1:30" x14ac:dyDescent="0.3">
      <c r="A46" s="70">
        <v>25</v>
      </c>
      <c r="B46" s="70">
        <v>373</v>
      </c>
      <c r="D46" s="25">
        <v>44657</v>
      </c>
      <c r="E46" s="77">
        <f>A46/B46</f>
        <v>6.7024128686327081E-2</v>
      </c>
    </row>
    <row r="47" spans="1:30" x14ac:dyDescent="0.3">
      <c r="A47" s="70">
        <v>34</v>
      </c>
      <c r="B47" s="70">
        <v>373</v>
      </c>
      <c r="D47" s="25">
        <v>44658</v>
      </c>
      <c r="E47" s="77">
        <f>A47/B47</f>
        <v>9.1152815013404831E-2</v>
      </c>
    </row>
    <row r="48" spans="1:30" x14ac:dyDescent="0.3">
      <c r="A48" s="70">
        <v>25</v>
      </c>
      <c r="B48" s="70">
        <v>373</v>
      </c>
      <c r="D48" s="25">
        <v>44659</v>
      </c>
      <c r="E48" s="77">
        <f>A48/B48</f>
        <v>6.7024128686327081E-2</v>
      </c>
    </row>
    <row r="49" spans="1:5" x14ac:dyDescent="0.3">
      <c r="A49" s="70">
        <v>26</v>
      </c>
      <c r="B49" s="70">
        <v>373</v>
      </c>
      <c r="D49" s="25">
        <v>44660</v>
      </c>
      <c r="E49" s="77">
        <f>A49/B49</f>
        <v>6.9705093833780166E-2</v>
      </c>
    </row>
    <row r="50" spans="1:5" x14ac:dyDescent="0.3">
      <c r="A50" s="70">
        <v>26</v>
      </c>
      <c r="B50" s="70">
        <v>373</v>
      </c>
      <c r="D50" s="25">
        <v>44661</v>
      </c>
      <c r="E50" s="77">
        <f>A50/B50</f>
        <v>6.9705093833780166E-2</v>
      </c>
    </row>
    <row r="51" spans="1:5" x14ac:dyDescent="0.3">
      <c r="A51" s="70">
        <v>43</v>
      </c>
      <c r="B51" s="70">
        <v>373</v>
      </c>
      <c r="D51" s="25">
        <v>44662</v>
      </c>
      <c r="E51" s="77">
        <f>A51/B51</f>
        <v>0.11528150134048257</v>
      </c>
    </row>
    <row r="52" spans="1:5" x14ac:dyDescent="0.3">
      <c r="A52" s="70">
        <v>22</v>
      </c>
      <c r="B52" s="70">
        <v>373</v>
      </c>
      <c r="D52" s="25">
        <v>44663</v>
      </c>
      <c r="E52" s="77">
        <f>A52/B52</f>
        <v>5.8981233243967826E-2</v>
      </c>
    </row>
    <row r="53" spans="1:5" x14ac:dyDescent="0.3">
      <c r="A53" s="70"/>
      <c r="B53" s="70">
        <v>373</v>
      </c>
      <c r="D53" s="25">
        <v>44664</v>
      </c>
      <c r="E53" s="77">
        <f>A53/B53</f>
        <v>0</v>
      </c>
    </row>
    <row r="54" spans="1:5" x14ac:dyDescent="0.3">
      <c r="A54" s="70"/>
      <c r="B54" s="70">
        <v>373</v>
      </c>
      <c r="D54" s="25">
        <v>44665</v>
      </c>
      <c r="E54" s="77">
        <f>A54/B54</f>
        <v>0</v>
      </c>
    </row>
    <row r="55" spans="1:5" x14ac:dyDescent="0.3">
      <c r="A55" s="70"/>
      <c r="B55" s="70">
        <v>373</v>
      </c>
      <c r="D55" s="25">
        <v>44666</v>
      </c>
      <c r="E55" s="77">
        <f>A55/B55</f>
        <v>0</v>
      </c>
    </row>
    <row r="56" spans="1:5" x14ac:dyDescent="0.3">
      <c r="A56" s="70"/>
      <c r="B56" s="70">
        <v>373</v>
      </c>
      <c r="D56" s="25">
        <v>44667</v>
      </c>
      <c r="E56" s="77">
        <f>A56/B56</f>
        <v>0</v>
      </c>
    </row>
    <row r="57" spans="1:5" x14ac:dyDescent="0.3">
      <c r="A57" s="70"/>
      <c r="B57" s="70">
        <v>373</v>
      </c>
      <c r="D57" s="25">
        <v>44668</v>
      </c>
      <c r="E57" s="77">
        <f>A57/B57</f>
        <v>0</v>
      </c>
    </row>
    <row r="58" spans="1:5" x14ac:dyDescent="0.3">
      <c r="A58" s="70"/>
      <c r="B58" s="70">
        <v>373</v>
      </c>
      <c r="D58" s="25">
        <v>44669</v>
      </c>
      <c r="E58" s="77">
        <f>A58/B58</f>
        <v>0</v>
      </c>
    </row>
    <row r="59" spans="1:5" x14ac:dyDescent="0.3">
      <c r="A59" s="70"/>
      <c r="B59" s="70">
        <v>373</v>
      </c>
      <c r="D59" s="25">
        <v>44670</v>
      </c>
      <c r="E59" s="77">
        <f>A59/B59</f>
        <v>0</v>
      </c>
    </row>
    <row r="60" spans="1:5" x14ac:dyDescent="0.3">
      <c r="A60" s="70"/>
      <c r="B60" s="70">
        <v>373</v>
      </c>
      <c r="D60" s="25">
        <v>44671</v>
      </c>
      <c r="E60" s="77">
        <f>A60/B60</f>
        <v>0</v>
      </c>
    </row>
    <row r="61" spans="1:5" x14ac:dyDescent="0.3">
      <c r="A61" s="70"/>
      <c r="B61" s="70">
        <v>373</v>
      </c>
      <c r="D61" s="25">
        <v>44672</v>
      </c>
    </row>
    <row r="62" spans="1:5" x14ac:dyDescent="0.3">
      <c r="A62" s="70"/>
      <c r="B62" s="70">
        <v>373</v>
      </c>
      <c r="D62" s="25">
        <v>44673</v>
      </c>
    </row>
    <row r="63" spans="1:5" x14ac:dyDescent="0.3">
      <c r="A63" s="70"/>
      <c r="B63" s="70">
        <v>373</v>
      </c>
      <c r="D63" s="25">
        <v>44674</v>
      </c>
    </row>
    <row r="64" spans="1:5" x14ac:dyDescent="0.3">
      <c r="A64" s="70"/>
      <c r="B64" s="70">
        <v>373</v>
      </c>
      <c r="D64" s="25">
        <v>44675</v>
      </c>
    </row>
    <row r="65" spans="1:4" x14ac:dyDescent="0.3">
      <c r="A65" s="70"/>
      <c r="B65" s="70">
        <v>373</v>
      </c>
      <c r="D65" s="25">
        <v>44676</v>
      </c>
    </row>
    <row r="66" spans="1:4" x14ac:dyDescent="0.3">
      <c r="A66" s="70"/>
      <c r="B66" s="70">
        <v>373</v>
      </c>
      <c r="D66" s="25">
        <v>44677</v>
      </c>
    </row>
    <row r="67" spans="1:4" x14ac:dyDescent="0.3">
      <c r="A67" s="70"/>
      <c r="B67" s="70">
        <v>373</v>
      </c>
      <c r="D67" s="25">
        <v>44678</v>
      </c>
    </row>
    <row r="68" spans="1:4" x14ac:dyDescent="0.3">
      <c r="A68" s="70"/>
      <c r="B68" s="70">
        <v>373</v>
      </c>
      <c r="D68" s="25">
        <v>44679</v>
      </c>
    </row>
    <row r="69" spans="1:4" x14ac:dyDescent="0.3">
      <c r="A69" s="70"/>
      <c r="B69" s="70">
        <v>373</v>
      </c>
      <c r="D69" s="25">
        <v>44680</v>
      </c>
    </row>
    <row r="70" spans="1:4" x14ac:dyDescent="0.3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2022-04-12T13:19:24Z</dcterms:modified>
</cp:coreProperties>
</file>