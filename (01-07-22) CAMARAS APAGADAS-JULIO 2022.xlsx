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94BEACD0-F900-4D4B-9F80-1AEC5593E966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F24" i="14"/>
  <c r="D33" i="24"/>
  <c r="C34" i="24"/>
  <c r="D34" i="24" s="1"/>
  <c r="F23" i="14"/>
  <c r="D28" i="24"/>
  <c r="C29" i="24"/>
  <c r="D29" i="24" s="1"/>
  <c r="F22" i="14"/>
  <c r="F21" i="14"/>
  <c r="F20" i="14"/>
  <c r="F19" i="14"/>
  <c r="F18" i="14"/>
  <c r="F17" i="14"/>
  <c r="F16" i="14"/>
  <c r="F15" i="14"/>
  <c r="F14" i="14"/>
  <c r="F13" i="14"/>
  <c r="F12" i="14"/>
  <c r="D23" i="24"/>
  <c r="C24" i="24"/>
  <c r="C25" i="24" s="1"/>
  <c r="F11" i="14"/>
  <c r="F10" i="14"/>
  <c r="D18" i="24"/>
  <c r="C19" i="24"/>
  <c r="C20" i="24" s="1"/>
  <c r="F9" i="14"/>
  <c r="D13" i="24"/>
  <c r="C14" i="24"/>
  <c r="C15" i="24" s="1"/>
  <c r="F8" i="14"/>
  <c r="D8" i="24"/>
  <c r="C9" i="24"/>
  <c r="D9" i="24" s="1"/>
  <c r="F7" i="14"/>
  <c r="F6" i="14"/>
  <c r="F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<sst xmlns="http://schemas.openxmlformats.org/spreadsheetml/2006/main" count="2967" uniqueCount="1371">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</sst>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08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O200" activePane="bottomRight" state="frozen"/>
      <selection pane="topRight" activeCell="M1" sqref="M1"/>
      <selection pane="bottomLeft" activeCell="A5" sqref="A5"/>
      <selection pane="bottomRight" activeCell="O207" sqref="O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375</v>
      </c>
      <c r="Q2" s="10">
        <f t="shared" si="3"/>
        <v>375</v>
      </c>
      <c r="R2" s="10">
        <f t="shared" si="3"/>
        <v>375</v>
      </c>
      <c r="S2" s="10">
        <f t="shared" si="3"/>
        <v>374</v>
      </c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0</v>
      </c>
      <c r="Q3" s="14">
        <f t="shared" si="5"/>
        <v>0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10"/>
        <v>29</v>
      </c>
      <c r="M7" s="17">
        <f t="shared" si="8"/>
        <v>1</v>
      </c>
      <c r="N7" s="18">
        <f t="shared" si="9"/>
        <v>0.96666666666666667</v>
      </c>
      <c r="O7" s="27" t="s">
        <v>1370</v>
      </c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1364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3"/>
        <v>29</v>
      </c>
      <c r="M74" s="17">
        <f t="shared" si="11"/>
        <v>1</v>
      </c>
      <c r="N74" s="18">
        <f t="shared" si="12"/>
        <v>0.96666666666666667</v>
      </c>
      <c r="O74" s="27" t="s">
        <v>1370</v>
      </c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3"/>
        <v>29</v>
      </c>
      <c r="M111" s="17">
        <f t="shared" si="11"/>
        <v>1</v>
      </c>
      <c r="N111" s="18">
        <f t="shared" si="12"/>
        <v>0.96666666666666667</v>
      </c>
      <c r="O111" s="27" t="s">
        <v>1370</v>
      </c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3"/>
        <v>29</v>
      </c>
      <c r="M113" s="17">
        <f t="shared" si="11"/>
        <v>1</v>
      </c>
      <c r="N113" s="18">
        <f t="shared" si="12"/>
        <v>0.96666666666666667</v>
      </c>
      <c r="O113" s="27" t="s">
        <v>1370</v>
      </c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3"/>
        <v>29</v>
      </c>
      <c r="M120" s="17">
        <f t="shared" si="11"/>
        <v>1</v>
      </c>
      <c r="N120" s="18">
        <f t="shared" si="12"/>
        <v>0.96666666666666667</v>
      </c>
      <c r="O120" s="27" t="s">
        <v>1370</v>
      </c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3"/>
        <v>29</v>
      </c>
      <c r="M121" s="17">
        <f t="shared" si="11"/>
        <v>1</v>
      </c>
      <c r="N121" s="18">
        <f t="shared" si="12"/>
        <v>0.96666666666666667</v>
      </c>
      <c r="O121" s="27" t="s">
        <v>1370</v>
      </c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3"/>
        <v>30</v>
      </c>
      <c r="M129" s="17">
        <f t="shared" si="11"/>
        <v>0</v>
      </c>
      <c r="N129" s="18">
        <f t="shared" si="12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3"/>
        <v>29</v>
      </c>
      <c r="M133" s="17">
        <f t="shared" ref="M133:M196" si="14">COUNTIF(O133:AP133,"APAGADO")</f>
        <v>1</v>
      </c>
      <c r="N133" s="18">
        <f t="shared" ref="N133:N196" si="15">(L133)/(M133+L133)</f>
        <v>0.96666666666666667</v>
      </c>
      <c r="O133" s="27" t="s">
        <v>1370</v>
      </c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6"/>
        <v>29</v>
      </c>
      <c r="M136" s="17">
        <f t="shared" si="14"/>
        <v>1</v>
      </c>
      <c r="N136" s="18">
        <f t="shared" si="15"/>
        <v>0.96666666666666667</v>
      </c>
      <c r="O136" s="27" t="s">
        <v>1370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6"/>
        <v>29</v>
      </c>
      <c r="M177" s="17">
        <f t="shared" si="14"/>
        <v>1</v>
      </c>
      <c r="N177" s="18">
        <f t="shared" si="15"/>
        <v>0.96666666666666667</v>
      </c>
      <c r="O177" s="27" t="s">
        <v>1370</v>
      </c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6"/>
        <v>29</v>
      </c>
      <c r="M187" s="17">
        <f t="shared" si="14"/>
        <v>1</v>
      </c>
      <c r="N187" s="18">
        <f t="shared" si="15"/>
        <v>0.96666666666666667</v>
      </c>
      <c r="O187" s="27" t="s">
        <v>1370</v>
      </c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1370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6"/>
        <v>29</v>
      </c>
      <c r="M191" s="17">
        <f t="shared" si="14"/>
        <v>1</v>
      </c>
      <c r="N191" s="18">
        <f t="shared" si="15"/>
        <v>0.96666666666666667</v>
      </c>
      <c r="O191" s="27" t="s">
        <v>1370</v>
      </c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6"/>
        <v>29</v>
      </c>
      <c r="M192" s="17">
        <f t="shared" si="14"/>
        <v>1</v>
      </c>
      <c r="N192" s="18">
        <f t="shared" si="15"/>
        <v>0.96666666666666667</v>
      </c>
      <c r="O192" s="27" t="s">
        <v>1370</v>
      </c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9"/>
        <v>30</v>
      </c>
      <c r="M199" s="17">
        <f t="shared" si="17"/>
        <v>0</v>
      </c>
      <c r="N199" s="18">
        <f t="shared" si="18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9"/>
        <v>30</v>
      </c>
      <c r="M200" s="17">
        <f t="shared" si="17"/>
        <v>0</v>
      </c>
      <c r="N200" s="18">
        <f t="shared" si="18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9"/>
        <v>29</v>
      </c>
      <c r="M206" s="17">
        <f t="shared" si="17"/>
        <v>1</v>
      </c>
      <c r="N206" s="18">
        <f t="shared" si="18"/>
        <v>0.96666666666666667</v>
      </c>
      <c r="O206" s="27" t="s">
        <v>1370</v>
      </c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9"/>
        <v>29</v>
      </c>
      <c r="M207" s="17">
        <f t="shared" si="17"/>
        <v>1</v>
      </c>
      <c r="N207" s="18">
        <f t="shared" si="18"/>
        <v>0.96666666666666667</v>
      </c>
      <c r="O207" s="27" t="s">
        <v>1370</v>
      </c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9"/>
        <v>29</v>
      </c>
      <c r="M211" s="17">
        <f t="shared" si="17"/>
        <v>1</v>
      </c>
      <c r="N211" s="18">
        <f t="shared" si="18"/>
        <v>0.96666666666666667</v>
      </c>
      <c r="O211" s="27" t="s">
        <v>1370</v>
      </c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9"/>
        <v>29</v>
      </c>
      <c r="M212" s="17">
        <f t="shared" si="17"/>
        <v>1</v>
      </c>
      <c r="N212" s="18">
        <f t="shared" si="18"/>
        <v>0.96666666666666667</v>
      </c>
      <c r="O212" s="27" t="s">
        <v>1370</v>
      </c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9"/>
        <v>29</v>
      </c>
      <c r="M231" s="17">
        <f t="shared" si="17"/>
        <v>1</v>
      </c>
      <c r="N231" s="18">
        <f t="shared" si="18"/>
        <v>0.96666666666666667</v>
      </c>
      <c r="O231" s="27" t="s">
        <v>1370</v>
      </c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9"/>
        <v>29</v>
      </c>
      <c r="M232" s="17">
        <f t="shared" si="17"/>
        <v>1</v>
      </c>
      <c r="N232" s="18">
        <f t="shared" si="18"/>
        <v>0.96666666666666667</v>
      </c>
      <c r="O232" s="27" t="s">
        <v>1370</v>
      </c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1370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1370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1370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20"/>
        <v>29</v>
      </c>
      <c r="M283" s="17">
        <f t="shared" si="21"/>
        <v>1</v>
      </c>
      <c r="N283" s="18">
        <f t="shared" si="22"/>
        <v>0.96666666666666667</v>
      </c>
      <c r="O283" s="27" t="s">
        <v>1370</v>
      </c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20"/>
        <v>30</v>
      </c>
      <c r="M302" s="17">
        <f t="shared" si="21"/>
        <v>0</v>
      </c>
      <c r="N302" s="18">
        <f t="shared" si="22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20"/>
        <v>29</v>
      </c>
      <c r="M303" s="17">
        <f t="shared" si="21"/>
        <v>1</v>
      </c>
      <c r="N303" s="18">
        <f t="shared" si="22"/>
        <v>0.96666666666666667</v>
      </c>
      <c r="O303" s="27" t="s">
        <v>1370</v>
      </c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20"/>
        <v>29</v>
      </c>
      <c r="M308" s="17">
        <f t="shared" si="21"/>
        <v>1</v>
      </c>
      <c r="N308" s="18">
        <f t="shared" si="22"/>
        <v>0.96666666666666667</v>
      </c>
      <c r="O308" s="27" t="s">
        <v>1370</v>
      </c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3"/>
        <v>29</v>
      </c>
      <c r="M335" s="17">
        <f t="shared" si="24"/>
        <v>1</v>
      </c>
      <c r="N335" s="18">
        <f t="shared" si="25"/>
        <v>0.96666666666666667</v>
      </c>
      <c r="O335" s="27" t="s">
        <v>1370</v>
      </c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3"/>
        <v>29</v>
      </c>
      <c r="M336" s="17">
        <f t="shared" si="24"/>
        <v>1</v>
      </c>
      <c r="N336" s="18">
        <f t="shared" si="25"/>
        <v>0.96666666666666667</v>
      </c>
      <c r="O336" s="27" t="s">
        <v>1370</v>
      </c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1370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1370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3"/>
        <v>29</v>
      </c>
      <c r="M352" s="17">
        <f t="shared" si="24"/>
        <v>1</v>
      </c>
      <c r="N352" s="18">
        <f t="shared" si="25"/>
        <v>0.96666666666666667</v>
      </c>
      <c r="O352" s="27" t="s">
        <v>1370</v>
      </c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1358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3"/>
        <v>29</v>
      </c>
      <c r="M359" s="17">
        <f t="shared" si="24"/>
        <v>1</v>
      </c>
      <c r="N359" s="18">
        <f t="shared" si="25"/>
        <v>0.96666666666666667</v>
      </c>
      <c r="O359" s="27" t="s">
        <v>1370</v>
      </c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3"/>
        <v>29</v>
      </c>
      <c r="M360" s="17">
        <f t="shared" si="24"/>
        <v>1</v>
      </c>
      <c r="N360" s="18">
        <f t="shared" si="25"/>
        <v>0.96666666666666667</v>
      </c>
      <c r="O360" s="27" t="s">
        <v>1370</v>
      </c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3"/>
        <v>29</v>
      </c>
      <c r="M361" s="17">
        <f t="shared" si="24"/>
        <v>1</v>
      </c>
      <c r="N361" s="18">
        <f t="shared" si="25"/>
        <v>0.96666666666666667</v>
      </c>
      <c r="O361" s="27" t="s">
        <v>1370</v>
      </c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3"/>
        <v>29</v>
      </c>
      <c r="M362" s="17">
        <f t="shared" si="24"/>
        <v>1</v>
      </c>
      <c r="N362" s="18">
        <f t="shared" si="25"/>
        <v>0.96666666666666667</v>
      </c>
      <c r="O362" s="27" t="s">
        <v>1370</v>
      </c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3"/>
        <v>29</v>
      </c>
      <c r="M363" s="17">
        <f t="shared" si="24"/>
        <v>1</v>
      </c>
      <c r="N363" s="18">
        <f t="shared" si="25"/>
        <v>0.96666666666666667</v>
      </c>
      <c r="O363" s="27" t="s">
        <v>1370</v>
      </c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1359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1360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141" priority="22" operator="lessThan">
      <formula>0.8</formula>
    </cfRule>
    <cfRule type="cellIs" dxfId="140" priority="23" operator="greaterThan">
      <formula>0.8</formula>
    </cfRule>
  </conditionalFormatting>
  <conditionalFormatting sqref="AS95:AS372">
    <cfRule type="notContainsText" dxfId="139" priority="20" operator="notContains" text="Caida">
      <formula>ISERROR(SEARCH("Caida",AS95))</formula>
    </cfRule>
    <cfRule type="containsText" dxfId="138" priority="21" operator="containsText" text="Caida">
      <formula>NOT(ISERROR(SEARCH("Caida",AS95)))</formula>
    </cfRule>
  </conditionalFormatting>
  <conditionalFormatting sqref="AS22">
    <cfRule type="containsText" dxfId="137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36" priority="17" operator="lessThan">
      <formula>0.8</formula>
    </cfRule>
    <cfRule type="cellIs" dxfId="135" priority="18" operator="greaterThan">
      <formula>0.8</formula>
    </cfRule>
  </conditionalFormatting>
  <conditionalFormatting sqref="AS5">
    <cfRule type="notContainsText" dxfId="134" priority="15" operator="notContains" text="Caida">
      <formula>ISERROR(SEARCH("Caida",AS5))</formula>
    </cfRule>
    <cfRule type="containsText" dxfId="133" priority="16" operator="containsText" text="Caida">
      <formula>NOT(ISERROR(SEARCH("Caida",AS5)))</formula>
    </cfRule>
  </conditionalFormatting>
  <conditionalFormatting sqref="AS1 AS5:AS372">
    <cfRule type="cellIs" dxfId="132" priority="14" operator="equal">
      <formula>"APAGADO"</formula>
    </cfRule>
  </conditionalFormatting>
  <conditionalFormatting sqref="AS6:AS92">
    <cfRule type="cellIs" dxfId="131" priority="12" operator="lessThan">
      <formula>0.8</formula>
    </cfRule>
    <cfRule type="cellIs" dxfId="130" priority="13" operator="greaterThan">
      <formula>0.8</formula>
    </cfRule>
  </conditionalFormatting>
  <conditionalFormatting sqref="AS6:AS92">
    <cfRule type="notContainsText" dxfId="129" priority="10" operator="notContains" text="Caida">
      <formula>ISERROR(SEARCH("Caida",AS6))</formula>
    </cfRule>
    <cfRule type="containsText" dxfId="128" priority="11" operator="containsText" text="Caida">
      <formula>NOT(ISERROR(SEARCH("Caida",AS6)))</formula>
    </cfRule>
  </conditionalFormatting>
  <conditionalFormatting sqref="AS93:AS94">
    <cfRule type="cellIs" dxfId="127" priority="8" operator="lessThan">
      <formula>0.8</formula>
    </cfRule>
    <cfRule type="cellIs" dxfId="126" priority="9" operator="greaterThan">
      <formula>0.8</formula>
    </cfRule>
  </conditionalFormatting>
  <conditionalFormatting sqref="AS93:AS94">
    <cfRule type="notContainsText" dxfId="125" priority="6" operator="notContains" text="Caida">
      <formula>ISERROR(SEARCH("Caida",AS93))</formula>
    </cfRule>
    <cfRule type="containsText" dxfId="124" priority="7" operator="containsText" text="Caida">
      <formula>NOT(ISERROR(SEARCH("Caida",AS93)))</formula>
    </cfRule>
  </conditionalFormatting>
  <conditionalFormatting sqref="AS5:AS372">
    <cfRule type="cellIs" dxfId="123" priority="5" operator="equal">
      <formula>"APAGADO"</formula>
    </cfRule>
  </conditionalFormatting>
  <conditionalFormatting sqref="AS373:AS379">
    <cfRule type="notContainsText" dxfId="122" priority="3" operator="notContains" text="Caida">
      <formula>ISERROR(SEARCH("Caida",AS373))</formula>
    </cfRule>
    <cfRule type="containsText" dxfId="121" priority="4" operator="containsText" text="Caida">
      <formula>NOT(ISERROR(SEARCH("Caida",AS373)))</formula>
    </cfRule>
  </conditionalFormatting>
  <conditionalFormatting sqref="AS373:AS379">
    <cfRule type="cellIs" dxfId="120" priority="2" operator="equal">
      <formula>"APAGADO"</formula>
    </cfRule>
  </conditionalFormatting>
  <conditionalFormatting sqref="AS373:AS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35</v>
      </c>
      <c r="G1" s="26">
        <f t="shared" si="0"/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27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3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5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0</v>
      </c>
      <c r="C3" s="54">
        <f>'APAGADOS FIBRA'!G2</f>
        <v>0</v>
      </c>
      <c r="D3" s="54">
        <f>'APAGADOS ANTENA'!G2</f>
        <v>0</v>
      </c>
      <c r="E3" s="54">
        <f t="shared" ref="E3" si="2">B3+C3</f>
        <v>0</v>
      </c>
      <c r="F3" s="54">
        <f>'RESUMEN TOTAL'!C1</f>
        <v>375</v>
      </c>
      <c r="G3" s="59">
        <f t="shared" si="1"/>
        <v>0</v>
      </c>
    </row>
    <row r="4" spans="1:7" x14ac:dyDescent="0.25">
      <c r="A4" s="25">
        <f>'APAGADOS RADIO'!H3</f>
        <v>44745</v>
      </c>
      <c r="B4" s="54">
        <f>'APAGADOS RADIO'!H2+D4</f>
        <v>0</v>
      </c>
      <c r="C4" s="54">
        <f>'APAGADOS FIBRA'!H2</f>
        <v>0</v>
      </c>
      <c r="D4" s="54">
        <f>'APAGADOS ANTENA'!H2</f>
        <v>0</v>
      </c>
      <c r="E4" s="54">
        <f t="shared" ref="E4" si="3">B4+C4</f>
        <v>0</v>
      </c>
      <c r="F4" s="54">
        <f>'RESUMEN TOTAL'!C1</f>
        <v>375</v>
      </c>
      <c r="G4" s="59">
        <f t="shared" ref="G4" si="4">E4/F4</f>
        <v>0</v>
      </c>
    </row>
    <row r="5" spans="1:7" x14ac:dyDescent="0.25">
      <c r="A5" s="25">
        <f>'APAGADOS RADIO'!I3</f>
        <v>44746</v>
      </c>
      <c r="B5" s="54">
        <f>'APAGADOS RADIO'!I2+D5</f>
        <v>0</v>
      </c>
      <c r="C5" s="54">
        <f>'APAGADOS FIBRA'!I2</f>
        <v>0</v>
      </c>
      <c r="D5" s="54">
        <f>'APAGADOS ANTENA'!I2</f>
        <v>0</v>
      </c>
      <c r="E5" s="54">
        <f t="shared" ref="E5:E7" si="5">B5+C5</f>
        <v>0</v>
      </c>
      <c r="F5" s="54">
        <f>'RESUMEN TOTAL'!C1</f>
        <v>375</v>
      </c>
      <c r="G5" s="59">
        <f t="shared" ref="G5:G7" si="6">E5/F5</f>
        <v>0</v>
      </c>
    </row>
    <row r="6" spans="1:7" x14ac:dyDescent="0.25">
      <c r="A6" s="25">
        <f>'APAGADOS RADIO'!J3</f>
        <v>44747</v>
      </c>
      <c r="B6" s="54">
        <f>'APAGADOS RADIO'!J2+D6</f>
        <v>0</v>
      </c>
      <c r="C6" s="54">
        <f>'APAGADOS FIBRA'!J2</f>
        <v>0</v>
      </c>
      <c r="D6" s="54">
        <f>'APAGADOS ANTENA'!J2</f>
        <v>0</v>
      </c>
      <c r="E6" s="54">
        <f t="shared" si="5"/>
        <v>0</v>
      </c>
      <c r="F6" s="54">
        <f>'RESUMEN TOTAL'!C1</f>
        <v>375</v>
      </c>
      <c r="G6" s="59">
        <f t="shared" si="6"/>
        <v>0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0</v>
      </c>
      <c r="C8" s="54">
        <f>'APAGADOS FIBRA'!L2</f>
        <v>0</v>
      </c>
      <c r="D8" s="54">
        <f>'APAGADOS ANTENA'!L2</f>
        <v>0</v>
      </c>
      <c r="E8" s="54">
        <f t="shared" ref="E8" si="7">B8+C8</f>
        <v>0</v>
      </c>
      <c r="F8" s="54">
        <f>'RESUMEN TOTAL'!C1</f>
        <v>375</v>
      </c>
      <c r="G8" s="59">
        <f t="shared" ref="G8" si="8">E8/F8</f>
        <v>0</v>
      </c>
    </row>
    <row r="9" spans="1:7" x14ac:dyDescent="0.25">
      <c r="A9" s="25">
        <f>'APAGADOS RADIO'!M3</f>
        <v>44750</v>
      </c>
      <c r="B9" s="54">
        <f>'APAGADOS RADIO'!M2+D9</f>
        <v>0</v>
      </c>
      <c r="C9" s="54">
        <f>'APAGADOS FIBRA'!M2</f>
        <v>0</v>
      </c>
      <c r="D9" s="54">
        <f>'APAGADOS ANTENA'!M2</f>
        <v>0</v>
      </c>
      <c r="E9" s="54">
        <f t="shared" ref="E9" si="9">B9+C9</f>
        <v>0</v>
      </c>
      <c r="F9" s="54">
        <f>'RESUMEN TOTAL'!C1</f>
        <v>375</v>
      </c>
      <c r="G9" s="59">
        <f t="shared" ref="G9" si="10">E9/F9</f>
        <v>0</v>
      </c>
    </row>
    <row r="10" spans="1:7" x14ac:dyDescent="0.25">
      <c r="A10" s="25">
        <f>'APAGADOS RADIO'!N3</f>
        <v>44751</v>
      </c>
      <c r="B10" s="54">
        <f>'APAGADOS RADIO'!N2+D10</f>
        <v>0</v>
      </c>
      <c r="C10" s="54">
        <f>'APAGADOS FIBRA'!N2</f>
        <v>0</v>
      </c>
      <c r="D10" s="54">
        <f>'APAGADOS ANTENA'!N2</f>
        <v>0</v>
      </c>
      <c r="E10" s="54">
        <f t="shared" ref="E10" si="11">B10+C10</f>
        <v>0</v>
      </c>
      <c r="F10" s="54">
        <f>'RESUMEN TOTAL'!C1</f>
        <v>375</v>
      </c>
      <c r="G10" s="59">
        <f t="shared" ref="G10" si="12">E10/F10</f>
        <v>0</v>
      </c>
    </row>
    <row r="11" spans="1:7" x14ac:dyDescent="0.25">
      <c r="A11" s="25">
        <f>'APAGADOS RADIO'!O3</f>
        <v>44752</v>
      </c>
      <c r="B11" s="54">
        <f>'APAGADOS RADIO'!O2+D11</f>
        <v>0</v>
      </c>
      <c r="C11" s="54">
        <f>'APAGADOS FIBRA'!O2</f>
        <v>0</v>
      </c>
      <c r="D11" s="54">
        <f>'APAGADOS ANTENA'!O2</f>
        <v>0</v>
      </c>
      <c r="E11" s="54">
        <f t="shared" ref="E11" si="13">B11+C11</f>
        <v>0</v>
      </c>
      <c r="F11" s="54">
        <f>'RESUMEN TOTAL'!C1</f>
        <v>375</v>
      </c>
      <c r="G11" s="59">
        <f t="shared" ref="G11" si="14">E11/F11</f>
        <v>0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1355</v>
      </c>
      <c r="M3" s="102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1356</v>
      </c>
      <c r="M4" s="103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1356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1357</v>
      </c>
      <c r="M6" s="104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1355</v>
      </c>
      <c r="M8" s="102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1356</v>
      </c>
      <c r="M9" s="103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1356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1356</v>
      </c>
      <c r="M11" s="103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1357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1355</v>
      </c>
      <c r="M16" s="99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1356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1356</v>
      </c>
      <c r="M18" s="100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1356</v>
      </c>
      <c r="M19" s="100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1357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1357</v>
      </c>
      <c r="M21" s="101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1355</v>
      </c>
      <c r="M24" s="99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1361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1356</v>
      </c>
      <c r="M26" s="100"/>
    </row>
    <row r="27" spans="1:13" ht="15.75" thickTop="1" x14ac:dyDescent="0.25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1356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1356</v>
      </c>
      <c r="M28" s="100"/>
    </row>
    <row r="29" spans="1:13" ht="15.75" thickBot="1" x14ac:dyDescent="0.3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1357</v>
      </c>
      <c r="M29" s="101"/>
    </row>
    <row r="30" spans="1:13" ht="15.75" thickTop="1" x14ac:dyDescent="0.25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1362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1361</v>
      </c>
    </row>
    <row r="34" spans="1:13" x14ac:dyDescent="0.25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1363</v>
      </c>
    </row>
    <row r="35" spans="1:13" x14ac:dyDescent="0.25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1356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1356</v>
      </c>
    </row>
    <row r="37" spans="1:13" ht="15.75" thickTop="1" x14ac:dyDescent="0.25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1356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1357</v>
      </c>
    </row>
    <row r="39" spans="1:13" ht="15.75" thickBot="1" x14ac:dyDescent="0.3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1365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1366</v>
      </c>
      <c r="M41" s="100"/>
    </row>
    <row r="42" spans="1:13" ht="15.75" thickTop="1" x14ac:dyDescent="0.25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1366</v>
      </c>
      <c r="M42" s="100"/>
    </row>
    <row r="43" spans="1:13" x14ac:dyDescent="0.25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1356</v>
      </c>
      <c r="M43" s="100"/>
    </row>
    <row r="44" spans="1:13" x14ac:dyDescent="0.25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1356</v>
      </c>
      <c r="M44" s="100"/>
    </row>
    <row r="45" spans="1:13" ht="15.75" thickBot="1" x14ac:dyDescent="0.3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1356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1367</v>
      </c>
    </row>
    <row r="48" spans="1:13" x14ac:dyDescent="0.25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1368</v>
      </c>
    </row>
    <row r="49" spans="7:12" x14ac:dyDescent="0.25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1369</v>
      </c>
    </row>
    <row r="50" spans="7:12" x14ac:dyDescent="0.25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1366</v>
      </c>
    </row>
    <row r="51" spans="7:12" x14ac:dyDescent="0.25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1356</v>
      </c>
    </row>
    <row r="52" spans="7:12" x14ac:dyDescent="0.25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1356</v>
      </c>
    </row>
    <row r="53" spans="7:12" x14ac:dyDescent="0.25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1356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2022-07-01T11:53:56Z</dcterms:modified>
</cp:coreProperties>
</file>