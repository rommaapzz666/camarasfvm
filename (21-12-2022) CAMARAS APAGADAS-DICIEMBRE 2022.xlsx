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C7A2A13C-0344-4303-9BE0-F5E9B626336F}" xr6:coauthVersionLast="47" xr6:coauthVersionMax="47" xr10:uidLastSave="{00000000-0000-0000-0000-000000000000}"/>
  <bookViews>
    <workbookView xWindow="-108" yWindow="-108" windowWidth="23256" windowHeight="13176" firstSheet="7" activeTab="14" xr2:uid="{00000000-000D-0000-FFFF-FFFF00000000}"/>
  </bookViews>
  <sheets>
    <sheet name="RESUMEN TOTAL" sheetId="2" r:id="rId1"/>
    <sheet name="Hoja4" sheetId="28" r:id="rId2"/>
    <sheet name="Hoja5" sheetId="29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informe" sheetId="24" r:id="rId11"/>
    <sheet name="Hoja2" sheetId="26" r:id="rId12"/>
    <sheet name="GRAFICO2" sheetId="16" r:id="rId13"/>
    <sheet name="AUXILIAR" sheetId="14" r:id="rId14"/>
    <sheet name="Hoja1" sheetId="25" r:id="rId15"/>
    <sheet name="Hoja3" sheetId="27" r:id="rId16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4" hidden="1">APAGADOS!$A$2:$AI$2</definedName>
    <definedName name="_xlnm._FilterDatabase" localSheetId="6" hidden="1">'APAGADOS ANTENA'!$A$3:$AI$454</definedName>
    <definedName name="_xlnm._FilterDatabase" localSheetId="5" hidden="1">'APAGADOS FIBRA'!$A$3:$AI$435</definedName>
    <definedName name="_xlnm._FilterDatabase" localSheetId="7" hidden="1">'APAGADOS RADIO'!$A$3:$AI$437</definedName>
    <definedName name="_xlnm._FilterDatabase" localSheetId="3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25" l="1"/>
  <c r="Y6" i="25" s="1"/>
  <c r="Y3" i="25"/>
  <c r="Y4" i="25" s="1"/>
  <c r="D33" i="24"/>
  <c r="C34" i="24"/>
  <c r="C35" i="24" s="1"/>
  <c r="F22" i="14"/>
  <c r="F21" i="14"/>
  <c r="D22" i="14"/>
  <c r="B22" i="14" s="1"/>
  <c r="D21" i="14"/>
  <c r="B21" i="14" s="1"/>
  <c r="C22" i="14"/>
  <c r="C21" i="14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D34" i="24" l="1"/>
  <c r="D35" i="24"/>
  <c r="C36" i="24"/>
  <c r="D36" i="24" s="1"/>
  <c r="E22" i="14"/>
  <c r="G22" i="14" s="1"/>
  <c r="E21" i="14"/>
  <c r="G21" i="1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7" i="14" l="1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Q2" i="10" l="1"/>
  <c r="C13" i="14" s="1"/>
  <c r="T2" i="10"/>
  <c r="C16" i="14" s="1"/>
  <c r="S2" i="10"/>
  <c r="C15" i="14" s="1"/>
  <c r="R2" i="1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H2" i="11"/>
  <c r="B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9" i="14" l="1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6" i="25"/>
  <c r="X383" i="8"/>
  <c r="X385" i="10" s="1"/>
  <c r="X2" i="10" s="1"/>
  <c r="C20" i="14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<sst xmlns="http://schemas.openxmlformats.org/spreadsheetml/2006/main" count="5376" uniqueCount="1310">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</sst>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19">
                  <c:v>23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19">
                        <c:v>0.10087719298245613</c:v>
                      </c:pt>
                      <c:pt idx="20">
                        <c:v>8.771929824561403E-2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19">
                        <c:v>6.7632850241545889E-2</c:v>
                      </c:pt>
                      <c:pt idx="20">
                        <c:v>7.7294685990338161E-2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19">
                  <c:v>0.10087719298245613</c:v>
                </c:pt>
                <c:pt idx="20">
                  <c:v>8.771929824561403E-2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19">
                  <c:v>6.7632850241545889E-2</c:v>
                </c:pt>
                <c:pt idx="20">
                  <c:v>7.7294685990338161E-2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AE222" activePane="bottomRight" state="frozen"/>
      <selection pane="topRight" activeCell="M1" sqref="M1"/>
      <selection pane="bottomLeft" activeCell="A5" sqref="A5"/>
      <selection pane="bottomRight" activeCell="B234" sqref="B234:G235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8.2758620689655171E-2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399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36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hidden="1" thickBot="1" x14ac:dyDescent="0.35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 t="s">
        <v>1307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 t="s">
        <v>1307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 t="s">
        <v>1307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 t="s">
        <v>1307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 t="s">
        <v>1307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 t="s">
        <v>1307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 t="s">
        <v>1307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 t="s">
        <v>1307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 t="s">
        <v>1307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 t="s">
        <v>1307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11</v>
      </c>
      <c r="I16" s="40">
        <f t="shared" si="4"/>
        <v>19</v>
      </c>
      <c r="J16" s="41">
        <f t="shared" si="5"/>
        <v>0.36666666666666664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 t="s">
        <v>1307</v>
      </c>
      <c r="Z16" s="20" t="s">
        <v>1307</v>
      </c>
      <c r="AA16" s="20" t="s">
        <v>1307</v>
      </c>
      <c r="AB16" s="20" t="s">
        <v>1307</v>
      </c>
      <c r="AC16" s="20" t="s">
        <v>1307</v>
      </c>
      <c r="AD16" s="20" t="s">
        <v>1307</v>
      </c>
      <c r="AE16" s="20" t="s">
        <v>1307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hidden="1" thickBot="1" x14ac:dyDescent="0.35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1307</v>
      </c>
      <c r="Z17" s="20" t="s">
        <v>1307</v>
      </c>
      <c r="AA17" s="20" t="s">
        <v>1307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hidden="1" thickBot="1" x14ac:dyDescent="0.35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1307</v>
      </c>
      <c r="Z18" s="20" t="s">
        <v>1307</v>
      </c>
      <c r="AA18" s="20" t="s">
        <v>1307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hidden="1" thickBot="1" x14ac:dyDescent="0.35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1307</v>
      </c>
      <c r="Z19" s="20" t="s">
        <v>1307</v>
      </c>
      <c r="AA19" s="20" t="s">
        <v>1307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hidden="1" thickBot="1" x14ac:dyDescent="0.35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1307</v>
      </c>
      <c r="Z20" s="20" t="s">
        <v>1307</v>
      </c>
      <c r="AA20" s="20" t="s">
        <v>1307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hidden="1" thickBot="1" x14ac:dyDescent="0.35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hidden="1" thickBot="1" x14ac:dyDescent="0.35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1307</v>
      </c>
      <c r="Z24" s="20" t="s">
        <v>1307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 t="s">
        <v>1307</v>
      </c>
      <c r="Z34" s="20" t="s">
        <v>1307</v>
      </c>
      <c r="AA34" s="20" t="s">
        <v>1307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10</v>
      </c>
      <c r="I40" s="40">
        <f t="shared" si="4"/>
        <v>21</v>
      </c>
      <c r="J40" s="41">
        <f t="shared" si="5"/>
        <v>0.32258064516129031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 t="s">
        <v>1307</v>
      </c>
      <c r="Z40" s="20" t="s">
        <v>1307</v>
      </c>
      <c r="AA40" s="20" t="s">
        <v>1307</v>
      </c>
      <c r="AB40" s="20" t="s">
        <v>1307</v>
      </c>
      <c r="AC40" s="20" t="s">
        <v>1307</v>
      </c>
      <c r="AD40" s="20" t="s">
        <v>1307</v>
      </c>
      <c r="AE40" s="20" t="s">
        <v>1307</v>
      </c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29</v>
      </c>
      <c r="I42" s="40">
        <f t="shared" si="4"/>
        <v>2</v>
      </c>
      <c r="J42" s="41">
        <f t="shared" si="5"/>
        <v>0.93548387096774188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1307</v>
      </c>
      <c r="AE42" s="20" t="s">
        <v>1307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10</v>
      </c>
      <c r="I48" s="40">
        <f t="shared" si="4"/>
        <v>21</v>
      </c>
      <c r="J48" s="41">
        <f t="shared" si="5"/>
        <v>0.32258064516129031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 t="s">
        <v>1307</v>
      </c>
      <c r="Z48" s="20" t="s">
        <v>1307</v>
      </c>
      <c r="AA48" s="20" t="s">
        <v>1307</v>
      </c>
      <c r="AB48" s="20" t="s">
        <v>1307</v>
      </c>
      <c r="AC48" s="20" t="s">
        <v>1307</v>
      </c>
      <c r="AD48" s="20" t="s">
        <v>1307</v>
      </c>
      <c r="AE48" s="20" t="s">
        <v>1307</v>
      </c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 t="s">
        <v>1307</v>
      </c>
      <c r="Z50" s="20" t="s">
        <v>1307</v>
      </c>
      <c r="AA50" s="20" t="s">
        <v>1307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 t="s">
        <v>1307</v>
      </c>
      <c r="Z52" s="20" t="s">
        <v>1307</v>
      </c>
      <c r="AA52" s="20" t="s">
        <v>1307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 t="s">
        <v>1307</v>
      </c>
      <c r="Z53" s="20" t="s">
        <v>1307</v>
      </c>
      <c r="AA53" s="20" t="s">
        <v>1307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 t="s">
        <v>1307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30</v>
      </c>
      <c r="I65" s="40">
        <f t="shared" si="4"/>
        <v>1</v>
      </c>
      <c r="J65" s="41">
        <f t="shared" si="5"/>
        <v>0.967741935483871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1307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1307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1307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10</v>
      </c>
      <c r="I75" s="40">
        <f t="shared" si="4"/>
        <v>21</v>
      </c>
      <c r="J75" s="41">
        <f t="shared" si="5"/>
        <v>0.32258064516129031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 t="s">
        <v>1307</v>
      </c>
      <c r="Z75" s="20" t="s">
        <v>1307</v>
      </c>
      <c r="AA75" s="20" t="s">
        <v>1307</v>
      </c>
      <c r="AB75" s="20" t="s">
        <v>1307</v>
      </c>
      <c r="AC75" s="20" t="s">
        <v>1307</v>
      </c>
      <c r="AD75" s="20" t="s">
        <v>1307</v>
      </c>
      <c r="AE75" s="20" t="s">
        <v>1307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 t="s">
        <v>1307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15</v>
      </c>
      <c r="I83" s="40">
        <f>COUNTIF(K83:AL83,"APAGADO")</f>
        <v>16</v>
      </c>
      <c r="J83" s="41">
        <f>(H83)/(I83+H83)</f>
        <v>0.4838709677419355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 t="s">
        <v>1307</v>
      </c>
      <c r="Z83" s="20" t="s">
        <v>1307</v>
      </c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 t="s">
        <v>1307</v>
      </c>
      <c r="Z84" s="20"/>
      <c r="AA84" s="20" t="s">
        <v>1307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1307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21</v>
      </c>
      <c r="I87" s="40">
        <f>COUNTIF(K87:AL87,"APAGADO")</f>
        <v>10</v>
      </c>
      <c r="J87" s="41">
        <f>(H87)/(I87+H87)</f>
        <v>0.67741935483870963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 t="s">
        <v>1307</v>
      </c>
      <c r="AB87" s="20" t="s">
        <v>1307</v>
      </c>
      <c r="AC87" s="20"/>
      <c r="AD87" s="20" t="s">
        <v>1307</v>
      </c>
      <c r="AE87" s="20" t="s">
        <v>1307</v>
      </c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23</v>
      </c>
      <c r="I88" s="40">
        <f t="shared" si="9"/>
        <v>8</v>
      </c>
      <c r="J88" s="41">
        <f t="shared" si="10"/>
        <v>0.74193548387096775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 t="s">
        <v>1307</v>
      </c>
      <c r="AB88" s="20" t="s">
        <v>1307</v>
      </c>
      <c r="AC88" s="20"/>
      <c r="AD88" s="20" t="s">
        <v>1307</v>
      </c>
      <c r="AE88" s="20" t="s">
        <v>1307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10</v>
      </c>
      <c r="I94" s="40">
        <f>COUNTIF(K94:AL94,"APAGADO")</f>
        <v>21</v>
      </c>
      <c r="J94" s="41">
        <f>(H94)/(I94+H94)</f>
        <v>0.32258064516129031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 t="s">
        <v>1307</v>
      </c>
      <c r="Z94" s="20" t="s">
        <v>1307</v>
      </c>
      <c r="AA94" s="20" t="s">
        <v>1307</v>
      </c>
      <c r="AB94" s="20" t="s">
        <v>1307</v>
      </c>
      <c r="AC94" s="20" t="s">
        <v>1307</v>
      </c>
      <c r="AD94" s="20" t="s">
        <v>1307</v>
      </c>
      <c r="AE94" s="20" t="s">
        <v>1307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 t="s">
        <v>1307</v>
      </c>
      <c r="Z100" s="20" t="s">
        <v>1307</v>
      </c>
      <c r="AA100" s="20" t="s">
        <v>1307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 t="s">
        <v>1307</v>
      </c>
      <c r="Z106" s="20" t="s">
        <v>1307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14</v>
      </c>
      <c r="I107" s="40">
        <f t="shared" si="9"/>
        <v>17</v>
      </c>
      <c r="J107" s="41">
        <f t="shared" si="10"/>
        <v>0.45161290322580644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 t="s">
        <v>1307</v>
      </c>
      <c r="Z107" s="20" t="s">
        <v>1307</v>
      </c>
      <c r="AA107" s="20" t="s">
        <v>1307</v>
      </c>
      <c r="AB107" s="20" t="s">
        <v>1307</v>
      </c>
      <c r="AC107" s="20" t="s">
        <v>1307</v>
      </c>
      <c r="AD107" s="20" t="s">
        <v>1307</v>
      </c>
      <c r="AE107" s="20" t="s">
        <v>1307</v>
      </c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 t="s">
        <v>1307</v>
      </c>
      <c r="AB116" s="20" t="s">
        <v>1307</v>
      </c>
      <c r="AC116" s="20" t="s">
        <v>1307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 t="s">
        <v>1307</v>
      </c>
      <c r="AB117" s="20" t="s">
        <v>1307</v>
      </c>
      <c r="AC117" s="20" t="s">
        <v>1307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 t="s">
        <v>1307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 t="s">
        <v>1307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 t="s">
        <v>1307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 t="s">
        <v>1307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11</v>
      </c>
      <c r="I124" s="40">
        <f t="shared" si="9"/>
        <v>20</v>
      </c>
      <c r="J124" s="41">
        <f t="shared" si="10"/>
        <v>0.35483870967741937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 t="s">
        <v>1307</v>
      </c>
      <c r="Z124" s="20" t="s">
        <v>1307</v>
      </c>
      <c r="AA124" s="20" t="s">
        <v>1307</v>
      </c>
      <c r="AB124" s="20" t="s">
        <v>1307</v>
      </c>
      <c r="AC124" s="20" t="s">
        <v>1307</v>
      </c>
      <c r="AD124" s="20" t="s">
        <v>1307</v>
      </c>
      <c r="AE124" s="20" t="s">
        <v>1307</v>
      </c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hidden="1" thickBot="1" x14ac:dyDescent="0.35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26</v>
      </c>
      <c r="I134" s="40">
        <f t="shared" si="9"/>
        <v>5</v>
      </c>
      <c r="J134" s="41">
        <f t="shared" si="10"/>
        <v>0.83870967741935487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1307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hidden="1" thickBot="1" x14ac:dyDescent="0.35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26</v>
      </c>
      <c r="I135" s="40">
        <f t="shared" si="9"/>
        <v>5</v>
      </c>
      <c r="J135" s="41">
        <f t="shared" si="10"/>
        <v>0.83870967741935487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1307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hidden="1" thickBot="1" x14ac:dyDescent="0.35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26</v>
      </c>
      <c r="I136" s="40">
        <f>COUNTIF(K136:AL136,"APAGADO")</f>
        <v>5</v>
      </c>
      <c r="J136" s="41">
        <f>(H136)/(I136+H136)</f>
        <v>0.83870967741935487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1307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hidden="1" thickBot="1" x14ac:dyDescent="0.35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26</v>
      </c>
      <c r="I137" s="40">
        <f>COUNTIF(K137:AL137,"APAGADO")</f>
        <v>5</v>
      </c>
      <c r="J137" s="41">
        <f>(H137)/(I137+H137)</f>
        <v>0.83870967741935487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1307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 t="s">
        <v>1307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 t="s">
        <v>1307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 t="s">
        <v>1307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11</v>
      </c>
      <c r="I177" s="40">
        <f t="shared" si="18"/>
        <v>20</v>
      </c>
      <c r="J177" s="41">
        <f t="shared" si="19"/>
        <v>0.35483870967741937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 t="s">
        <v>1307</v>
      </c>
      <c r="Z177" s="20" t="s">
        <v>1307</v>
      </c>
      <c r="AA177" s="20" t="s">
        <v>1307</v>
      </c>
      <c r="AB177" s="20" t="s">
        <v>1307</v>
      </c>
      <c r="AC177" s="20" t="s">
        <v>1307</v>
      </c>
      <c r="AD177" s="20" t="s">
        <v>1307</v>
      </c>
      <c r="AE177" s="20" t="s">
        <v>1307</v>
      </c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16</v>
      </c>
      <c r="I178" s="40">
        <f t="shared" si="18"/>
        <v>15</v>
      </c>
      <c r="J178" s="41">
        <f t="shared" si="19"/>
        <v>0.5161290322580645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 t="s">
        <v>1307</v>
      </c>
      <c r="Z178" s="20" t="s">
        <v>1307</v>
      </c>
      <c r="AA178" s="20" t="s">
        <v>1307</v>
      </c>
      <c r="AB178" s="20" t="s">
        <v>1307</v>
      </c>
      <c r="AC178" s="20"/>
      <c r="AD178" s="20" t="s">
        <v>1307</v>
      </c>
      <c r="AE178" s="20" t="s">
        <v>1307</v>
      </c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12</v>
      </c>
      <c r="I179" s="40">
        <f t="shared" si="18"/>
        <v>19</v>
      </c>
      <c r="J179" s="41">
        <f t="shared" si="19"/>
        <v>0.38709677419354838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 t="s">
        <v>1307</v>
      </c>
      <c r="Z179" s="20" t="s">
        <v>1307</v>
      </c>
      <c r="AA179" s="20" t="s">
        <v>1307</v>
      </c>
      <c r="AB179" s="20" t="s">
        <v>1307</v>
      </c>
      <c r="AC179" s="20" t="s">
        <v>1307</v>
      </c>
      <c r="AD179" s="20" t="s">
        <v>1307</v>
      </c>
      <c r="AE179" s="20" t="s">
        <v>1307</v>
      </c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 t="s">
        <v>1307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1158</v>
      </c>
      <c r="D184" t="s">
        <v>284</v>
      </c>
      <c r="E184" s="21"/>
      <c r="F184" s="39" t="s">
        <v>1150</v>
      </c>
      <c r="G184" t="s">
        <v>774</v>
      </c>
      <c r="H184" s="40">
        <f t="shared" si="17"/>
        <v>10</v>
      </c>
      <c r="I184" s="40">
        <f t="shared" si="18"/>
        <v>21</v>
      </c>
      <c r="J184" s="41">
        <f t="shared" si="19"/>
        <v>0.32258064516129031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 t="s">
        <v>1307</v>
      </c>
      <c r="Z184" s="20" t="s">
        <v>1307</v>
      </c>
      <c r="AA184" s="20" t="s">
        <v>1307</v>
      </c>
      <c r="AB184" s="20" t="s">
        <v>1307</v>
      </c>
      <c r="AC184" s="20" t="s">
        <v>1307</v>
      </c>
      <c r="AD184" s="20" t="s">
        <v>1307</v>
      </c>
      <c r="AE184" s="20" t="s">
        <v>1307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22</v>
      </c>
      <c r="I186" s="40">
        <f t="shared" si="18"/>
        <v>9</v>
      </c>
      <c r="J186" s="41">
        <f t="shared" si="19"/>
        <v>0.70967741935483875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1307</v>
      </c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hidden="1" thickBot="1" x14ac:dyDescent="0.35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12</v>
      </c>
      <c r="I187" s="40">
        <f t="shared" si="18"/>
        <v>19</v>
      </c>
      <c r="J187" s="41">
        <f t="shared" si="19"/>
        <v>0.38709677419354838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 t="s">
        <v>1307</v>
      </c>
      <c r="Z187" s="20" t="s">
        <v>1307</v>
      </c>
      <c r="AA187" s="20" t="s">
        <v>1307</v>
      </c>
      <c r="AB187" s="20" t="s">
        <v>1307</v>
      </c>
      <c r="AC187" s="20" t="s">
        <v>1307</v>
      </c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10</v>
      </c>
      <c r="I189" s="40">
        <f t="shared" si="18"/>
        <v>21</v>
      </c>
      <c r="J189" s="41">
        <f t="shared" si="19"/>
        <v>0.32258064516129031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 t="s">
        <v>1307</v>
      </c>
      <c r="Z189" s="20" t="s">
        <v>1307</v>
      </c>
      <c r="AA189" s="20" t="s">
        <v>1307</v>
      </c>
      <c r="AB189" s="20" t="s">
        <v>1307</v>
      </c>
      <c r="AC189" s="20" t="s">
        <v>1307</v>
      </c>
      <c r="AD189" s="20" t="s">
        <v>1307</v>
      </c>
      <c r="AE189" s="20" t="s">
        <v>1307</v>
      </c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hidden="1" thickBot="1" x14ac:dyDescent="0.35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1307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hidden="1" thickBot="1" x14ac:dyDescent="0.35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1307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hidden="1" thickBot="1" x14ac:dyDescent="0.35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 t="s">
        <v>1307</v>
      </c>
      <c r="Z195" s="20" t="s">
        <v>1307</v>
      </c>
      <c r="AA195" s="20" t="s">
        <v>1307</v>
      </c>
      <c r="AB195" s="20" t="s">
        <v>1307</v>
      </c>
      <c r="AC195" s="20" t="s">
        <v>1307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16</v>
      </c>
      <c r="I196" s="40">
        <f t="shared" si="18"/>
        <v>15</v>
      </c>
      <c r="J196" s="41">
        <f t="shared" si="19"/>
        <v>0.5161290322580645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 t="s">
        <v>1307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 t="s">
        <v>1307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 t="s">
        <v>1307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 t="s">
        <v>1307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10</v>
      </c>
      <c r="I200" s="40">
        <f>COUNTIF(K200:AL200,"APAGADO")</f>
        <v>21</v>
      </c>
      <c r="J200" s="41">
        <f>(H200)/(I200+H200)</f>
        <v>0.32258064516129031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 t="s">
        <v>1307</v>
      </c>
      <c r="Z200" s="20" t="s">
        <v>1307</v>
      </c>
      <c r="AA200" s="20" t="s">
        <v>1307</v>
      </c>
      <c r="AB200" s="20" t="s">
        <v>1307</v>
      </c>
      <c r="AC200" s="20" t="s">
        <v>1307</v>
      </c>
      <c r="AD200" s="20" t="s">
        <v>1307</v>
      </c>
      <c r="AE200" s="20" t="s">
        <v>1307</v>
      </c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 t="s">
        <v>1307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30</v>
      </c>
      <c r="I206" s="40">
        <f t="shared" si="18"/>
        <v>1</v>
      </c>
      <c r="J206" s="41">
        <f t="shared" si="19"/>
        <v>0.967741935483871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1307</v>
      </c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30</v>
      </c>
      <c r="I208" s="40">
        <f t="shared" si="18"/>
        <v>1</v>
      </c>
      <c r="J208" s="41">
        <f t="shared" si="19"/>
        <v>0.967741935483871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1307</v>
      </c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hidden="1" thickBot="1" x14ac:dyDescent="0.35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 t="s">
        <v>1307</v>
      </c>
      <c r="AB210" s="20" t="s">
        <v>1307</v>
      </c>
      <c r="AC210" s="20" t="s">
        <v>1307</v>
      </c>
      <c r="AD210" s="20" t="s">
        <v>1307</v>
      </c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10</v>
      </c>
      <c r="I214" s="40">
        <f t="shared" si="18"/>
        <v>21</v>
      </c>
      <c r="J214" s="41">
        <f t="shared" si="19"/>
        <v>0.32258064516129031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 t="s">
        <v>1307</v>
      </c>
      <c r="Z214" s="20" t="s">
        <v>1307</v>
      </c>
      <c r="AA214" s="20" t="s">
        <v>1307</v>
      </c>
      <c r="AB214" s="20" t="s">
        <v>1307</v>
      </c>
      <c r="AC214" s="20" t="s">
        <v>1307</v>
      </c>
      <c r="AD214" s="20" t="s">
        <v>1307</v>
      </c>
      <c r="AE214" s="20" t="s">
        <v>1307</v>
      </c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hidden="1" thickBot="1" x14ac:dyDescent="0.35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 t="s">
        <v>1307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 t="s">
        <v>1307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hidden="1" thickBot="1" x14ac:dyDescent="0.35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hidden="1" thickBot="1" x14ac:dyDescent="0.35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1307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hidden="1" thickBot="1" x14ac:dyDescent="0.35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1307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10</v>
      </c>
      <c r="I231" s="40">
        <f t="shared" si="18"/>
        <v>21</v>
      </c>
      <c r="J231" s="41">
        <f t="shared" si="19"/>
        <v>0.32258064516129031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 t="s">
        <v>1307</v>
      </c>
      <c r="Z231" s="20" t="s">
        <v>1307</v>
      </c>
      <c r="AA231" s="20" t="s">
        <v>1307</v>
      </c>
      <c r="AB231" s="20" t="s">
        <v>1307</v>
      </c>
      <c r="AC231" s="20" t="s">
        <v>1307</v>
      </c>
      <c r="AD231" s="20" t="s">
        <v>1307</v>
      </c>
      <c r="AE231" s="20" t="s">
        <v>1307</v>
      </c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17</v>
      </c>
      <c r="I234" s="40">
        <f t="shared" si="18"/>
        <v>14</v>
      </c>
      <c r="J234" s="41">
        <f t="shared" si="19"/>
        <v>0.54838709677419351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 t="s">
        <v>1307</v>
      </c>
      <c r="Z234" s="20" t="s">
        <v>1307</v>
      </c>
      <c r="AA234" s="20" t="s">
        <v>1307</v>
      </c>
      <c r="AB234" s="20" t="s">
        <v>1307</v>
      </c>
      <c r="AC234" s="20" t="s">
        <v>1307</v>
      </c>
      <c r="AD234" s="20" t="s">
        <v>1307</v>
      </c>
      <c r="AE234" s="20" t="s">
        <v>1307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17</v>
      </c>
      <c r="I235" s="40">
        <f t="shared" si="18"/>
        <v>14</v>
      </c>
      <c r="J235" s="41">
        <f t="shared" si="19"/>
        <v>0.54838709677419351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 t="s">
        <v>1307</v>
      </c>
      <c r="Z235" s="20" t="s">
        <v>1307</v>
      </c>
      <c r="AA235" s="20" t="s">
        <v>1307</v>
      </c>
      <c r="AB235" s="20" t="s">
        <v>1307</v>
      </c>
      <c r="AC235" s="20" t="s">
        <v>1307</v>
      </c>
      <c r="AD235" s="20" t="s">
        <v>1307</v>
      </c>
      <c r="AE235" s="20" t="s">
        <v>1307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11</v>
      </c>
      <c r="I238" s="40">
        <f t="shared" si="23"/>
        <v>20</v>
      </c>
      <c r="J238" s="41">
        <f t="shared" si="24"/>
        <v>0.35483870967741937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 t="s">
        <v>1307</v>
      </c>
      <c r="Z238" s="20" t="s">
        <v>1307</v>
      </c>
      <c r="AA238" s="20" t="s">
        <v>1307</v>
      </c>
      <c r="AB238" s="20" t="s">
        <v>1307</v>
      </c>
      <c r="AC238" s="20" t="s">
        <v>1307</v>
      </c>
      <c r="AD238" s="20" t="s">
        <v>1307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 t="s">
        <v>1307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hidden="1" thickBot="1" x14ac:dyDescent="0.35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21</v>
      </c>
      <c r="I243" s="40">
        <f t="shared" si="23"/>
        <v>10</v>
      </c>
      <c r="J243" s="41">
        <f t="shared" si="24"/>
        <v>0.67741935483870963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 t="s">
        <v>1307</v>
      </c>
      <c r="AB243" s="20"/>
      <c r="AC243" s="20" t="s">
        <v>1307</v>
      </c>
      <c r="AD243" s="20" t="s">
        <v>1307</v>
      </c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17</v>
      </c>
      <c r="I245" s="40">
        <f t="shared" si="23"/>
        <v>14</v>
      </c>
      <c r="J245" s="41">
        <f t="shared" si="24"/>
        <v>0.54838709677419351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 t="s">
        <v>1307</v>
      </c>
      <c r="Z245" s="20" t="s">
        <v>1307</v>
      </c>
      <c r="AA245" s="20" t="s">
        <v>1307</v>
      </c>
      <c r="AB245" s="20" t="s">
        <v>1307</v>
      </c>
      <c r="AC245" s="20" t="s">
        <v>1307</v>
      </c>
      <c r="AD245" s="20" t="s">
        <v>1307</v>
      </c>
      <c r="AE245" s="20" t="s">
        <v>1307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1307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hidden="1" thickBot="1" x14ac:dyDescent="0.35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1307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1307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1307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 t="s">
        <v>1307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 t="s">
        <v>1307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hidden="1" thickBot="1" x14ac:dyDescent="0.35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1307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hidden="1" thickBot="1" x14ac:dyDescent="0.35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1307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hidden="1" thickBot="1" x14ac:dyDescent="0.35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1307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hidden="1" thickBot="1" x14ac:dyDescent="0.35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1307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hidden="1" thickBot="1" x14ac:dyDescent="0.35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 t="s">
        <v>1307</v>
      </c>
      <c r="Z258" s="20"/>
      <c r="AA258" s="20" t="s">
        <v>1307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1307</v>
      </c>
      <c r="Z259" s="20" t="s">
        <v>1307</v>
      </c>
      <c r="AA259" s="20" t="s">
        <v>1307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hidden="1" thickBot="1" x14ac:dyDescent="0.35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1307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hidden="1" thickBot="1" x14ac:dyDescent="0.35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1307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hidden="1" thickBot="1" x14ac:dyDescent="0.35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1307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hidden="1" thickBot="1" x14ac:dyDescent="0.35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1307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hidden="1" thickBot="1" x14ac:dyDescent="0.35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1307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hidden="1" thickBot="1" x14ac:dyDescent="0.35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1307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10</v>
      </c>
      <c r="I269" s="40">
        <f t="shared" si="23"/>
        <v>21</v>
      </c>
      <c r="J269" s="41">
        <f t="shared" si="24"/>
        <v>0.32258064516129031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 t="s">
        <v>1307</v>
      </c>
      <c r="Z269" s="20" t="s">
        <v>1307</v>
      </c>
      <c r="AA269" s="20" t="s">
        <v>1307</v>
      </c>
      <c r="AB269" s="20" t="s">
        <v>1307</v>
      </c>
      <c r="AC269" s="20" t="s">
        <v>1307</v>
      </c>
      <c r="AD269" s="20" t="s">
        <v>1307</v>
      </c>
      <c r="AE269" s="20" t="s">
        <v>1307</v>
      </c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10</v>
      </c>
      <c r="I270" s="40">
        <f t="shared" si="23"/>
        <v>21</v>
      </c>
      <c r="J270" s="41">
        <f t="shared" si="24"/>
        <v>0.32258064516129031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 t="s">
        <v>1307</v>
      </c>
      <c r="Z270" s="20" t="s">
        <v>1307</v>
      </c>
      <c r="AA270" s="20" t="s">
        <v>1307</v>
      </c>
      <c r="AB270" s="20" t="s">
        <v>1307</v>
      </c>
      <c r="AC270" s="20" t="s">
        <v>1307</v>
      </c>
      <c r="AD270" s="20" t="s">
        <v>1307</v>
      </c>
      <c r="AE270" s="20" t="s">
        <v>1307</v>
      </c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 t="s">
        <v>1307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29</v>
      </c>
      <c r="I285" s="40">
        <f>COUNTIF(K285:AL285,"APAGADO")</f>
        <v>2</v>
      </c>
      <c r="J285" s="41">
        <f>(H285)/(I285+H285)</f>
        <v>0.93548387096774188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1307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27</v>
      </c>
      <c r="I304" s="40">
        <f t="shared" si="26"/>
        <v>4</v>
      </c>
      <c r="J304" s="41">
        <f t="shared" si="27"/>
        <v>0.87096774193548387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 t="s">
        <v>1307</v>
      </c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1307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1307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1307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1307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hidden="1" thickBot="1" x14ac:dyDescent="0.35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1307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hidden="1" thickBot="1" x14ac:dyDescent="0.35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29</v>
      </c>
      <c r="I327" s="40">
        <f t="shared" si="26"/>
        <v>2</v>
      </c>
      <c r="J327" s="41">
        <f t="shared" si="27"/>
        <v>0.93548387096774188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 t="s">
        <v>1307</v>
      </c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1307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hidden="1" thickBot="1" x14ac:dyDescent="0.35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 t="s">
        <v>1307</v>
      </c>
      <c r="Z342" s="20" t="s">
        <v>1307</v>
      </c>
      <c r="AA342" s="20" t="s">
        <v>1307</v>
      </c>
      <c r="AB342" s="20" t="s">
        <v>1307</v>
      </c>
      <c r="AC342" s="20" t="s">
        <v>1307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hidden="1" thickBot="1" x14ac:dyDescent="0.35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 t="s">
        <v>1307</v>
      </c>
      <c r="Z343" s="20" t="s">
        <v>1307</v>
      </c>
      <c r="AA343" s="20" t="s">
        <v>1307</v>
      </c>
      <c r="AB343" s="20" t="s">
        <v>1307</v>
      </c>
      <c r="AC343" s="20" t="s">
        <v>1307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hidden="1" thickBot="1" x14ac:dyDescent="0.35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 t="s">
        <v>1307</v>
      </c>
      <c r="Z344" s="20" t="s">
        <v>1307</v>
      </c>
      <c r="AA344" s="20" t="s">
        <v>1307</v>
      </c>
      <c r="AB344" s="20" t="s">
        <v>1307</v>
      </c>
      <c r="AC344" s="20" t="s">
        <v>1307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 t="s">
        <v>1307</v>
      </c>
      <c r="Z345" s="20" t="s">
        <v>1307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16</v>
      </c>
      <c r="I346" s="40">
        <f t="shared" si="26"/>
        <v>15</v>
      </c>
      <c r="J346" s="41">
        <f t="shared" si="27"/>
        <v>0.5161290322580645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 t="s">
        <v>1307</v>
      </c>
      <c r="Z346" s="20" t="s">
        <v>1307</v>
      </c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1307</v>
      </c>
      <c r="Z347" s="20" t="s">
        <v>1307</v>
      </c>
      <c r="AA347" s="20" t="s">
        <v>1307</v>
      </c>
      <c r="AB347" s="20" t="s">
        <v>1307</v>
      </c>
      <c r="AC347" s="20" t="s">
        <v>1307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1307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hidden="1" thickBot="1" x14ac:dyDescent="0.35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hidden="1" thickBot="1" x14ac:dyDescent="0.35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hidden="1" thickBot="1" x14ac:dyDescent="0.35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hidden="1" thickBot="1" x14ac:dyDescent="0.35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25</v>
      </c>
      <c r="I371" s="40">
        <f t="shared" si="26"/>
        <v>6</v>
      </c>
      <c r="J371" s="41">
        <f t="shared" si="27"/>
        <v>0.80645161290322576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1307</v>
      </c>
      <c r="Z371" s="20" t="s">
        <v>1307</v>
      </c>
      <c r="AA371" s="20"/>
      <c r="AB371" s="20" t="s">
        <v>1307</v>
      </c>
      <c r="AC371" s="20" t="s">
        <v>1307</v>
      </c>
      <c r="AD371" s="20" t="s">
        <v>1307</v>
      </c>
      <c r="AE371" s="20" t="s">
        <v>1307</v>
      </c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1307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1307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18</v>
      </c>
      <c r="I376" s="40">
        <f t="shared" si="26"/>
        <v>13</v>
      </c>
      <c r="J376" s="41">
        <f t="shared" si="27"/>
        <v>0.58064516129032262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 t="s">
        <v>1307</v>
      </c>
      <c r="AB376" s="20" t="s">
        <v>1307</v>
      </c>
      <c r="AC376" s="20" t="s">
        <v>1307</v>
      </c>
      <c r="AD376" s="20" t="s">
        <v>1307</v>
      </c>
      <c r="AE376" s="20" t="s">
        <v>1307</v>
      </c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1307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1307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1307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1307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1307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1307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19</v>
      </c>
      <c r="I392" s="40">
        <f t="shared" si="31"/>
        <v>12</v>
      </c>
      <c r="J392" s="41">
        <f t="shared" si="32"/>
        <v>0.61290322580645162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 t="s">
        <v>1307</v>
      </c>
      <c r="AB392" s="20" t="s">
        <v>1307</v>
      </c>
      <c r="AC392" s="20" t="s">
        <v>1307</v>
      </c>
      <c r="AD392" s="20" t="s">
        <v>1307</v>
      </c>
      <c r="AE392" s="20" t="s">
        <v>1307</v>
      </c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19</v>
      </c>
      <c r="I393" s="40">
        <f t="shared" si="31"/>
        <v>12</v>
      </c>
      <c r="J393" s="41">
        <f t="shared" si="32"/>
        <v>0.61290322580645162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 t="s">
        <v>1307</v>
      </c>
      <c r="AB393" s="20" t="s">
        <v>1307</v>
      </c>
      <c r="AC393" s="20" t="s">
        <v>1307</v>
      </c>
      <c r="AD393" s="20" t="s">
        <v>1307</v>
      </c>
      <c r="AE393" s="20" t="s">
        <v>1307</v>
      </c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 t="s">
        <v>1307</v>
      </c>
      <c r="Z408" s="20" t="s">
        <v>1307</v>
      </c>
      <c r="AA408" s="20"/>
      <c r="AB408" s="20" t="s">
        <v>1307</v>
      </c>
      <c r="AC408" s="20" t="s">
        <v>1307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1307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1307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1307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1307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hidden="1" thickBot="1" x14ac:dyDescent="0.35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 t="s">
        <v>1307</v>
      </c>
      <c r="Z423" s="20" t="s">
        <v>1307</v>
      </c>
      <c r="AA423" s="20" t="s">
        <v>1307</v>
      </c>
      <c r="AB423" s="20" t="s">
        <v>1307</v>
      </c>
      <c r="AC423" s="20" t="s">
        <v>1307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1307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hidden="1" thickBot="1" x14ac:dyDescent="0.35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 t="s">
        <v>1307</v>
      </c>
      <c r="Z438" s="20" t="s">
        <v>1307</v>
      </c>
      <c r="AA438" s="20" t="s">
        <v>1307</v>
      </c>
      <c r="AB438" s="20" t="s">
        <v>1307</v>
      </c>
      <c r="AC438" s="20" t="s">
        <v>1307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>
    <filterColumn colId="30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442 E444:G1048576 E443:F443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DE47-DD1C-4045-9BEA-37DE193B7E7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56A0-8093-41EB-9874-663315E95CC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K1" workbookViewId="0">
      <selection activeCell="E2" sqref="E2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 t="str">
        <f>'RESUMEN TOTAL'!AE16</f>
        <v>APAGADO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 t="str">
        <f>'RESUMEN TOTAL'!AE40</f>
        <v>APAGADO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 t="str">
        <f>'RESUMEN TOTAL'!AE42</f>
        <v>APAGADO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 t="str">
        <f>'RESUMEN TOTAL'!AE48</f>
        <v>APAGADO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 t="str">
        <f>'RESUMEN TOTAL'!AE75</f>
        <v>APAGADO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 t="str">
        <f>'RESUMEN TOTAL'!AE87</f>
        <v>APAGADO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 t="str">
        <f>'RESUMEN TOTAL'!AE88</f>
        <v>APAGADO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 t="str">
        <f>'RESUMEN TOTAL'!AE94</f>
        <v>APAGADO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 t="str">
        <f>'RESUMEN TOTAL'!Y106</f>
        <v>APAGADO</v>
      </c>
      <c r="U102" t="str">
        <f>'RESUMEN TOTAL'!Z106</f>
        <v>APAGADO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3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 t="str">
        <f>'RESUMEN TOTAL'!Y107</f>
        <v>APAGADO</v>
      </c>
      <c r="U103" t="str">
        <f>'RESUMEN TOTAL'!Z107</f>
        <v>APAGADO</v>
      </c>
      <c r="V103" t="str">
        <f>'RESUMEN TOTAL'!AA107</f>
        <v>APAGADO</v>
      </c>
      <c r="W103" t="str">
        <f>'RESUMEN TOTAL'!AB107</f>
        <v>APAGADO</v>
      </c>
      <c r="X103" t="str">
        <f>'RESUMEN TOTAL'!AC107</f>
        <v>APAGADO</v>
      </c>
      <c r="Y103" t="str">
        <f>'RESUMEN TOTAL'!AD107</f>
        <v>APAGADO</v>
      </c>
      <c r="Z103" t="str">
        <f>'RESUMEN TOTAL'!AE107</f>
        <v>APAGADO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3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3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3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3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3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3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3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3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3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 t="str">
        <f>'RESUMEN TOTAL'!AA116</f>
        <v>APAGADO</v>
      </c>
      <c r="W112" t="str">
        <f>'RESUMEN TOTAL'!AB116</f>
        <v>APAGADO</v>
      </c>
      <c r="X112" t="str">
        <f>'RESUMEN TOTAL'!AC116</f>
        <v>APAGADO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3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 t="str">
        <f>'RESUMEN TOTAL'!AA117</f>
        <v>APAGADO</v>
      </c>
      <c r="W113" t="str">
        <f>'RESUMEN TOTAL'!AB117</f>
        <v>APAGADO</v>
      </c>
      <c r="X113" t="str">
        <f>'RESUMEN TOTAL'!AC117</f>
        <v>APAGADO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3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3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3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 t="str">
        <f>'RESUMEN TOTAL'!AE120</f>
        <v>APAGADO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3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 t="str">
        <f>'RESUMEN TOTAL'!AE121</f>
        <v>APAGADO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3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 t="str">
        <f>'RESUMEN TOTAL'!AE122</f>
        <v>APAGADO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3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 t="str">
        <f>'RESUMEN TOTAL'!AE123</f>
        <v>APAGADO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3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 t="str">
        <f>'RESUMEN TOTAL'!Y124</f>
        <v>APAGADO</v>
      </c>
      <c r="U121" t="str">
        <f>'RESUMEN TOTAL'!Z124</f>
        <v>APAGADO</v>
      </c>
      <c r="V121" t="str">
        <f>'RESUMEN TOTAL'!AA124</f>
        <v>APAGADO</v>
      </c>
      <c r="W121" t="str">
        <f>'RESUMEN TOTAL'!AB124</f>
        <v>APAGADO</v>
      </c>
      <c r="X121" t="str">
        <f>'RESUMEN TOTAL'!AC124</f>
        <v>APAGADO</v>
      </c>
      <c r="Y121" t="str">
        <f>'RESUMEN TOTAL'!AD124</f>
        <v>APAGADO</v>
      </c>
      <c r="Z121" t="str">
        <f>'RESUMEN TOTAL'!AE124</f>
        <v>APAGADO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3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3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 t="str">
        <f>'RESUMEN TOTAL'!AD134</f>
        <v>APAGADO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3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 t="str">
        <f>'RESUMEN TOTAL'!AD135</f>
        <v>APAGADO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3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 t="str">
        <f>'RESUMEN TOTAL'!AD136</f>
        <v>APAGADO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 t="str">
        <f>'RESUMEN TOTAL'!AD137</f>
        <v>APAGADO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3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3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3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 t="str">
        <f>'RESUMEN TOTAL'!AE140</f>
        <v>APAGADO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3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 t="str">
        <f>'RESUMEN TOTAL'!AE141</f>
        <v>APAGADO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3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3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3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3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3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3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3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3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3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3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3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3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3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3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3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3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3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3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3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3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3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3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3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3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3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3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3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3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3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3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3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3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3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 t="str">
        <f>'RESUMEN TOTAL'!Y174</f>
        <v>APAGADO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3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3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3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 t="str">
        <f>'RESUMEN TOTAL'!Y177</f>
        <v>APAGADO</v>
      </c>
      <c r="U173" t="str">
        <f>'RESUMEN TOTAL'!Z177</f>
        <v>APAGADO</v>
      </c>
      <c r="V173" t="str">
        <f>'RESUMEN TOTAL'!AA177</f>
        <v>APAGADO</v>
      </c>
      <c r="W173" t="str">
        <f>'RESUMEN TOTAL'!AB177</f>
        <v>APAGADO</v>
      </c>
      <c r="X173" t="str">
        <f>'RESUMEN TOTAL'!AC177</f>
        <v>APAGADO</v>
      </c>
      <c r="Y173" t="str">
        <f>'RESUMEN TOTAL'!AD177</f>
        <v>APAGADO</v>
      </c>
      <c r="Z173" t="str">
        <f>'RESUMEN TOTAL'!AE177</f>
        <v>APAGADO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3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 t="str">
        <f>'RESUMEN TOTAL'!Y178</f>
        <v>APAGADO</v>
      </c>
      <c r="U174" t="str">
        <f>'RESUMEN TOTAL'!Z178</f>
        <v>APAGADO</v>
      </c>
      <c r="V174" t="str">
        <f>'RESUMEN TOTAL'!AA178</f>
        <v>APAGADO</v>
      </c>
      <c r="W174" t="str">
        <f>'RESUMEN TOTAL'!AB178</f>
        <v>APAGADO</v>
      </c>
      <c r="X174">
        <f>'RESUMEN TOTAL'!AC178</f>
        <v>0</v>
      </c>
      <c r="Y174" t="str">
        <f>'RESUMEN TOTAL'!AD178</f>
        <v>APAGADO</v>
      </c>
      <c r="Z174" t="str">
        <f>'RESUMEN TOTAL'!AE178</f>
        <v>APAGADO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3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 t="str">
        <f>'RESUMEN TOTAL'!Y179</f>
        <v>APAGADO</v>
      </c>
      <c r="U175" t="str">
        <f>'RESUMEN TOTAL'!Z179</f>
        <v>APAGADO</v>
      </c>
      <c r="V175" t="str">
        <f>'RESUMEN TOTAL'!AA179</f>
        <v>APAGADO</v>
      </c>
      <c r="W175" t="str">
        <f>'RESUMEN TOTAL'!AB179</f>
        <v>APAGADO</v>
      </c>
      <c r="X175" t="str">
        <f>'RESUMEN TOTAL'!AC179</f>
        <v>APAGADO</v>
      </c>
      <c r="Y175" t="str">
        <f>'RESUMEN TOTAL'!AD179</f>
        <v>APAGADO</v>
      </c>
      <c r="Z175" t="str">
        <f>'RESUMEN TOTAL'!AE179</f>
        <v>APAGADO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3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3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 t="str">
        <f>'RESUMEN TOTAL'!Y181</f>
        <v>APAGADO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3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3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3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e">
        <f>'RESUMEN TOTAL'!#REF!</f>
        <v>#REF!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 t="str">
        <f>'RESUMEN TOTAL'!Y184</f>
        <v>APAGADO</v>
      </c>
      <c r="U180" t="str">
        <f>'RESUMEN TOTAL'!Z184</f>
        <v>APAGADO</v>
      </c>
      <c r="V180" t="str">
        <f>'RESUMEN TOTAL'!AA184</f>
        <v>APAGADO</v>
      </c>
      <c r="W180" t="str">
        <f>'RESUMEN TOTAL'!AB184</f>
        <v>APAGADO</v>
      </c>
      <c r="X180" t="str">
        <f>'RESUMEN TOTAL'!AC184</f>
        <v>APAGADO</v>
      </c>
      <c r="Y180" t="str">
        <f>'RESUMEN TOTAL'!AD184</f>
        <v>APAGADO</v>
      </c>
      <c r="Z180" t="str">
        <f>'RESUMEN TOTAL'!AE184</f>
        <v>APAGADO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3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3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 t="str">
        <f>'RESUMEN TOTAL'!AD186</f>
        <v>APAGADO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3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 t="str">
        <f>'RESUMEN TOTAL'!Y187</f>
        <v>APAGADO</v>
      </c>
      <c r="U183" t="str">
        <f>'RESUMEN TOTAL'!Z187</f>
        <v>APAGADO</v>
      </c>
      <c r="V183" t="str">
        <f>'RESUMEN TOTAL'!AA187</f>
        <v>APAGADO</v>
      </c>
      <c r="W183" t="str">
        <f>'RESUMEN TOTAL'!AB187</f>
        <v>APAGADO</v>
      </c>
      <c r="X183" t="str">
        <f>'RESUMEN TOTAL'!AC187</f>
        <v>APAGADO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3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3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 t="str">
        <f>'RESUMEN TOTAL'!Y189</f>
        <v>APAGADO</v>
      </c>
      <c r="U185" t="str">
        <f>'RESUMEN TOTAL'!Z189</f>
        <v>APAGADO</v>
      </c>
      <c r="V185" t="str">
        <f>'RESUMEN TOTAL'!AA189</f>
        <v>APAGADO</v>
      </c>
      <c r="W185" t="str">
        <f>'RESUMEN TOTAL'!AB189</f>
        <v>APAGADO</v>
      </c>
      <c r="X185" t="str">
        <f>'RESUMEN TOTAL'!AC189</f>
        <v>APAGADO</v>
      </c>
      <c r="Y185" t="str">
        <f>'RESUMEN TOTAL'!AD189</f>
        <v>APAGADO</v>
      </c>
      <c r="Z185" t="str">
        <f>'RESUMEN TOTAL'!AE189</f>
        <v>APAGADO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3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 t="str">
        <f>'RESUMEN TOTAL'!AA190</f>
        <v>APAGADO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3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 t="str">
        <f>'RESUMEN TOTAL'!AA191</f>
        <v>APAGADO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3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3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3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3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 t="str">
        <f>'RESUMEN TOTAL'!Y195</f>
        <v>APAGADO</v>
      </c>
      <c r="U191" t="str">
        <f>'RESUMEN TOTAL'!Z195</f>
        <v>APAGADO</v>
      </c>
      <c r="V191" t="str">
        <f>'RESUMEN TOTAL'!AA195</f>
        <v>APAGADO</v>
      </c>
      <c r="W191" t="str">
        <f>'RESUMEN TOTAL'!AB195</f>
        <v>APAGADO</v>
      </c>
      <c r="X191" t="str">
        <f>'RESUMEN TOTAL'!AC195</f>
        <v>APAGADO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3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 t="str">
        <f>'RESUMEN TOTAL'!Y196</f>
        <v>APAGADO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3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 t="str">
        <f>'RESUMEN TOTAL'!Y197</f>
        <v>APAGADO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3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3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 t="str">
        <f>'RESUMEN TOTAL'!Y199</f>
        <v>APAGADO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3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 t="str">
        <f>'RESUMEN TOTAL'!Y200</f>
        <v>APAGADO</v>
      </c>
      <c r="U196" t="str">
        <f>'RESUMEN TOTAL'!Z200</f>
        <v>APAGADO</v>
      </c>
      <c r="V196" t="str">
        <f>'RESUMEN TOTAL'!AA200</f>
        <v>APAGADO</v>
      </c>
      <c r="W196" t="str">
        <f>'RESUMEN TOTAL'!AB200</f>
        <v>APAGADO</v>
      </c>
      <c r="X196" t="str">
        <f>'RESUMEN TOTAL'!AC200</f>
        <v>APAGADO</v>
      </c>
      <c r="Y196" t="str">
        <f>'RESUMEN TOTAL'!AD200</f>
        <v>APAGADO</v>
      </c>
      <c r="Z196" t="str">
        <f>'RESUMEN TOTAL'!AE200</f>
        <v>APAGADO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3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 t="str">
        <f>'RESUMEN TOTAL'!Y201</f>
        <v>APAGADO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3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3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3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3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3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 t="str">
        <f>'RESUMEN TOTAL'!AB206</f>
        <v>APAGADO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3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3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 t="str">
        <f>'RESUMEN TOTAL'!AB208</f>
        <v>APAGADO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3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3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 t="str">
        <f>'RESUMEN TOTAL'!AA210</f>
        <v>APAGADO</v>
      </c>
      <c r="W206" t="str">
        <f>'RESUMEN TOTAL'!AB210</f>
        <v>APAGADO</v>
      </c>
      <c r="X206" t="str">
        <f>'RESUMEN TOTAL'!AC210</f>
        <v>APAGADO</v>
      </c>
      <c r="Y206" t="str">
        <f>'RESUMEN TOTAL'!AD210</f>
        <v>APAGADO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3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3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3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3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 t="str">
        <f>'RESUMEN TOTAL'!Y214</f>
        <v>APAGADO</v>
      </c>
      <c r="U210" t="str">
        <f>'RESUMEN TOTAL'!Z214</f>
        <v>APAGADO</v>
      </c>
      <c r="V210" t="str">
        <f>'RESUMEN TOTAL'!AA214</f>
        <v>APAGADO</v>
      </c>
      <c r="W210" t="str">
        <f>'RESUMEN TOTAL'!AB214</f>
        <v>APAGADO</v>
      </c>
      <c r="X210" t="str">
        <f>'RESUMEN TOTAL'!AC214</f>
        <v>APAGADO</v>
      </c>
      <c r="Y210" t="str">
        <f>'RESUMEN TOTAL'!AD214</f>
        <v>APAGADO</v>
      </c>
      <c r="Z210" t="str">
        <f>'RESUMEN TOTAL'!AE214</f>
        <v>APAGADO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3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3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3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3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3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3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3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3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 t="str">
        <f>'RESUMEN TOTAL'!AE222</f>
        <v>APAGADO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3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 t="str">
        <f>'RESUMEN TOTAL'!AE223</f>
        <v>APAGADO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3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3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3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3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3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3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 t="str">
        <f>'RESUMEN TOTAL'!AA229</f>
        <v>APAGADO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3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 t="str">
        <f>'RESUMEN TOTAL'!AA230</f>
        <v>APAGADO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3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 t="str">
        <f>'RESUMEN TOTAL'!Y231</f>
        <v>APAGADO</v>
      </c>
      <c r="U227" t="str">
        <f>'RESUMEN TOTAL'!Z231</f>
        <v>APAGADO</v>
      </c>
      <c r="V227" t="str">
        <f>'RESUMEN TOTAL'!AA231</f>
        <v>APAGADO</v>
      </c>
      <c r="W227" t="str">
        <f>'RESUMEN TOTAL'!AB231</f>
        <v>APAGADO</v>
      </c>
      <c r="X227" t="str">
        <f>'RESUMEN TOTAL'!AC231</f>
        <v>APAGADO</v>
      </c>
      <c r="Y227" t="str">
        <f>'RESUMEN TOTAL'!AD231</f>
        <v>APAGADO</v>
      </c>
      <c r="Z227" t="str">
        <f>'RESUMEN TOTAL'!AE231</f>
        <v>APAGADO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3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3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3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 t="str">
        <f>'RESUMEN TOTAL'!Y234</f>
        <v>APAGADO</v>
      </c>
      <c r="U230" t="str">
        <f>'RESUMEN TOTAL'!Z234</f>
        <v>APAGADO</v>
      </c>
      <c r="V230" t="str">
        <f>'RESUMEN TOTAL'!AA234</f>
        <v>APAGADO</v>
      </c>
      <c r="W230" t="str">
        <f>'RESUMEN TOTAL'!AB234</f>
        <v>APAGADO</v>
      </c>
      <c r="X230" t="str">
        <f>'RESUMEN TOTAL'!AC234</f>
        <v>APAGADO</v>
      </c>
      <c r="Y230" t="str">
        <f>'RESUMEN TOTAL'!AD234</f>
        <v>APAGADO</v>
      </c>
      <c r="Z230" t="str">
        <f>'RESUMEN TOTAL'!AE234</f>
        <v>APAGADO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3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 t="str">
        <f>'RESUMEN TOTAL'!AA235</f>
        <v>APAGADO</v>
      </c>
      <c r="W231" t="str">
        <f>'RESUMEN TOTAL'!AB235</f>
        <v>APAGADO</v>
      </c>
      <c r="X231" t="str">
        <f>'RESUMEN TOTAL'!AC235</f>
        <v>APAGADO</v>
      </c>
      <c r="Y231" t="str">
        <f>'RESUMEN TOTAL'!AD235</f>
        <v>APAGADO</v>
      </c>
      <c r="Z231" t="str">
        <f>'RESUMEN TOTAL'!AE235</f>
        <v>APAGADO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3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3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3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 t="str">
        <f>'RESUMEN TOTAL'!Y238</f>
        <v>APAGADO</v>
      </c>
      <c r="U234" t="str">
        <f>'RESUMEN TOTAL'!Z238</f>
        <v>APAGADO</v>
      </c>
      <c r="V234" t="str">
        <f>'RESUMEN TOTAL'!AA238</f>
        <v>APAGADO</v>
      </c>
      <c r="W234" t="str">
        <f>'RESUMEN TOTAL'!AB238</f>
        <v>APAGADO</v>
      </c>
      <c r="X234" t="str">
        <f>'RESUMEN TOTAL'!AC238</f>
        <v>APAGADO</v>
      </c>
      <c r="Y234" t="str">
        <f>'RESUMEN TOTAL'!AD238</f>
        <v>APAGADO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3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 t="str">
        <f>'RESUMEN TOTAL'!AE239</f>
        <v>APAGADO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3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3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3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3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 t="str">
        <f>'RESUMEN TOTAL'!AA243</f>
        <v>APAGADO</v>
      </c>
      <c r="W239">
        <f>'RESUMEN TOTAL'!AB243</f>
        <v>0</v>
      </c>
      <c r="X239" t="str">
        <f>'RESUMEN TOTAL'!AC243</f>
        <v>APAGADO</v>
      </c>
      <c r="Y239" t="str">
        <f>'RESUMEN TOTAL'!AD243</f>
        <v>APAGADO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3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3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 t="str">
        <f>'RESUMEN TOTAL'!Y245</f>
        <v>APAGADO</v>
      </c>
      <c r="U241" t="str">
        <f>'RESUMEN TOTAL'!Z245</f>
        <v>APAGADO</v>
      </c>
      <c r="V241" t="str">
        <f>'RESUMEN TOTAL'!AA245</f>
        <v>APAGADO</v>
      </c>
      <c r="W241" t="str">
        <f>'RESUMEN TOTAL'!AB245</f>
        <v>APAGADO</v>
      </c>
      <c r="X241" t="str">
        <f>'RESUMEN TOTAL'!AC245</f>
        <v>APAGADO</v>
      </c>
      <c r="Y241" t="str">
        <f>'RESUMEN TOTAL'!AD245</f>
        <v>APAGADO</v>
      </c>
      <c r="Z241" t="str">
        <f>'RESUMEN TOTAL'!AE245</f>
        <v>APAGADO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3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3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3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 t="str">
        <f>'RESUMEN TOTAL'!AA248</f>
        <v>APAGADO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3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 t="str">
        <f>'RESUMEN TOTAL'!AA249</f>
        <v>APAGADO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3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 t="str">
        <f>'RESUMEN TOTAL'!AA250</f>
        <v>APAGADO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3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 t="str">
        <f>'RESUMEN TOTAL'!AA251</f>
        <v>APAGADO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3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 t="str">
        <f>'RESUMEN TOTAL'!AA252</f>
        <v>APAGADO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3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 t="str">
        <f>'RESUMEN TOTAL'!AA253</f>
        <v>APAGADO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3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 t="str">
        <f>'RESUMEN TOTAL'!AA254</f>
        <v>APAGADO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3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 t="str">
        <f>'RESUMEN TOTAL'!AA255</f>
        <v>APAGADO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3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 t="str">
        <f>'RESUMEN TOTAL'!AA256</f>
        <v>APAGADO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3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 t="str">
        <f>'RESUMEN TOTAL'!AA257</f>
        <v>APAGADO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3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 t="str">
        <f>'RESUMEN TOTAL'!Y258</f>
        <v>APAGADO</v>
      </c>
      <c r="U254">
        <f>'RESUMEN TOTAL'!Z258</f>
        <v>0</v>
      </c>
      <c r="V254" t="str">
        <f>'RESUMEN TOTAL'!AA258</f>
        <v>APAGADO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3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 t="str">
        <f>'RESUMEN TOTAL'!AA259</f>
        <v>APAGADO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3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 t="str">
        <f>'RESUMEN TOTAL'!AA260</f>
        <v>APAGADO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3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 t="str">
        <f>'RESUMEN TOTAL'!AA261</f>
        <v>APAGADO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3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 t="str">
        <f>'RESUMEN TOTAL'!AA262</f>
        <v>APAGADO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3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 t="str">
        <f>'RESUMEN TOTAL'!AA263</f>
        <v>APAGADO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3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 t="str">
        <f>'RESUMEN TOTAL'!AA264</f>
        <v>APAGADO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3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3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3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3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 t="str">
        <f>'RESUMEN TOTAL'!Y269</f>
        <v>APAGADO</v>
      </c>
      <c r="U264" t="str">
        <f>'RESUMEN TOTAL'!Z269</f>
        <v>APAGADO</v>
      </c>
      <c r="V264" t="str">
        <f>'RESUMEN TOTAL'!AA269</f>
        <v>APAGADO</v>
      </c>
      <c r="W264" t="str">
        <f>'RESUMEN TOTAL'!AB269</f>
        <v>APAGADO</v>
      </c>
      <c r="X264" t="str">
        <f>'RESUMEN TOTAL'!AC269</f>
        <v>APAGADO</v>
      </c>
      <c r="Y264" t="str">
        <f>'RESUMEN TOTAL'!AD269</f>
        <v>APAGADO</v>
      </c>
      <c r="Z264" t="str">
        <f>'RESUMEN TOTAL'!AE269</f>
        <v>APAGADO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3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 t="str">
        <f>'RESUMEN TOTAL'!Y270</f>
        <v>APAGADO</v>
      </c>
      <c r="U265" t="str">
        <f>'RESUMEN TOTAL'!Z270</f>
        <v>APAGADO</v>
      </c>
      <c r="V265" t="str">
        <f>'RESUMEN TOTAL'!AA270</f>
        <v>APAGADO</v>
      </c>
      <c r="W265" t="str">
        <f>'RESUMEN TOTAL'!AB270</f>
        <v>APAGADO</v>
      </c>
      <c r="X265" t="str">
        <f>'RESUMEN TOTAL'!AC270</f>
        <v>APAGADO</v>
      </c>
      <c r="Y265" t="str">
        <f>'RESUMEN TOTAL'!AD270</f>
        <v>APAGADO</v>
      </c>
      <c r="Z265" t="str">
        <f>'RESUMEN TOTAL'!AE270</f>
        <v>APAGADO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3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3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3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3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3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3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3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3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3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3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3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 t="str">
        <f>'RESUMEN TOTAL'!Y281</f>
        <v>APAGADO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3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3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3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3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 t="str">
        <f>'RESUMEN TOTAL'!AC285</f>
        <v>APAGADO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3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3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3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3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3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3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3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3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3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3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3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3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3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3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3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3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3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3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3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 t="str">
        <f>'RESUMEN TOTAL'!AA304</f>
        <v>APAGADO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3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 t="str">
        <f>'RESUMEN TOTAL'!Z305</f>
        <v>APAGADO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3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 t="str">
        <f>'RESUMEN TOTAL'!Z306</f>
        <v>APAGADO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3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 t="str">
        <f>'RESUMEN TOTAL'!Z307</f>
        <v>APAGADO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3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 t="str">
        <f>'RESUMEN TOTAL'!Z308</f>
        <v>APAGADO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3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3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3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3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 t="str">
        <f>'RESUMEN TOTAL'!Z312</f>
        <v>APAGADO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3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3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3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3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3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3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3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3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3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3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3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3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3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3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3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 t="str">
        <f>'RESUMEN TOTAL'!AD327</f>
        <v>APAGADO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3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3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3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3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3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3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3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3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3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3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3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 t="str">
        <f>'RESUMEN TOTAL'!AB338</f>
        <v>APAGADO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3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3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3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3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 t="str">
        <f>'RESUMEN TOTAL'!Y342</f>
        <v>APAGADO</v>
      </c>
      <c r="U337" t="str">
        <f>'RESUMEN TOTAL'!Z342</f>
        <v>APAGADO</v>
      </c>
      <c r="V337" t="str">
        <f>'RESUMEN TOTAL'!AA342</f>
        <v>APAGADO</v>
      </c>
      <c r="W337" t="str">
        <f>'RESUMEN TOTAL'!AB342</f>
        <v>APAGADO</v>
      </c>
      <c r="X337" t="str">
        <f>'RESUMEN TOTAL'!AC342</f>
        <v>APAGADO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3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 t="str">
        <f>'RESUMEN TOTAL'!Y343</f>
        <v>APAGADO</v>
      </c>
      <c r="U338" t="str">
        <f>'RESUMEN TOTAL'!Z343</f>
        <v>APAGADO</v>
      </c>
      <c r="V338" t="str">
        <f>'RESUMEN TOTAL'!AA343</f>
        <v>APAGADO</v>
      </c>
      <c r="W338" t="str">
        <f>'RESUMEN TOTAL'!AB343</f>
        <v>APAGADO</v>
      </c>
      <c r="X338" t="str">
        <f>'RESUMEN TOTAL'!AC343</f>
        <v>APAGADO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3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 t="str">
        <f>'RESUMEN TOTAL'!Y344</f>
        <v>APAGADO</v>
      </c>
      <c r="U339" t="str">
        <f>'RESUMEN TOTAL'!Z344</f>
        <v>APAGADO</v>
      </c>
      <c r="V339" t="str">
        <f>'RESUMEN TOTAL'!AA344</f>
        <v>APAGADO</v>
      </c>
      <c r="W339" t="str">
        <f>'RESUMEN TOTAL'!AB344</f>
        <v>APAGADO</v>
      </c>
      <c r="X339" t="str">
        <f>'RESUMEN TOTAL'!AC344</f>
        <v>APAGADO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3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 t="str">
        <f>'RESUMEN TOTAL'!Y345</f>
        <v>APAGADO</v>
      </c>
      <c r="U340" t="str">
        <f>'RESUMEN TOTAL'!Z345</f>
        <v>APAGADO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3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 t="str">
        <f>'RESUMEN TOTAL'!Y346</f>
        <v>APAGADO</v>
      </c>
      <c r="U341" t="str">
        <f>'RESUMEN TOTAL'!Z346</f>
        <v>APAGADO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3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 t="str">
        <f>'RESUMEN TOTAL'!Y347</f>
        <v>APAGADO</v>
      </c>
      <c r="U342" t="str">
        <f>'RESUMEN TOTAL'!Z347</f>
        <v>APAGADO</v>
      </c>
      <c r="V342" t="str">
        <f>'RESUMEN TOTAL'!AA347</f>
        <v>APAGADO</v>
      </c>
      <c r="W342" t="str">
        <f>'RESUMEN TOTAL'!AB347</f>
        <v>APAGADO</v>
      </c>
      <c r="X342" t="str">
        <f>'RESUMEN TOTAL'!AC347</f>
        <v>APAGADO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3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3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3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3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3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3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3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3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3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 t="str">
        <f>'RESUMEN TOTAL'!AA356</f>
        <v>APAGADO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3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3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3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3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3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3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3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3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3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3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3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3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3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3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3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 t="str">
        <f>'RESUMEN TOTAL'!Y371</f>
        <v>APAGADO</v>
      </c>
      <c r="U366" t="str">
        <f>'RESUMEN TOTAL'!Z371</f>
        <v>APAGADO</v>
      </c>
      <c r="V366">
        <f>'RESUMEN TOTAL'!AA371</f>
        <v>0</v>
      </c>
      <c r="W366" t="str">
        <f>'RESUMEN TOTAL'!AB371</f>
        <v>APAGADO</v>
      </c>
      <c r="X366" t="str">
        <f>'RESUMEN TOTAL'!AC371</f>
        <v>APAGADO</v>
      </c>
      <c r="Y366" t="str">
        <f>'RESUMEN TOTAL'!AD371</f>
        <v>APAGADO</v>
      </c>
      <c r="Z366" t="str">
        <f>'RESUMEN TOTAL'!AE371</f>
        <v>APAGADO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3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 t="str">
        <f>'RESUMEN TOTAL'!Y372</f>
        <v>APAGADO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3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 t="str">
        <f>'RESUMEN TOTAL'!Y373</f>
        <v>APAGADO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3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3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3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 t="str">
        <f>'RESUMEN TOTAL'!AA376</f>
        <v>APAGADO</v>
      </c>
      <c r="W371" t="str">
        <f>'RESUMEN TOTAL'!AB376</f>
        <v>APAGADO</v>
      </c>
      <c r="X371" t="str">
        <f>'RESUMEN TOTAL'!AC376</f>
        <v>APAGADO</v>
      </c>
      <c r="Y371" t="str">
        <f>'RESUMEN TOTAL'!AD376</f>
        <v>APAGADO</v>
      </c>
      <c r="Z371" t="str">
        <f>'RESUMEN TOTAL'!AE376</f>
        <v>APAGADO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3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3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3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 t="str">
        <f>'RESUMEN TOTAL'!Y379</f>
        <v>APAGADO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3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3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 t="str">
        <f>'RESUMEN TOTAL'!AD381</f>
        <v>APAGADO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3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3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3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 t="str">
        <f>'RESUMEN TOTAL'!Y384</f>
        <v>APAGADO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3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3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3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 t="str">
        <f>'RESUMEN TOTAL'!Y387</f>
        <v>APAGADO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3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3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3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 t="str">
        <f>'RESUMEN TOTAL'!Y390</f>
        <v>APAGADO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3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 t="str">
        <f>'RESUMEN TOTAL'!Y391</f>
        <v>APAGADO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3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 t="str">
        <f>'RESUMEN TOTAL'!AA392</f>
        <v>APAGADO</v>
      </c>
      <c r="W387" t="str">
        <f>'RESUMEN TOTAL'!AB392</f>
        <v>APAGADO</v>
      </c>
      <c r="X387" t="str">
        <f>'RESUMEN TOTAL'!AC392</f>
        <v>APAGADO</v>
      </c>
      <c r="Y387" t="str">
        <f>'RESUMEN TOTAL'!AD392</f>
        <v>APAGADO</v>
      </c>
      <c r="Z387" t="str">
        <f>'RESUMEN TOTAL'!AE392</f>
        <v>APAGADO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3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 t="str">
        <f>'RESUMEN TOTAL'!AA393</f>
        <v>APAGADO</v>
      </c>
      <c r="W388" t="str">
        <f>'RESUMEN TOTAL'!AB393</f>
        <v>APAGADO</v>
      </c>
      <c r="X388" t="str">
        <f>'RESUMEN TOTAL'!AC393</f>
        <v>APAGADO</v>
      </c>
      <c r="Y388" t="str">
        <f>'RESUMEN TOTAL'!AD393</f>
        <v>APAGADO</v>
      </c>
      <c r="Z388" t="str">
        <f>'RESUMEN TOTAL'!AE393</f>
        <v>APAGADO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3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3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3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3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3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3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3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3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3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3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3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3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3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3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 t="str">
        <f>'RESUMEN TOTAL'!Y408</f>
        <v>APAGADO</v>
      </c>
      <c r="U402" t="str">
        <f>'RESUMEN TOTAL'!Z408</f>
        <v>APAGADO</v>
      </c>
      <c r="V402">
        <f>'RESUMEN TOTAL'!AA408</f>
        <v>0</v>
      </c>
      <c r="W402" t="str">
        <f>'RESUMEN TOTAL'!AB408</f>
        <v>APAGADO</v>
      </c>
      <c r="X402" t="str">
        <f>'RESUMEN TOTAL'!AC408</f>
        <v>APAGADO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3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3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 t="str">
        <f>'RESUMEN TOTAL'!AA410</f>
        <v>APAGADO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3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 t="str">
        <f>'RESUMEN TOTAL'!AA411</f>
        <v>APAGADO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3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 t="str">
        <f>'RESUMEN TOTAL'!AA412</f>
        <v>APAGADO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3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 t="str">
        <f>'RESUMEN TOTAL'!AA413</f>
        <v>APAGADO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3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3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3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3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3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3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3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3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3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3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 t="str">
        <f>'RESUMEN TOTAL'!Y423</f>
        <v>APAGADO</v>
      </c>
      <c r="U417" t="str">
        <f>'RESUMEN TOTAL'!Z423</f>
        <v>APAGADO</v>
      </c>
      <c r="V417" t="str">
        <f>'RESUMEN TOTAL'!AA423</f>
        <v>APAGADO</v>
      </c>
      <c r="W417" t="str">
        <f>'RESUMEN TOTAL'!AB423</f>
        <v>APAGADO</v>
      </c>
      <c r="X417" t="str">
        <f>'RESUMEN TOTAL'!AC423</f>
        <v>APAGADO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3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3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3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3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3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 t="str">
        <f>'RESUMEN TOTAL'!AA428</f>
        <v>APAGADO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3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3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3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3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3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3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3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3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3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 t="str">
        <f>'RESUMEN TOTAL'!Y438</f>
        <v>APAGADO</v>
      </c>
      <c r="U431" t="str">
        <f>'RESUMEN TOTAL'!Z438</f>
        <v>APAGADO</v>
      </c>
      <c r="V431" t="str">
        <f>'RESUMEN TOTAL'!AA438</f>
        <v>APAGADO</v>
      </c>
      <c r="W431" t="str">
        <f>'RESUMEN TOTAL'!AB438</f>
        <v>APAGADO</v>
      </c>
      <c r="X431" t="str">
        <f>'RESUMEN TOTAL'!AC438</f>
        <v>APAGADO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3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3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3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3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3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3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3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3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3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3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3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36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 t="str">
        <f>ESTADISTICA!V103</f>
        <v>APAGADO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 t="str">
        <f>ESTADISTICA!Z136</f>
        <v>APAGADO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 t="str">
        <f>ESTADISTICA!Z137</f>
        <v>APAGADO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 t="str">
        <f>ESTADISTICA!T170</f>
        <v>APAGADO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>
        <f>ESTADISTICA!X174</f>
        <v>0</v>
      </c>
      <c r="Y175" t="str">
        <f>ESTADISTICA!Y174</f>
        <v>APAGADO</v>
      </c>
      <c r="Z175" t="str">
        <f>ESTADISTICA!Z174</f>
        <v>APAGADO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e">
        <f>ESTADISTICA!D180</f>
        <v>#REF!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 t="str">
        <f>ESTADISTICA!Y182</f>
        <v>APAGADO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 t="str">
        <f>ESTADISTICA!Z219</f>
        <v>APAGADO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 t="str">
        <f>ESTADISTICA!V225</f>
        <v>APAGADO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 t="str">
        <f>ESTADISTICA!U230</f>
        <v>APAGADO</v>
      </c>
      <c r="V231" t="str">
        <f>ESTADISTICA!V230</f>
        <v>APAGADO</v>
      </c>
      <c r="W231" t="str">
        <f>ESTADISTICA!W230</f>
        <v>APAGADO</v>
      </c>
      <c r="X231" t="str">
        <f>ESTADISTICA!X230</f>
        <v>APAGADO</v>
      </c>
      <c r="Y231" t="str">
        <f>ESTADISTICA!Y230</f>
        <v>APAGADO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 t="str">
        <f>ESTADISTICA!V239</f>
        <v>APAGADO</v>
      </c>
      <c r="W240">
        <f>ESTADISTICA!W239</f>
        <v>0</v>
      </c>
      <c r="X240" t="str">
        <f>ESTADISTICA!X239</f>
        <v>APAGADO</v>
      </c>
      <c r="Y240" t="str">
        <f>ESTADISTICA!Y239</f>
        <v>APAGADO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 t="str">
        <f>ESTADISTICA!V245</f>
        <v>APAGADO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 t="str">
        <f>ESTADISTICA!T264</f>
        <v>APAGADO</v>
      </c>
      <c r="U265" t="str">
        <f>ESTADISTICA!U264</f>
        <v>APAGADO</v>
      </c>
      <c r="V265" t="str">
        <f>ESTADISTICA!V264</f>
        <v>APAGADO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 t="str">
        <f>ESTADISTICA!T276</f>
        <v>APAGADO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 t="str">
        <f>ESTADISTICA!V299</f>
        <v>APAGADO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 t="str">
        <f>ESTADISTICA!U307</f>
        <v>APAGADO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 t="str">
        <f>ESTADISTICA!Y322</f>
        <v>APAGADO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 t="str">
        <f>ESTADISTICA!W337</f>
        <v>APAGADO</v>
      </c>
      <c r="X338" t="str">
        <f>ESTADISTICA!X337</f>
        <v>APAGADO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 t="str">
        <f>ESTADISTICA!W338</f>
        <v>APAGADO</v>
      </c>
      <c r="X339" t="str">
        <f>ESTADISTICA!X338</f>
        <v>APAGADO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 t="str">
        <f>ESTADISTICA!U342</f>
        <v>APAGADO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 t="str">
        <f>ESTADISTICA!T374</f>
        <v>APAGADO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 t="str">
        <f>ESTADISTICA!Y376</f>
        <v>APAGADO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 t="str">
        <f>ESTADISTICA!T379</f>
        <v>APAGADO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 t="str">
        <f>ESTADISTICA!T382</f>
        <v>APAGADO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 t="str">
        <f>ESTADISTICA!T385</f>
        <v>APAGADO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 t="str">
        <f>ESTADISTICA!T386</f>
        <v>APAGADO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 t="str">
        <f>ESTADISTICA!V387</f>
        <v>APAGADO</v>
      </c>
      <c r="W388" t="str">
        <f>ESTADISTICA!W387</f>
        <v>APAGADO</v>
      </c>
      <c r="X388" t="str">
        <f>ESTADISTICA!X387</f>
        <v>APAGADO</v>
      </c>
      <c r="Y388" t="str">
        <f>ESTADISTICA!Y387</f>
        <v>APAGADO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 t="str">
        <f>ESTADISTICA!V388</f>
        <v>APAGADO</v>
      </c>
      <c r="W389" t="str">
        <f>ESTADISTICA!W388</f>
        <v>APAGADO</v>
      </c>
      <c r="X389" t="str">
        <f>ESTADISTICA!X388</f>
        <v>APAGADO</v>
      </c>
      <c r="Y389" t="str">
        <f>ESTADISTICA!Y388</f>
        <v>APAGADO</v>
      </c>
      <c r="Z389" t="str">
        <f>ESTADISTICA!Z388</f>
        <v>APAGADO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 t="str">
        <f>ESTADISTICA!V404</f>
        <v>APAGADO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 t="str">
        <f>ESTADISTICA!V405</f>
        <v>APAGADO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 t="str">
        <f>ESTADISTICA!X417</f>
        <v>APAGADO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 t="str">
        <f>ESTADISTICA!T431</f>
        <v>APAGADO</v>
      </c>
      <c r="U432" t="str">
        <f>ESTADISTICA!U431</f>
        <v>APAGADO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985</v>
      </c>
      <c r="D1" s="37">
        <f>COUNTIFS(E4:E400,"=Fibra Optica")</f>
        <v>268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32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 t="str">
        <f>ESTADISTICA!Y103</f>
        <v>APAGADO</v>
      </c>
      <c r="Z105" t="str">
        <f>ESTADISTICA!Z103</f>
        <v>APAGADO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 t="str">
        <f>ESTADISTICA!Z116</f>
        <v>APAGADO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 t="str">
        <f>ESTADISTICA!Z218</f>
        <v>APAGADO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 t="str">
        <f>ESTADISTICA!Z219</f>
        <v>APAGADO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 t="str">
        <f>ESTADISTICA!Z235</f>
        <v>APAGADO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 t="str">
        <f>ESTADISTICA!Y264</f>
        <v>APAGADO</v>
      </c>
      <c r="Z266" t="str">
        <f>ESTADISTICA!Z264</f>
        <v>APAGADO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 t="str">
        <f>ESTADISTICA!Y265</f>
        <v>APAGADO</v>
      </c>
      <c r="Z267" t="str">
        <f>ESTADISTICA!Z265</f>
        <v>APAGADO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 t="str">
        <f>ESTADISTICA!Y371</f>
        <v>APAGADO</v>
      </c>
      <c r="Z373" t="str">
        <f>ESTADISTICA!Z371</f>
        <v>APAGADO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 t="str">
        <f>ESTADISTICA!Y376</f>
        <v>APAGADO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 t="str">
        <f>ESTADISTICA!Y387</f>
        <v>APAGADO</v>
      </c>
      <c r="Z389" t="str">
        <f>ESTADISTICA!Z387</f>
        <v>APAGADO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 t="str">
        <f>ESTADISTICA!Y388</f>
        <v>APAGADO</v>
      </c>
      <c r="Z390" t="str">
        <f>ESTADISTICA!Z388</f>
        <v>APAGADO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1160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1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 t="str">
        <f>ESTADISTICA!Y103</f>
        <v>APAGADO</v>
      </c>
      <c r="Z105" t="str">
        <f>ESTADISTICA!Z103</f>
        <v>APAGADO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 t="str">
        <f>ESTADISTICA!Z116</f>
        <v>APAGADO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 t="str">
        <f>ESTADISTICA!Z218</f>
        <v>APAGADO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 t="str">
        <f>ESTADISTICA!Z219</f>
        <v>APAGADO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 t="str">
        <f>ESTADISTICA!Z235</f>
        <v>APAGADO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 t="str">
        <f>ESTADISTICA!Y264</f>
        <v>APAGADO</v>
      </c>
      <c r="Z266" t="str">
        <f>ESTADISTICA!Z264</f>
        <v>APAGADO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 t="str">
        <f>ESTADISTICA!Y265</f>
        <v>APAGADO</v>
      </c>
      <c r="Z267" t="str">
        <f>ESTADISTICA!Z265</f>
        <v>APAGADO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 t="str">
        <f>ESTADISTICA!Y371</f>
        <v>APAGADO</v>
      </c>
      <c r="Z373" t="str">
        <f>ESTADISTICA!Z371</f>
        <v>APAGADO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 t="str">
        <f>ESTADISTICA!Y376</f>
        <v>APAGADO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 t="str">
        <f>ESTADISTICA!Y387</f>
        <v>APAGADO</v>
      </c>
      <c r="Z389" t="str">
        <f>ESTADISTICA!Z387</f>
        <v>APAGADO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 t="str">
        <f>ESTADISTICA!Y388</f>
        <v>APAGADO</v>
      </c>
      <c r="Z390" t="str">
        <f>ESTADISTICA!Z388</f>
        <v>APAGADO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V2" sqref="V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986</v>
      </c>
      <c r="D1" s="38">
        <f>COUNTIFS(E4:E400,"=radio")</f>
        <v>93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3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 t="str">
        <f>ESTADISTICA!V103</f>
        <v>APAGADO</v>
      </c>
      <c r="W105" t="str">
        <f>ESTADISTICA!W103</f>
        <v>APAGADO</v>
      </c>
      <c r="X105" t="str">
        <f>ESTADISTICA!X103</f>
        <v>APAGADO</v>
      </c>
      <c r="Y105" t="str">
        <f>ESTADISTICA!Y103</f>
        <v>APAGADO</v>
      </c>
      <c r="Z105" t="str">
        <f>ESTADISTICA!Z103</f>
        <v>APAGADO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 t="str">
        <f>ESTADISTICA!Z116</f>
        <v>APAGADO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 t="str">
        <f>ESTADISTICA!Z117</f>
        <v>APAGADO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 t="str">
        <f>ESTADISTICA!T121</f>
        <v>APAGADO</v>
      </c>
      <c r="U123" t="str">
        <f>ESTADISTICA!U121</f>
        <v>APAGADO</v>
      </c>
      <c r="V123" t="str">
        <f>ESTADISTICA!V121</f>
        <v>APAGADO</v>
      </c>
      <c r="W123" t="str">
        <f>ESTADISTICA!W121</f>
        <v>APAGADO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 t="str">
        <f>ESTADISTICA!Y131</f>
        <v>APAGADO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 t="str">
        <f>ESTADISTICA!T170</f>
        <v>APAGADO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>
        <f>ESTADISTICA!X174</f>
        <v>0</v>
      </c>
      <c r="Y176" t="str">
        <f>ESTADISTICA!Y174</f>
        <v>APAGADO</v>
      </c>
      <c r="Z176" t="str">
        <f>ESTADISTICA!Z174</f>
        <v>APAGADO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e">
        <f>ESTADISTICA!D180</f>
        <v>#REF!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 t="str">
        <f>ESTADISTICA!V186</f>
        <v>APAGADO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 t="str">
        <f>ESTADISTICA!V187</f>
        <v>APAGADO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 t="str">
        <f>ESTADISTICA!W202</f>
        <v>APAGADO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 t="str">
        <f>ESTADISTICA!Z218</f>
        <v>APAGADO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 t="str">
        <f>ESTADISTICA!Z219</f>
        <v>APAGADO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 t="str">
        <f>ESTADISTICA!V225</f>
        <v>APAGADO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 t="str">
        <f>ESTADISTICA!T230</f>
        <v>APAGADO</v>
      </c>
      <c r="U232" t="str">
        <f>ESTADISTICA!U230</f>
        <v>APAGADO</v>
      </c>
      <c r="V232" t="str">
        <f>ESTADISTICA!V230</f>
        <v>APAGADO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 t="str">
        <f>ESTADISTICA!W234</f>
        <v>APAGADO</v>
      </c>
      <c r="X236" t="str">
        <f>ESTADISTICA!X234</f>
        <v>APAGADO</v>
      </c>
      <c r="Y236" t="str">
        <f>ESTADISTICA!Y234</f>
        <v>APAGADO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 t="str">
        <f>ESTADISTICA!Z235</f>
        <v>APAGADO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 t="str">
        <f>ESTADISTICA!V239</f>
        <v>APAGADO</v>
      </c>
      <c r="W241">
        <f>ESTADISTICA!W239</f>
        <v>0</v>
      </c>
      <c r="X241" t="str">
        <f>ESTADISTICA!X239</f>
        <v>APAGADO</v>
      </c>
      <c r="Y241" t="str">
        <f>ESTADISTICA!Y239</f>
        <v>APAGADO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 t="str">
        <f>ESTADISTICA!V245</f>
        <v>APAGADO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 t="str">
        <f>ESTADISTICA!T264</f>
        <v>APAGADO</v>
      </c>
      <c r="U266" t="str">
        <f>ESTADISTICA!U264</f>
        <v>APAGADO</v>
      </c>
      <c r="V266" t="str">
        <f>ESTADISTICA!V264</f>
        <v>APAGADO</v>
      </c>
      <c r="W266" t="str">
        <f>ESTADISTICA!W264</f>
        <v>APAGADO</v>
      </c>
      <c r="X266" t="str">
        <f>ESTADISTICA!X264</f>
        <v>APAGADO</v>
      </c>
      <c r="Y266" t="str">
        <f>ESTADISTICA!Y264</f>
        <v>APAGADO</v>
      </c>
      <c r="Z266" t="str">
        <f>ESTADISTICA!Z264</f>
        <v>APAGADO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 t="str">
        <f>ESTADISTICA!T265</f>
        <v>APAGADO</v>
      </c>
      <c r="U267" t="str">
        <f>ESTADISTICA!U265</f>
        <v>APAGADO</v>
      </c>
      <c r="V267" t="str">
        <f>ESTADISTICA!V265</f>
        <v>APAGADO</v>
      </c>
      <c r="W267" t="str">
        <f>ESTADISTICA!W265</f>
        <v>APAGADO</v>
      </c>
      <c r="X267" t="str">
        <f>ESTADISTICA!X265</f>
        <v>APAGADO</v>
      </c>
      <c r="Y267" t="str">
        <f>ESTADISTICA!Y265</f>
        <v>APAGADO</v>
      </c>
      <c r="Z267" t="str">
        <f>ESTADISTICA!Z265</f>
        <v>APAGADO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 t="str">
        <f>ESTADISTICA!T276</f>
        <v>APAGADO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 t="str">
        <f>ESTADISTICA!V299</f>
        <v>APAGADO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 t="str">
        <f>ESTADISTICA!U307</f>
        <v>APAGADO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 t="str">
        <f>ESTADISTICA!Y322</f>
        <v>APAGADO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 t="str">
        <f>ESTADISTICA!V337</f>
        <v>APAGADO</v>
      </c>
      <c r="W339" t="str">
        <f>ESTADISTICA!W337</f>
        <v>APAGADO</v>
      </c>
      <c r="X339" t="str">
        <f>ESTADISTICA!X337</f>
        <v>APAGADO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 t="str">
        <f>ESTADISTICA!V338</f>
        <v>APAGADO</v>
      </c>
      <c r="W340" t="str">
        <f>ESTADISTICA!W338</f>
        <v>APAGADO</v>
      </c>
      <c r="X340" t="str">
        <f>ESTADISTICA!X338</f>
        <v>APAGADO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 t="str">
        <f>ESTADISTICA!U342</f>
        <v>APAGADO</v>
      </c>
      <c r="V344" t="str">
        <f>ESTADISTICA!V342</f>
        <v>APAGADO</v>
      </c>
      <c r="W344" t="str">
        <f>ESTADISTICA!W342</f>
        <v>APAGADO</v>
      </c>
      <c r="X344" t="str">
        <f>ESTADISTICA!X342</f>
        <v>APAGADO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 t="str">
        <f>ESTADISTICA!V351</f>
        <v>APAGADO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>
        <f>ESTADISTICA!V366</f>
        <v>0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 t="str">
        <f>ESTADISTICA!T367</f>
        <v>APAGADO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3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3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3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 t="str">
        <f>ESTADISTICA!V371</f>
        <v>APAGADO</v>
      </c>
      <c r="W373" t="str">
        <f>ESTADISTICA!W371</f>
        <v>APAGADO</v>
      </c>
      <c r="X373" t="str">
        <f>ESTADISTICA!X371</f>
        <v>APAGADO</v>
      </c>
      <c r="Y373" t="str">
        <f>ESTADISTICA!Y371</f>
        <v>APAGADO</v>
      </c>
      <c r="Z373" t="str">
        <f>ESTADISTICA!Z371</f>
        <v>APAGADO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3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3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3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 t="str">
        <f>ESTADISTICA!T374</f>
        <v>APAGADO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3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3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 t="str">
        <f>ESTADISTICA!Y376</f>
        <v>APAGADO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3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3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3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 t="str">
        <f>ESTADISTICA!T379</f>
        <v>APAGADO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3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3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3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 t="str">
        <f>ESTADISTICA!T382</f>
        <v>APAGADO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3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3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3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 t="str">
        <f>ESTADISTICA!T385</f>
        <v>APAGADO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3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 t="str">
        <f>ESTADISTICA!T386</f>
        <v>APAGADO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3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 t="str">
        <f>ESTADISTICA!V387</f>
        <v>APAGADO</v>
      </c>
      <c r="W389" t="str">
        <f>ESTADISTICA!W387</f>
        <v>APAGADO</v>
      </c>
      <c r="X389" t="str">
        <f>ESTADISTICA!X387</f>
        <v>APAGADO</v>
      </c>
      <c r="Y389" t="str">
        <f>ESTADISTICA!Y387</f>
        <v>APAGADO</v>
      </c>
      <c r="Z389" t="str">
        <f>ESTADISTICA!Z387</f>
        <v>APAGADO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3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 t="str">
        <f>ESTADISTICA!V388</f>
        <v>APAGADO</v>
      </c>
      <c r="W390" t="str">
        <f>ESTADISTICA!W388</f>
        <v>APAGADO</v>
      </c>
      <c r="X390" t="str">
        <f>ESTADISTICA!X388</f>
        <v>APAGADO</v>
      </c>
      <c r="Y390" t="str">
        <f>ESTADISTICA!Y388</f>
        <v>APAGADO</v>
      </c>
      <c r="Z390" t="str">
        <f>ESTADISTICA!Z388</f>
        <v>APAGADO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3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3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3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3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3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3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3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3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3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3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3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3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3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3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 t="str">
        <f>ESTADISTICA!T402</f>
        <v>APAGADO</v>
      </c>
      <c r="U404" t="str">
        <f>ESTADISTICA!U402</f>
        <v>APAGADO</v>
      </c>
      <c r="V404">
        <f>ESTADISTICA!V402</f>
        <v>0</v>
      </c>
      <c r="W404" t="str">
        <f>ESTADISTICA!W402</f>
        <v>APAGADO</v>
      </c>
      <c r="X404" t="str">
        <f>ESTADISTICA!X402</f>
        <v>APAGADO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3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3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 t="str">
        <f>ESTADISTICA!V404</f>
        <v>APAGADO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3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 t="str">
        <f>ESTADISTICA!V405</f>
        <v>APAGADO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3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3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3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3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3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3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3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3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3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3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3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3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 t="str">
        <f>ESTADISTICA!T417</f>
        <v>APAGADO</v>
      </c>
      <c r="U419" t="str">
        <f>ESTADISTICA!U417</f>
        <v>APAGADO</v>
      </c>
      <c r="V419" t="str">
        <f>ESTADISTICA!V417</f>
        <v>APAGADO</v>
      </c>
      <c r="W419" t="str">
        <f>ESTADISTICA!W417</f>
        <v>APAGADO</v>
      </c>
      <c r="X419" t="str">
        <f>ESTADISTICA!X417</f>
        <v>APAGADO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3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3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3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3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3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 t="str">
        <f>ESTADISTICA!V422</f>
        <v>APAGADO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3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3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3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3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3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3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3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3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 t="str">
        <f>ESTADISTICA!T431</f>
        <v>APAGADO</v>
      </c>
      <c r="U433" t="str">
        <f>ESTADISTICA!U431</f>
        <v>APAGADO</v>
      </c>
      <c r="V433" t="str">
        <f>ESTADISTICA!V431</f>
        <v>APAGADO</v>
      </c>
      <c r="W433" t="str">
        <f>ESTADISTICA!W431</f>
        <v>APAGADO</v>
      </c>
      <c r="X433" t="str">
        <f>ESTADISTICA!X431</f>
        <v>APAGADO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3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3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3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3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32" sqref="A32:E3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1001</v>
      </c>
      <c r="D1" s="69" t="s">
        <v>1002</v>
      </c>
    </row>
    <row r="2" spans="1:13" ht="15.6" thickTop="1" thickBot="1" x14ac:dyDescent="0.35">
      <c r="A2" s="70" t="s">
        <v>998</v>
      </c>
      <c r="B2" s="71">
        <v>435</v>
      </c>
      <c r="C2" s="72"/>
      <c r="D2" s="73"/>
      <c r="E2" s="132">
        <v>44896</v>
      </c>
      <c r="F2" s="129" t="s">
        <v>1308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3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3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3">
      <c r="A7" s="70" t="s">
        <v>998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5.6" thickTop="1" thickBot="1" x14ac:dyDescent="0.35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" thickTop="1" x14ac:dyDescent="0.3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" thickTop="1" x14ac:dyDescent="0.3">
      <c r="A12" s="70" t="s">
        <v>998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3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5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" thickTop="1" x14ac:dyDescent="0.3">
      <c r="A17" s="70" t="s">
        <v>998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3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3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" thickTop="1" x14ac:dyDescent="0.3">
      <c r="A22" s="70" t="s">
        <v>998</v>
      </c>
      <c r="B22" s="71">
        <v>435</v>
      </c>
      <c r="C22" s="72"/>
      <c r="D22" s="73"/>
      <c r="E22" s="132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" thickTop="1" x14ac:dyDescent="0.3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3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" thickTop="1" x14ac:dyDescent="0.3">
      <c r="A27" s="70" t="s">
        <v>998</v>
      </c>
      <c r="B27" s="71">
        <v>436</v>
      </c>
      <c r="C27" s="72"/>
      <c r="D27" s="73"/>
      <c r="E27" s="132">
        <v>44914</v>
      </c>
      <c r="G27" s="100"/>
      <c r="K27" s="94"/>
      <c r="L27" s="101"/>
      <c r="M27" s="138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3"/>
      <c r="G28" s="100"/>
      <c r="K28" s="94"/>
      <c r="L28" s="101"/>
      <c r="M28" s="138"/>
    </row>
    <row r="29" spans="1:14" ht="15" thickBot="1" x14ac:dyDescent="0.35">
      <c r="A29" s="74" t="s">
        <v>1000</v>
      </c>
      <c r="B29" s="75">
        <v>1</v>
      </c>
      <c r="C29" s="76">
        <f>C28-B29</f>
        <v>37</v>
      </c>
      <c r="D29" s="77">
        <f>C29/B27</f>
        <v>8.4862385321100922E-2</v>
      </c>
      <c r="E29" s="133"/>
      <c r="G29" s="102"/>
      <c r="H29" s="103"/>
      <c r="I29" s="103"/>
      <c r="J29" s="103"/>
      <c r="K29" s="103"/>
      <c r="L29" s="104"/>
      <c r="M29" s="139"/>
    </row>
    <row r="30" spans="1:14" ht="15.6" thickTop="1" thickBot="1" x14ac:dyDescent="0.35">
      <c r="A30" s="74" t="s">
        <v>999</v>
      </c>
      <c r="B30" s="75">
        <v>3</v>
      </c>
      <c r="C30" s="76">
        <f>C29-B30</f>
        <v>34</v>
      </c>
      <c r="D30" s="77">
        <f>C30/B27</f>
        <v>7.7981651376146793E-2</v>
      </c>
      <c r="E30" s="133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" thickTop="1" x14ac:dyDescent="0.3">
      <c r="A32" s="70" t="s">
        <v>998</v>
      </c>
      <c r="B32" s="71">
        <v>436</v>
      </c>
      <c r="C32" s="72"/>
      <c r="D32" s="73"/>
      <c r="E32" s="132">
        <v>44916</v>
      </c>
      <c r="G32" s="109"/>
      <c r="H32" s="39"/>
      <c r="L32" s="94"/>
      <c r="M32" s="110"/>
      <c r="N32" s="136"/>
    </row>
    <row r="33" spans="1:14" ht="15" thickBot="1" x14ac:dyDescent="0.35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" thickTop="1" x14ac:dyDescent="0.3">
      <c r="A34" s="74" t="s">
        <v>1000</v>
      </c>
      <c r="B34" s="75">
        <v>0</v>
      </c>
      <c r="C34" s="76">
        <f>C33-B34</f>
        <v>36</v>
      </c>
      <c r="D34" s="77">
        <f>C34/B32</f>
        <v>8.2568807339449546E-2</v>
      </c>
      <c r="E34" s="133"/>
      <c r="G34" s="39"/>
      <c r="K34" s="94"/>
    </row>
    <row r="35" spans="1:14" x14ac:dyDescent="0.3">
      <c r="A35" s="74" t="s">
        <v>999</v>
      </c>
      <c r="B35" s="75">
        <v>3</v>
      </c>
      <c r="C35" s="76">
        <f>C34-B35</f>
        <v>33</v>
      </c>
      <c r="D35" s="77">
        <f>C35/B32</f>
        <v>7.5688073394495417E-2</v>
      </c>
      <c r="E35" s="133"/>
      <c r="G35" s="39"/>
      <c r="K35" s="94"/>
    </row>
    <row r="36" spans="1:14" ht="15" thickBot="1" x14ac:dyDescent="0.35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34"/>
      <c r="G36" s="39"/>
      <c r="K36" s="94"/>
    </row>
    <row r="37" spans="1:14" ht="15" thickTop="1" x14ac:dyDescent="0.3">
      <c r="A37" s="70" t="s">
        <v>998</v>
      </c>
      <c r="B37" s="71"/>
      <c r="C37" s="72"/>
      <c r="D37" s="73"/>
      <c r="E37" s="132"/>
      <c r="G37" s="39"/>
      <c r="K37" s="94"/>
    </row>
    <row r="38" spans="1:14" x14ac:dyDescent="0.3">
      <c r="A38" s="74" t="s">
        <v>6</v>
      </c>
      <c r="B38" s="75"/>
      <c r="C38" s="76"/>
      <c r="D38" s="77"/>
      <c r="E38" s="133"/>
      <c r="G38" s="39"/>
      <c r="K38" s="94"/>
      <c r="L38" s="21"/>
    </row>
    <row r="39" spans="1:14" ht="15" thickBot="1" x14ac:dyDescent="0.35">
      <c r="A39" s="74" t="s">
        <v>1000</v>
      </c>
      <c r="B39" s="75"/>
      <c r="C39" s="76"/>
      <c r="D39" s="77"/>
      <c r="E39" s="133"/>
    </row>
    <row r="40" spans="1:14" ht="15" thickTop="1" x14ac:dyDescent="0.3">
      <c r="A40" s="74" t="s">
        <v>999</v>
      </c>
      <c r="B40" s="75"/>
      <c r="C40" s="76"/>
      <c r="D40" s="77"/>
      <c r="E40" s="133"/>
      <c r="G40" s="96"/>
      <c r="H40" s="97"/>
      <c r="I40" s="97"/>
      <c r="J40" s="97"/>
      <c r="K40" s="98"/>
      <c r="L40" s="99"/>
      <c r="M40" s="137"/>
    </row>
    <row r="41" spans="1:14" ht="15" thickBot="1" x14ac:dyDescent="0.35">
      <c r="A41" s="86" t="s">
        <v>16</v>
      </c>
      <c r="B41" s="87"/>
      <c r="C41" s="88"/>
      <c r="D41" s="77"/>
      <c r="E41" s="134"/>
      <c r="G41" s="100"/>
      <c r="K41" s="94"/>
      <c r="L41" s="101"/>
      <c r="M41" s="138"/>
    </row>
    <row r="42" spans="1:14" ht="15" customHeight="1" thickTop="1" x14ac:dyDescent="0.3">
      <c r="A42" s="70" t="s">
        <v>998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3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3">
      <c r="A44" s="74" t="s">
        <v>1000</v>
      </c>
      <c r="B44" s="75"/>
      <c r="C44" s="76"/>
      <c r="D44" s="77"/>
      <c r="E44" s="133"/>
      <c r="G44" s="100"/>
      <c r="K44" s="94"/>
      <c r="L44" s="101"/>
      <c r="M44" s="138"/>
    </row>
    <row r="45" spans="1:14" ht="15" thickBot="1" x14ac:dyDescent="0.35">
      <c r="A45" s="74" t="s">
        <v>999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5.6" thickTop="1" thickBot="1" x14ac:dyDescent="0.35">
      <c r="A46" s="86" t="s">
        <v>16</v>
      </c>
      <c r="B46" s="87"/>
      <c r="C46" s="88"/>
      <c r="D46" s="77"/>
      <c r="E46" s="134"/>
    </row>
    <row r="47" spans="1:14" ht="15" thickTop="1" x14ac:dyDescent="0.3">
      <c r="A47" s="70" t="s">
        <v>998</v>
      </c>
      <c r="B47" s="71"/>
      <c r="C47" s="72"/>
      <c r="D47" s="73"/>
      <c r="E47" s="132"/>
      <c r="G47" s="39"/>
      <c r="K47" s="94"/>
    </row>
    <row r="48" spans="1:14" x14ac:dyDescent="0.3">
      <c r="A48" s="74" t="s">
        <v>6</v>
      </c>
      <c r="B48" s="75"/>
      <c r="C48" s="76"/>
      <c r="D48" s="77"/>
      <c r="E48" s="133"/>
      <c r="G48" s="39"/>
      <c r="K48" s="94"/>
    </row>
    <row r="49" spans="1:11" x14ac:dyDescent="0.3">
      <c r="A49" s="74" t="s">
        <v>1000</v>
      </c>
      <c r="B49" s="75"/>
      <c r="C49" s="76"/>
      <c r="D49" s="77"/>
      <c r="E49" s="133"/>
      <c r="G49" s="39"/>
      <c r="K49" s="94"/>
    </row>
    <row r="50" spans="1:11" x14ac:dyDescent="0.3">
      <c r="A50" s="74" t="s">
        <v>999</v>
      </c>
      <c r="B50" s="75"/>
      <c r="C50" s="76"/>
      <c r="D50" s="77"/>
      <c r="E50" s="133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4"/>
      <c r="G51" s="39"/>
      <c r="K51" s="94"/>
    </row>
    <row r="52" spans="1:11" ht="15" thickTop="1" x14ac:dyDescent="0.3">
      <c r="A52" s="70" t="s">
        <v>998</v>
      </c>
      <c r="B52" s="71"/>
      <c r="C52" s="72"/>
      <c r="D52" s="73"/>
      <c r="E52" s="132"/>
      <c r="G52" s="39"/>
      <c r="K52" s="94"/>
    </row>
    <row r="53" spans="1:11" x14ac:dyDescent="0.3">
      <c r="A53" s="74" t="s">
        <v>6</v>
      </c>
      <c r="B53" s="75"/>
      <c r="C53" s="76"/>
      <c r="D53" s="77"/>
      <c r="E53" s="133"/>
      <c r="G53" s="39"/>
      <c r="K53" s="94"/>
    </row>
    <row r="54" spans="1:11" x14ac:dyDescent="0.3">
      <c r="A54" s="74" t="s">
        <v>1000</v>
      </c>
      <c r="B54" s="75"/>
      <c r="C54" s="76"/>
      <c r="D54" s="77"/>
      <c r="E54" s="133"/>
    </row>
    <row r="55" spans="1:11" x14ac:dyDescent="0.3">
      <c r="A55" s="74" t="s">
        <v>999</v>
      </c>
      <c r="B55" s="75"/>
      <c r="C55" s="76"/>
      <c r="D55" s="77"/>
      <c r="E55" s="133"/>
    </row>
    <row r="56" spans="1:11" ht="15" thickBot="1" x14ac:dyDescent="0.35">
      <c r="A56" s="86" t="s">
        <v>16</v>
      </c>
      <c r="B56" s="87"/>
      <c r="C56" s="88"/>
      <c r="D56" s="89"/>
      <c r="E56" s="134"/>
    </row>
    <row r="57" spans="1:11" ht="15" thickTop="1" x14ac:dyDescent="0.3">
      <c r="A57" s="70" t="s">
        <v>998</v>
      </c>
      <c r="B57" s="71"/>
      <c r="C57" s="72"/>
      <c r="D57" s="73"/>
      <c r="E57" s="132"/>
    </row>
    <row r="58" spans="1:11" x14ac:dyDescent="0.3">
      <c r="A58" s="74" t="s">
        <v>6</v>
      </c>
      <c r="B58" s="75"/>
      <c r="C58" s="76"/>
      <c r="D58" s="77"/>
      <c r="E58" s="133"/>
    </row>
    <row r="59" spans="1:11" x14ac:dyDescent="0.3">
      <c r="A59" s="74" t="s">
        <v>1000</v>
      </c>
      <c r="B59" s="75"/>
      <c r="C59" s="76"/>
      <c r="D59" s="77"/>
      <c r="E59" s="133"/>
    </row>
    <row r="60" spans="1:11" x14ac:dyDescent="0.3">
      <c r="A60" s="74" t="s">
        <v>999</v>
      </c>
      <c r="B60" s="75"/>
      <c r="C60" s="76"/>
      <c r="D60" s="77"/>
      <c r="E60" s="133"/>
    </row>
    <row r="61" spans="1:11" ht="15" thickBot="1" x14ac:dyDescent="0.35">
      <c r="A61" s="86" t="s">
        <v>16</v>
      </c>
      <c r="B61" s="87"/>
      <c r="C61" s="88"/>
      <c r="D61" s="89"/>
      <c r="E61" s="134"/>
    </row>
    <row r="62" spans="1:11" ht="15" thickTop="1" x14ac:dyDescent="0.3">
      <c r="A62" s="70" t="s">
        <v>998</v>
      </c>
      <c r="B62" s="71"/>
      <c r="C62" s="72"/>
      <c r="D62" s="73"/>
      <c r="E62" s="132"/>
    </row>
    <row r="63" spans="1:11" x14ac:dyDescent="0.3">
      <c r="A63" s="74" t="s">
        <v>6</v>
      </c>
      <c r="B63" s="75"/>
      <c r="C63" s="76"/>
      <c r="D63" s="77"/>
      <c r="E63" s="133"/>
    </row>
    <row r="64" spans="1:11" x14ac:dyDescent="0.3">
      <c r="A64" s="74" t="s">
        <v>1000</v>
      </c>
      <c r="B64" s="75"/>
      <c r="C64" s="76"/>
      <c r="D64" s="77"/>
      <c r="E64" s="133"/>
    </row>
    <row r="65" spans="1:5" x14ac:dyDescent="0.3">
      <c r="A65" s="74" t="s">
        <v>999</v>
      </c>
      <c r="B65" s="75"/>
      <c r="C65" s="76"/>
      <c r="D65" s="77"/>
      <c r="E65" s="133"/>
    </row>
    <row r="66" spans="1:5" ht="15" thickBot="1" x14ac:dyDescent="0.35">
      <c r="A66" s="86" t="s">
        <v>16</v>
      </c>
      <c r="B66" s="87"/>
      <c r="C66" s="88"/>
      <c r="D66" s="89"/>
      <c r="E66" s="134"/>
    </row>
    <row r="67" spans="1:5" ht="15" thickTop="1" x14ac:dyDescent="0.3">
      <c r="A67" s="70" t="s">
        <v>998</v>
      </c>
      <c r="B67" s="71"/>
      <c r="C67" s="72"/>
      <c r="D67" s="73"/>
      <c r="E67" s="132"/>
    </row>
    <row r="68" spans="1:5" x14ac:dyDescent="0.3">
      <c r="A68" s="74" t="s">
        <v>6</v>
      </c>
      <c r="B68" s="75"/>
      <c r="C68" s="76"/>
      <c r="D68" s="77"/>
      <c r="E68" s="133"/>
    </row>
    <row r="69" spans="1:5" x14ac:dyDescent="0.3">
      <c r="A69" s="74" t="s">
        <v>1000</v>
      </c>
      <c r="B69" s="75"/>
      <c r="C69" s="76"/>
      <c r="D69" s="77"/>
      <c r="E69" s="133"/>
    </row>
    <row r="70" spans="1:5" x14ac:dyDescent="0.3">
      <c r="A70" s="74" t="s">
        <v>999</v>
      </c>
      <c r="B70" s="75"/>
      <c r="C70" s="76"/>
      <c r="D70" s="77"/>
      <c r="E70" s="133"/>
    </row>
    <row r="71" spans="1:5" ht="15" thickBot="1" x14ac:dyDescent="0.35">
      <c r="A71" s="86" t="s">
        <v>16</v>
      </c>
      <c r="B71" s="87"/>
      <c r="C71" s="88"/>
      <c r="D71" s="89"/>
      <c r="E71" s="134"/>
    </row>
    <row r="72" spans="1:5" ht="15" thickTop="1" x14ac:dyDescent="0.3">
      <c r="A72" s="70" t="s">
        <v>998</v>
      </c>
      <c r="B72" s="71"/>
      <c r="C72" s="72"/>
      <c r="D72" s="73"/>
      <c r="E72" s="132"/>
    </row>
    <row r="73" spans="1:5" x14ac:dyDescent="0.3">
      <c r="A73" s="74" t="s">
        <v>6</v>
      </c>
      <c r="B73" s="75"/>
      <c r="C73" s="76"/>
      <c r="D73" s="77"/>
      <c r="E73" s="133"/>
    </row>
    <row r="74" spans="1:5" x14ac:dyDescent="0.3">
      <c r="A74" s="74" t="s">
        <v>1000</v>
      </c>
      <c r="B74" s="75"/>
      <c r="C74" s="76"/>
      <c r="D74" s="77"/>
      <c r="E74" s="133"/>
    </row>
    <row r="75" spans="1:5" x14ac:dyDescent="0.3">
      <c r="A75" s="74" t="s">
        <v>999</v>
      </c>
      <c r="B75" s="75"/>
      <c r="C75" s="76"/>
      <c r="D75" s="77"/>
      <c r="E75" s="133"/>
    </row>
    <row r="76" spans="1:5" ht="15" thickBot="1" x14ac:dyDescent="0.35">
      <c r="A76" s="86" t="s">
        <v>16</v>
      </c>
      <c r="B76" s="87"/>
      <c r="C76" s="88"/>
      <c r="D76" s="89"/>
      <c r="E76" s="134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3"/>
      <c r="C3" s="57" t="s">
        <v>1167</v>
      </c>
      <c r="D3" s="48">
        <v>44914</v>
      </c>
    </row>
    <row r="4" spans="2:4" ht="15" thickTop="1" x14ac:dyDescent="0.3">
      <c r="B4" s="65" t="s">
        <v>1158</v>
      </c>
      <c r="C4" s="54">
        <f>COUNTIFS('RESUMEN TOTAL'!C5:C504,"=BONOMO")</f>
        <v>228</v>
      </c>
      <c r="D4" s="61">
        <v>23</v>
      </c>
    </row>
    <row r="5" spans="2:4" ht="15" thickBot="1" x14ac:dyDescent="0.35">
      <c r="B5" s="55"/>
      <c r="C5" s="56"/>
      <c r="D5" s="68">
        <v>0.10087719298245613</v>
      </c>
    </row>
    <row r="6" spans="2:4" ht="15" thickTop="1" x14ac:dyDescent="0.3">
      <c r="B6" s="64" t="s">
        <v>1159</v>
      </c>
      <c r="C6" s="54">
        <f>COUNTIFS('RESUMEN TOTAL'!C5:C504,"=COSEIDI")</f>
        <v>207</v>
      </c>
      <c r="D6" s="63">
        <v>15</v>
      </c>
    </row>
    <row r="7" spans="2:4" ht="15" thickBot="1" x14ac:dyDescent="0.35">
      <c r="B7" s="55"/>
      <c r="C7" s="56"/>
      <c r="D7" s="67">
        <v>7.2463768115942032E-2</v>
      </c>
    </row>
    <row r="8" spans="2:4" ht="15" thickTop="1" x14ac:dyDescent="0.3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3" sqref="F23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  <c r="B21">
        <f>'APAGADOS RADIO'!Y2+D21</f>
        <v>8</v>
      </c>
      <c r="C21">
        <f>'APAGADOS FIBRA'!Y2</f>
        <v>29</v>
      </c>
      <c r="D21">
        <f>'APAGADOS ANTENA'!Y2</f>
        <v>2</v>
      </c>
      <c r="E21">
        <f t="shared" ref="E21:E22" si="12">B21+C21</f>
        <v>37</v>
      </c>
      <c r="F21">
        <f>'RESUMEN TOTAL'!B1</f>
        <v>435</v>
      </c>
      <c r="G21" s="42">
        <f t="shared" ref="G21:G22" si="13">E21/F21</f>
        <v>8.5057471264367815E-2</v>
      </c>
    </row>
    <row r="22" spans="1:7" x14ac:dyDescent="0.3">
      <c r="A22" s="18">
        <f>'APAGADOS RADIO'!Z3</f>
        <v>44916</v>
      </c>
      <c r="B22">
        <f>'APAGADOS RADIO'!Z2+D22</f>
        <v>4</v>
      </c>
      <c r="C22">
        <f>'APAGADOS FIBRA'!Z2</f>
        <v>32</v>
      </c>
      <c r="D22">
        <f>'APAGADOS ANTENA'!Z2</f>
        <v>1</v>
      </c>
      <c r="E22">
        <f t="shared" si="12"/>
        <v>36</v>
      </c>
      <c r="F22">
        <f>'RESUMEN TOTAL'!B1</f>
        <v>435</v>
      </c>
      <c r="G22" s="42">
        <f t="shared" si="13"/>
        <v>8.2758620689655171E-2</v>
      </c>
    </row>
    <row r="23" spans="1:7" x14ac:dyDescent="0.3">
      <c r="A23" s="18">
        <f>'APAGADOS RADIO'!AA3</f>
        <v>44917</v>
      </c>
    </row>
    <row r="24" spans="1:7" x14ac:dyDescent="0.3">
      <c r="A24" s="18">
        <f>'APAGADOS RADIO'!AB3</f>
        <v>44918</v>
      </c>
    </row>
    <row r="25" spans="1:7" x14ac:dyDescent="0.3">
      <c r="A25" s="18">
        <f>'APAGADOS RADIO'!AC3</f>
        <v>44919</v>
      </c>
    </row>
    <row r="26" spans="1:7" x14ac:dyDescent="0.3">
      <c r="A26" s="18">
        <f>'APAGADOS RADIO'!AD3</f>
        <v>44920</v>
      </c>
    </row>
    <row r="27" spans="1:7" x14ac:dyDescent="0.3">
      <c r="A27" s="18">
        <f>'APAGADOS RADIO'!AE3</f>
        <v>44921</v>
      </c>
    </row>
    <row r="28" spans="1:7" x14ac:dyDescent="0.3">
      <c r="A28" s="18">
        <f>'APAGADOS RADIO'!AF3</f>
        <v>44922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topLeftCell="F1" workbookViewId="0">
      <selection activeCell="Y6" sqref="Y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1167</v>
      </c>
    </row>
    <row r="2" spans="1:36" ht="15.6" thickTop="1" thickBot="1" x14ac:dyDescent="0.35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>
        <f>COUNTIFS('RESUMEN TOTAL'!C7:C504, "=BONOMO",'RESUMEN TOTAL'!AD7:AD504,"=APAGADO")</f>
        <v>23</v>
      </c>
      <c r="Z3" s="61">
        <f>COUNTIFS('RESUMEN TOTAL'!C7:C504, "=BONOMO",'RESUMEN TOTAL'!AE7:AE504,"=APAGADO")</f>
        <v>20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>
        <f t="shared" ref="Y4" si="5">Y3/BONOMOcam</f>
        <v>0.10087719298245613</v>
      </c>
      <c r="Z4" s="68">
        <f t="shared" si="0"/>
        <v>8.771929824561403E-2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5.6" thickTop="1" thickBot="1" x14ac:dyDescent="0.35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>
        <f>COUNTIFS('RESUMEN TOTAL'!C10:C500, "=COSEIDI",'RESUMEN TOTAL'!AD10:AD500,"=APAGADO")</f>
        <v>14</v>
      </c>
      <c r="Z5" s="63">
        <f>COUNTIFS('RESUMEN TOTAL'!C10:C424, "=COSEIDI",'RESUMEN TOTAL'!AE10:AE424,"=APAGADO")</f>
        <v>16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1171</v>
      </c>
      <c r="F6" s="67">
        <f t="shared" ref="F6:AI6" si="7">F5/COSEIDIcam</f>
        <v>0.30917874396135264</v>
      </c>
      <c r="G6" s="67">
        <f t="shared" si="7"/>
        <v>0.18840579710144928</v>
      </c>
      <c r="H6" s="67">
        <f t="shared" si="7"/>
        <v>0.16908212560386474</v>
      </c>
      <c r="I6" s="67">
        <f t="shared" si="7"/>
        <v>0.17391304347826086</v>
      </c>
      <c r="J6" s="67">
        <f t="shared" si="7"/>
        <v>0.15942028985507245</v>
      </c>
      <c r="K6" s="67">
        <f t="shared" ref="K6" si="8">K5/COSEIDIcam</f>
        <v>6.7632850241545889E-2</v>
      </c>
      <c r="L6" s="67">
        <f t="shared" si="7"/>
        <v>6.280193236714976E-2</v>
      </c>
      <c r="M6" s="67">
        <f t="shared" ref="M6" si="9">M5/COSEIDIcam</f>
        <v>7.2463768115942032E-2</v>
      </c>
      <c r="N6" s="67">
        <f t="shared" si="7"/>
        <v>9.1787439613526575E-2</v>
      </c>
      <c r="O6" s="67">
        <f t="shared" si="7"/>
        <v>0.1111111111111111</v>
      </c>
      <c r="P6" s="67">
        <f t="shared" si="7"/>
        <v>0.10628019323671498</v>
      </c>
      <c r="Q6" s="67">
        <f t="shared" ref="Q6" si="10">Q5/COSEIDIcam</f>
        <v>8.2125603864734303E-2</v>
      </c>
      <c r="R6" s="67">
        <f t="shared" si="7"/>
        <v>8.2125603864734303E-2</v>
      </c>
      <c r="S6" s="67">
        <f t="shared" si="7"/>
        <v>8.6956521739130432E-2</v>
      </c>
      <c r="T6" s="67">
        <f t="shared" si="7"/>
        <v>0.12560386473429952</v>
      </c>
      <c r="U6" s="67">
        <f t="shared" si="7"/>
        <v>0.1111111111111111</v>
      </c>
      <c r="V6" s="67">
        <f t="shared" ref="V6" si="11">V5/COSEIDIcam</f>
        <v>0.22705314009661837</v>
      </c>
      <c r="W6" s="67">
        <f t="shared" si="7"/>
        <v>6.7632850241545889E-2</v>
      </c>
      <c r="X6" s="67">
        <f t="shared" si="7"/>
        <v>7.2463768115942032E-2</v>
      </c>
      <c r="Y6" s="67">
        <f t="shared" ref="Y6" si="12">Y5/COSEIDIcam</f>
        <v>6.7632850241545889E-2</v>
      </c>
      <c r="Z6" s="67">
        <f t="shared" si="7"/>
        <v>7.7294685990338161E-2</v>
      </c>
      <c r="AA6" s="67">
        <f t="shared" si="7"/>
        <v>0</v>
      </c>
      <c r="AB6" s="67">
        <f t="shared" si="7"/>
        <v>0</v>
      </c>
      <c r="AC6" s="67">
        <f t="shared" si="7"/>
        <v>0</v>
      </c>
      <c r="AD6" s="67">
        <f t="shared" si="7"/>
        <v>0</v>
      </c>
      <c r="AE6" s="67">
        <f t="shared" si="7"/>
        <v>0</v>
      </c>
      <c r="AF6" s="49">
        <f t="shared" si="7"/>
        <v>0</v>
      </c>
      <c r="AG6" s="49">
        <f t="shared" si="7"/>
        <v>0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" thickTop="1" x14ac:dyDescent="0.3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3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3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3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3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3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3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3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3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3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3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3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3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3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3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3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3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3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3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3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3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3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3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3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3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3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3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3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3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3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3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3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3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3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3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3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3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3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3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3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3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3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3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3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3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3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3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3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3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3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3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3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3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3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3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3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3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3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3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3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3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3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3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3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3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28.8" x14ac:dyDescent="0.3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3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3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3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3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3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3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3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3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3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3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5</vt:i4>
      </vt:variant>
    </vt:vector>
  </HeadingPairs>
  <TitlesOfParts>
    <vt:vector size="21" baseType="lpstr">
      <vt:lpstr>RESUMEN TOTAL</vt:lpstr>
      <vt:lpstr>Hoja4</vt:lpstr>
      <vt:lpstr>Hoja5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2022-12-21T11:44:48Z</dcterms:modified>
</cp:coreProperties>
</file>