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FD046A58-EE36-42F9-9949-C61394BF0B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AO1" i="2" l="1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22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1" i="14" l="1"/>
  <c r="F17" i="14"/>
  <c r="F20" i="14"/>
  <c r="F16" i="14"/>
  <c r="F19" i="14"/>
  <c r="F18" i="14"/>
  <c r="G18" i="14" s="1"/>
  <c r="F14" i="14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AC2" i="11"/>
  <c r="U2" i="11"/>
  <c r="B17" i="14" s="1"/>
  <c r="AE2" i="11"/>
  <c r="AF2" i="11"/>
  <c r="X2" i="11"/>
  <c r="B20" i="14" s="1"/>
  <c r="E20" i="14" s="1"/>
  <c r="G20" i="14" s="1"/>
  <c r="AD2" i="1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l="1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<sst xmlns="http://schemas.openxmlformats.org/spreadsheetml/2006/main" count="4134" uniqueCount="1282">
  <si>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</si>
  <si>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</si>
  <si>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</si>
  <si>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</si>
  <si>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</si>
  <si>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</si>
  <si>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</si>
  <si>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</si>
  <si>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</si>
  <si>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</si>
  <si>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</si>
  <si>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</si>
  <si>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</si>
  <si>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</si>
  <si>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</si>
  <si>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</si>
  <si>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</si>
  <si>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</si>
  <si>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</si>
  <si>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</si>
  <si>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</si>
  <si>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</si>
  <si>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</si>
  <si>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</si>
  <si>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</si>
  <si>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</si>
  <si>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</si>
  <si>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</si>
  <si>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</si>
  <si>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</si>
  <si>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</si>
  <si>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</si>
  <si>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</si>
  <si>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</si>
  <si>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</si>
  <si>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</si>
  <si>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</si>
  <si>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</si>
  <si>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</si>
  <si>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</si>
  <si>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</si>
  <si>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</si>
  <si>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</si>
  <si>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</si>
  <si>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</si>
  <si>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</si>
  <si>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</si>
  <si>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</si>
  <si>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</si>
  <si>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</si>
  <si>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</si>
  <si>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</si>
  <si>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</si>
  <si>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</si>
  <si>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</si>
  <si>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</si>
  <si>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</si>
  <si>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</si>
  <si>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</si>
  <si>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</si>
  <si>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</si>
  <si>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</si>
  <si>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</si>
  <si>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</si>
  <si>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</si>
  <si>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</si>
  <si>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</si>
  <si>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</si>
  <si>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</si>
  <si>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</si>
  <si>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</si>
  <si>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</si>
  <si>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</si>
  <si>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</si>
  <si>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</si>
  <si>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</si>
  <si>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</si>
  <si>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</si>
  <si>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</si>
  <si>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</si>
  <si>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</si>
  <si>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</si>
  <si>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</si>
  <si>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</si>
  <si>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</si>
  <si>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</si>
  <si>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</si>
  <si>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</si>
  <si>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</si>
  <si>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</si>
  <si>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</si>
  <si>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</si>
  <si>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</si>
  <si>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</si>
  <si>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</si>
  <si>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</si>
  <si>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</si>
  <si>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</si>
  <si>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</si>
  <si>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</si>
  <si>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</si>
  <si>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</si>
  <si>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</si>
  <si>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</si>
  <si>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</si>
  <si>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</si>
  <si>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</si>
  <si>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</si>
  <si>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</si>
  <si>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</si>
  <si>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</si>
  <si>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</si>
  <si>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</si>
  <si>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</si>
  <si>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</si>
  <si>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</si>
  <si>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</si>
  <si>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</si>
  <si>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</si>
  <si>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</si>
  <si>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</si>
  <si>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</si>
  <si>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</si>
  <si>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</si>
  <si>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</si>
  <si>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</si>
  <si>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</si>
  <si>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</si>
  <si>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</si>
  <si>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</si>
  <si>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</si>
  <si>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</si>
  <si>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</si>
  <si>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</si>
  <si>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</si>
  <si>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</si>
  <si>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</si>
  <si>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</si>
  <si>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</si>
  <si>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</si>
  <si>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</si>
  <si>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</si>
  <si>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</si>
  <si>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</si>
  <si>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</si>
  <si>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</si>
  <si>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</si>
  <si>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</si>
  <si>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</si>
  <si>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</si>
  <si>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</si>
  <si>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</si>
  <si>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</si>
  <si>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</si>
  <si>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</si>
  <si>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</si>
  <si>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</si>
  <si>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</si>
  <si>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</si>
  <si>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</si>
  <si>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</si>
  <si>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</si>
  <si>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</si>
  <si>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</si>
  <si>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</si>
  <si>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</si>
  <si>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</si>
  <si>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</si>
  <si>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</si>
  <si>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</si>
  <si>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</si>
  <si>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</si>
  <si>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</si>
  <si>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</si>
  <si>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</si>
  <si>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</si>
  <si>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</si>
  <si>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</si>
  <si>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</si>
  <si>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</si>
  <si>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</si>
  <si>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</si>
  <si>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</si>
  <si>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</si>
  <si>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</si>
  <si>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</si>
  <si>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</si>
  <si>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</si>
  <si>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</si>
  <si>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</si>
  <si>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</si>
  <si>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</si>
  <si>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</si>
  <si>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</si>
  <si>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</si>
  <si>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</si>
  <si>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</si>
  <si>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</si>
  <si>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</si>
  <si>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</si>
  <si>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</si>
  <si>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</si>
  <si>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</si>
  <si>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</si>
  <si>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</si>
  <si>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</si>
  <si>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</si>
  <si>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</si>
  <si>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</si>
  <si>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</si>
  <si>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</si>
  <si>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</si>
  <si>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</si>
  <si>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</si>
  <si>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</si>
  <si>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</si>
  <si>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</si>
  <si>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</si>
  <si>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</si>
  <si>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</si>
  <si>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</si>
  <si>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</si>
  <si>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</si>
  <si>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</si>
  <si>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</si>
  <si>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</si>
  <si>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</si>
  <si>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</si>
  <si>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</si>
  <si>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</si>
  <si>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</si>
  <si>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</si>
  <si>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</si>
  <si>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</si>
  <si>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</si>
  <si>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</si>
  <si>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</si>
  <si>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</si>
  <si>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</si>
  <si>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</si>
  <si>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</si>
  <si>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</si>
  <si>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</si>
  <si>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</si>
  <si>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</si>
  <si>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</si>
  <si>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</si>
  <si>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</si>
  <si>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</si>
  <si>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</si>
  <si>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</si>
  <si>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</si>
  <si>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</si>
  <si>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</si>
  <si>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</si>
  <si>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</si>
  <si>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</si>
  <si>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</si>
  <si>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</si>
  <si>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</si>
  <si>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</si>
  <si>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</si>
  <si>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</si>
  <si>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</si>
  <si>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</si>
  <si>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</si>
  <si>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</si>
  <si>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</si>
  <si>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</si>
  <si>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</si>
  <si>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</si>
  <si>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</si>
  <si>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</si>
  <si>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</si>
  <si>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</si>
  <si>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</si>
  <si>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</si>
  <si>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</si>
  <si>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</si>
  <si>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</si>
  <si>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</si>
  <si>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</si>
  <si>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</si>
  <si>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</si>
  <si>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</si>
  <si>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</si>
  <si>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</si>
  <si>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</si>
  <si>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</si>
  <si>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</si>
  <si>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</si>
  <si>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</si>
  <si>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</si>
  <si>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</si>
  <si>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</si>
  <si>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</si>
  <si>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</si>
  <si>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</si>
  <si>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</si>
  <si>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</si>
  <si>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</si>
  <si>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</si>
  <si>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</si>
  <si>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</si>
  <si>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</si>
  <si>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</si>
  <si>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</si>
  <si>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</si>
  <si>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</si>
  <si>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</si>
  <si>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</si>
  <si>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</si>
  <si>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</si>
  <si>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</si>
  <si>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</si>
  <si>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</si>
  <si>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</si>
  <si>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</si>
  <si>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</si>
  <si>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</si>
  <si>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</si>
  <si>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</si>
  <si>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</si>
  <si>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</si>
  <si>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</si>
  <si>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</si>
  <si>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</si>
  <si>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</si>
  <si>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</si>
  <si>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</si>
  <si>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</si>
  <si>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</si>
  <si>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</si>
  <si>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</si>
  <si>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</si>
  <si>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</si>
  <si>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</si>
  <si>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</si>
  <si>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</si>
  <si>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</si>
  <si>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</si>
  <si>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</si>
  <si>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</si>
  <si>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</si>
  <si>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</si>
  <si>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</si>
  <si>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</si>
  <si>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</si>
  <si>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</si>
  <si>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</si>
  <si>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</si>
  <si>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</si>
  <si>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</si>
  <si>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</si>
  <si>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</si>
  <si>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</si>
  <si>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</si>
  <si>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</si>
  <si>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</si>
  <si>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</si>
  <si>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</si>
  <si>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</si>
  <si>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</si>
  <si>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</si>
  <si>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</si>
  <si>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</si>
  <si>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</si>
  <si>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</si>
  <si>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</si>
  <si>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</si>
  <si>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</si>
  <si>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</si>
  <si>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</si>
  <si>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</si>
  <si>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</si>
  <si>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</si>
  <si>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</si>
  <si>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</si>
  <si>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</si>
  <si>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</si>
  <si>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</si>
  <si>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</si>
  <si>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</si>
  <si>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</si>
  <si>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</si>
  <si>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</si>
  <si>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</si>
  <si>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</si>
  <si>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</si>
  <si>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</si>
  <si>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</si>
  <si>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</si>
  <si>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</si>
  <si>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</si>
  <si>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</si>
  <si>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</si>
  <si>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</si>
  <si>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</si>
  <si>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</si>
  <si>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</si>
  <si>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</si>
  <si>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</si>
  <si>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</si>
  <si>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</si>
  <si>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</si>
  <si>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</si>
  <si>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</si>
  <si>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</si>
  <si>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</si>
  <si>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</si>
  <si>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</si>
  <si>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</si>
  <si>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</si>
  <si>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</si>
  <si>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</si>
  <si>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</si>
  <si>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</si>
  <si>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</si>
  <si>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</si>
  <si>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</si>
  <si>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</si>
  <si>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</si>
  <si>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</si>
  <si>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</si>
  <si>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</si>
  <si>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</si>
  <si>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</si>
  <si>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</si>
  <si>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</si>
  <si>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</si>
  <si>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</si>
  <si>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</si>
  <si>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</si>
  <si>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</si>
  <si>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</si>
  <si>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</si>
  <si>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</si>
  <si>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</si>
  <si>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</si>
  <si>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</si>
  <si>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</si>
  <si>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</si>
  <si>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</si>
  <si>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</si>
  <si>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</si>
  <si>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</si>
  <si>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</si>
  <si>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</si>
  <si>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</si>
  <si>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</si>
  <si>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</si>
  <si>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</si>
  <si>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</si>
  <si>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</si>
  <si>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</si>
  <si>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</si>
  <si>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</si>
  <si>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</si>
  <si>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</si>
  <si>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</si>
  <si>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</si>
  <si>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</si>
  <si>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</si>
  <si>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</si>
  <si>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</si>
  <si>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</si>
  <si>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</si>
  <si>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</si>
  <si>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</si>
  <si>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</si>
  <si>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</si>
  <si>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</si>
  <si>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</si>
  <si>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</si>
  <si>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</si>
  <si>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</si>
  <si>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</si>
  <si>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</si>
  <si>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</si>
  <si>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</si>
  <si>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</si>
  <si>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</si>
  <si>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</si>
  <si>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</si>
  <si>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</si>
  <si>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</si>
  <si>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</si>
  <si>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</si>
  <si>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</si>
  <si>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</si>
  <si>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</si>
  <si>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</si>
  <si>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</si>
  <si>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</si>
  <si>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</si>
  <si>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</si>
  <si>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</si>
  <si>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</si>
  <si>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</si>
  <si>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</si>
  <si>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</si>
  <si>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</si>
  <si>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</si>
  <si>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</si>
  <si>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</si>
  <si>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</si>
  <si>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</si>
  <si>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</si>
  <si>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</si>
  <si>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</si>
  <si>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</si>
  <si>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</si>
  <si>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</si>
  <si>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</si>
  <si>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</si>
  <si>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</si>
  <si>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</si>
  <si>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</si>
  <si>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</si>
  <si>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</si>
  <si>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</si>
  <si>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</si>
  <si>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</si>
  <si>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</si>
  <si>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</si>
  <si>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</si>
  <si>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</si>
  <si>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</si>
  <si>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</si>
  <si>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</si>
  <si>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</si>
  <si>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</si>
  <si>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</si>
  <si>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</si>
  <si>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</si>
  <si>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</si>
  <si>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</si>
  <si>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</si>
  <si>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</si>
  <si>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</si>
  <si>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</si>
  <si>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</si>
  <si>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</si>
  <si>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</si>
  <si>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</si>
  <si>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</si>
  <si>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</si>
  <si>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</si>
  <si>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</si>
  <si>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</si>
  <si>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</si>
  <si>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</si>
  <si>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</si>
  <si>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</si>
  <si>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</si>
  <si>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</si>
  <si>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</si>
  <si>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</si>
  <si>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</si>
  <si>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</si>
  <si>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</si>
  <si>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</si>
  <si>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</si>
  <si>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</si>
  <si>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</si>
  <si>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</si>
  <si>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</si>
  <si>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</si>
  <si>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</si>
  <si>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</si>
  <si>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</si>
  <si>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</si>
  <si>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</si>
  <si>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</si>
  <si>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</si>
  <si>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</si>
  <si>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</si>
  <si>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</si>
  <si>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</si>
  <si>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</si>
  <si>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</si>
  <si>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</si>
  <si>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</si>
  <si>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</si>
  <si>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</si>
  <si>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</si>
  <si>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</si>
  <si>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</si>
  <si>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</si>
  <si>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</si>
  <si>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</si>
  <si>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</si>
  <si>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</si>
  <si>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</si>
  <si>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</si>
  <si>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</si>
  <si>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</si>
  <si>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</si>
  <si>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</si>
  <si>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</si>
  <si>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</si>
  <si>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</si>
  <si>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</si>
  <si>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</si>
  <si>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</si>
  <si>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</si>
  <si>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</si>
  <si>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</si>
  <si>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</si>
  <si>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</si>
  <si>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</si>
  <si>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</si>
  <si>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</si>
  <si>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</si>
  <si>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</si>
  <si>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</si>
  <si>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</si>
  <si>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</si>
  <si>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</si>
  <si>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</si>
  <si>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</si>
  <si>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</si>
  <si>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</si>
  <si>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</si>
  <si>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</si>
  <si>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</si>
  <si>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</si>
  <si>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</si>
  <si>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</si>
  <si>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</si>
  <si>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</si>
  <si>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</si>
  <si>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</si>
  <si>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</si>
  <si>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</si>
  <si>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</si>
  <si>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</si>
  <si>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</si>
  <si>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</si>
  <si>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</si>
  <si>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</si>
  <si>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</si>
  <si>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</si>
  <si>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</si>
  <si>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</si>
  <si>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</si>
  <si>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</si>
  <si>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</si>
  <si>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</si>
  <si>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</si>
  <si>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</si>
  <si>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</si>
  <si>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</si>
  <si>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</si>
  <si>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</si>
  <si>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</si>
  <si>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</si>
  <si>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</si>
  <si>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</si>
  <si>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</si>
  <si>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</si>
  <si>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</si>
  <si>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</si>
  <si>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</si>
  <si>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</si>
  <si>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</si>
  <si>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</si>
  <si>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</si>
  <si>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</si>
  <si>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</si>
  <si>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</si>
  <si>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</si>
  <si>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</si>
  <si>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</si>
  <si>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</si>
  <si>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</si>
  <si>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</si>
  <si>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</si>
  <si>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</si>
  <si>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</si>
  <si>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</si>
  <si>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</si>
  <si>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</si>
  <si>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</si>
  <si>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</si>
  <si>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</si>
  <si>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</si>
  <si>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</si>
  <si>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</si>
  <si>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</si>
  <si>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</si>
  <si>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</si>
  <si>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</si>
  <si>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</si>
  <si>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</si>
  <si>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</si>
  <si>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</si>
  <si>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</si>
  <si>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</si>
  <si>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</si>
  <si>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</si>
  <si>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</si>
  <si>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</si>
  <si>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</si>
  <si>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</si>
  <si>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</si>
  <si>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</si>
  <si>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</si>
  <si>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</si>
  <si>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</si>
  <si>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</si>
  <si>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</si>
  <si>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</si>
  <si>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</si>
  <si>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</si>
  <si>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</si>
  <si>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</si>
  <si>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</si>
  <si>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</si>
  <si>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</si>
  <si>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</si>
  <si>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</si>
  <si>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</si>
  <si>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</si>
  <si>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</si>
  <si>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</si>
  <si>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</si>
  <si>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</si>
  <si>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</si>
  <si>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</si>
  <si>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</si>
  <si>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</si>
  <si>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</si>
  <si>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</si>
  <si>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</si>
  <si>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</si>
  <si>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</si>
  <si>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</si>
  <si>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</si>
  <si>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</si>
  <si>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</si>
  <si>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</si>
  <si>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</si>
  <si>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</si>
  <si>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</si>
  <si>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</si>
  <si>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</si>
  <si>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</si>
  <si>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</si>
  <si>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</si>
  <si>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</si>
  <si>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</si>
  <si>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</si>
  <si>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</si>
  <si>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</si>
  <si>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</si>
  <si>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</si>
  <si>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</si>
  <si>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</si>
  <si>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</si>
  <si>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</si>
  <si>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</si>
  <si>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</si>
  <si>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</si>
  <si>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</si>
  <si>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</si>
  <si>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</si>
  <si>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</si>
  <si>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</si>
  <si>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</si>
  <si>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</si>
  <si>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</si>
  <si>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</si>
  <si>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</si>
  <si>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</si>
  <si>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</si>
  <si>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</si>
  <si>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</si>
  <si>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</si>
  <si>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</si>
  <si>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</si>
  <si>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</si>
  <si>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</si>
  <si>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</si>
  <si>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</si>
  <si>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</si>
  <si>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</si>
  <si>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</si>
  <si>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</si>
  <si>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</si>
  <si>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</si>
  <si>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</si>
  <si>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</si>
  <si>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</si>
  <si>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</si>
  <si>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</si>
  <si>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</si>
  <si>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</si>
  <si>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</si>
  <si>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</si>
  <si>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</si>
  <si>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</si>
  <si>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</si>
  <si>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</si>
  <si>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</si>
  <si>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</si>
  <si>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</si>
  <si>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</si>
  <si>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</si>
  <si>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</si>
  <si>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</si>
  <si>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</si>
  <si>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</si>
  <si>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</si>
  <si>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</si>
  <si>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</si>
  <si>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</si>
  <si>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</si>
  <si>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</si>
  <si>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</si>
  <si>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</si>
  <si>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</si>
  <si>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</si>
  <si>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</si>
  <si>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</si>
  <si>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</si>
  <si>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</si>
  <si>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</si>
  <si>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</si>
  <si>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</si>
  <si>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</si>
  <si>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</si>
  <si>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</si>
  <si>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</si>
  <si>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</si>
  <si>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</si>
  <si>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</si>
  <si>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</si>
  <si>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</si>
  <si>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</si>
  <si>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</si>
  <si>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</si>
  <si>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</si>
  <si>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</si>
  <si>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</si>
  <si>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</si>
  <si>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</si>
  <si>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</si>
  <si>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</si>
  <si>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</si>
  <si>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</si>
  <si>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</si>
  <si>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</si>
  <si>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</si>
  <si>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</si>
  <si>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</si>
  <si>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</si>
  <si>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</si>
  <si>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</si>
  <si>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</si>
  <si>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</si>
  <si>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</si>
  <si>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</si>
  <si>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</si>
  <si>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</si>
  <si>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</si>
  <si>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</si>
  <si>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</si>
  <si>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</si>
  <si>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</si>
  <si>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</si>
  <si>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</si>
  <si>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</si>
  <si>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</si>
  <si>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</si>
  <si>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</si>
  <si>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</si>
  <si>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</si>
  <si>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</si>
  <si>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</si>
  <si>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</si>
  <si>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</si>
  <si>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</si>
  <si>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</si>
  <si>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</si>
  <si>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</si>
  <si>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</si>
  <si>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</si>
  <si>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</si>
  <si>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</si>
  <si>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</si>
  <si>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</si>
  <si>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</si>
  <si>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</si>
  <si>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</si>
  <si>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</si>
  <si>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</si>
  <si>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</si>
  <si>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</si>
  <si>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</si>
  <si>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</si>
  <si>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</si>
  <si>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</si>
  <si>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</si>
  <si>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</si>
  <si>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</si>
  <si>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</si>
  <si>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</si>
  <si>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</si>
  <si>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</si>
  <si>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</si>
  <si>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</si>
  <si>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</si>
  <si>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</si>
  <si>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</si>
  <si>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</si>
  <si>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</si>
  <si>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</si>
  <si>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</si>
  <si>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</si>
  <si>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</si>
  <si>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</si>
  <si>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</si>
  <si>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</si>
  <si>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</si>
  <si>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</si>
  <si>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</si>
  <si>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</si>
  <si>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</si>
  <si>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</si>
  <si>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</si>
  <si>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</si>
  <si>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</si>
  <si>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</si>
  <si>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</si>
  <si>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</si>
  <si>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</si>
  <si>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</si>
  <si>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</si>
  <si>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</si>
  <si>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</si>
  <si>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</si>
  <si>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</si>
  <si>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</si>
  <si>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</si>
  <si>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</si>
  <si>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</si>
  <si>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</si>
  <si>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</si>
  <si>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</si>
  <si>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</si>
  <si>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</si>
  <si>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</si>
  <si>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</si>
  <si>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</si>
  <si>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</si>
  <si>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</si>
  <si>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</si>
  <si>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</si>
  <si>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</si>
  <si>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</si>
  <si>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</si>
  <si>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</si>
  <si>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</si>
  <si>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</si>
  <si>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</si>
  <si>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</si>
  <si>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</si>
  <si>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</si>
  <si>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</si>
  <si>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</si>
  <si>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</si>
  <si>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</si>
  <si>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</si>
  <si>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</si>
  <si>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</si>
  <si>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</si>
  <si>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</si>
  <si>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</si>
  <si>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</si>
  <si>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</si>
  <si>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</si>
  <si>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</si>
  <si>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</si>
  <si>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</si>
  <si>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</si>
  <si>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</si>
  <si>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</si>
  <si>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</si>
  <si>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</si>
  <si>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</si>
  <si>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</si>
  <si>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</si>
  <si>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</si>
  <si>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</si>
  <si>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</si>
  <si>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</si>
  <si>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</si>
  <si>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</si>
  <si>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</si>
  <si>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</si>
  <si>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</si>
  <si>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</si>
  <si>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</si>
  <si>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</si>
  <si>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</si>
  <si>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</si>
  <si>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</si>
  <si>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</si>
  <si>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</si>
  <si>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</si>
  <si>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</si>
  <si>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</si>
  <si>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</si>
  <si>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</si>
  <si>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</si>
  <si>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</si>
  <si>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</si>
  <si>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</si>
  <si>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</si>
  <si>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</si>
  <si>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</si>
  <si>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</si>
  <si>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</si>
  <si>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</si>
  <si>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</si>
  <si>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</si>
  <si>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</si>
  <si>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</si>
  <si>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</si>
  <si>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</si>
  <si>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</si>
  <si>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</si>
  <si>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</si>
  <si>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</si>
  <si>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</si>
  <si>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</si>
  <si>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</si>
  <si>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</si>
  <si>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</si>
  <si>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</si>
  <si>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</si>
  <si>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</si>
  <si>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</si>
  <si>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</si>
  <si>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</si>
  <si>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</si>
  <si>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</si>
  <si>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</si>
  <si>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</si>
  <si>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</si>
  <si>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</si>
  <si>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</si>
  <si>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</si>
  <si>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</si>
  <si>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</si>
  <si>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</si>
  <si>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</si>
  <si>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</si>
  <si>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</si>
  <si>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</si>
  <si>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</si>
  <si>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</si>
  <si>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</si>
  <si>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</si>
  <si>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</si>
  <si>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</si>
  <si>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</si>
  <si>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</si>
  <si>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</si>
  <si>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</si>
  <si>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</si>
  <si>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</si>
  <si>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</si>
  <si>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</si>
  <si>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</si>
  <si>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</si>
  <si>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</si>
  <si>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</si>
  <si>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</si>
  <si>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</si>
  <si>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</si>
  <si>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</si>
  <si>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</si>
  <si>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</si>
  <si>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</si>
  <si>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</si>
  <si>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</si>
  <si>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</si>
  <si>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</si>
  <si>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</si>
  <si>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</si>
  <si>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</si>
  <si>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</si>
  <si>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</si>
  <si>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</si>
  <si>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</si>
  <si>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</si>
  <si>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</si>
  <si>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</si>
  <si>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</si>
  <si>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</si>
  <si>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</si>
  <si>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</si>
  <si>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</si>
  <si>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</si>
  <si>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</si>
  <si>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</si>
  <si>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</si>
  <si>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</si>
  <si>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</si>
  <si>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</si>
  <si>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</si>
  <si>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</si>
  <si>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</si>
  <si>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</si>
  <si>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</si>
  <si>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</si>
  <si>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</si>
  <si>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</si>
  <si>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</si>
  <si>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</si>
  <si>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</si>
  <si>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</si>
  <si>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</si>
  <si>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</si>
  <si>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</si>
  <si>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</si>
  <si>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</si>
  <si>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</si>
  <si>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</si>
  <si>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</si>
  <si>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</si>
  <si>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</si>
  <si>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</si>
  <si>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</si>
  <si>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</si>
  <si>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</si>
  <si>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</si>
  <si>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</si>
  <si>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</si>
  <si>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</si>
  <si>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</si>
  <si>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</si>
  <si>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</si>
  <si>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</si>
  <si>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</si>
  <si>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</si>
  <si>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</si>
  <si>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</si>
  <si>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</si>
  <si>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</si>
  <si>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</si>
  <si>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</si>
  <si>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</si>
  <si>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</si>
  <si>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</si>
  <si>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</si>
  <si>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</si>
  <si>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</si>
  <si>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</si>
  <si>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</si>
  <si>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</si>
  <si>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</si>
  <si>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</si>
  <si>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</si>
  <si>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</si>
  <si>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</si>
  <si>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</si>
  <si>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</si>
  <si>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</si>
  <si>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</si>
  <si>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</si>
  <si>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</si>
  <si>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</si>
  <si>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</si>
  <si>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</si>
  <si>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</si>
  <si>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</si>
  <si>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</si>
  <si>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</si>
  <si>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</si>
  <si>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</si>
  <si>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</si>
  <si>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</si>
  <si>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</si>
  <si>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</si>
  <si>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</si>
  <si>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</si>
  <si>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</si>
  <si>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</si>
  <si>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</si>
  <si>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</si>
  <si>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</si>
  <si>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</si>
  <si>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</si>
  <si>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</si>
  <si>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</si>
  <si>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</si>
  <si>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</si>
  <si>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</si>
  <si>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</si>
  <si>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</si>
  <si>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</si>
  <si>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</si>
  <si>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</si>
  <si>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</si>
  <si>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</si>
  <si>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</si>
  <si>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</si>
  <si>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</si>
  <si>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</si>
  <si>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</si>
  <si>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</si>
  <si>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</si>
  <si>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</si>
  <si>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</si>
  <si>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</si>
  <si>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</si>
  <si>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</si>
  <si>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</si>
  <si>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</si>
  <si>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</si>
  <si>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</si>
  <si>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</si>
  <si>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</si>
  <si>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</si>
  <si>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</si>
  <si>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</si>
  <si>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</si>
  <si>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</si>
  <si>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</si>
  <si>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</si>
  <si>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</si>
  <si>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</si>
  <si>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</si>
  <si>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</si>
  <si>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</si>
  <si>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</si>
  <si>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</si>
  <si>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</si>
  <si>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</si>
  <si>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</si>
  <si>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</si>
  <si>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</si>
  <si>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</si>
  <si>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</si>
  <si>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</si>
  <si>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</si>
  <si>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</si>
  <si>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</si>
  <si>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</si>
  <si>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</si>
  <si>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</si>
  <si>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</si>
  <si>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</si>
  <si>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</si>
  <si>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</si>
  <si>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</si>
  <si>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</si>
  <si>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</si>
  <si>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</si>
  <si>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</si>
  <si>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</si>
  <si>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</si>
  <si>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</si>
  <si>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</si>
  <si>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</si>
  <si>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</si>
  <si>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</si>
  <si>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</si>
  <si>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</si>
  <si>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</si>
  <si>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</si>
  <si>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</si>
  <si>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</si>
  <si>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</si>
  <si>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</si>
  <si>
    <t>BOSQC 04</t>
  </si>
  <si>
    <t>BOSQC 03</t>
  </si>
  <si>
    <t>BOSQC 01</t>
  </si>
  <si>
    <t>BOSQC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</si>
</sst>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7</c:v>
                </c:pt>
                <c:pt idx="15">
                  <c:v>10</c:v>
                </c:pt>
                <c:pt idx="16">
                  <c:v>10</c:v>
                </c:pt>
                <c:pt idx="17">
                  <c:v>6</c:v>
                </c:pt>
                <c:pt idx="18">
                  <c:v>17</c:v>
                </c:pt>
                <c:pt idx="19">
                  <c:v>11</c:v>
                </c:pt>
                <c:pt idx="2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  <c:pt idx="14">
                  <c:v>25</c:v>
                </c:pt>
                <c:pt idx="15">
                  <c:v>47</c:v>
                </c:pt>
                <c:pt idx="16">
                  <c:v>47</c:v>
                </c:pt>
                <c:pt idx="17">
                  <c:v>39</c:v>
                </c:pt>
                <c:pt idx="18">
                  <c:v>76</c:v>
                </c:pt>
                <c:pt idx="19">
                  <c:v>41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45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9.1334894613583142E-2</c:v>
                </c:pt>
                <c:pt idx="1">
                  <c:v>9.1334894613583142E-2</c:v>
                </c:pt>
                <c:pt idx="2">
                  <c:v>0.35831381733021078</c:v>
                </c:pt>
                <c:pt idx="3">
                  <c:v>0.10070257611241218</c:v>
                </c:pt>
                <c:pt idx="4">
                  <c:v>8.6651053864168617E-2</c:v>
                </c:pt>
                <c:pt idx="5">
                  <c:v>8.6854460093896718E-2</c:v>
                </c:pt>
                <c:pt idx="6">
                  <c:v>8.1967213114754092E-2</c:v>
                </c:pt>
                <c:pt idx="7">
                  <c:v>8.2159624413145546E-2</c:v>
                </c:pt>
                <c:pt idx="8">
                  <c:v>0.11007025761124122</c:v>
                </c:pt>
                <c:pt idx="9">
                  <c:v>0.10070257611241218</c:v>
                </c:pt>
                <c:pt idx="10">
                  <c:v>0.10070257611241218</c:v>
                </c:pt>
                <c:pt idx="11">
                  <c:v>8.6651053864168617E-2</c:v>
                </c:pt>
                <c:pt idx="12">
                  <c:v>0.12412177985948478</c:v>
                </c:pt>
                <c:pt idx="13">
                  <c:v>7.7283372365339581E-2</c:v>
                </c:pt>
                <c:pt idx="14">
                  <c:v>7.4941451990632318E-2</c:v>
                </c:pt>
                <c:pt idx="15">
                  <c:v>0.13348946135831383</c:v>
                </c:pt>
                <c:pt idx="16">
                  <c:v>0.13348946135831383</c:v>
                </c:pt>
                <c:pt idx="17">
                  <c:v>0.1053864168618267</c:v>
                </c:pt>
                <c:pt idx="18">
                  <c:v>0.21779859484777517</c:v>
                </c:pt>
                <c:pt idx="19">
                  <c:v>0.12177985948477751</c:v>
                </c:pt>
                <c:pt idx="20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35</c:v>
                </c:pt>
                <c:pt idx="16">
                  <c:v>0</c:v>
                </c:pt>
                <c:pt idx="17">
                  <c:v>34</c:v>
                </c:pt>
                <c:pt idx="18">
                  <c:v>41</c:v>
                </c:pt>
                <c:pt idx="19">
                  <c:v>35</c:v>
                </c:pt>
                <c:pt idx="20">
                  <c:v>33</c:v>
                </c:pt>
                <c:pt idx="21">
                  <c:v>34</c:v>
                </c:pt>
                <c:pt idx="22">
                  <c:v>45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23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0.15625</c:v>
                      </c:pt>
                      <c:pt idx="16">
                        <c:v>0</c:v>
                      </c:pt>
                      <c:pt idx="17">
                        <c:v>0.15178571428571427</c:v>
                      </c:pt>
                      <c:pt idx="18">
                        <c:v>0.18303571428571427</c:v>
                      </c:pt>
                      <c:pt idx="19">
                        <c:v>0.15625</c:v>
                      </c:pt>
                      <c:pt idx="20">
                        <c:v>0.14732142857142858</c:v>
                      </c:pt>
                      <c:pt idx="21">
                        <c:v>0.15178571428571427</c:v>
                      </c:pt>
                      <c:pt idx="22">
                        <c:v>0.20089285714285715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0.11330049261083744</c:v>
                      </c:pt>
                      <c:pt idx="16">
                        <c:v>0</c:v>
                      </c:pt>
                      <c:pt idx="17">
                        <c:v>5.9113300492610835E-2</c:v>
                      </c:pt>
                      <c:pt idx="18">
                        <c:v>0.26600985221674878</c:v>
                      </c:pt>
                      <c:pt idx="19">
                        <c:v>8.3743842364532015E-2</c:v>
                      </c:pt>
                      <c:pt idx="20">
                        <c:v>4.4334975369458129E-2</c:v>
                      </c:pt>
                      <c:pt idx="21">
                        <c:v>5.4187192118226604E-2</c:v>
                      </c:pt>
                      <c:pt idx="22">
                        <c:v>5.4187192118226604E-2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0.15625</c:v>
                </c:pt>
                <c:pt idx="16">
                  <c:v>0</c:v>
                </c:pt>
                <c:pt idx="17">
                  <c:v>0.15178571428571427</c:v>
                </c:pt>
                <c:pt idx="18">
                  <c:v>0.18303571428571427</c:v>
                </c:pt>
                <c:pt idx="19">
                  <c:v>0.15625</c:v>
                </c:pt>
                <c:pt idx="20">
                  <c:v>0.14732142857142858</c:v>
                </c:pt>
                <c:pt idx="21">
                  <c:v>0.15178571428571427</c:v>
                </c:pt>
                <c:pt idx="22">
                  <c:v>0.20089285714285715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0.11330049261083744</c:v>
                </c:pt>
                <c:pt idx="16">
                  <c:v>0</c:v>
                </c:pt>
                <c:pt idx="17">
                  <c:v>5.9113300492610835E-2</c:v>
                </c:pt>
                <c:pt idx="18">
                  <c:v>0.26600985221674878</c:v>
                </c:pt>
                <c:pt idx="19">
                  <c:v>8.3743842364532015E-2</c:v>
                </c:pt>
                <c:pt idx="20">
                  <c:v>4.4334975369458129E-2</c:v>
                </c:pt>
                <c:pt idx="21">
                  <c:v>5.4187192118226604E-2</c:v>
                </c:pt>
                <c:pt idx="22">
                  <c:v>5.4187192118226604E-2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35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41</c:v>
                      </c:pt>
                      <c:pt idx="19">
                        <c:v>35</c:v>
                      </c:pt>
                      <c:pt idx="20">
                        <c:v>33</c:v>
                      </c:pt>
                      <c:pt idx="21">
                        <c:v>34</c:v>
                      </c:pt>
                      <c:pt idx="22">
                        <c:v>45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tabSelected="1" zoomScale="80" zoomScaleNormal="80" workbookViewId="0">
      <pane xSplit="10" ySplit="4" topLeftCell="AG132" activePane="bottomRight" state="frozen"/>
      <selection pane="topRight" activeCell="M1" sqref="M1"/>
      <selection pane="bottomLeft" activeCell="A5" sqref="A5"/>
      <selection pane="bottomRight" activeCell="AG148" sqref="AG14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427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0.13975903614457832</v>
      </c>
      <c r="AA1" s="4">
        <f t="shared" si="0"/>
        <v>0</v>
      </c>
      <c r="AB1" s="4">
        <f t="shared" si="0"/>
        <v>0.1108433734939759</v>
      </c>
      <c r="AC1" s="4">
        <f t="shared" si="0"/>
        <v>0.2289156626506024</v>
      </c>
      <c r="AD1" s="4">
        <f t="shared" si="0"/>
        <v>0.12530120481927712</v>
      </c>
      <c r="AE1" s="4">
        <f t="shared" si="0"/>
        <v>0.10120481927710843</v>
      </c>
      <c r="AF1" s="4">
        <f t="shared" si="0"/>
        <v>0.1076555023923445</v>
      </c>
      <c r="AG1" s="4">
        <f t="shared" si="0"/>
        <v>0.13397129186602871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357</v>
      </c>
      <c r="AA2" s="10">
        <f t="shared" si="2"/>
        <v>415</v>
      </c>
      <c r="AB2" s="10">
        <f t="shared" si="2"/>
        <v>369</v>
      </c>
      <c r="AC2" s="10">
        <f t="shared" si="2"/>
        <v>320</v>
      </c>
      <c r="AD2" s="10">
        <f t="shared" si="2"/>
        <v>363</v>
      </c>
      <c r="AE2" s="10">
        <f t="shared" si="2"/>
        <v>373</v>
      </c>
      <c r="AF2" s="10">
        <f t="shared" ref="AF2:AN2" si="3">COUNTIF(AF5:AF422, "")</f>
        <v>373</v>
      </c>
      <c r="AG2" s="10">
        <f t="shared" si="3"/>
        <v>362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58</v>
      </c>
      <c r="AA3" s="14">
        <f t="shared" si="5"/>
        <v>0</v>
      </c>
      <c r="AB3" s="14">
        <f t="shared" si="5"/>
        <v>46</v>
      </c>
      <c r="AC3" s="14">
        <f t="shared" si="5"/>
        <v>95</v>
      </c>
      <c r="AD3" s="14">
        <f t="shared" si="5"/>
        <v>52</v>
      </c>
      <c r="AE3" s="14">
        <f t="shared" si="5"/>
        <v>42</v>
      </c>
      <c r="AF3" s="14">
        <f t="shared" si="5"/>
        <v>45</v>
      </c>
      <c r="AG3" s="14">
        <f t="shared" si="5"/>
        <v>56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10</v>
      </c>
      <c r="I9" s="16">
        <f>COUNTIF(K9:AL9,"APAGADO")</f>
        <v>20</v>
      </c>
      <c r="J9" s="17">
        <f>(H9)/(I9+H9)</f>
        <v>0.33333333333333331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 t="s">
        <v>1277</v>
      </c>
      <c r="AA9" s="26"/>
      <c r="AB9" s="26" t="s">
        <v>1277</v>
      </c>
      <c r="AC9" s="26" t="s">
        <v>1277</v>
      </c>
      <c r="AD9" s="26" t="s">
        <v>1277</v>
      </c>
      <c r="AE9" s="26" t="s">
        <v>1277</v>
      </c>
      <c r="AF9" s="26" t="s">
        <v>1277</v>
      </c>
      <c r="AG9" s="8" t="s">
        <v>1277</v>
      </c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10</v>
      </c>
      <c r="I14" s="16">
        <f t="shared" si="6"/>
        <v>20</v>
      </c>
      <c r="J14" s="17">
        <f t="shared" si="7"/>
        <v>0.33333333333333331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 t="s">
        <v>1277</v>
      </c>
      <c r="AA14" s="26"/>
      <c r="AB14" s="26" t="s">
        <v>1277</v>
      </c>
      <c r="AC14" s="26" t="s">
        <v>1277</v>
      </c>
      <c r="AD14" s="26" t="s">
        <v>1277</v>
      </c>
      <c r="AE14" s="26" t="s">
        <v>1277</v>
      </c>
      <c r="AF14" s="26" t="s">
        <v>1277</v>
      </c>
      <c r="AG14" s="8" t="s">
        <v>1277</v>
      </c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28</v>
      </c>
      <c r="I15" s="16">
        <f t="shared" si="6"/>
        <v>2</v>
      </c>
      <c r="J15" s="17">
        <f t="shared" si="7"/>
        <v>0.93333333333333335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 t="s">
        <v>1277</v>
      </c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11</v>
      </c>
      <c r="I16" s="16">
        <f t="shared" si="6"/>
        <v>19</v>
      </c>
      <c r="J16" s="17">
        <f t="shared" si="7"/>
        <v>0.36666666666666664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 t="s">
        <v>1277</v>
      </c>
      <c r="AA16" s="26"/>
      <c r="AB16" s="26" t="s">
        <v>1277</v>
      </c>
      <c r="AC16" s="26" t="s">
        <v>1277</v>
      </c>
      <c r="AD16" s="26" t="s">
        <v>1277</v>
      </c>
      <c r="AE16" s="26" t="s">
        <v>1277</v>
      </c>
      <c r="AF16" s="26" t="s">
        <v>1277</v>
      </c>
      <c r="AG16" s="8" t="s">
        <v>1277</v>
      </c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18</v>
      </c>
      <c r="I28" s="16">
        <f>COUNTIF(K28:AL28,"APAGADO")</f>
        <v>12</v>
      </c>
      <c r="J28" s="17">
        <f>(H28)/(I28+H28)</f>
        <v>0.6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 t="s">
        <v>1277</v>
      </c>
      <c r="AA28" s="26"/>
      <c r="AB28" s="26" t="s">
        <v>1277</v>
      </c>
      <c r="AC28" s="26" t="s">
        <v>1277</v>
      </c>
      <c r="AD28" s="26" t="s">
        <v>1277</v>
      </c>
      <c r="AE28" s="26" t="s">
        <v>1277</v>
      </c>
      <c r="AF28" s="26" t="s">
        <v>1277</v>
      </c>
      <c r="AG28" s="8" t="s">
        <v>1277</v>
      </c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11</v>
      </c>
      <c r="I31" s="16">
        <f t="shared" si="6"/>
        <v>19</v>
      </c>
      <c r="J31" s="17">
        <f t="shared" si="7"/>
        <v>0.36666666666666664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 t="s">
        <v>1277</v>
      </c>
      <c r="AA31" s="26"/>
      <c r="AB31" s="26" t="s">
        <v>1277</v>
      </c>
      <c r="AC31" s="26" t="s">
        <v>1277</v>
      </c>
      <c r="AD31" s="26" t="s">
        <v>1277</v>
      </c>
      <c r="AE31" s="26" t="s">
        <v>1277</v>
      </c>
      <c r="AF31" s="26" t="s">
        <v>1277</v>
      </c>
      <c r="AG31" s="8" t="s">
        <v>1277</v>
      </c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10</v>
      </c>
      <c r="I34" s="16">
        <f t="shared" si="6"/>
        <v>20</v>
      </c>
      <c r="J34" s="17">
        <f t="shared" si="7"/>
        <v>0.33333333333333331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 t="s">
        <v>1277</v>
      </c>
      <c r="AA34" s="26"/>
      <c r="AB34" s="26" t="s">
        <v>1277</v>
      </c>
      <c r="AC34" s="26" t="s">
        <v>1277</v>
      </c>
      <c r="AD34" s="26" t="s">
        <v>1277</v>
      </c>
      <c r="AE34" s="26" t="s">
        <v>1277</v>
      </c>
      <c r="AF34" s="26" t="s">
        <v>1277</v>
      </c>
      <c r="AG34" s="8" t="s">
        <v>1277</v>
      </c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10</v>
      </c>
      <c r="I42" s="16">
        <f t="shared" si="6"/>
        <v>20</v>
      </c>
      <c r="J42" s="17">
        <f t="shared" si="7"/>
        <v>0.33333333333333331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 t="s">
        <v>1277</v>
      </c>
      <c r="AA42" s="26"/>
      <c r="AB42" s="26" t="s">
        <v>1277</v>
      </c>
      <c r="AC42" s="26" t="s">
        <v>1277</v>
      </c>
      <c r="AD42" s="26" t="s">
        <v>1277</v>
      </c>
      <c r="AE42" s="26" t="s">
        <v>1277</v>
      </c>
      <c r="AF42" s="26" t="s">
        <v>1277</v>
      </c>
      <c r="AG42" s="8" t="s">
        <v>1277</v>
      </c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24</v>
      </c>
      <c r="I43" s="16">
        <f t="shared" si="6"/>
        <v>6</v>
      </c>
      <c r="J43" s="17">
        <f t="shared" si="7"/>
        <v>0.8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 t="s">
        <v>1277</v>
      </c>
      <c r="AC43" s="26" t="s">
        <v>1277</v>
      </c>
      <c r="AD43" s="26" t="s">
        <v>1277</v>
      </c>
      <c r="AE43" s="26" t="s">
        <v>1277</v>
      </c>
      <c r="AF43" s="26" t="s">
        <v>1277</v>
      </c>
      <c r="AG43" s="8" t="s">
        <v>1277</v>
      </c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23</v>
      </c>
      <c r="I45" s="16">
        <f t="shared" si="6"/>
        <v>7</v>
      </c>
      <c r="J45" s="17">
        <f t="shared" si="7"/>
        <v>0.76666666666666672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 t="s">
        <v>1277</v>
      </c>
      <c r="AC45" s="26" t="s">
        <v>1277</v>
      </c>
      <c r="AD45" s="26" t="s">
        <v>1277</v>
      </c>
      <c r="AE45" s="26" t="s">
        <v>1277</v>
      </c>
      <c r="AF45" s="26" t="s">
        <v>1277</v>
      </c>
      <c r="AG45" s="8" t="s">
        <v>1277</v>
      </c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23</v>
      </c>
      <c r="I48" s="16">
        <f t="shared" si="6"/>
        <v>7</v>
      </c>
      <c r="J48" s="17">
        <f t="shared" si="7"/>
        <v>0.76666666666666672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 t="s">
        <v>1277</v>
      </c>
      <c r="AC48" s="26" t="s">
        <v>1277</v>
      </c>
      <c r="AD48" s="26" t="s">
        <v>1277</v>
      </c>
      <c r="AE48" s="26" t="s">
        <v>1277</v>
      </c>
      <c r="AF48" s="26" t="s">
        <v>1277</v>
      </c>
      <c r="AG48" s="8" t="s">
        <v>1277</v>
      </c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12</v>
      </c>
      <c r="I50" s="16">
        <f t="shared" si="6"/>
        <v>18</v>
      </c>
      <c r="J50" s="17">
        <f t="shared" si="7"/>
        <v>0.4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 t="s">
        <v>1277</v>
      </c>
      <c r="AA50" s="26"/>
      <c r="AB50" s="26" t="s">
        <v>1277</v>
      </c>
      <c r="AC50" s="26" t="s">
        <v>1277</v>
      </c>
      <c r="AD50" s="26" t="s">
        <v>1277</v>
      </c>
      <c r="AE50" s="26" t="s">
        <v>1277</v>
      </c>
      <c r="AF50" s="26" t="s">
        <v>1277</v>
      </c>
      <c r="AG50" s="8" t="s">
        <v>1277</v>
      </c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28</v>
      </c>
      <c r="I60" s="16">
        <f t="shared" si="9"/>
        <v>2</v>
      </c>
      <c r="J60" s="17">
        <f t="shared" si="10"/>
        <v>0.93333333333333335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 t="s">
        <v>1277</v>
      </c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10</v>
      </c>
      <c r="I63" s="16">
        <f t="shared" si="9"/>
        <v>20</v>
      </c>
      <c r="J63" s="17">
        <f t="shared" si="10"/>
        <v>0.33333333333333331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 t="s">
        <v>1277</v>
      </c>
      <c r="AA63" s="26"/>
      <c r="AB63" s="26" t="s">
        <v>1277</v>
      </c>
      <c r="AC63" s="26" t="s">
        <v>1277</v>
      </c>
      <c r="AD63" s="26" t="s">
        <v>1277</v>
      </c>
      <c r="AE63" s="26" t="s">
        <v>1277</v>
      </c>
      <c r="AF63" s="26" t="s">
        <v>1277</v>
      </c>
      <c r="AG63" s="8" t="s">
        <v>1277</v>
      </c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 t="s">
        <v>1277</v>
      </c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26</v>
      </c>
      <c r="I71" s="16">
        <f t="shared" si="13"/>
        <v>4</v>
      </c>
      <c r="J71" s="17">
        <f t="shared" si="14"/>
        <v>0.8666666666666667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 t="s">
        <v>1277</v>
      </c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24</v>
      </c>
      <c r="I81" s="16">
        <f>COUNTIF(K81:AL81,"APAGADO")</f>
        <v>6</v>
      </c>
      <c r="J81" s="17">
        <f>(H81)/(I81+H81)</f>
        <v>0.8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 t="s">
        <v>1277</v>
      </c>
      <c r="AG81" s="8" t="s">
        <v>1277</v>
      </c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24</v>
      </c>
      <c r="I82" s="16">
        <f t="shared" si="9"/>
        <v>6</v>
      </c>
      <c r="J82" s="17">
        <f t="shared" si="10"/>
        <v>0.8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 t="s">
        <v>1277</v>
      </c>
      <c r="AG82" s="8" t="s">
        <v>1277</v>
      </c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10</v>
      </c>
      <c r="I88" s="16">
        <f>COUNTIF(K88:AL88,"APAGADO")</f>
        <v>20</v>
      </c>
      <c r="J88" s="17">
        <f>(H88)/(I88+H88)</f>
        <v>0.33333333333333331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 t="s">
        <v>1277</v>
      </c>
      <c r="AA88" s="26"/>
      <c r="AB88" s="26" t="s">
        <v>1277</v>
      </c>
      <c r="AC88" s="26" t="s">
        <v>1277</v>
      </c>
      <c r="AD88" s="26" t="s">
        <v>1277</v>
      </c>
      <c r="AE88" s="26" t="s">
        <v>1277</v>
      </c>
      <c r="AF88" s="26" t="s">
        <v>1277</v>
      </c>
      <c r="AG88" s="8" t="s">
        <v>1277</v>
      </c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23</v>
      </c>
      <c r="I92" s="16">
        <f>COUNTIF(K92:AL92,"APAGADO")</f>
        <v>7</v>
      </c>
      <c r="J92" s="17">
        <f>(H92)/(I92+H92)</f>
        <v>0.76666666666666672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 t="s">
        <v>1277</v>
      </c>
      <c r="AC92" s="26" t="s">
        <v>1277</v>
      </c>
      <c r="AD92" s="26" t="s">
        <v>1277</v>
      </c>
      <c r="AE92" s="26" t="s">
        <v>1277</v>
      </c>
      <c r="AF92" s="26" t="s">
        <v>1277</v>
      </c>
      <c r="AG92" s="8" t="s">
        <v>1277</v>
      </c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10</v>
      </c>
      <c r="I95" s="52">
        <f t="shared" si="16"/>
        <v>20</v>
      </c>
      <c r="J95" s="53">
        <f t="shared" si="17"/>
        <v>0.33333333333333331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 t="s">
        <v>1277</v>
      </c>
      <c r="AA95" s="26"/>
      <c r="AB95" s="26" t="s">
        <v>1277</v>
      </c>
      <c r="AC95" s="26" t="s">
        <v>1277</v>
      </c>
      <c r="AD95" s="26" t="s">
        <v>1277</v>
      </c>
      <c r="AE95" s="26" t="s">
        <v>1277</v>
      </c>
      <c r="AF95" s="26" t="s">
        <v>1277</v>
      </c>
      <c r="AG95" s="26" t="s">
        <v>1277</v>
      </c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10</v>
      </c>
      <c r="I96" s="52">
        <f t="shared" si="16"/>
        <v>20</v>
      </c>
      <c r="J96" s="53">
        <f t="shared" si="17"/>
        <v>0.33333333333333331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 t="s">
        <v>1277</v>
      </c>
      <c r="AA96" s="26"/>
      <c r="AB96" s="26" t="s">
        <v>1277</v>
      </c>
      <c r="AC96" s="26" t="s">
        <v>1277</v>
      </c>
      <c r="AD96" s="26" t="s">
        <v>1277</v>
      </c>
      <c r="AE96" s="26" t="s">
        <v>1277</v>
      </c>
      <c r="AF96" s="26" t="s">
        <v>1277</v>
      </c>
      <c r="AG96" s="26" t="s">
        <v>1277</v>
      </c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29</v>
      </c>
      <c r="I104" s="16">
        <f>COUNTIF(K104:AL104,"APAGADO")</f>
        <v>1</v>
      </c>
      <c r="J104" s="17">
        <f>(H104)/(I104+H104)</f>
        <v>0.96666666666666667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 t="s">
        <v>1277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28</v>
      </c>
      <c r="I115" s="16">
        <f t="shared" si="9"/>
        <v>2</v>
      </c>
      <c r="J115" s="17">
        <f t="shared" si="10"/>
        <v>0.93333333333333335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 t="s">
        <v>1277</v>
      </c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25</v>
      </c>
      <c r="I116" s="16">
        <f t="shared" si="9"/>
        <v>5</v>
      </c>
      <c r="J116" s="17">
        <f t="shared" si="10"/>
        <v>0.83333333333333337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 t="s">
        <v>1277</v>
      </c>
      <c r="AA116" s="26"/>
      <c r="AB116" s="26"/>
      <c r="AC116" s="26"/>
      <c r="AD116" s="26" t="s">
        <v>1277</v>
      </c>
      <c r="AE116" s="26"/>
      <c r="AF116" s="26" t="s">
        <v>1277</v>
      </c>
      <c r="AG116" s="8" t="s">
        <v>1277</v>
      </c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29</v>
      </c>
      <c r="I119" s="16">
        <f t="shared" si="9"/>
        <v>1</v>
      </c>
      <c r="J119" s="17">
        <f t="shared" si="10"/>
        <v>0.96666666666666667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 t="s">
        <v>1277</v>
      </c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28</v>
      </c>
      <c r="I120" s="16">
        <f t="shared" si="9"/>
        <v>2</v>
      </c>
      <c r="J120" s="17">
        <f t="shared" si="10"/>
        <v>0.93333333333333335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 t="s">
        <v>1277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28</v>
      </c>
      <c r="I121" s="16">
        <f t="shared" si="9"/>
        <v>2</v>
      </c>
      <c r="J121" s="17">
        <f t="shared" si="10"/>
        <v>0.93333333333333335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 t="s">
        <v>1277</v>
      </c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29</v>
      </c>
      <c r="I123" s="16">
        <f t="shared" si="9"/>
        <v>1</v>
      </c>
      <c r="J123" s="17">
        <f t="shared" si="10"/>
        <v>0.96666666666666667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 t="s">
        <v>1277</v>
      </c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29</v>
      </c>
      <c r="I124" s="16">
        <f t="shared" si="9"/>
        <v>1</v>
      </c>
      <c r="J124" s="17">
        <f t="shared" si="10"/>
        <v>0.96666666666666667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 t="s">
        <v>1277</v>
      </c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29</v>
      </c>
      <c r="I129" s="52">
        <f>COUNTIF(K129:AL129,"APAGADO")</f>
        <v>1</v>
      </c>
      <c r="J129" s="53">
        <f>(H129)/(I129+H129)</f>
        <v>0.96666666666666667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 t="s">
        <v>1277</v>
      </c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29</v>
      </c>
      <c r="I130" s="52">
        <f>COUNTIF(K130:AL130,"APAGADO")</f>
        <v>1</v>
      </c>
      <c r="J130" s="53">
        <f>(H130)/(I130+H130)</f>
        <v>0.96666666666666667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 t="s">
        <v>1277</v>
      </c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29</v>
      </c>
      <c r="I131" s="16">
        <f t="shared" si="9"/>
        <v>1</v>
      </c>
      <c r="J131" s="17">
        <f t="shared" si="10"/>
        <v>0.96666666666666667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 t="s">
        <v>1277</v>
      </c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28</v>
      </c>
      <c r="I132" s="16">
        <f t="shared" si="9"/>
        <v>2</v>
      </c>
      <c r="J132" s="17">
        <f t="shared" si="10"/>
        <v>0.93333333333333335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 t="s">
        <v>1277</v>
      </c>
      <c r="AD132" s="26"/>
      <c r="AE132" s="26"/>
      <c r="AF132" s="26" t="s">
        <v>1277</v>
      </c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29</v>
      </c>
      <c r="I136" s="16">
        <f t="shared" si="9"/>
        <v>1</v>
      </c>
      <c r="J136" s="17">
        <f t="shared" si="10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 t="s">
        <v>1277</v>
      </c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29</v>
      </c>
      <c r="I137" s="16">
        <f t="shared" si="9"/>
        <v>1</v>
      </c>
      <c r="J137" s="17">
        <f t="shared" si="10"/>
        <v>0.96666666666666667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 t="s">
        <v>1277</v>
      </c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29</v>
      </c>
      <c r="I138" s="16">
        <f t="shared" si="9"/>
        <v>1</v>
      </c>
      <c r="J138" s="17">
        <f t="shared" si="10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 t="s">
        <v>1277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29</v>
      </c>
      <c r="I139" s="16">
        <f t="shared" si="9"/>
        <v>1</v>
      </c>
      <c r="J139" s="17">
        <f t="shared" si="10"/>
        <v>0.96666666666666667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 t="s">
        <v>1277</v>
      </c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29</v>
      </c>
      <c r="I140" s="16">
        <f t="shared" si="9"/>
        <v>1</v>
      </c>
      <c r="J140" s="17">
        <f t="shared" si="10"/>
        <v>0.96666666666666667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 t="s">
        <v>1277</v>
      </c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29</v>
      </c>
      <c r="I141" s="16">
        <f t="shared" si="9"/>
        <v>1</v>
      </c>
      <c r="J141" s="17">
        <f t="shared" si="10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 t="s">
        <v>1277</v>
      </c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22</v>
      </c>
      <c r="I142" s="16">
        <f t="shared" si="9"/>
        <v>8</v>
      </c>
      <c r="J142" s="17">
        <f t="shared" si="10"/>
        <v>0.73333333333333328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 t="s">
        <v>1277</v>
      </c>
      <c r="AA142" s="26"/>
      <c r="AB142" s="26" t="s">
        <v>1277</v>
      </c>
      <c r="AC142" s="26" t="s">
        <v>1277</v>
      </c>
      <c r="AD142" s="26" t="s">
        <v>1277</v>
      </c>
      <c r="AE142" s="26" t="s">
        <v>1277</v>
      </c>
      <c r="AF142" s="26" t="s">
        <v>1277</v>
      </c>
      <c r="AG142" s="8" t="s">
        <v>1277</v>
      </c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26</v>
      </c>
      <c r="I145" s="16">
        <f t="shared" si="21"/>
        <v>4</v>
      </c>
      <c r="J145" s="17">
        <f t="shared" si="22"/>
        <v>0.8666666666666667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 t="s">
        <v>1277</v>
      </c>
      <c r="AC145" s="26"/>
      <c r="AD145" s="26"/>
      <c r="AE145" s="26"/>
      <c r="AF145" s="26"/>
      <c r="AG145" s="8" t="s">
        <v>1277</v>
      </c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26</v>
      </c>
      <c r="I147" s="16">
        <f t="shared" si="21"/>
        <v>4</v>
      </c>
      <c r="J147" s="17">
        <f t="shared" si="22"/>
        <v>0.8666666666666667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 t="s">
        <v>1277</v>
      </c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28</v>
      </c>
      <c r="I152" s="16">
        <f t="shared" si="21"/>
        <v>2</v>
      </c>
      <c r="J152" s="17">
        <f t="shared" si="22"/>
        <v>0.93333333333333335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 t="s">
        <v>1277</v>
      </c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28</v>
      </c>
      <c r="I153" s="16">
        <f t="shared" si="21"/>
        <v>2</v>
      </c>
      <c r="J153" s="17">
        <f t="shared" si="22"/>
        <v>0.93333333333333335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 t="s">
        <v>1277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16</v>
      </c>
      <c r="I156" s="16">
        <f t="shared" si="21"/>
        <v>14</v>
      </c>
      <c r="J156" s="17">
        <f t="shared" si="22"/>
        <v>0.53333333333333333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 t="s">
        <v>1277</v>
      </c>
      <c r="AA156" s="26"/>
      <c r="AB156" s="26" t="s">
        <v>1277</v>
      </c>
      <c r="AC156" s="26" t="s">
        <v>1277</v>
      </c>
      <c r="AD156" s="26" t="s">
        <v>1277</v>
      </c>
      <c r="AE156" s="26" t="s">
        <v>1277</v>
      </c>
      <c r="AF156" s="26" t="s">
        <v>1277</v>
      </c>
      <c r="AG156" s="8" t="s">
        <v>1277</v>
      </c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16</v>
      </c>
      <c r="I157" s="16">
        <f t="shared" si="21"/>
        <v>14</v>
      </c>
      <c r="J157" s="17">
        <f t="shared" si="22"/>
        <v>0.53333333333333333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 t="s">
        <v>1277</v>
      </c>
      <c r="AA157" s="26"/>
      <c r="AB157" s="26" t="s">
        <v>1277</v>
      </c>
      <c r="AC157" s="26" t="s">
        <v>1277</v>
      </c>
      <c r="AD157" s="26" t="s">
        <v>1277</v>
      </c>
      <c r="AE157" s="26" t="s">
        <v>1277</v>
      </c>
      <c r="AF157" s="26" t="s">
        <v>1277</v>
      </c>
      <c r="AG157" s="8" t="s">
        <v>1277</v>
      </c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11</v>
      </c>
      <c r="I166" s="16">
        <f t="shared" si="21"/>
        <v>19</v>
      </c>
      <c r="J166" s="17">
        <f t="shared" si="22"/>
        <v>0.36666666666666664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 t="s">
        <v>1277</v>
      </c>
      <c r="AA166" s="26"/>
      <c r="AB166" s="26" t="s">
        <v>1277</v>
      </c>
      <c r="AC166" s="26" t="s">
        <v>1277</v>
      </c>
      <c r="AD166" s="26" t="s">
        <v>1277</v>
      </c>
      <c r="AE166" s="26" t="s">
        <v>1277</v>
      </c>
      <c r="AF166" s="26"/>
      <c r="AG166" s="8" t="s">
        <v>1277</v>
      </c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12</v>
      </c>
      <c r="I168" s="16">
        <f t="shared" si="21"/>
        <v>18</v>
      </c>
      <c r="J168" s="17">
        <f t="shared" si="22"/>
        <v>0.4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 t="s">
        <v>1277</v>
      </c>
      <c r="AA168" s="26"/>
      <c r="AB168" s="26" t="s">
        <v>1277</v>
      </c>
      <c r="AC168" s="26" t="s">
        <v>1277</v>
      </c>
      <c r="AD168" s="26" t="s">
        <v>1277</v>
      </c>
      <c r="AE168" s="26" t="s">
        <v>1277</v>
      </c>
      <c r="AF168" s="26"/>
      <c r="AG168" s="8" t="s">
        <v>1277</v>
      </c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14</v>
      </c>
      <c r="I173" s="16">
        <f t="shared" si="21"/>
        <v>16</v>
      </c>
      <c r="J173" s="17">
        <f t="shared" si="22"/>
        <v>0.46666666666666667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 t="s">
        <v>1277</v>
      </c>
      <c r="AA173" s="26"/>
      <c r="AB173" s="26" t="s">
        <v>1277</v>
      </c>
      <c r="AC173" s="26" t="s">
        <v>1277</v>
      </c>
      <c r="AD173" s="26" t="s">
        <v>1277</v>
      </c>
      <c r="AE173" s="26" t="s">
        <v>1277</v>
      </c>
      <c r="AF173" s="26"/>
      <c r="AG173" s="8" t="s">
        <v>1277</v>
      </c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27</v>
      </c>
      <c r="I175" s="16">
        <f t="shared" si="21"/>
        <v>3</v>
      </c>
      <c r="J175" s="17">
        <f t="shared" si="22"/>
        <v>0.9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 t="s">
        <v>1277</v>
      </c>
      <c r="AE175" s="26"/>
      <c r="AF175" s="26"/>
      <c r="AG175" s="8" t="s">
        <v>1277</v>
      </c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11</v>
      </c>
      <c r="I176" s="16">
        <f t="shared" si="21"/>
        <v>19</v>
      </c>
      <c r="J176" s="17">
        <f t="shared" si="22"/>
        <v>0.36666666666666664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 t="s">
        <v>1277</v>
      </c>
      <c r="AA176" s="26"/>
      <c r="AB176" s="26" t="s">
        <v>1277</v>
      </c>
      <c r="AC176" s="26" t="s">
        <v>1277</v>
      </c>
      <c r="AD176" s="26" t="s">
        <v>1277</v>
      </c>
      <c r="AE176" s="26" t="s">
        <v>1277</v>
      </c>
      <c r="AF176" s="26"/>
      <c r="AG176" s="8" t="s">
        <v>1277</v>
      </c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28</v>
      </c>
      <c r="I177" s="16">
        <f t="shared" si="21"/>
        <v>2</v>
      </c>
      <c r="J177" s="17">
        <f t="shared" si="22"/>
        <v>0.93333333333333335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 t="s">
        <v>1277</v>
      </c>
      <c r="AD177" s="26"/>
      <c r="AE177" s="26"/>
      <c r="AF177" s="26"/>
      <c r="AG177" s="8" t="s">
        <v>1277</v>
      </c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11</v>
      </c>
      <c r="I189" s="16">
        <f>COUNTIF(K189:AL189,"APAGADO")</f>
        <v>19</v>
      </c>
      <c r="J189" s="17">
        <f>(H189)/(I189+H189)</f>
        <v>0.36666666666666664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 t="s">
        <v>1277</v>
      </c>
      <c r="AA189" s="26"/>
      <c r="AB189" s="26" t="s">
        <v>1277</v>
      </c>
      <c r="AC189" s="26" t="s">
        <v>1277</v>
      </c>
      <c r="AD189" s="26" t="s">
        <v>1277</v>
      </c>
      <c r="AE189" s="26" t="s">
        <v>1277</v>
      </c>
      <c r="AF189" s="26" t="s">
        <v>1277</v>
      </c>
      <c r="AG189" s="8" t="s">
        <v>1277</v>
      </c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24</v>
      </c>
      <c r="I200" s="16">
        <f t="shared" si="21"/>
        <v>6</v>
      </c>
      <c r="J200" s="17">
        <f t="shared" si="22"/>
        <v>0.8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 t="s">
        <v>1277</v>
      </c>
      <c r="AA200" s="26"/>
      <c r="AB200" s="26"/>
      <c r="AC200" s="26"/>
      <c r="AD200" s="26"/>
      <c r="AE200" s="26"/>
      <c r="AF200" s="26" t="s">
        <v>1277</v>
      </c>
      <c r="AG200" s="8" t="s">
        <v>1277</v>
      </c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26</v>
      </c>
      <c r="I204" s="16">
        <f t="shared" si="21"/>
        <v>4</v>
      </c>
      <c r="J204" s="17">
        <f t="shared" si="22"/>
        <v>0.8666666666666667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 t="s">
        <v>1277</v>
      </c>
      <c r="AA204" s="26"/>
      <c r="AB204" s="26" t="s">
        <v>1277</v>
      </c>
      <c r="AC204" s="26" t="s">
        <v>1277</v>
      </c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28</v>
      </c>
      <c r="I205" s="16">
        <f t="shared" si="21"/>
        <v>2</v>
      </c>
      <c r="J205" s="17">
        <f t="shared" si="22"/>
        <v>0.93333333333333335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 t="s">
        <v>1277</v>
      </c>
      <c r="AA205" s="26"/>
      <c r="AB205" s="26" t="s">
        <v>1277</v>
      </c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28</v>
      </c>
      <c r="I206" s="16">
        <f t="shared" si="21"/>
        <v>2</v>
      </c>
      <c r="J206" s="17">
        <f t="shared" si="22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 t="s">
        <v>1277</v>
      </c>
      <c r="AA206" s="26"/>
      <c r="AB206" s="26" t="s">
        <v>1277</v>
      </c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28</v>
      </c>
      <c r="I207" s="16">
        <f t="shared" ref="I207:I271" si="24">COUNTIF(K207:AL207,"APAGADO")</f>
        <v>2</v>
      </c>
      <c r="J207" s="17">
        <f t="shared" ref="J207:J271" si="25">(H207)/(I207+H207)</f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 t="s">
        <v>1277</v>
      </c>
      <c r="AA207" s="26"/>
      <c r="AB207" s="26" t="s">
        <v>1277</v>
      </c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28</v>
      </c>
      <c r="I208" s="16">
        <f t="shared" si="24"/>
        <v>2</v>
      </c>
      <c r="J208" s="17">
        <f t="shared" si="25"/>
        <v>0.93333333333333335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 t="s">
        <v>1277</v>
      </c>
      <c r="AA208" s="26"/>
      <c r="AB208" s="26" t="s">
        <v>1277</v>
      </c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29</v>
      </c>
      <c r="I209" s="16">
        <f t="shared" si="24"/>
        <v>1</v>
      </c>
      <c r="J209" s="17">
        <f t="shared" si="25"/>
        <v>0.96666666666666667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 t="s">
        <v>1277</v>
      </c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28</v>
      </c>
      <c r="I210" s="16">
        <f t="shared" si="24"/>
        <v>2</v>
      </c>
      <c r="J210" s="17">
        <f t="shared" si="25"/>
        <v>0.93333333333333335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 t="s">
        <v>1277</v>
      </c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29</v>
      </c>
      <c r="I211" s="16">
        <f t="shared" si="24"/>
        <v>1</v>
      </c>
      <c r="J211" s="17">
        <f t="shared" si="25"/>
        <v>0.96666666666666667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 t="s">
        <v>1277</v>
      </c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29</v>
      </c>
      <c r="I212" s="16">
        <f t="shared" si="24"/>
        <v>1</v>
      </c>
      <c r="J212" s="17">
        <f t="shared" si="25"/>
        <v>0.96666666666666667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 t="s">
        <v>1277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29</v>
      </c>
      <c r="I213" s="16">
        <f t="shared" si="24"/>
        <v>1</v>
      </c>
      <c r="J213" s="17">
        <f t="shared" si="25"/>
        <v>0.96666666666666667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 t="s">
        <v>1277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29</v>
      </c>
      <c r="I214" s="16">
        <f t="shared" si="24"/>
        <v>1</v>
      </c>
      <c r="J214" s="17">
        <f t="shared" si="25"/>
        <v>0.96666666666666667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 t="s">
        <v>1277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29</v>
      </c>
      <c r="I215" s="16">
        <f t="shared" si="24"/>
        <v>1</v>
      </c>
      <c r="J215" s="17">
        <f t="shared" si="25"/>
        <v>0.96666666666666667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 t="s">
        <v>1277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29</v>
      </c>
      <c r="I216" s="16">
        <f t="shared" si="24"/>
        <v>1</v>
      </c>
      <c r="J216" s="17">
        <f t="shared" si="25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 t="s">
        <v>1277</v>
      </c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28</v>
      </c>
      <c r="I217" s="16">
        <f t="shared" si="24"/>
        <v>2</v>
      </c>
      <c r="J217" s="17">
        <f t="shared" si="25"/>
        <v>0.93333333333333335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 t="s">
        <v>1277</v>
      </c>
      <c r="AD217" s="26"/>
      <c r="AE217" s="26"/>
      <c r="AF217" s="26"/>
      <c r="AG217" s="8" t="s">
        <v>1277</v>
      </c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28</v>
      </c>
      <c r="I218" s="16">
        <f t="shared" si="24"/>
        <v>2</v>
      </c>
      <c r="J218" s="17">
        <f t="shared" si="25"/>
        <v>0.93333333333333335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 t="s">
        <v>1277</v>
      </c>
      <c r="AA218" s="26"/>
      <c r="AB218" s="26"/>
      <c r="AC218" s="26" t="s">
        <v>1277</v>
      </c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28</v>
      </c>
      <c r="I219" s="16">
        <f t="shared" si="24"/>
        <v>2</v>
      </c>
      <c r="J219" s="17">
        <f t="shared" si="25"/>
        <v>0.93333333333333335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 t="s">
        <v>1277</v>
      </c>
      <c r="AA219" s="26"/>
      <c r="AB219" s="26"/>
      <c r="AC219" s="26" t="s">
        <v>1277</v>
      </c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10</v>
      </c>
      <c r="I220" s="16">
        <f t="shared" si="24"/>
        <v>20</v>
      </c>
      <c r="J220" s="17">
        <f t="shared" si="25"/>
        <v>0.33333333333333331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 t="s">
        <v>1277</v>
      </c>
      <c r="AA220" s="26"/>
      <c r="AB220" s="26" t="s">
        <v>1277</v>
      </c>
      <c r="AC220" s="26" t="s">
        <v>1277</v>
      </c>
      <c r="AD220" s="26" t="s">
        <v>1277</v>
      </c>
      <c r="AE220" s="26" t="s">
        <v>1277</v>
      </c>
      <c r="AF220" s="26" t="s">
        <v>1277</v>
      </c>
      <c r="AG220" s="8" t="s">
        <v>1277</v>
      </c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29</v>
      </c>
      <c r="I221" s="16">
        <f t="shared" si="24"/>
        <v>1</v>
      </c>
      <c r="J221" s="17">
        <f t="shared" si="25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 t="s">
        <v>1277</v>
      </c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29</v>
      </c>
      <c r="I222" s="16">
        <f t="shared" si="24"/>
        <v>1</v>
      </c>
      <c r="J222" s="17">
        <f t="shared" si="25"/>
        <v>0.96666666666666667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 t="s">
        <v>1277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27</v>
      </c>
      <c r="I223" s="16">
        <f t="shared" si="24"/>
        <v>3</v>
      </c>
      <c r="J223" s="17">
        <f t="shared" si="25"/>
        <v>0.9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 t="s">
        <v>1277</v>
      </c>
      <c r="AA223" s="26"/>
      <c r="AB223" s="26" t="s">
        <v>1277</v>
      </c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24</v>
      </c>
      <c r="I224" s="16">
        <f t="shared" si="24"/>
        <v>6</v>
      </c>
      <c r="J224" s="17">
        <f t="shared" si="25"/>
        <v>0.8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 t="s">
        <v>1277</v>
      </c>
      <c r="AA224" s="26"/>
      <c r="AB224" s="26" t="s">
        <v>1277</v>
      </c>
      <c r="AC224" s="26" t="s">
        <v>1277</v>
      </c>
      <c r="AD224" s="26" t="s">
        <v>1277</v>
      </c>
      <c r="AE224" s="26" t="s">
        <v>1277</v>
      </c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27</v>
      </c>
      <c r="I225" s="16">
        <f t="shared" si="24"/>
        <v>3</v>
      </c>
      <c r="J225" s="17">
        <f t="shared" si="25"/>
        <v>0.9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 t="s">
        <v>1277</v>
      </c>
      <c r="AA225" s="26"/>
      <c r="AB225" s="26"/>
      <c r="AC225" s="26" t="s">
        <v>1277</v>
      </c>
      <c r="AD225" s="26" t="s">
        <v>1277</v>
      </c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27</v>
      </c>
      <c r="I226" s="16">
        <f t="shared" si="24"/>
        <v>3</v>
      </c>
      <c r="J226" s="17">
        <f t="shared" si="25"/>
        <v>0.9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 t="s">
        <v>1277</v>
      </c>
      <c r="AA226" s="26"/>
      <c r="AB226" s="26"/>
      <c r="AC226" s="26" t="s">
        <v>1277</v>
      </c>
      <c r="AD226" s="26" t="s">
        <v>1277</v>
      </c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14</v>
      </c>
      <c r="I227" s="16">
        <f t="shared" si="24"/>
        <v>16</v>
      </c>
      <c r="J227" s="17">
        <f t="shared" si="25"/>
        <v>0.46666666666666667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 t="s">
        <v>1277</v>
      </c>
      <c r="AA227" s="26"/>
      <c r="AB227" s="26" t="s">
        <v>1277</v>
      </c>
      <c r="AC227" s="26" t="s">
        <v>1277</v>
      </c>
      <c r="AD227" s="26" t="s">
        <v>1277</v>
      </c>
      <c r="AE227" s="26" t="s">
        <v>1277</v>
      </c>
      <c r="AF227" s="26"/>
      <c r="AG227" s="8" t="s">
        <v>1277</v>
      </c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29</v>
      </c>
      <c r="I228" s="16">
        <f t="shared" si="24"/>
        <v>1</v>
      </c>
      <c r="J228" s="17">
        <f t="shared" si="25"/>
        <v>0.96666666666666667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 t="s">
        <v>1277</v>
      </c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29</v>
      </c>
      <c r="I229" s="16">
        <f t="shared" si="24"/>
        <v>1</v>
      </c>
      <c r="J229" s="17">
        <f t="shared" si="25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 t="s">
        <v>1277</v>
      </c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27</v>
      </c>
      <c r="I230" s="16">
        <f t="shared" si="24"/>
        <v>3</v>
      </c>
      <c r="J230" s="17">
        <f t="shared" si="25"/>
        <v>0.9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 t="s">
        <v>1277</v>
      </c>
      <c r="AD230" s="26"/>
      <c r="AE230" s="26"/>
      <c r="AF230" s="26"/>
      <c r="AG230" s="8" t="s">
        <v>1277</v>
      </c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28</v>
      </c>
      <c r="I231" s="16">
        <f t="shared" si="24"/>
        <v>2</v>
      </c>
      <c r="J231" s="17">
        <f t="shared" si="25"/>
        <v>0.93333333333333335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 t="s">
        <v>1277</v>
      </c>
      <c r="AD231" s="26"/>
      <c r="AE231" s="26"/>
      <c r="AF231" s="26"/>
      <c r="AG231" s="8" t="s">
        <v>1277</v>
      </c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27</v>
      </c>
      <c r="I232" s="16">
        <f t="shared" si="24"/>
        <v>3</v>
      </c>
      <c r="J232" s="17">
        <f t="shared" si="25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 t="s">
        <v>1277</v>
      </c>
      <c r="AA232" s="26"/>
      <c r="AB232" s="26"/>
      <c r="AC232" s="26" t="s">
        <v>1277</v>
      </c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29</v>
      </c>
      <c r="I233" s="16">
        <f t="shared" si="24"/>
        <v>1</v>
      </c>
      <c r="J233" s="17">
        <f t="shared" si="25"/>
        <v>0.96666666666666667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 t="s">
        <v>1277</v>
      </c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25</v>
      </c>
      <c r="I234" s="16">
        <f t="shared" si="24"/>
        <v>5</v>
      </c>
      <c r="J234" s="17">
        <f t="shared" si="25"/>
        <v>0.83333333333333337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 t="s">
        <v>1277</v>
      </c>
      <c r="AA234" s="26"/>
      <c r="AB234" s="26" t="s">
        <v>1277</v>
      </c>
      <c r="AC234" s="26" t="s">
        <v>1277</v>
      </c>
      <c r="AD234" s="26" t="s">
        <v>1277</v>
      </c>
      <c r="AE234" s="26" t="s">
        <v>1277</v>
      </c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27</v>
      </c>
      <c r="I235" s="16">
        <f t="shared" si="24"/>
        <v>3</v>
      </c>
      <c r="J235" s="17">
        <f t="shared" si="25"/>
        <v>0.9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 t="s">
        <v>1277</v>
      </c>
      <c r="AA235" s="26"/>
      <c r="AB235" s="26"/>
      <c r="AC235" s="26" t="s">
        <v>1277</v>
      </c>
      <c r="AD235" s="26" t="s">
        <v>1277</v>
      </c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29</v>
      </c>
      <c r="I236" s="16">
        <f t="shared" si="24"/>
        <v>1</v>
      </c>
      <c r="J236" s="17">
        <f t="shared" si="25"/>
        <v>0.96666666666666667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 t="s">
        <v>1277</v>
      </c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27</v>
      </c>
      <c r="I292" s="16">
        <f t="shared" si="28"/>
        <v>3</v>
      </c>
      <c r="J292" s="17">
        <f t="shared" si="29"/>
        <v>0.9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 t="s">
        <v>1277</v>
      </c>
      <c r="AE292" s="26"/>
      <c r="AF292" s="26"/>
      <c r="AG292" s="8" t="s">
        <v>1277</v>
      </c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29</v>
      </c>
      <c r="I293" s="16">
        <f t="shared" si="28"/>
        <v>1</v>
      </c>
      <c r="J293" s="17">
        <f t="shared" si="29"/>
        <v>0.96666666666666667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 t="s">
        <v>1277</v>
      </c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29</v>
      </c>
      <c r="I294" s="16">
        <f t="shared" si="28"/>
        <v>1</v>
      </c>
      <c r="J294" s="17">
        <f t="shared" si="29"/>
        <v>0.96666666666666667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 t="s">
        <v>1277</v>
      </c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29</v>
      </c>
      <c r="I295" s="16">
        <f t="shared" si="28"/>
        <v>1</v>
      </c>
      <c r="J295" s="17">
        <f t="shared" si="29"/>
        <v>0.96666666666666667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 t="s">
        <v>1277</v>
      </c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29</v>
      </c>
      <c r="I296" s="16">
        <f t="shared" si="28"/>
        <v>1</v>
      </c>
      <c r="J296" s="17">
        <f t="shared" si="29"/>
        <v>0.96666666666666667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 t="s">
        <v>1277</v>
      </c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29</v>
      </c>
      <c r="I315" s="16">
        <f t="shared" si="28"/>
        <v>1</v>
      </c>
      <c r="J315" s="17">
        <f t="shared" si="29"/>
        <v>0.96666666666666667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 t="s">
        <v>1277</v>
      </c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27</v>
      </c>
      <c r="I316" s="16">
        <f t="shared" si="28"/>
        <v>3</v>
      </c>
      <c r="J316" s="17">
        <f t="shared" si="29"/>
        <v>0.9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 t="s">
        <v>1277</v>
      </c>
      <c r="AA316" s="26"/>
      <c r="AB316" s="26"/>
      <c r="AC316" s="26" t="s">
        <v>1277</v>
      </c>
      <c r="AD316" s="26" t="s">
        <v>1277</v>
      </c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27</v>
      </c>
      <c r="I317" s="16">
        <f t="shared" si="28"/>
        <v>3</v>
      </c>
      <c r="J317" s="17">
        <f t="shared" si="29"/>
        <v>0.9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 t="s">
        <v>1277</v>
      </c>
      <c r="AA317" s="26"/>
      <c r="AB317" s="26"/>
      <c r="AC317" s="26" t="s">
        <v>1277</v>
      </c>
      <c r="AD317" s="26" t="s">
        <v>1277</v>
      </c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29</v>
      </c>
      <c r="I326" s="16">
        <f t="shared" si="28"/>
        <v>1</v>
      </c>
      <c r="J326" s="17">
        <f t="shared" si="29"/>
        <v>0.96666666666666667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 t="s">
        <v>1277</v>
      </c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10</v>
      </c>
      <c r="I335" s="16">
        <f t="shared" si="28"/>
        <v>20</v>
      </c>
      <c r="J335" s="17">
        <f t="shared" si="29"/>
        <v>0.33333333333333331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 t="s">
        <v>1277</v>
      </c>
      <c r="AA335" s="26"/>
      <c r="AB335" s="26" t="s">
        <v>1277</v>
      </c>
      <c r="AC335" s="26" t="s">
        <v>1277</v>
      </c>
      <c r="AD335" s="26" t="s">
        <v>1277</v>
      </c>
      <c r="AE335" s="26" t="s">
        <v>1277</v>
      </c>
      <c r="AF335" s="26" t="s">
        <v>1277</v>
      </c>
      <c r="AG335" s="8" t="s">
        <v>1277</v>
      </c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10</v>
      </c>
      <c r="I336" s="16">
        <f t="shared" si="28"/>
        <v>20</v>
      </c>
      <c r="J336" s="17">
        <f t="shared" si="29"/>
        <v>0.33333333333333331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 t="s">
        <v>1277</v>
      </c>
      <c r="AA336" s="26"/>
      <c r="AB336" s="26" t="s">
        <v>1277</v>
      </c>
      <c r="AC336" s="26" t="s">
        <v>1277</v>
      </c>
      <c r="AD336" s="26" t="s">
        <v>1277</v>
      </c>
      <c r="AE336" s="26" t="s">
        <v>1277</v>
      </c>
      <c r="AF336" s="26" t="s">
        <v>1277</v>
      </c>
      <c r="AG336" s="8" t="s">
        <v>1277</v>
      </c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10</v>
      </c>
      <c r="I337" s="16">
        <f t="shared" si="28"/>
        <v>20</v>
      </c>
      <c r="J337" s="17">
        <f t="shared" si="29"/>
        <v>0.33333333333333331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 t="s">
        <v>1277</v>
      </c>
      <c r="AA337" s="26"/>
      <c r="AB337" s="26" t="s">
        <v>1277</v>
      </c>
      <c r="AC337" s="26" t="s">
        <v>1277</v>
      </c>
      <c r="AD337" s="26" t="s">
        <v>1277</v>
      </c>
      <c r="AE337" s="26" t="s">
        <v>1277</v>
      </c>
      <c r="AF337" s="26" t="s">
        <v>1277</v>
      </c>
      <c r="AG337" s="8" t="s">
        <v>1277</v>
      </c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10</v>
      </c>
      <c r="I338" s="16">
        <f t="shared" si="28"/>
        <v>20</v>
      </c>
      <c r="J338" s="17">
        <f t="shared" si="29"/>
        <v>0.33333333333333331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 t="s">
        <v>1277</v>
      </c>
      <c r="AA338" s="26"/>
      <c r="AB338" s="26" t="s">
        <v>1277</v>
      </c>
      <c r="AC338" s="26" t="s">
        <v>1277</v>
      </c>
      <c r="AD338" s="26" t="s">
        <v>1277</v>
      </c>
      <c r="AE338" s="26" t="s">
        <v>1277</v>
      </c>
      <c r="AF338" s="26" t="s">
        <v>1277</v>
      </c>
      <c r="AG338" s="8" t="s">
        <v>1277</v>
      </c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10</v>
      </c>
      <c r="I339" s="16">
        <f t="shared" si="28"/>
        <v>20</v>
      </c>
      <c r="J339" s="17">
        <f t="shared" si="29"/>
        <v>0.33333333333333331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 t="s">
        <v>1277</v>
      </c>
      <c r="AA339" s="26"/>
      <c r="AB339" s="26" t="s">
        <v>1277</v>
      </c>
      <c r="AC339" s="26" t="s">
        <v>1277</v>
      </c>
      <c r="AD339" s="26" t="s">
        <v>1277</v>
      </c>
      <c r="AE339" s="26" t="s">
        <v>1277</v>
      </c>
      <c r="AF339" s="26" t="s">
        <v>1277</v>
      </c>
      <c r="AG339" s="8" t="s">
        <v>1277</v>
      </c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10</v>
      </c>
      <c r="I340" s="16">
        <f t="shared" si="28"/>
        <v>20</v>
      </c>
      <c r="J340" s="17">
        <f t="shared" si="29"/>
        <v>0.33333333333333331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 t="s">
        <v>1277</v>
      </c>
      <c r="AA340" s="26"/>
      <c r="AB340" s="26" t="s">
        <v>1277</v>
      </c>
      <c r="AC340" s="26" t="s">
        <v>1277</v>
      </c>
      <c r="AD340" s="26" t="s">
        <v>1277</v>
      </c>
      <c r="AE340" s="26" t="s">
        <v>1277</v>
      </c>
      <c r="AF340" s="26" t="s">
        <v>1277</v>
      </c>
      <c r="AG340" s="8" t="s">
        <v>1277</v>
      </c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10</v>
      </c>
      <c r="I341" s="16">
        <f t="shared" si="28"/>
        <v>20</v>
      </c>
      <c r="J341" s="17">
        <f t="shared" si="29"/>
        <v>0.33333333333333331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 t="s">
        <v>1277</v>
      </c>
      <c r="AA341" s="26"/>
      <c r="AB341" s="26" t="s">
        <v>1277</v>
      </c>
      <c r="AC341" s="26" t="s">
        <v>1277</v>
      </c>
      <c r="AD341" s="26" t="s">
        <v>1277</v>
      </c>
      <c r="AE341" s="26" t="s">
        <v>1277</v>
      </c>
      <c r="AF341" s="26" t="s">
        <v>1277</v>
      </c>
      <c r="AG341" s="8" t="s">
        <v>1277</v>
      </c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23</v>
      </c>
      <c r="I348" s="16">
        <f t="shared" si="37"/>
        <v>7</v>
      </c>
      <c r="J348" s="17">
        <f t="shared" si="38"/>
        <v>0.76666666666666672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 t="s">
        <v>1277</v>
      </c>
      <c r="AA348" s="26"/>
      <c r="AB348" s="26" t="s">
        <v>1277</v>
      </c>
      <c r="AC348" s="26" t="s">
        <v>1277</v>
      </c>
      <c r="AD348" s="26" t="s">
        <v>1277</v>
      </c>
      <c r="AE348" s="26" t="s">
        <v>1277</v>
      </c>
      <c r="AF348" s="26" t="s">
        <v>1277</v>
      </c>
      <c r="AG348" s="8" t="s">
        <v>1277</v>
      </c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29</v>
      </c>
      <c r="I349" s="16">
        <f>COUNTIF(K349:AL349,"APAGADO")</f>
        <v>1</v>
      </c>
      <c r="J349" s="17">
        <f>(H349)/(I349+H349)</f>
        <v>0.96666666666666667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 t="s">
        <v>1277</v>
      </c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29</v>
      </c>
      <c r="I350" s="16">
        <f>COUNTIF(K350:AL350,"APAGADO")</f>
        <v>1</v>
      </c>
      <c r="J350" s="17">
        <f>(H350)/(I350+H350)</f>
        <v>0.96666666666666667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 t="s">
        <v>1277</v>
      </c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29</v>
      </c>
      <c r="I351" s="16">
        <f t="shared" si="37"/>
        <v>1</v>
      </c>
      <c r="J351" s="17">
        <f t="shared" si="38"/>
        <v>0.96666666666666667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 t="s">
        <v>1277</v>
      </c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29</v>
      </c>
      <c r="I352" s="16">
        <f t="shared" si="37"/>
        <v>1</v>
      </c>
      <c r="J352" s="17">
        <f t="shared" si="38"/>
        <v>0.96666666666666667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 t="s">
        <v>1277</v>
      </c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28</v>
      </c>
      <c r="I353" s="52">
        <f>COUNTIF(K353:AL353,"APAGADO")</f>
        <v>2</v>
      </c>
      <c r="J353" s="53">
        <f>(H353)/(I353+H353)</f>
        <v>0.93333333333333335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 t="s">
        <v>1277</v>
      </c>
      <c r="AC353" s="26" t="s">
        <v>1277</v>
      </c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29</v>
      </c>
      <c r="I354" s="52">
        <f>COUNTIF(K354:AL354,"APAGADO")</f>
        <v>1</v>
      </c>
      <c r="J354" s="53">
        <f>(H354)/(I354+H354)</f>
        <v>0.96666666666666667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 t="s">
        <v>1277</v>
      </c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29</v>
      </c>
      <c r="I355" s="52">
        <f t="shared" ref="I355" si="40">COUNTIF(K355:AL355,"APAGADO")</f>
        <v>1</v>
      </c>
      <c r="J355" s="53">
        <f t="shared" ref="J355" si="41">(H355)/(I355+H355)</f>
        <v>0.96666666666666667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 t="s">
        <v>1277</v>
      </c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25</v>
      </c>
      <c r="I362" s="16">
        <f t="shared" si="37"/>
        <v>5</v>
      </c>
      <c r="J362" s="17">
        <f t="shared" si="38"/>
        <v>0.83333333333333337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 t="s">
        <v>1277</v>
      </c>
      <c r="AA362" s="26"/>
      <c r="AB362" s="26"/>
      <c r="AC362" s="26"/>
      <c r="AD362" s="26"/>
      <c r="AE362" s="26"/>
      <c r="AF362" s="26" t="s">
        <v>1277</v>
      </c>
      <c r="AG362" s="8" t="s">
        <v>1277</v>
      </c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13</v>
      </c>
      <c r="I367" s="16">
        <f t="shared" si="37"/>
        <v>17</v>
      </c>
      <c r="J367" s="17">
        <f t="shared" si="38"/>
        <v>0.43333333333333335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 t="s">
        <v>1277</v>
      </c>
      <c r="AA367" s="26"/>
      <c r="AB367" s="26"/>
      <c r="AC367" s="26" t="s">
        <v>1277</v>
      </c>
      <c r="AD367" s="26" t="s">
        <v>1277</v>
      </c>
      <c r="AE367" s="26" t="s">
        <v>1277</v>
      </c>
      <c r="AF367" s="26" t="s">
        <v>1277</v>
      </c>
      <c r="AG367" s="8" t="s">
        <v>1277</v>
      </c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27</v>
      </c>
      <c r="I368" s="16">
        <f t="shared" si="37"/>
        <v>3</v>
      </c>
      <c r="J368" s="17">
        <f t="shared" si="38"/>
        <v>0.9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 t="s">
        <v>1277</v>
      </c>
      <c r="AA368" s="26"/>
      <c r="AB368" s="26"/>
      <c r="AC368" s="26"/>
      <c r="AD368" s="26"/>
      <c r="AE368" s="26"/>
      <c r="AF368" s="26" t="s">
        <v>1277</v>
      </c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27</v>
      </c>
      <c r="I375" s="16">
        <f>COUNTIF(K375:AL375,"APAGADO")</f>
        <v>3</v>
      </c>
      <c r="J375" s="17">
        <f>(H375)/(I375+H375)</f>
        <v>0.9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 t="s">
        <v>1277</v>
      </c>
      <c r="AG375" s="8" t="s">
        <v>1277</v>
      </c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25</v>
      </c>
      <c r="I378" s="16">
        <f t="shared" si="37"/>
        <v>5</v>
      </c>
      <c r="J378" s="17">
        <f t="shared" si="38"/>
        <v>0.83333333333333337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 t="s">
        <v>1277</v>
      </c>
      <c r="AA378" s="26"/>
      <c r="AB378" s="26"/>
      <c r="AC378" s="26"/>
      <c r="AD378" s="26"/>
      <c r="AE378" s="26"/>
      <c r="AF378" s="26" t="s">
        <v>1277</v>
      </c>
      <c r="AG378" s="8" t="s">
        <v>1277</v>
      </c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25</v>
      </c>
      <c r="I379" s="16">
        <f t="shared" si="37"/>
        <v>5</v>
      </c>
      <c r="J379" s="17">
        <f t="shared" si="38"/>
        <v>0.83333333333333337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 t="s">
        <v>1277</v>
      </c>
      <c r="AA379" s="26"/>
      <c r="AB379" s="26"/>
      <c r="AC379" s="26"/>
      <c r="AD379" s="26"/>
      <c r="AE379" s="26"/>
      <c r="AF379" s="26" t="s">
        <v>1277</v>
      </c>
      <c r="AG379" s="8" t="s">
        <v>1277</v>
      </c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12</v>
      </c>
      <c r="I390" s="16">
        <f t="shared" si="37"/>
        <v>18</v>
      </c>
      <c r="J390" s="17">
        <f t="shared" si="38"/>
        <v>0.4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 t="s">
        <v>1277</v>
      </c>
      <c r="AA390" s="26"/>
      <c r="AB390" s="26" t="s">
        <v>1277</v>
      </c>
      <c r="AC390" s="26" t="s">
        <v>1277</v>
      </c>
      <c r="AD390" s="26" t="s">
        <v>1277</v>
      </c>
      <c r="AE390" s="26" t="s">
        <v>1277</v>
      </c>
      <c r="AF390" s="26"/>
      <c r="AG390" s="8" t="s">
        <v>1277</v>
      </c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10</v>
      </c>
      <c r="I393" s="16">
        <f t="shared" si="37"/>
        <v>20</v>
      </c>
      <c r="J393" s="17">
        <f t="shared" si="38"/>
        <v>0.33333333333333331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 t="s">
        <v>1277</v>
      </c>
      <c r="AA393" s="26"/>
      <c r="AB393" s="26" t="s">
        <v>1277</v>
      </c>
      <c r="AC393" s="26" t="s">
        <v>1277</v>
      </c>
      <c r="AD393" s="26" t="s">
        <v>1277</v>
      </c>
      <c r="AE393" s="26" t="s">
        <v>1277</v>
      </c>
      <c r="AF393" s="26" t="s">
        <v>1277</v>
      </c>
      <c r="AG393" s="8" t="s">
        <v>1277</v>
      </c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28</v>
      </c>
      <c r="I395" s="16">
        <f t="shared" si="37"/>
        <v>2</v>
      </c>
      <c r="J395" s="17">
        <f t="shared" si="38"/>
        <v>0.93333333333333335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 t="s">
        <v>1277</v>
      </c>
      <c r="AE395" s="26" t="s">
        <v>1277</v>
      </c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28</v>
      </c>
      <c r="I396" s="16">
        <f t="shared" si="37"/>
        <v>2</v>
      </c>
      <c r="J396" s="17">
        <f t="shared" si="38"/>
        <v>0.93333333333333335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 t="s">
        <v>1277</v>
      </c>
      <c r="AE396" s="26" t="s">
        <v>1277</v>
      </c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27</v>
      </c>
      <c r="I397" s="52">
        <f t="shared" ref="I397:I403" si="42">COUNTIF(K397:AL397,"APAGADO")</f>
        <v>3</v>
      </c>
      <c r="J397" s="53">
        <f t="shared" ref="J397:J403" si="43">(H397)/(I397+H397)</f>
        <v>0.9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 t="s">
        <v>1277</v>
      </c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27</v>
      </c>
      <c r="I398" s="52">
        <f t="shared" si="42"/>
        <v>3</v>
      </c>
      <c r="J398" s="53">
        <f t="shared" si="43"/>
        <v>0.9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 t="s">
        <v>1277</v>
      </c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26</v>
      </c>
      <c r="I408" s="52">
        <f t="shared" si="45"/>
        <v>4</v>
      </c>
      <c r="J408" s="53">
        <f t="shared" si="46"/>
        <v>0.8666666666666667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 t="s">
        <v>1277</v>
      </c>
      <c r="AE408" s="26" t="s">
        <v>1277</v>
      </c>
      <c r="AF408" s="26" t="s">
        <v>1277</v>
      </c>
      <c r="AG408" s="26" t="s">
        <v>1277</v>
      </c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27</v>
      </c>
      <c r="I415" s="52">
        <f t="shared" si="45"/>
        <v>3</v>
      </c>
      <c r="J415" s="53">
        <f t="shared" si="46"/>
        <v>0.9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 t="s">
        <v>1277</v>
      </c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1279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1278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51" t="s">
        <v>1280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51" t="s">
        <v>1281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B431" s="44" t="s">
        <v>1271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>
        <f>'RESUMEN TOTAL'!AA9</f>
        <v>0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>
        <f>'RESUMEN TOTAL'!AA14</f>
        <v>0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 t="str">
        <f>'RESUMEN TOTAL'!AC15</f>
        <v>APAGADO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>
        <f>'RESUMEN TOTAL'!AA16</f>
        <v>0</v>
      </c>
      <c r="W13" s="29" t="str">
        <f>'RESUMEN TOTAL'!AB16</f>
        <v>APAGADO</v>
      </c>
      <c r="X13" s="29" t="str">
        <f>'RESUMEN TOTAL'!AC16</f>
        <v>APAGADO</v>
      </c>
      <c r="Y13" s="29" t="str">
        <f>'RESUMEN TOTAL'!AD16</f>
        <v>APAGADO</v>
      </c>
      <c r="Z13" s="29" t="str">
        <f>'RESUMEN TOTAL'!AE16</f>
        <v>APAGADO</v>
      </c>
      <c r="AA13" s="29" t="str">
        <f>'RESUMEN TOTAL'!AF16</f>
        <v>APAGADO</v>
      </c>
      <c r="AB13" s="29" t="str">
        <f>'RESUMEN TOTAL'!AG16</f>
        <v>APAGADO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 t="str">
        <f>'RESUMEN TOTAL'!Z28</f>
        <v>APAGADO</v>
      </c>
      <c r="V25" s="29">
        <f>'RESUMEN TOTAL'!AA28</f>
        <v>0</v>
      </c>
      <c r="W25" s="29" t="str">
        <f>'RESUMEN TOTAL'!AB28</f>
        <v>APAGADO</v>
      </c>
      <c r="X25" s="29" t="str">
        <f>'RESUMEN TOTAL'!AC28</f>
        <v>APAGADO</v>
      </c>
      <c r="Y25" s="29" t="str">
        <f>'RESUMEN TOTAL'!AD28</f>
        <v>APAGADO</v>
      </c>
      <c r="Z25" s="29" t="str">
        <f>'RESUMEN TOTAL'!AE28</f>
        <v>APAGADO</v>
      </c>
      <c r="AA25" s="29" t="str">
        <f>'RESUMEN TOTAL'!AF28</f>
        <v>APAGADO</v>
      </c>
      <c r="AB25" s="29" t="str">
        <f>'RESUMEN TOTAL'!AG28</f>
        <v>APAGADO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 t="str">
        <f>'RESUMEN TOTAL'!Z31</f>
        <v>APAGADO</v>
      </c>
      <c r="V28" s="29">
        <f>'RESUMEN TOTAL'!AA31</f>
        <v>0</v>
      </c>
      <c r="W28" s="29" t="str">
        <f>'RESUMEN TOTAL'!AB31</f>
        <v>APAGADO</v>
      </c>
      <c r="X28" s="29" t="str">
        <f>'RESUMEN TOTAL'!AC31</f>
        <v>APAGADO</v>
      </c>
      <c r="Y28" s="29" t="str">
        <f>'RESUMEN TOTAL'!AD31</f>
        <v>APAGADO</v>
      </c>
      <c r="Z28" s="29" t="str">
        <f>'RESUMEN TOTAL'!AE31</f>
        <v>APAGADO</v>
      </c>
      <c r="AA28" s="29" t="str">
        <f>'RESUMEN TOTAL'!AF31</f>
        <v>APAGADO</v>
      </c>
      <c r="AB28" s="29" t="str">
        <f>'RESUMEN TOTAL'!AG31</f>
        <v>APAGADO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 t="str">
        <f>'RESUMEN TOTAL'!Z34</f>
        <v>APAGADO</v>
      </c>
      <c r="V31" s="29">
        <f>'RESUMEN TOTAL'!AA34</f>
        <v>0</v>
      </c>
      <c r="W31" s="29" t="str">
        <f>'RESUMEN TOTAL'!AB34</f>
        <v>APAGADO</v>
      </c>
      <c r="X31" s="29" t="str">
        <f>'RESUMEN TOTAL'!AC34</f>
        <v>APAGADO</v>
      </c>
      <c r="Y31" s="29" t="str">
        <f>'RESUMEN TOTAL'!AD34</f>
        <v>APAGADO</v>
      </c>
      <c r="Z31" s="29" t="str">
        <f>'RESUMEN TOTAL'!AE34</f>
        <v>APAGADO</v>
      </c>
      <c r="AA31" s="29" t="str">
        <f>'RESUMEN TOTAL'!AF34</f>
        <v>APAGADO</v>
      </c>
      <c r="AB31" s="29" t="str">
        <f>'RESUMEN TOTAL'!AG34</f>
        <v>APAGADO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>
        <f>'RESUMEN TOTAL'!AA42</f>
        <v>0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 t="str">
        <f>'RESUMEN TOTAL'!AC43</f>
        <v>APAGADO</v>
      </c>
      <c r="Y40" s="29" t="str">
        <f>'RESUMEN TOTAL'!AD43</f>
        <v>APAGADO</v>
      </c>
      <c r="Z40" s="29" t="str">
        <f>'RESUMEN TOTAL'!AE43</f>
        <v>APAGADO</v>
      </c>
      <c r="AA40" s="29" t="str">
        <f>'RESUMEN TOTAL'!AF43</f>
        <v>APAGADO</v>
      </c>
      <c r="AB40" s="29" t="str">
        <f>'RESUMEN TOTAL'!AG43</f>
        <v>APAGADO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 t="str">
        <f>'RESUMEN TOTAL'!AB45</f>
        <v>APAGADO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 t="str">
        <f>'RESUMEN TOTAL'!AC45</f>
        <v>APAGADO</v>
      </c>
      <c r="Y42" s="29" t="str">
        <f>'RESUMEN TOTAL'!AD45</f>
        <v>APAGADO</v>
      </c>
      <c r="Z42" s="29" t="str">
        <f>'RESUMEN TOTAL'!AE45</f>
        <v>APAGADO</v>
      </c>
      <c r="AA42" s="29" t="str">
        <f>'RESUMEN TOTAL'!AF45</f>
        <v>APAGADO</v>
      </c>
      <c r="AB42" s="29" t="str">
        <f>'RESUMEN TOTAL'!AG45</f>
        <v>APAGADO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 t="str">
        <f>'RESUMEN TOTAL'!AB48</f>
        <v>APAGADO</v>
      </c>
      <c r="X45" s="29" t="str">
        <f>'RESUMEN TOTAL'!AC48</f>
        <v>APAGADO</v>
      </c>
      <c r="Y45" s="29" t="str">
        <f>'RESUMEN TOTAL'!AD48</f>
        <v>APAGADO</v>
      </c>
      <c r="Z45" s="29" t="str">
        <f>'RESUMEN TOTAL'!AE48</f>
        <v>APAGADO</v>
      </c>
      <c r="AA45" s="29" t="str">
        <f>'RESUMEN TOTAL'!AF48</f>
        <v>APAGADO</v>
      </c>
      <c r="AB45" s="29" t="str">
        <f>'RESUMEN TOTAL'!AG48</f>
        <v>APAGADO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 t="str">
        <f>'RESUMEN TOTAL'!Z50</f>
        <v>APAGADO</v>
      </c>
      <c r="V47" s="29">
        <f>'RESUMEN TOTAL'!AA50</f>
        <v>0</v>
      </c>
      <c r="W47" s="29" t="str">
        <f>'RESUMEN TOTAL'!AB50</f>
        <v>APAGADO</v>
      </c>
      <c r="X47" s="29" t="str">
        <f>'RESUMEN TOTAL'!AC50</f>
        <v>APAGADO</v>
      </c>
      <c r="Y47" s="29" t="str">
        <f>'RESUMEN TOTAL'!AD50</f>
        <v>APAGADO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 t="str">
        <f>'RESUMEN TOTAL'!Z60</f>
        <v>APAGADO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>
        <f>'RESUMEN TOTAL'!AA63</f>
        <v>0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 t="str">
        <f>'RESUMEN TOTAL'!AG66</f>
        <v>APAGADO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 t="str">
        <f>'RESUMEN TOTAL'!AD71</f>
        <v>APAGADO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 t="str">
        <f>'RESUMEN TOTAL'!AF81</f>
        <v>APAGADO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 t="str">
        <f>'RESUMEN TOTAL'!AF82</f>
        <v>APAGADO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>
        <f>'RESUMEN TOTAL'!AA88</f>
        <v>0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 t="str">
        <f>'RESUMEN TOTAL'!AB92</f>
        <v>APAGADO</v>
      </c>
      <c r="X89" s="29" t="str">
        <f>'RESUMEN TOTAL'!AC92</f>
        <v>APAGADO</v>
      </c>
      <c r="Y89" s="29" t="str">
        <f>'RESUMEN TOTAL'!AD92</f>
        <v>APAGADO</v>
      </c>
      <c r="Z89" s="29" t="str">
        <f>'RESUMEN TOTAL'!AE92</f>
        <v>APAGADO</v>
      </c>
      <c r="AA89" s="29" t="str">
        <f>'RESUMEN TOTAL'!AF92</f>
        <v>APAGADO</v>
      </c>
      <c r="AB89" s="29" t="str">
        <f>'RESUMEN TOTAL'!AG92</f>
        <v>APAGADO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 t="str">
        <f>'RESUMEN TOTAL'!Z95</f>
        <v>APAGADO</v>
      </c>
      <c r="V92" s="29">
        <f>'RESUMEN TOTAL'!AA95</f>
        <v>0</v>
      </c>
      <c r="W92" s="29" t="str">
        <f>'RESUMEN TOTAL'!AB95</f>
        <v>APAGADO</v>
      </c>
      <c r="X92" s="29" t="str">
        <f>'RESUMEN TOTAL'!AC95</f>
        <v>APAGADO</v>
      </c>
      <c r="Y92" s="29" t="str">
        <f>'RESUMEN TOTAL'!AD95</f>
        <v>APAGADO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 t="str">
        <f>'RESUMEN TOTAL'!Z96</f>
        <v>APAGADO</v>
      </c>
      <c r="V93" s="29">
        <f>'RESUMEN TOTAL'!AA96</f>
        <v>0</v>
      </c>
      <c r="W93" s="29" t="str">
        <f>'RESUMEN TOTAL'!AB96</f>
        <v>APAGADO</v>
      </c>
      <c r="X93" s="29" t="str">
        <f>'RESUMEN TOTAL'!AC96</f>
        <v>APAGADO</v>
      </c>
      <c r="Y93" s="29" t="str">
        <f>'RESUMEN TOTAL'!AD96</f>
        <v>APAGADO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 t="str">
        <f>'RESUMEN TOTAL'!AC115</f>
        <v>APAGADO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 t="str">
        <f>'RESUMEN TOTAL'!Z116</f>
        <v>APAGADO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 t="str">
        <f>'RESUMEN TOTAL'!AD116</f>
        <v>APAGADO</v>
      </c>
      <c r="Z113" s="29">
        <f>'RESUMEN TOTAL'!AE116</f>
        <v>0</v>
      </c>
      <c r="AA113" s="29" t="str">
        <f>'RESUMEN TOTAL'!AF116</f>
        <v>APAGADO</v>
      </c>
      <c r="AB113" s="29" t="str">
        <f>'RESUMEN TOTAL'!AG116</f>
        <v>APAGADO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 t="str">
        <f>'RESUMEN TOTAL'!AC119</f>
        <v>APAGADO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 t="str">
        <f>'RESUMEN TOTAL'!AC120</f>
        <v>APAGADO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 t="str">
        <f>'RESUMEN TOTAL'!AC121</f>
        <v>APAGADO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 t="str">
        <f>'RESUMEN TOTAL'!AC123</f>
        <v>APAGADO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 t="str">
        <f>'RESUMEN TOTAL'!AC124</f>
        <v>APAGADO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 t="str">
        <f>'RESUMEN TOTAL'!AC131</f>
        <v>APAGADO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 t="str">
        <f>'RESUMEN TOTAL'!AC132</f>
        <v>APAGADO</v>
      </c>
      <c r="Y125" s="29">
        <f>'RESUMEN TOTAL'!AD132</f>
        <v>0</v>
      </c>
      <c r="Z125" s="29">
        <f>'RESUMEN TOTAL'!AE132</f>
        <v>0</v>
      </c>
      <c r="AA125" s="29" t="str">
        <f>'RESUMEN TOTAL'!AF132</f>
        <v>APAGADO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 t="str">
        <f>'RESUMEN TOTAL'!AC136</f>
        <v>APAGADO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 t="str">
        <f>'RESUMEN TOTAL'!AC137</f>
        <v>APAGADO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 t="str">
        <f>'RESUMEN TOTAL'!AC138</f>
        <v>APAGADO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 t="str">
        <f>'RESUMEN TOTAL'!AC139</f>
        <v>APAGADO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 t="str">
        <f>'RESUMEN TOTAL'!AC140</f>
        <v>APAGADO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 t="str">
        <f>'RESUMEN TOTAL'!AC141</f>
        <v>APAGADO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 t="str">
        <f>'RESUMEN TOTAL'!Z142</f>
        <v>APAGADO</v>
      </c>
      <c r="V135" s="29">
        <f>'RESUMEN TOTAL'!AA142</f>
        <v>0</v>
      </c>
      <c r="W135" s="29" t="str">
        <f>'RESUMEN TOTAL'!AB142</f>
        <v>APAGADO</v>
      </c>
      <c r="X135" s="29" t="str">
        <f>'RESUMEN TOTAL'!AC142</f>
        <v>APAGADO</v>
      </c>
      <c r="Y135" s="29" t="str">
        <f>'RESUMEN TOTAL'!AD142</f>
        <v>APAGADO</v>
      </c>
      <c r="Z135" s="29" t="str">
        <f>'RESUMEN TOTAL'!AE142</f>
        <v>APAGADO</v>
      </c>
      <c r="AA135" s="29" t="str">
        <f>'RESUMEN TOTAL'!AF142</f>
        <v>APAGADO</v>
      </c>
      <c r="AB135" s="29" t="str">
        <f>'RESUMEN TOTAL'!AG142</f>
        <v>APAGADO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 t="str">
        <f>'RESUMEN TOTAL'!AB145</f>
        <v>APAGADO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 t="str">
        <f>'RESUMEN TOTAL'!AG145</f>
        <v>APAGADO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 t="str">
        <f>'RESUMEN TOTAL'!AG147</f>
        <v>APAGADO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 t="str">
        <f>'RESUMEN TOTAL'!AG152</f>
        <v>APAGADO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 t="str">
        <f>'RESUMEN TOTAL'!Z153</f>
        <v>APAGADO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 t="str">
        <f>'RESUMEN TOTAL'!Z156</f>
        <v>APAGADO</v>
      </c>
      <c r="V149" s="29">
        <f>'RESUMEN TOTAL'!AA156</f>
        <v>0</v>
      </c>
      <c r="W149" s="29" t="str">
        <f>'RESUMEN TOTAL'!AB156</f>
        <v>APAGADO</v>
      </c>
      <c r="X149" s="29" t="str">
        <f>'RESUMEN TOTAL'!AC156</f>
        <v>APAGADO</v>
      </c>
      <c r="Y149" s="29" t="str">
        <f>'RESUMEN TOTAL'!AD156</f>
        <v>APAGADO</v>
      </c>
      <c r="Z149" s="29" t="str">
        <f>'RESUMEN TOTAL'!AE156</f>
        <v>APAGADO</v>
      </c>
      <c r="AA149" s="29" t="str">
        <f>'RESUMEN TOTAL'!AF156</f>
        <v>APAGADO</v>
      </c>
      <c r="AB149" s="29" t="str">
        <f>'RESUMEN TOTAL'!AG156</f>
        <v>APAGADO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 t="str">
        <f>'RESUMEN TOTAL'!Z157</f>
        <v>APAGADO</v>
      </c>
      <c r="V150" s="29">
        <f>'RESUMEN TOTAL'!AA157</f>
        <v>0</v>
      </c>
      <c r="W150" s="29" t="str">
        <f>'RESUMEN TOTAL'!AB157</f>
        <v>APAGADO</v>
      </c>
      <c r="X150" s="29" t="str">
        <f>'RESUMEN TOTAL'!AC157</f>
        <v>APAGADO</v>
      </c>
      <c r="Y150" s="29" t="str">
        <f>'RESUMEN TOTAL'!AD157</f>
        <v>APAGADO</v>
      </c>
      <c r="Z150" s="29" t="str">
        <f>'RESUMEN TOTAL'!AE157</f>
        <v>APAGADO</v>
      </c>
      <c r="AA150" s="29" t="str">
        <f>'RESUMEN TOTAL'!AF157</f>
        <v>APAGADO</v>
      </c>
      <c r="AB150" s="29" t="str">
        <f>'RESUMEN TOTAL'!AG157</f>
        <v>APAGADO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 t="str">
        <f>'RESUMEN TOTAL'!Z166</f>
        <v>APAGADO</v>
      </c>
      <c r="V159" s="29">
        <f>'RESUMEN TOTAL'!AA166</f>
        <v>0</v>
      </c>
      <c r="W159" s="29" t="str">
        <f>'RESUMEN TOTAL'!AB166</f>
        <v>APAGADO</v>
      </c>
      <c r="X159" s="29" t="str">
        <f>'RESUMEN TOTAL'!AC166</f>
        <v>APAGADO</v>
      </c>
      <c r="Y159" s="29" t="str">
        <f>'RESUMEN TOTAL'!AD166</f>
        <v>APAGADO</v>
      </c>
      <c r="Z159" s="29" t="str">
        <f>'RESUMEN TOTAL'!AE166</f>
        <v>APAGADO</v>
      </c>
      <c r="AA159" s="29">
        <f>'RESUMEN TOTAL'!AF166</f>
        <v>0</v>
      </c>
      <c r="AB159" s="29" t="str">
        <f>'RESUMEN TOTAL'!AG166</f>
        <v>APAGADO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 t="str">
        <f>'RESUMEN TOTAL'!Z168</f>
        <v>APAGADO</v>
      </c>
      <c r="V161" s="29">
        <f>'RESUMEN TOTAL'!AA168</f>
        <v>0</v>
      </c>
      <c r="W161" s="29" t="str">
        <f>'RESUMEN TOTAL'!AB168</f>
        <v>APAGADO</v>
      </c>
      <c r="X161" s="29" t="str">
        <f>'RESUMEN TOTAL'!AC168</f>
        <v>APAGADO</v>
      </c>
      <c r="Y161" s="29" t="str">
        <f>'RESUMEN TOTAL'!AD168</f>
        <v>APAGADO</v>
      </c>
      <c r="Z161" s="29" t="str">
        <f>'RESUMEN TOTAL'!AE168</f>
        <v>APAGADO</v>
      </c>
      <c r="AA161" s="29">
        <f>'RESUMEN TOTAL'!AF168</f>
        <v>0</v>
      </c>
      <c r="AB161" s="29" t="str">
        <f>'RESUMEN TOTAL'!AG168</f>
        <v>APAGADO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 t="str">
        <f>'RESUMEN TOTAL'!Z173</f>
        <v>APAGADO</v>
      </c>
      <c r="V166" s="29">
        <f>'RESUMEN TOTAL'!AA173</f>
        <v>0</v>
      </c>
      <c r="W166" s="29" t="str">
        <f>'RESUMEN TOTAL'!AB173</f>
        <v>APAGADO</v>
      </c>
      <c r="X166" s="29" t="str">
        <f>'RESUMEN TOTAL'!AC173</f>
        <v>APAGADO</v>
      </c>
      <c r="Y166" s="29" t="str">
        <f>'RESUMEN TOTAL'!AD173</f>
        <v>APAGADO</v>
      </c>
      <c r="Z166" s="29" t="str">
        <f>'RESUMEN TOTAL'!AE173</f>
        <v>APAGADO</v>
      </c>
      <c r="AA166" s="29">
        <f>'RESUMEN TOTAL'!AF173</f>
        <v>0</v>
      </c>
      <c r="AB166" s="29" t="str">
        <f>'RESUMEN TOTAL'!AG173</f>
        <v>APAGADO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 t="str">
        <f>'RESUMEN TOTAL'!AD175</f>
        <v>APAGADO</v>
      </c>
      <c r="Z168" s="29">
        <f>'RESUMEN TOTAL'!AE175</f>
        <v>0</v>
      </c>
      <c r="AA168" s="29">
        <f>'RESUMEN TOTAL'!AF175</f>
        <v>0</v>
      </c>
      <c r="AB168" s="29" t="str">
        <f>'RESUMEN TOTAL'!AG175</f>
        <v>APAGADO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 t="str">
        <f>'RESUMEN TOTAL'!Z176</f>
        <v>APAGADO</v>
      </c>
      <c r="V169" s="29">
        <f>'RESUMEN TOTAL'!AA176</f>
        <v>0</v>
      </c>
      <c r="W169" s="29" t="str">
        <f>'RESUMEN TOTAL'!AB176</f>
        <v>APAGADO</v>
      </c>
      <c r="X169" s="29" t="str">
        <f>'RESUMEN TOTAL'!AC176</f>
        <v>APAGADO</v>
      </c>
      <c r="Y169" s="29" t="str">
        <f>'RESUMEN TOTAL'!AD176</f>
        <v>APAGADO</v>
      </c>
      <c r="Z169" s="29" t="str">
        <f>'RESUMEN TOTAL'!AE176</f>
        <v>APAGADO</v>
      </c>
      <c r="AA169" s="29">
        <f>'RESUMEN TOTAL'!AF176</f>
        <v>0</v>
      </c>
      <c r="AB169" s="29" t="str">
        <f>'RESUMEN TOTAL'!AG176</f>
        <v>APAGADO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 t="str">
        <f>'RESUMEN TOTAL'!AC177</f>
        <v>APAGADO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 t="str">
        <f>'RESUMEN TOTAL'!AG177</f>
        <v>APAGADO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 t="str">
        <f>'RESUMEN TOTAL'!Z189</f>
        <v>APAGADO</v>
      </c>
      <c r="V182" s="29">
        <f>'RESUMEN TOTAL'!AA189</f>
        <v>0</v>
      </c>
      <c r="W182" s="29" t="str">
        <f>'RESUMEN TOTAL'!AB189</f>
        <v>APAGADO</v>
      </c>
      <c r="X182" s="29" t="str">
        <f>'RESUMEN TOTAL'!AC189</f>
        <v>APAGADO</v>
      </c>
      <c r="Y182" s="29" t="str">
        <f>'RESUMEN TOTAL'!AD189</f>
        <v>APAGADO</v>
      </c>
      <c r="Z182" s="29" t="str">
        <f>'RESUMEN TOTAL'!AE189</f>
        <v>APAGADO</v>
      </c>
      <c r="AA182" s="29" t="str">
        <f>'RESUMEN TOTAL'!AF189</f>
        <v>APAGADO</v>
      </c>
      <c r="AB182" s="29" t="str">
        <f>'RESUMEN TOTAL'!AG189</f>
        <v>APAGADO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 t="str">
        <f>'RESUMEN TOTAL'!Z200</f>
        <v>APAGADO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 t="str">
        <f>'RESUMEN TOTAL'!AF200</f>
        <v>APAGADO</v>
      </c>
      <c r="AB193" s="29" t="str">
        <f>'RESUMEN TOTAL'!AG200</f>
        <v>APAGADO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 t="str">
        <f>'RESUMEN TOTAL'!Z204</f>
        <v>APAGADO</v>
      </c>
      <c r="V197" s="29">
        <f>'RESUMEN TOTAL'!AA204</f>
        <v>0</v>
      </c>
      <c r="W197" s="29" t="str">
        <f>'RESUMEN TOTAL'!AB204</f>
        <v>APAGADO</v>
      </c>
      <c r="X197" s="29" t="str">
        <f>'RESUMEN TOTAL'!AC204</f>
        <v>APAGADO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 t="str">
        <f>'RESUMEN TOTAL'!Z205</f>
        <v>APAGADO</v>
      </c>
      <c r="V198" s="29">
        <f>'RESUMEN TOTAL'!AA205</f>
        <v>0</v>
      </c>
      <c r="W198" s="29" t="str">
        <f>'RESUMEN TOTAL'!AB205</f>
        <v>APAGADO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 t="str">
        <f>'RESUMEN TOTAL'!Z206</f>
        <v>APAGADO</v>
      </c>
      <c r="V199" s="29">
        <f>'RESUMEN TOTAL'!AA206</f>
        <v>0</v>
      </c>
      <c r="W199" s="29" t="str">
        <f>'RESUMEN TOTAL'!AB206</f>
        <v>APAGADO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 t="str">
        <f>'RESUMEN TOTAL'!Z207</f>
        <v>APAGADO</v>
      </c>
      <c r="V200" s="29">
        <f>'RESUMEN TOTAL'!AA207</f>
        <v>0</v>
      </c>
      <c r="W200" s="29" t="str">
        <f>'RESUMEN TOTAL'!AB207</f>
        <v>APAGADO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 t="str">
        <f>'RESUMEN TOTAL'!Z208</f>
        <v>APAGADO</v>
      </c>
      <c r="V201" s="29">
        <f>'RESUMEN TOTAL'!AA208</f>
        <v>0</v>
      </c>
      <c r="W201" s="29" t="str">
        <f>'RESUMEN TOTAL'!AB208</f>
        <v>APAGADO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 t="str">
        <f>'RESUMEN TOTAL'!AC209</f>
        <v>APAGADO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 t="str">
        <f>'RESUMEN TOTAL'!AC210</f>
        <v>APAGADO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 t="str">
        <f>'RESUMEN TOTAL'!AC211</f>
        <v>APAGADO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 t="str">
        <f>'RESUMEN TOTAL'!AC212</f>
        <v>APAGADO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 t="str">
        <f>'RESUMEN TOTAL'!AC213</f>
        <v>APAGADO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 t="str">
        <f>'RESUMEN TOTAL'!AC214</f>
        <v>APAGADO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 t="str">
        <f>'RESUMEN TOTAL'!AC215</f>
        <v>APAGADO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 t="str">
        <f>'RESUMEN TOTAL'!AC216</f>
        <v>APAGADO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 t="str">
        <f>'RESUMEN TOTAL'!AC217</f>
        <v>APAGADO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 t="str">
        <f>'RESUMEN TOTAL'!AG217</f>
        <v>APAGADO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 t="str">
        <f>'RESUMEN TOTAL'!Z218</f>
        <v>APAGADO</v>
      </c>
      <c r="V211" s="29">
        <f>'RESUMEN TOTAL'!AA218</f>
        <v>0</v>
      </c>
      <c r="W211" s="29">
        <f>'RESUMEN TOTAL'!AB218</f>
        <v>0</v>
      </c>
      <c r="X211" s="29" t="str">
        <f>'RESUMEN TOTAL'!AC218</f>
        <v>APAGADO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 t="str">
        <f>'RESUMEN TOTAL'!Z219</f>
        <v>APAGADO</v>
      </c>
      <c r="V212" s="29">
        <f>'RESUMEN TOTAL'!AA219</f>
        <v>0</v>
      </c>
      <c r="W212" s="29">
        <f>'RESUMEN TOTAL'!AB219</f>
        <v>0</v>
      </c>
      <c r="X212" s="29" t="str">
        <f>'RESUMEN TOTAL'!AC219</f>
        <v>APAGADO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 t="str">
        <f>'RESUMEN TOTAL'!Z220</f>
        <v>APAGADO</v>
      </c>
      <c r="V213" s="29">
        <f>'RESUMEN TOTAL'!AA220</f>
        <v>0</v>
      </c>
      <c r="W213" s="29" t="str">
        <f>'RESUMEN TOTAL'!AB220</f>
        <v>APAGADO</v>
      </c>
      <c r="X213" s="29" t="str">
        <f>'RESUMEN TOTAL'!AC220</f>
        <v>APAGADO</v>
      </c>
      <c r="Y213" s="29" t="str">
        <f>'RESUMEN TOTAL'!AD220</f>
        <v>APAGADO</v>
      </c>
      <c r="Z213" s="29" t="str">
        <f>'RESUMEN TOTAL'!AE220</f>
        <v>APAGADO</v>
      </c>
      <c r="AA213" s="29" t="str">
        <f>'RESUMEN TOTAL'!AF220</f>
        <v>APAGADO</v>
      </c>
      <c r="AB213" s="29" t="str">
        <f>'RESUMEN TOTAL'!AG220</f>
        <v>APAGADO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 t="str">
        <f>'RESUMEN TOTAL'!AC221</f>
        <v>APAGADO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 t="str">
        <f>'RESUMEN TOTAL'!AC222</f>
        <v>APAGADO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 t="str">
        <f>'RESUMEN TOTAL'!Z223</f>
        <v>APAGADO</v>
      </c>
      <c r="V216" s="29">
        <f>'RESUMEN TOTAL'!AA223</f>
        <v>0</v>
      </c>
      <c r="W216" s="29" t="str">
        <f>'RESUMEN TOTAL'!AB223</f>
        <v>APAGADO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 t="str">
        <f>'RESUMEN TOTAL'!Z224</f>
        <v>APAGADO</v>
      </c>
      <c r="V217" s="29">
        <f>'RESUMEN TOTAL'!AA224</f>
        <v>0</v>
      </c>
      <c r="W217" s="29" t="str">
        <f>'RESUMEN TOTAL'!AB224</f>
        <v>APAGADO</v>
      </c>
      <c r="X217" s="29" t="str">
        <f>'RESUMEN TOTAL'!AC224</f>
        <v>APAGADO</v>
      </c>
      <c r="Y217" s="29" t="str">
        <f>'RESUMEN TOTAL'!AD224</f>
        <v>APAGADO</v>
      </c>
      <c r="Z217" s="29" t="str">
        <f>'RESUMEN TOTAL'!AE224</f>
        <v>APAGADO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 t="str">
        <f>'RESUMEN TOTAL'!Z225</f>
        <v>APAGADO</v>
      </c>
      <c r="V218" s="29">
        <f>'RESUMEN TOTAL'!AA225</f>
        <v>0</v>
      </c>
      <c r="W218" s="29">
        <f>'RESUMEN TOTAL'!AB225</f>
        <v>0</v>
      </c>
      <c r="X218" s="29" t="str">
        <f>'RESUMEN TOTAL'!AC225</f>
        <v>APAGADO</v>
      </c>
      <c r="Y218" s="29" t="str">
        <f>'RESUMEN TOTAL'!AD225</f>
        <v>APAGADO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 t="str">
        <f>'RESUMEN TOTAL'!Z226</f>
        <v>APAGADO</v>
      </c>
      <c r="V219" s="29">
        <f>'RESUMEN TOTAL'!AA226</f>
        <v>0</v>
      </c>
      <c r="W219" s="29">
        <f>'RESUMEN TOTAL'!AB226</f>
        <v>0</v>
      </c>
      <c r="X219" s="29" t="str">
        <f>'RESUMEN TOTAL'!AC226</f>
        <v>APAGADO</v>
      </c>
      <c r="Y219" s="29" t="str">
        <f>'RESUMEN TOTAL'!AD226</f>
        <v>APAGADO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 t="str">
        <f>'RESUMEN TOTAL'!Z227</f>
        <v>APAGADO</v>
      </c>
      <c r="V220" s="29">
        <f>'RESUMEN TOTAL'!AA227</f>
        <v>0</v>
      </c>
      <c r="W220" s="29" t="str">
        <f>'RESUMEN TOTAL'!AB227</f>
        <v>APAGADO</v>
      </c>
      <c r="X220" s="29" t="str">
        <f>'RESUMEN TOTAL'!AC227</f>
        <v>APAGADO</v>
      </c>
      <c r="Y220" s="29" t="str">
        <f>'RESUMEN TOTAL'!AD227</f>
        <v>APAGADO</v>
      </c>
      <c r="Z220" s="29" t="str">
        <f>'RESUMEN TOTAL'!AE227</f>
        <v>APAGADO</v>
      </c>
      <c r="AA220" s="29">
        <f>'RESUMEN TOTAL'!AF227</f>
        <v>0</v>
      </c>
      <c r="AB220" s="29" t="str">
        <f>'RESUMEN TOTAL'!AG227</f>
        <v>APAGADO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 t="str">
        <f>'RESUMEN TOTAL'!AC228</f>
        <v>APAGADO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 t="str">
        <f>'RESUMEN TOTAL'!AC229</f>
        <v>APAGADO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 t="str">
        <f>'RESUMEN TOTAL'!AC230</f>
        <v>APAGADO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 t="str">
        <f>'RESUMEN TOTAL'!AG230</f>
        <v>APAGADO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 t="str">
        <f>'RESUMEN TOTAL'!AC231</f>
        <v>APAGADO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 t="str">
        <f>'RESUMEN TOTAL'!AG231</f>
        <v>APAGADO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 t="str">
        <f>'RESUMEN TOTAL'!Z232</f>
        <v>APAGADO</v>
      </c>
      <c r="V225" s="29">
        <f>'RESUMEN TOTAL'!AA232</f>
        <v>0</v>
      </c>
      <c r="W225" s="29">
        <f>'RESUMEN TOTAL'!AB232</f>
        <v>0</v>
      </c>
      <c r="X225" s="29" t="str">
        <f>'RESUMEN TOTAL'!AC232</f>
        <v>APAGADO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 t="str">
        <f>'RESUMEN TOTAL'!AC233</f>
        <v>APAGADO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 t="str">
        <f>'RESUMEN TOTAL'!Z234</f>
        <v>APAGADO</v>
      </c>
      <c r="V227" s="29">
        <f>'RESUMEN TOTAL'!AA234</f>
        <v>0</v>
      </c>
      <c r="W227" s="29" t="str">
        <f>'RESUMEN TOTAL'!AB234</f>
        <v>APAGADO</v>
      </c>
      <c r="X227" s="29" t="str">
        <f>'RESUMEN TOTAL'!AC234</f>
        <v>APAGADO</v>
      </c>
      <c r="Y227" s="29" t="str">
        <f>'RESUMEN TOTAL'!AD234</f>
        <v>APAGADO</v>
      </c>
      <c r="Z227" s="29" t="str">
        <f>'RESUMEN TOTAL'!AE234</f>
        <v>APAGADO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 t="str">
        <f>'RESUMEN TOTAL'!Z235</f>
        <v>APAGADO</v>
      </c>
      <c r="V228" s="29">
        <f>'RESUMEN TOTAL'!AA235</f>
        <v>0</v>
      </c>
      <c r="W228" s="29">
        <f>'RESUMEN TOTAL'!AB235</f>
        <v>0</v>
      </c>
      <c r="X228" s="29" t="str">
        <f>'RESUMEN TOTAL'!AC235</f>
        <v>APAGADO</v>
      </c>
      <c r="Y228" s="29" t="str">
        <f>'RESUMEN TOTAL'!AD235</f>
        <v>APAGADO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 t="str">
        <f>'RESUMEN TOTAL'!AC236</f>
        <v>APAGADO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 t="str">
        <f>'RESUMEN TOTAL'!AD292</f>
        <v>APAGADO</v>
      </c>
      <c r="Z283" s="29">
        <f>'RESUMEN TOTAL'!AE292</f>
        <v>0</v>
      </c>
      <c r="AA283" s="29">
        <f>'RESUMEN TOTAL'!AF292</f>
        <v>0</v>
      </c>
      <c r="AB283" s="29" t="str">
        <f>'RESUMEN TOTAL'!AG292</f>
        <v>APAGADO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 t="str">
        <f>'RESUMEN TOTAL'!AC293</f>
        <v>APAGADO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 t="str">
        <f>'RESUMEN TOTAL'!AC294</f>
        <v>APAGADO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 t="str">
        <f>'RESUMEN TOTAL'!AC295</f>
        <v>APAGADO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 t="str">
        <f>'RESUMEN TOTAL'!AC296</f>
        <v>APAGADO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 t="str">
        <f>'RESUMEN TOTAL'!AF315</f>
        <v>APAGADO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 t="str">
        <f>'RESUMEN TOTAL'!Z316</f>
        <v>APAGADO</v>
      </c>
      <c r="V307" s="29">
        <f>'RESUMEN TOTAL'!AA316</f>
        <v>0</v>
      </c>
      <c r="W307" s="29">
        <f>'RESUMEN TOTAL'!AB316</f>
        <v>0</v>
      </c>
      <c r="X307" s="29" t="str">
        <f>'RESUMEN TOTAL'!AC316</f>
        <v>APAGADO</v>
      </c>
      <c r="Y307" s="29" t="str">
        <f>'RESUMEN TOTAL'!AD316</f>
        <v>APAGADO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 t="str">
        <f>'RESUMEN TOTAL'!Z317</f>
        <v>APAGADO</v>
      </c>
      <c r="V308" s="29">
        <f>'RESUMEN TOTAL'!AA317</f>
        <v>0</v>
      </c>
      <c r="W308" s="29">
        <f>'RESUMEN TOTAL'!AB317</f>
        <v>0</v>
      </c>
      <c r="X308" s="29" t="str">
        <f>'RESUMEN TOTAL'!AC317</f>
        <v>APAGADO</v>
      </c>
      <c r="Y308" s="29" t="str">
        <f>'RESUMEN TOTAL'!AD317</f>
        <v>APAGADO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 t="str">
        <f>'RESUMEN TOTAL'!AD326</f>
        <v>APAGADO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 t="str">
        <f>'RESUMEN TOTAL'!Z335</f>
        <v>APAGADO</v>
      </c>
      <c r="V326" s="29">
        <f>'RESUMEN TOTAL'!AA335</f>
        <v>0</v>
      </c>
      <c r="W326" s="29" t="str">
        <f>'RESUMEN TOTAL'!AB335</f>
        <v>APAGADO</v>
      </c>
      <c r="X326" s="29" t="str">
        <f>'RESUMEN TOTAL'!AC335</f>
        <v>APAGADO</v>
      </c>
      <c r="Y326" s="29" t="str">
        <f>'RESUMEN TOTAL'!AD335</f>
        <v>APAGADO</v>
      </c>
      <c r="Z326" s="29" t="str">
        <f>'RESUMEN TOTAL'!AE335</f>
        <v>APAGADO</v>
      </c>
      <c r="AA326" s="29" t="str">
        <f>'RESUMEN TOTAL'!AF335</f>
        <v>APAGADO</v>
      </c>
      <c r="AB326" s="29" t="str">
        <f>'RESUMEN TOTAL'!AG335</f>
        <v>APAGADO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 t="str">
        <f>'RESUMEN TOTAL'!Z336</f>
        <v>APAGADO</v>
      </c>
      <c r="V327" s="29">
        <f>'RESUMEN TOTAL'!AA336</f>
        <v>0</v>
      </c>
      <c r="W327" s="29" t="str">
        <f>'RESUMEN TOTAL'!AB336</f>
        <v>APAGADO</v>
      </c>
      <c r="X327" s="29" t="str">
        <f>'RESUMEN TOTAL'!AC336</f>
        <v>APAGADO</v>
      </c>
      <c r="Y327" s="29" t="str">
        <f>'RESUMEN TOTAL'!AD336</f>
        <v>APAGADO</v>
      </c>
      <c r="Z327" s="29" t="str">
        <f>'RESUMEN TOTAL'!AE336</f>
        <v>APAGADO</v>
      </c>
      <c r="AA327" s="29" t="str">
        <f>'RESUMEN TOTAL'!AF336</f>
        <v>APAGADO</v>
      </c>
      <c r="AB327" s="29" t="str">
        <f>'RESUMEN TOTAL'!AG336</f>
        <v>APAGADO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 t="str">
        <f>'RESUMEN TOTAL'!Z337</f>
        <v>APAGADO</v>
      </c>
      <c r="V328" s="29">
        <f>'RESUMEN TOTAL'!AA337</f>
        <v>0</v>
      </c>
      <c r="W328" s="29" t="str">
        <f>'RESUMEN TOTAL'!AB337</f>
        <v>APAGADO</v>
      </c>
      <c r="X328" s="29" t="str">
        <f>'RESUMEN TOTAL'!AC337</f>
        <v>APAGADO</v>
      </c>
      <c r="Y328" s="29" t="str">
        <f>'RESUMEN TOTAL'!AD337</f>
        <v>APAGADO</v>
      </c>
      <c r="Z328" s="29" t="str">
        <f>'RESUMEN TOTAL'!AE337</f>
        <v>APAGADO</v>
      </c>
      <c r="AA328" s="29" t="str">
        <f>'RESUMEN TOTAL'!AF337</f>
        <v>APAGADO</v>
      </c>
      <c r="AB328" s="29" t="str">
        <f>'RESUMEN TOTAL'!AG337</f>
        <v>APAGADO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 t="str">
        <f>'RESUMEN TOTAL'!Z338</f>
        <v>APAGADO</v>
      </c>
      <c r="V329" s="29">
        <f>'RESUMEN TOTAL'!AA338</f>
        <v>0</v>
      </c>
      <c r="W329" s="29" t="str">
        <f>'RESUMEN TOTAL'!AB338</f>
        <v>APAGADO</v>
      </c>
      <c r="X329" s="29" t="str">
        <f>'RESUMEN TOTAL'!AC338</f>
        <v>APAGADO</v>
      </c>
      <c r="Y329" s="29" t="str">
        <f>'RESUMEN TOTAL'!AD338</f>
        <v>APAGADO</v>
      </c>
      <c r="Z329" s="29" t="str">
        <f>'RESUMEN TOTAL'!AE338</f>
        <v>APAGADO</v>
      </c>
      <c r="AA329" s="29" t="str">
        <f>'RESUMEN TOTAL'!AF338</f>
        <v>APAGADO</v>
      </c>
      <c r="AB329" s="29" t="str">
        <f>'RESUMEN TOTAL'!AG338</f>
        <v>APAGADO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 t="str">
        <f>'RESUMEN TOTAL'!Z339</f>
        <v>APAGADO</v>
      </c>
      <c r="V330" s="29">
        <f>'RESUMEN TOTAL'!AA339</f>
        <v>0</v>
      </c>
      <c r="W330" s="29" t="str">
        <f>'RESUMEN TOTAL'!AB339</f>
        <v>APAGADO</v>
      </c>
      <c r="X330" s="29" t="str">
        <f>'RESUMEN TOTAL'!AC339</f>
        <v>APAGADO</v>
      </c>
      <c r="Y330" s="29" t="str">
        <f>'RESUMEN TOTAL'!AD339</f>
        <v>APAGADO</v>
      </c>
      <c r="Z330" s="29" t="str">
        <f>'RESUMEN TOTAL'!AE339</f>
        <v>APAGADO</v>
      </c>
      <c r="AA330" s="29" t="str">
        <f>'RESUMEN TOTAL'!AF339</f>
        <v>APAGADO</v>
      </c>
      <c r="AB330" s="29" t="str">
        <f>'RESUMEN TOTAL'!AG339</f>
        <v>APAGADO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 t="str">
        <f>'RESUMEN TOTAL'!Z340</f>
        <v>APAGADO</v>
      </c>
      <c r="V331" s="29">
        <f>'RESUMEN TOTAL'!AA340</f>
        <v>0</v>
      </c>
      <c r="W331" s="29" t="str">
        <f>'RESUMEN TOTAL'!AB340</f>
        <v>APAGADO</v>
      </c>
      <c r="X331" s="29" t="str">
        <f>'RESUMEN TOTAL'!AC340</f>
        <v>APAGADO</v>
      </c>
      <c r="Y331" s="29" t="str">
        <f>'RESUMEN TOTAL'!AD340</f>
        <v>APAGADO</v>
      </c>
      <c r="Z331" s="29" t="str">
        <f>'RESUMEN TOTAL'!AE340</f>
        <v>APAGADO</v>
      </c>
      <c r="AA331" s="29" t="str">
        <f>'RESUMEN TOTAL'!AF340</f>
        <v>APAGADO</v>
      </c>
      <c r="AB331" s="29" t="str">
        <f>'RESUMEN TOTAL'!AG340</f>
        <v>APAGADO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 t="str">
        <f>'RESUMEN TOTAL'!Z341</f>
        <v>APAGADO</v>
      </c>
      <c r="V332" s="29">
        <f>'RESUMEN TOTAL'!AA341</f>
        <v>0</v>
      </c>
      <c r="W332" s="29" t="str">
        <f>'RESUMEN TOTAL'!AB341</f>
        <v>APAGADO</v>
      </c>
      <c r="X332" s="29" t="str">
        <f>'RESUMEN TOTAL'!AC341</f>
        <v>APAGADO</v>
      </c>
      <c r="Y332" s="29" t="str">
        <f>'RESUMEN TOTAL'!AD341</f>
        <v>APAGADO</v>
      </c>
      <c r="Z332" s="29" t="str">
        <f>'RESUMEN TOTAL'!AE341</f>
        <v>APAGADO</v>
      </c>
      <c r="AA332" s="29" t="str">
        <f>'RESUMEN TOTAL'!AF341</f>
        <v>APAGADO</v>
      </c>
      <c r="AB332" s="29" t="str">
        <f>'RESUMEN TOTAL'!AG341</f>
        <v>APAGADO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 t="str">
        <f>'RESUMEN TOTAL'!Z348</f>
        <v>APAGADO</v>
      </c>
      <c r="V339" s="29">
        <f>'RESUMEN TOTAL'!AA348</f>
        <v>0</v>
      </c>
      <c r="W339" s="29" t="str">
        <f>'RESUMEN TOTAL'!AB348</f>
        <v>APAGADO</v>
      </c>
      <c r="X339" s="29" t="str">
        <f>'RESUMEN TOTAL'!AC348</f>
        <v>APAGADO</v>
      </c>
      <c r="Y339" s="29" t="str">
        <f>'RESUMEN TOTAL'!AD348</f>
        <v>APAGADO</v>
      </c>
      <c r="Z339" s="29" t="str">
        <f>'RESUMEN TOTAL'!AE348</f>
        <v>APAGADO</v>
      </c>
      <c r="AA339" s="29" t="str">
        <f>'RESUMEN TOTAL'!AF348</f>
        <v>APAGADO</v>
      </c>
      <c r="AB339" s="29" t="str">
        <f>'RESUMEN TOTAL'!AG348</f>
        <v>APAGADO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 t="str">
        <f>'RESUMEN TOTAL'!AC349</f>
        <v>APAGADO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 t="str">
        <f>'RESUMEN TOTAL'!AC350</f>
        <v>APAGADO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 t="str">
        <f>'RESUMEN TOTAL'!AC351</f>
        <v>APAGADO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 t="str">
        <f>'RESUMEN TOTAL'!AC352</f>
        <v>APAGADO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 t="str">
        <f>'RESUMEN TOTAL'!AB353</f>
        <v>APAGADO</v>
      </c>
      <c r="X344" s="29" t="str">
        <f>'RESUMEN TOTAL'!AC353</f>
        <v>APAGADO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 t="str">
        <f>'RESUMEN TOTAL'!AC354</f>
        <v>APAGADO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 t="str">
        <f>'RESUMEN TOTAL'!AC355</f>
        <v>APAGADO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 t="str">
        <f>'RESUMEN TOTAL'!Z362</f>
        <v>APAGADO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 t="str">
        <f>'RESUMEN TOTAL'!AF362</f>
        <v>APAGADO</v>
      </c>
      <c r="AB353" s="29" t="str">
        <f>'RESUMEN TOTAL'!AG362</f>
        <v>APAGADO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 t="str">
        <f>'RESUMEN TOTAL'!Z367</f>
        <v>APAGADO</v>
      </c>
      <c r="V358" s="29">
        <f>'RESUMEN TOTAL'!AA367</f>
        <v>0</v>
      </c>
      <c r="W358" s="29">
        <f>'RESUMEN TOTAL'!AB367</f>
        <v>0</v>
      </c>
      <c r="X358" s="29" t="str">
        <f>'RESUMEN TOTAL'!AC367</f>
        <v>APAGADO</v>
      </c>
      <c r="Y358" s="29" t="str">
        <f>'RESUMEN TOTAL'!AD367</f>
        <v>APAGADO</v>
      </c>
      <c r="Z358" s="29" t="str">
        <f>'RESUMEN TOTAL'!AE367</f>
        <v>APAGADO</v>
      </c>
      <c r="AA358" s="29" t="str">
        <f>'RESUMEN TOTAL'!AF367</f>
        <v>APAGADO</v>
      </c>
      <c r="AB358" s="29" t="str">
        <f>'RESUMEN TOTAL'!AG367</f>
        <v>APAGADO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 t="str">
        <f>'RESUMEN TOTAL'!Z368</f>
        <v>APAGADO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 t="str">
        <f>'RESUMEN TOTAL'!AF368</f>
        <v>APAGADO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 t="str">
        <f>'RESUMEN TOTAL'!AF375</f>
        <v>APAGADO</v>
      </c>
      <c r="AB366" s="29" t="str">
        <f>'RESUMEN TOTAL'!AG375</f>
        <v>APAGADO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 t="str">
        <f>'RESUMEN TOTAL'!Z378</f>
        <v>APAGADO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 t="str">
        <f>'RESUMEN TOTAL'!AF378</f>
        <v>APAGADO</v>
      </c>
      <c r="AB369" s="29" t="str">
        <f>'RESUMEN TOTAL'!AG378</f>
        <v>APAGADO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 t="str">
        <f>'RESUMEN TOTAL'!Z379</f>
        <v>APAGADO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 t="str">
        <f>'RESUMEN TOTAL'!AF379</f>
        <v>APAGADO</v>
      </c>
      <c r="AB370" s="29" t="str">
        <f>'RESUMEN TOTAL'!AG379</f>
        <v>APAGADO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 t="str">
        <f>'RESUMEN TOTAL'!Z390</f>
        <v>APAGADO</v>
      </c>
      <c r="V379" s="29">
        <f>'RESUMEN TOTAL'!AA390</f>
        <v>0</v>
      </c>
      <c r="W379" s="29" t="str">
        <f>'RESUMEN TOTAL'!AB390</f>
        <v>APAGADO</v>
      </c>
      <c r="X379" s="29" t="str">
        <f>'RESUMEN TOTAL'!AC390</f>
        <v>APAGADO</v>
      </c>
      <c r="Y379" s="29" t="str">
        <f>'RESUMEN TOTAL'!AD390</f>
        <v>APAGADO</v>
      </c>
      <c r="Z379" s="29" t="str">
        <f>'RESUMEN TOTAL'!AE390</f>
        <v>APAGADO</v>
      </c>
      <c r="AA379" s="29">
        <f>'RESUMEN TOTAL'!AF390</f>
        <v>0</v>
      </c>
      <c r="AB379" s="29" t="str">
        <f>'RESUMEN TOTAL'!AG390</f>
        <v>APAGADO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 t="str">
        <f>'RESUMEN TOTAL'!Z393</f>
        <v>APAGADO</v>
      </c>
      <c r="V382" s="29">
        <f>'RESUMEN TOTAL'!AA393</f>
        <v>0</v>
      </c>
      <c r="W382" s="29" t="str">
        <f>'RESUMEN TOTAL'!AB393</f>
        <v>APAGADO</v>
      </c>
      <c r="X382" s="29" t="str">
        <f>'RESUMEN TOTAL'!AC393</f>
        <v>APAGADO</v>
      </c>
      <c r="Y382" s="29" t="str">
        <f>'RESUMEN TOTAL'!AD393</f>
        <v>APAGADO</v>
      </c>
      <c r="Z382" s="29" t="str">
        <f>'RESUMEN TOTAL'!AE393</f>
        <v>APAGADO</v>
      </c>
      <c r="AA382" s="29" t="str">
        <f>'RESUMEN TOTAL'!AF393</f>
        <v>APAGADO</v>
      </c>
      <c r="AB382" s="29" t="str">
        <f>'RESUMEN TOTAL'!AG393</f>
        <v>APAGADO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 t="str">
        <f>'RESUMEN TOTAL'!AD395</f>
        <v>APAGADO</v>
      </c>
      <c r="Z384" s="29" t="str">
        <f>'RESUMEN TOTAL'!AE395</f>
        <v>APAGADO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 t="str">
        <f>'RESUMEN TOTAL'!AD396</f>
        <v>APAGADO</v>
      </c>
      <c r="Z385" s="29" t="str">
        <f>'RESUMEN TOTAL'!AE396</f>
        <v>APAGADO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 t="str">
        <f>'RESUMEN TOTAL'!AF397</f>
        <v>APAGADO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 t="str">
        <f>'RESUMEN TOTAL'!AF398</f>
        <v>APAGADO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 t="str">
        <f>'RESUMEN TOTAL'!AD408</f>
        <v>APAGADO</v>
      </c>
      <c r="Z397" s="29" t="str">
        <f>'RESUMEN TOTAL'!AE408</f>
        <v>APAGADO</v>
      </c>
      <c r="AA397" s="29" t="str">
        <f>'RESUMEN TOTAL'!AF408</f>
        <v>APAGADO</v>
      </c>
      <c r="AB397" s="29" t="str">
        <f>'RESUMEN TOTAL'!AG408</f>
        <v>APAGADO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 t="str">
        <f>'RESUMEN TOTAL'!Z415</f>
        <v>APAGADO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 t="str">
        <f>'RESUMEN TOTAL'!AC129</f>
        <v>APAGADO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 t="str">
        <f>'RESUMEN TOTAL'!AC130</f>
        <v>APAGADO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BOSQC 03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BOSQC 04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BOSQC 01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BOSQC 02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 t="str">
        <f>'RESUMEN TOTAL'!B431</f>
        <v>X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57</v>
      </c>
      <c r="V1" s="25">
        <f t="shared" si="0"/>
        <v>0</v>
      </c>
      <c r="W1" s="25">
        <f t="shared" si="0"/>
        <v>45</v>
      </c>
      <c r="X1" s="25">
        <f t="shared" si="0"/>
        <v>93</v>
      </c>
      <c r="Y1" s="25">
        <f t="shared" si="0"/>
        <v>52</v>
      </c>
      <c r="Z1" s="25">
        <f t="shared" si="0"/>
        <v>42</v>
      </c>
      <c r="AA1" s="25">
        <f t="shared" si="0"/>
        <v>45</v>
      </c>
      <c r="AB1" s="25">
        <f t="shared" si="0"/>
        <v>56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 t="str">
        <f>ESTADISTICA!AB25</f>
        <v>APAGADO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 t="str">
        <f>ESTADISTICA!AA28</f>
        <v>APAGADO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>
        <f>ESTADISTICA!V39</f>
        <v>0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 t="str">
        <f>ESTADISTICA!X40</f>
        <v>APAGADO</v>
      </c>
      <c r="Y41" t="str">
        <f>ESTADISTICA!Y40</f>
        <v>APAGADO</v>
      </c>
      <c r="Z41" t="str">
        <f>ESTADISTICA!Z40</f>
        <v>APAGADO</v>
      </c>
      <c r="AA41" t="str">
        <f>ESTADISTICA!AA40</f>
        <v>APAGADO</v>
      </c>
      <c r="AB41" t="str">
        <f>ESTADISTICA!AB40</f>
        <v>APAGADO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>
        <f>ESTADISTICA!V60</f>
        <v>0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 t="str">
        <f>ESTADISTICA!Y68</f>
        <v>APAGADO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 t="str">
        <f>ESTADISTICA!AA79</f>
        <v>APAGADO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 t="str">
        <f>ESTADISTICA!X116</f>
        <v>APAGADO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 t="str">
        <f>ESTADISTICA!X134</f>
        <v>APAGADO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 t="str">
        <f>ESTADISTICA!AB135</f>
        <v>APAGADO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 t="str">
        <f>ESTADISTICA!W138</f>
        <v>APAGADO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 t="str">
        <f>ESTADISTICA!U146</f>
        <v>APAGADO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 t="str">
        <f>ESTADISTICA!W149</f>
        <v>APAGADO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 t="str">
        <f>ESTADISTICA!AB149</f>
        <v>APAGADO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 t="str">
        <f>ESTADISTICA!AB159</f>
        <v>APAGADO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 t="str">
        <f>ESTADISTICA!AB161</f>
        <v>APAGADO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>
        <f>ESTADISTICA!AA166</f>
        <v>0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 t="str">
        <f>ESTADISTICA!Y168</f>
        <v>APAGADO</v>
      </c>
      <c r="Z169">
        <f>ESTADISTICA!Z168</f>
        <v>0</v>
      </c>
      <c r="AA169">
        <f>ESTADISTICA!AA168</f>
        <v>0</v>
      </c>
      <c r="AB169" t="str">
        <f>ESTADISTICA!AB168</f>
        <v>APAGADO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>
        <f>ESTADISTICA!AA169</f>
        <v>0</v>
      </c>
      <c r="AB170" t="str">
        <f>ESTADISTICA!AB169</f>
        <v>APAGADO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 t="str">
        <f>ESTADISTICA!X170</f>
        <v>APAGADO</v>
      </c>
      <c r="Y171">
        <f>ESTADISTICA!Y170</f>
        <v>0</v>
      </c>
      <c r="Z171">
        <f>ESTADISTICA!Z170</f>
        <v>0</v>
      </c>
      <c r="AA171">
        <f>ESTADISTICA!AA170</f>
        <v>0</v>
      </c>
      <c r="AB171" t="str">
        <f>ESTADISTICA!AB170</f>
        <v>APAGADO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 t="str">
        <f>ESTADISTICA!AA193</f>
        <v>APAGADO</v>
      </c>
      <c r="AB194" t="str">
        <f>ESTADISTICA!AB193</f>
        <v>APAGADO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 t="str">
        <f>ESTADISTICA!U197</f>
        <v>APAGADO</v>
      </c>
      <c r="V198">
        <f>ESTADISTICA!V197</f>
        <v>0</v>
      </c>
      <c r="W198" t="str">
        <f>ESTADISTICA!W197</f>
        <v>APAGADO</v>
      </c>
      <c r="X198" t="str">
        <f>ESTADISTICA!X197</f>
        <v>APAGADO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 t="str">
        <f>ESTADISTICA!U198</f>
        <v>APAGADO</v>
      </c>
      <c r="V199">
        <f>ESTADISTICA!V198</f>
        <v>0</v>
      </c>
      <c r="W199" t="str">
        <f>ESTADISTICA!W198</f>
        <v>APAGADO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 t="str">
        <f>ESTADISTICA!U199</f>
        <v>APAGADO</v>
      </c>
      <c r="V200">
        <f>ESTADISTICA!V199</f>
        <v>0</v>
      </c>
      <c r="W200" t="str">
        <f>ESTADISTICA!W199</f>
        <v>APAGADO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 t="str">
        <f>ESTADISTICA!U200</f>
        <v>APAGADO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 t="str">
        <f>ESTADISTICA!X202</f>
        <v>APAGADO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>
        <f>ESTADISTICA!Y210</f>
        <v>0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 t="str">
        <f>ESTADISTICA!U216</f>
        <v>APAGADO</v>
      </c>
      <c r="V217">
        <f>ESTADISTICA!V216</f>
        <v>0</v>
      </c>
      <c r="W217" t="str">
        <f>ESTADISTICA!W216</f>
        <v>APAGADO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 t="str">
        <f>ESTADISTICA!U217</f>
        <v>APAGADO</v>
      </c>
      <c r="V218">
        <f>ESTADISTICA!V217</f>
        <v>0</v>
      </c>
      <c r="W218" t="str">
        <f>ESTADISTICA!W217</f>
        <v>APAGADO</v>
      </c>
      <c r="X218" t="str">
        <f>ESTADISTICA!X217</f>
        <v>APAGADO</v>
      </c>
      <c r="Y218" t="str">
        <f>ESTADISTICA!Y217</f>
        <v>APAGADO</v>
      </c>
      <c r="Z218" t="str">
        <f>ESTADISTICA!Z217</f>
        <v>APAGADO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 t="str">
        <f>ESTADISTICA!X220</f>
        <v>APAGADO</v>
      </c>
      <c r="Y221" t="str">
        <f>ESTADISTICA!Y220</f>
        <v>APAGADO</v>
      </c>
      <c r="Z221" t="str">
        <f>ESTADISTICA!Z220</f>
        <v>APAGADO</v>
      </c>
      <c r="AA221">
        <f>ESTADISTICA!AA220</f>
        <v>0</v>
      </c>
      <c r="AB221" t="str">
        <f>ESTADISTICA!AB220</f>
        <v>APAGADO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 t="str">
        <f>ESTADISTICA!X223</f>
        <v>APAGADO</v>
      </c>
      <c r="Y224">
        <f>ESTADISTICA!Y223</f>
        <v>0</v>
      </c>
      <c r="Z224">
        <f>ESTADISTICA!Z223</f>
        <v>0</v>
      </c>
      <c r="AA224">
        <f>ESTADISTICA!AA223</f>
        <v>0</v>
      </c>
      <c r="AB224" t="str">
        <f>ESTADISTICA!AB223</f>
        <v>APAGADO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 t="str">
        <f>ESTADISTICA!AB224</f>
        <v>APAGADO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 t="str">
        <f>ESTADISTICA!U225</f>
        <v>APAGADO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 t="str">
        <f>ESTADISTICA!Y283</f>
        <v>APAGADO</v>
      </c>
      <c r="Z284">
        <f>ESTADISTICA!Z283</f>
        <v>0</v>
      </c>
      <c r="AA284">
        <f>ESTADISTICA!AA283</f>
        <v>0</v>
      </c>
      <c r="AB284" t="str">
        <f>ESTADISTICA!AB283</f>
        <v>APAGADO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 t="str">
        <f>ESTADISTICA!X284</f>
        <v>APAGADO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 t="str">
        <f>ESTADISTICA!X287</f>
        <v>APAGADO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 t="str">
        <f>ESTADISTICA!Y317</f>
        <v>APAGADO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 t="str">
        <f>ESTADISTICA!U326</f>
        <v>APAGADO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 t="str">
        <f>ESTADISTICA!U331</f>
        <v>APAGADO</v>
      </c>
      <c r="V332">
        <f>ESTADISTICA!V331</f>
        <v>0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 t="str">
        <f>ESTADISTICA!Y339</f>
        <v>APAGADO</v>
      </c>
      <c r="Z340" t="str">
        <f>ESTADISTICA!Z339</f>
        <v>APAGADO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 t="str">
        <f>ESTADISTICA!X343</f>
        <v>APAGADO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 t="str">
        <f>ESTADISTICA!X345</f>
        <v>APAGADO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 t="str">
        <f>ESTADISTICA!X346</f>
        <v>APAGADO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 t="str">
        <f>ESTADISTICA!U379</f>
        <v>APAGADO</v>
      </c>
      <c r="V380" s="50">
        <f>ESTADISTICA!V379</f>
        <v>0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>
        <f>ESTADISTICA!AA379</f>
        <v>0</v>
      </c>
      <c r="AB380" s="50" t="str">
        <f>ESTADISTICA!AB379</f>
        <v>APAGADO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 t="str">
        <f>ESTADISTICA!U382</f>
        <v>APAGADO</v>
      </c>
      <c r="V383" s="50">
        <f>ESTADISTICA!V382</f>
        <v>0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 t="str">
        <f>ESTADISTICA!Y384</f>
        <v>APAGADO</v>
      </c>
      <c r="Z385" s="50" t="str">
        <f>ESTADISTICA!Z384</f>
        <v>APAGADO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 t="str">
        <f>ESTADISTICA!Y385</f>
        <v>APAGADO</v>
      </c>
      <c r="Z386" s="50" t="str">
        <f>ESTADISTICA!Z385</f>
        <v>APAGADO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 t="str">
        <f>ESTADISTICA!AA386</f>
        <v>APAGADO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 t="str">
        <f>ESTADISTICA!AA387</f>
        <v>APAGADO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 t="str">
        <f>ESTADISTICA!Y397</f>
        <v>APAGADO</v>
      </c>
      <c r="Z398" s="50" t="str">
        <f>ESTADISTICA!Z397</f>
        <v>APAGADO</v>
      </c>
      <c r="AA398" s="50" t="str">
        <f>ESTADISTICA!AA397</f>
        <v>APAGADO</v>
      </c>
      <c r="AB398" s="50" t="str">
        <f>ESTADISTICA!AB397</f>
        <v>APAGADO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47</v>
      </c>
      <c r="V2" s="25">
        <f>COUNTIFS(V4:V400, "=APAGADO",E4:E400,"=Fibra Optica")</f>
        <v>0</v>
      </c>
      <c r="W2" s="25">
        <f>COUNTIFS(W4:W400, "=APAGADO",E4:E400,"=Fibra Optica")</f>
        <v>39</v>
      </c>
      <c r="X2" s="25">
        <f>COUNTIFS(X4:X400, "=APAGADO",E4:E400,"=Fibra Optica")</f>
        <v>76</v>
      </c>
      <c r="Y2" s="25">
        <f>COUNTIFS(Y4:Y400, "=APAGADO",E4:E400,"=Fibra Optica")</f>
        <v>41</v>
      </c>
      <c r="Z2" s="25">
        <f>COUNTIFS(Z4:Z400, "=APAGADO",E4:E400,"=Fibra Optica")</f>
        <v>36</v>
      </c>
      <c r="AA2" s="25">
        <f>COUNTIFS(AA4:AA400, "=APAGADO",E4:E400,"=Fibra Optica")</f>
        <v>34</v>
      </c>
      <c r="AB2" s="25">
        <f>COUNTIFS(AB4:AB400, "=APAGADO",E4:E400,"=Fibra Optica")</f>
        <v>41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 t="str">
        <f>ESTADISTICA!AB25</f>
        <v>APAGADO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 t="str">
        <f>ESTADISTICA!AB40</f>
        <v>APAGADO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 t="str">
        <f>ESTADISTICA!AB42</f>
        <v>APAGADO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 t="str">
        <f>ESTADISTICA!AB45</f>
        <v>APAGADO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 t="str">
        <f>ESTADISTICA!AB135</f>
        <v>APAGADO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 t="str">
        <f>ESTADISTICA!AB149</f>
        <v>APAGADO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 t="str">
        <f>ESTADISTICA!AB159</f>
        <v>APAGADO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 t="str">
        <f>ESTADISTICA!AB161</f>
        <v>APAGADO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 t="str">
        <f>ESTADISTICA!AB223</f>
        <v>APAGADO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 t="str">
        <f>ESTADISTICA!AB283</f>
        <v>APAGADO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 t="str">
        <f>ESTADISTICA!AB379</f>
        <v>APAGADO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 t="str">
        <f>ESTADISTICA!AB397</f>
        <v>APAGADO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7</v>
      </c>
      <c r="V2" s="25">
        <f>COUNTIFS(V4:V400, "=APAGADO",E4:E400,"=PTO A FO")</f>
        <v>0</v>
      </c>
      <c r="W2" s="25">
        <f>COUNTIFS(W4:W400, "=APAGADO",E4:E400,"=PTO A FO")</f>
        <v>3</v>
      </c>
      <c r="X2" s="25">
        <f>COUNTIFS(X4:X400, "=APAGADO",E4:E400,"=PTO A FO")</f>
        <v>12</v>
      </c>
      <c r="Y2" s="25">
        <f>COUNTIFS(Y4:Y400, "=APAGADO",E4:E400,"=PTO A FO")</f>
        <v>4</v>
      </c>
      <c r="Z2" s="25">
        <f>COUNTIFS(Z4:Z400, "=APAGADO",E4:E400,"=PTO A FO")</f>
        <v>4</v>
      </c>
      <c r="AA2" s="25">
        <f>COUNTIFS(AA4:AA400, "=APAGADO",E4:E400,"=PTO A FO")</f>
        <v>6</v>
      </c>
      <c r="AB2" s="25">
        <f>COUNTIFS(AB4:AB400, "=APAGADO",E4:E400,"=PTO A FO")</f>
        <v>6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 t="str">
        <f>ESTADISTICA!AB25</f>
        <v>APAGADO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 t="str">
        <f>ESTADISTICA!AB40</f>
        <v>APAGADO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 t="str">
        <f>ESTADISTICA!AB42</f>
        <v>APAGADO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 t="str">
        <f>ESTADISTICA!AB45</f>
        <v>APAGADO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 t="str">
        <f>ESTADISTICA!AB135</f>
        <v>APAGADO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 t="str">
        <f>ESTADISTICA!AB149</f>
        <v>APAGADO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 t="str">
        <f>ESTADISTICA!AB159</f>
        <v>APAGADO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 t="str">
        <f>ESTADISTICA!AB161</f>
        <v>APAGADO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 t="str">
        <f>ESTADISTICA!AB223</f>
        <v>APAGADO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 t="str">
        <f>ESTADISTICA!AB283</f>
        <v>APAGADO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 t="str">
        <f>ESTADISTICA!AB379</f>
        <v>APAGADO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 t="str">
        <f>ESTADISTICA!AB397</f>
        <v>APAGADO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 t="str">
        <f>ESTADISTICA!U404</f>
        <v>APAGADO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 t="str">
        <f>ESTADISTICA!X414</f>
        <v>APAGADO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 t="str">
        <f>ESTADISTICA!X415</f>
        <v>APAGADO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BOSQC 03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BOSQC 04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BOSQC 01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BOSQC 02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 t="str">
        <f>ESTADISTICA!B428</f>
        <v>X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3</v>
      </c>
      <c r="X2" s="25">
        <f>COUNTIFS(X4:X367, "=APAGADO",E4:E367,"=radio")</f>
        <v>5</v>
      </c>
      <c r="Y2" s="25">
        <f>COUNTIFS(Y4:Y367, "=APAGADO",E4:E367,"=radio")</f>
        <v>7</v>
      </c>
      <c r="Z2" s="25">
        <f>COUNTIFS(Z4:Z367, "=APAGADO",E4:E367,"=radio")</f>
        <v>2</v>
      </c>
      <c r="AA2" s="25">
        <f>COUNTIFS(AA4:AA367, "=APAGADO",E4:E367,"=radio")</f>
        <v>4</v>
      </c>
      <c r="AB2" s="25">
        <f>COUNTIFS(AB4:AB367, "=APAGADO",E4:E367,"=radio")</f>
        <v>8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 t="str">
        <f>ESTADISTICA!U25</f>
        <v>APAGADO</v>
      </c>
      <c r="V27">
        <f>ESTADISTICA!V25</f>
        <v>0</v>
      </c>
      <c r="W27" t="str">
        <f>ESTADISTICA!W25</f>
        <v>APAGADO</v>
      </c>
      <c r="X27" t="str">
        <f>ESTADISTICA!X25</f>
        <v>APAGADO</v>
      </c>
      <c r="Y27" t="str">
        <f>ESTADISTICA!Y25</f>
        <v>APAGADO</v>
      </c>
      <c r="Z27" t="str">
        <f>ESTADISTICA!Z25</f>
        <v>APAGADO</v>
      </c>
      <c r="AA27" t="str">
        <f>ESTADISTICA!AA25</f>
        <v>APAGADO</v>
      </c>
      <c r="AB27" t="str">
        <f>ESTADISTICA!AB25</f>
        <v>APAGADO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 t="str">
        <f>ESTADISTICA!AA28</f>
        <v>APAGADO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>
        <f>ESTADISTICA!V39</f>
        <v>0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 t="str">
        <f>ESTADISTICA!X40</f>
        <v>APAGADO</v>
      </c>
      <c r="Y42" t="str">
        <f>ESTADISTICA!Y40</f>
        <v>APAGADO</v>
      </c>
      <c r="Z42" t="str">
        <f>ESTADISTICA!Z40</f>
        <v>APAGADO</v>
      </c>
      <c r="AA42" t="str">
        <f>ESTADISTICA!AA40</f>
        <v>APAGADO</v>
      </c>
      <c r="AB42" t="str">
        <f>ESTADISTICA!AB40</f>
        <v>APAGADO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 t="str">
        <f>ESTADISTICA!W41</f>
        <v>APAGADO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 t="str">
        <f>ESTADISTICA!X42</f>
        <v>APAGADO</v>
      </c>
      <c r="Y44" t="str">
        <f>ESTADISTICA!Y42</f>
        <v>APAGADO</v>
      </c>
      <c r="Z44" t="str">
        <f>ESTADISTICA!Z42</f>
        <v>APAGADO</v>
      </c>
      <c r="AA44" t="str">
        <f>ESTADISTICA!AA42</f>
        <v>APAGADO</v>
      </c>
      <c r="AB44" t="str">
        <f>ESTADISTICA!AB42</f>
        <v>APAGADO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 t="str">
        <f>ESTADISTICA!W45</f>
        <v>APAGADO</v>
      </c>
      <c r="X47" t="str">
        <f>ESTADISTICA!X45</f>
        <v>APAGADO</v>
      </c>
      <c r="Y47" t="str">
        <f>ESTADISTICA!Y45</f>
        <v>APAGADO</v>
      </c>
      <c r="Z47" t="str">
        <f>ESTADISTICA!Z45</f>
        <v>APAGADO</v>
      </c>
      <c r="AA47" t="str">
        <f>ESTADISTICA!AA45</f>
        <v>APAGADO</v>
      </c>
      <c r="AB47" t="str">
        <f>ESTADISTICA!AB45</f>
        <v>APAGADO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>
        <f>ESTADISTICA!V60</f>
        <v>0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 t="str">
        <f>ESTADISTICA!Y68</f>
        <v>APAGADO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 t="str">
        <f>ESTADISTICA!AA78</f>
        <v>APAGADO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 t="str">
        <f>ESTADISTICA!AA79</f>
        <v>APAGADO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 t="str">
        <f>ESTADISTICA!Y113</f>
        <v>APAGADO</v>
      </c>
      <c r="Z115">
        <f>ESTADISTICA!Z113</f>
        <v>0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 t="str">
        <f>ESTADISTICA!X116</f>
        <v>APAGADO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 t="str">
        <f>ESTADISTICA!X134</f>
        <v>APAGADO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 t="str">
        <f>ESTADISTICA!AB135</f>
        <v>APAGADO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 t="str">
        <f>ESTADISTICA!W149</f>
        <v>APAGADO</v>
      </c>
      <c r="X151" t="str">
        <f>ESTADISTICA!X149</f>
        <v>APAGADO</v>
      </c>
      <c r="Y151" t="str">
        <f>ESTADISTICA!Y149</f>
        <v>APAGADO</v>
      </c>
      <c r="Z151" t="str">
        <f>ESTADISTICA!Z149</f>
        <v>APAGADO</v>
      </c>
      <c r="AA151" t="str">
        <f>ESTADISTICA!AA149</f>
        <v>APAGADO</v>
      </c>
      <c r="AB151" t="str">
        <f>ESTADISTICA!AB149</f>
        <v>APAGADO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>
        <f>ESTADISTICA!AA159</f>
        <v>0</v>
      </c>
      <c r="AB161" t="str">
        <f>ESTADISTICA!AB159</f>
        <v>APAGADO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>
        <f>ESTADISTICA!AA161</f>
        <v>0</v>
      </c>
      <c r="AB163" t="str">
        <f>ESTADISTICA!AB161</f>
        <v>APAGADO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>
        <f>ESTADISTICA!V166</f>
        <v>0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>
        <f>ESTADISTICA!AA166</f>
        <v>0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 t="str">
        <f>ESTADISTICA!Y168</f>
        <v>APAGADO</v>
      </c>
      <c r="Z170">
        <f>ESTADISTICA!Z168</f>
        <v>0</v>
      </c>
      <c r="AA170">
        <f>ESTADISTICA!AA168</f>
        <v>0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 t="str">
        <f>ESTADISTICA!X170</f>
        <v>APAGADO</v>
      </c>
      <c r="Y172">
        <f>ESTADISTICA!Y170</f>
        <v>0</v>
      </c>
      <c r="Z172">
        <f>ESTADISTICA!Z170</f>
        <v>0</v>
      </c>
      <c r="AA172">
        <f>ESTADISTICA!AA170</f>
        <v>0</v>
      </c>
      <c r="AB172" t="str">
        <f>ESTADISTICA!AB170</f>
        <v>APAGADO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>
        <f>ESTADISTICA!V182</f>
        <v>0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 t="str">
        <f>ESTADISTICA!U197</f>
        <v>APAGADO</v>
      </c>
      <c r="V199">
        <f>ESTADISTICA!V197</f>
        <v>0</v>
      </c>
      <c r="W199" t="str">
        <f>ESTADISTICA!W197</f>
        <v>APAGADO</v>
      </c>
      <c r="X199" t="str">
        <f>ESTADISTICA!X197</f>
        <v>APAGADO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 t="str">
        <f>ESTADISTICA!U198</f>
        <v>APAGADO</v>
      </c>
      <c r="V200">
        <f>ESTADISTICA!V198</f>
        <v>0</v>
      </c>
      <c r="W200" t="str">
        <f>ESTADISTICA!W198</f>
        <v>APAGADO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 t="str">
        <f>ESTADISTICA!U199</f>
        <v>APAGADO</v>
      </c>
      <c r="V201">
        <f>ESTADISTICA!V199</f>
        <v>0</v>
      </c>
      <c r="W201" t="str">
        <f>ESTADISTICA!W199</f>
        <v>APAGADO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 t="str">
        <f>ESTADISTICA!U200</f>
        <v>APAGADO</v>
      </c>
      <c r="V202">
        <f>ESTADISTICA!V200</f>
        <v>0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 t="str">
        <f>ESTADISTICA!X202</f>
        <v>APAGADO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 t="str">
        <f>ESTADISTICA!X210</f>
        <v>APAGADO</v>
      </c>
      <c r="Y212">
        <f>ESTADISTICA!Y210</f>
        <v>0</v>
      </c>
      <c r="Z212">
        <f>ESTADISTICA!Z210</f>
        <v>0</v>
      </c>
      <c r="AA212">
        <f>ESTADISTICA!AA210</f>
        <v>0</v>
      </c>
      <c r="AB212" t="str">
        <f>ESTADISTICA!AB210</f>
        <v>APAGADO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 t="str">
        <f>ESTADISTICA!U216</f>
        <v>APAGADO</v>
      </c>
      <c r="V218">
        <f>ESTADISTICA!V216</f>
        <v>0</v>
      </c>
      <c r="W218" t="str">
        <f>ESTADISTICA!W216</f>
        <v>APAGADO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 t="str">
        <f>ESTADISTICA!U217</f>
        <v>APAGADO</v>
      </c>
      <c r="V219">
        <f>ESTADISTICA!V217</f>
        <v>0</v>
      </c>
      <c r="W219" t="str">
        <f>ESTADISTICA!W217</f>
        <v>APAGADO</v>
      </c>
      <c r="X219" t="str">
        <f>ESTADISTICA!X217</f>
        <v>APAGADO</v>
      </c>
      <c r="Y219" t="str">
        <f>ESTADISTICA!Y217</f>
        <v>APAGADO</v>
      </c>
      <c r="Z219" t="str">
        <f>ESTADISTICA!Z217</f>
        <v>APAGADO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 t="str">
        <f>ESTADISTICA!U218</f>
        <v>APAGADO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 t="str">
        <f>ESTADISTICA!Y218</f>
        <v>APAGADO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 t="str">
        <f>ESTADISTICA!U219</f>
        <v>APAGADO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 t="str">
        <f>ESTADISTICA!Y219</f>
        <v>APAGADO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 t="str">
        <f>ESTADISTICA!W220</f>
        <v>APAGADO</v>
      </c>
      <c r="X222" t="str">
        <f>ESTADISTICA!X220</f>
        <v>APAGADO</v>
      </c>
      <c r="Y222" t="str">
        <f>ESTADISTICA!Y220</f>
        <v>APAGADO</v>
      </c>
      <c r="Z222" t="str">
        <f>ESTADISTICA!Z220</f>
        <v>APAGADO</v>
      </c>
      <c r="AA222">
        <f>ESTADISTICA!AA220</f>
        <v>0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 t="str">
        <f>ESTADISTICA!X223</f>
        <v>APAGADO</v>
      </c>
      <c r="Y225">
        <f>ESTADISTICA!Y223</f>
        <v>0</v>
      </c>
      <c r="Z225">
        <f>ESTADISTICA!Z223</f>
        <v>0</v>
      </c>
      <c r="AA225">
        <f>ESTADISTICA!AA223</f>
        <v>0</v>
      </c>
      <c r="AB225" t="str">
        <f>ESTADISTICA!AB223</f>
        <v>APAGADO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 t="str">
        <f>ESTADISTICA!AB224</f>
        <v>APAGADO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 t="str">
        <f>ESTADISTICA!U225</f>
        <v>APAGADO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 t="str">
        <f>ESTADISTICA!Y283</f>
        <v>APAGADO</v>
      </c>
      <c r="Z285">
        <f>ESTADISTICA!Z283</f>
        <v>0</v>
      </c>
      <c r="AA285">
        <f>ESTADISTICA!AA283</f>
        <v>0</v>
      </c>
      <c r="AB285" t="str">
        <f>ESTADISTICA!AB283</f>
        <v>APAGADO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 t="str">
        <f>ESTADISTICA!X284</f>
        <v>APAGADO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 t="str">
        <f>ESTADISTICA!X285</f>
        <v>APAGADO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 t="str">
        <f>ESTADISTICA!X287</f>
        <v>APAGADO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 t="str">
        <f>ESTADISTICA!Y307</f>
        <v>APAGADO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>
        <f>ESTADISTICA!V308</f>
        <v>0</v>
      </c>
      <c r="W310">
        <f>ESTADISTICA!W308</f>
        <v>0</v>
      </c>
      <c r="X310" t="str">
        <f>ESTADISTICA!X308</f>
        <v>APAGADO</v>
      </c>
      <c r="Y310" t="str">
        <f>ESTADISTICA!Y308</f>
        <v>APAGADO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 t="str">
        <f>ESTADISTICA!U326</f>
        <v>APAGADO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 t="str">
        <f>ESTADISTICA!U329</f>
        <v>APAGADO</v>
      </c>
      <c r="V331">
        <f>ESTADISTICA!V329</f>
        <v>0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 t="str">
        <f>ESTADISTICA!U331</f>
        <v>APAGADO</v>
      </c>
      <c r="V333">
        <f>ESTADISTICA!V331</f>
        <v>0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 t="str">
        <f>ESTADISTICA!X343</f>
        <v>APAGADO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 t="str">
        <f>ESTADISTICA!X345</f>
        <v>APAGADO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 t="str">
        <f>ESTADISTICA!X346</f>
        <v>APAGADO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 t="str">
        <f>ESTADISTICA!U369</f>
        <v>APAGADO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 t="str">
        <f>ESTADISTICA!AA369</f>
        <v>APAGADO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 t="str">
        <f>ESTADISTICA!U370</f>
        <v>APAGADO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 t="str">
        <f>ESTADISTICA!AA370</f>
        <v>APAGADO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 t="str">
        <f>ESTADISTICA!U379</f>
        <v>APAGADO</v>
      </c>
      <c r="V381" s="50">
        <f>ESTADISTICA!V379</f>
        <v>0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>
        <f>ESTADISTICA!AA379</f>
        <v>0</v>
      </c>
      <c r="AB381" s="50" t="str">
        <f>ESTADISTICA!AB379</f>
        <v>APAGADO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 t="str">
        <f>ESTADISTICA!U382</f>
        <v>APAGADO</v>
      </c>
      <c r="V384" s="50">
        <f>ESTADISTICA!V382</f>
        <v>0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 t="str">
        <f>ESTADISTICA!Y384</f>
        <v>APAGADO</v>
      </c>
      <c r="Z386" s="50" t="str">
        <f>ESTADISTICA!Z384</f>
        <v>APAGADO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 t="str">
        <f>ESTADISTICA!Y385</f>
        <v>APAGADO</v>
      </c>
      <c r="Z387" s="50" t="str">
        <f>ESTADISTICA!Z385</f>
        <v>APAGADO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 t="str">
        <f>ESTADISTICA!AA386</f>
        <v>APAGADO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 t="str">
        <f>ESTADISTICA!AA387</f>
        <v>APAGADO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 t="str">
        <f>ESTADISTICA!Y397</f>
        <v>APAGADO</v>
      </c>
      <c r="Z399" s="50" t="str">
        <f>ESTADISTICA!Z397</f>
        <v>APAGADO</v>
      </c>
      <c r="AA399" s="50" t="str">
        <f>ESTADISTICA!AA397</f>
        <v>APAGADO</v>
      </c>
      <c r="AB399" s="50" t="str">
        <f>ESTADISTICA!AB397</f>
        <v>APAGADO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B2" sqref="B2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38"/>
    </row>
    <row r="3" spans="1:13" ht="15" customHeight="1" thickTop="1" x14ac:dyDescent="0.25">
      <c r="A3" s="90" t="s">
        <v>6</v>
      </c>
      <c r="B3" s="91"/>
      <c r="C3" s="92"/>
      <c r="D3" s="93"/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/>
      <c r="C4" s="92"/>
      <c r="D4" s="93"/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/>
      <c r="C5" s="92"/>
      <c r="D5" s="93"/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/>
      <c r="C6" s="104"/>
      <c r="D6" s="105"/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/>
      <c r="C7" s="88"/>
      <c r="D7" s="89"/>
      <c r="E7" s="138"/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/>
      <c r="C8" s="92"/>
      <c r="D8" s="93"/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/>
      <c r="C11" s="104"/>
      <c r="D11" s="105"/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/>
      <c r="C22" s="88"/>
      <c r="D22" s="89"/>
      <c r="E22" s="138"/>
    </row>
    <row r="23" spans="1:14" ht="15.75" thickBot="1" x14ac:dyDescent="0.3">
      <c r="A23" s="90" t="s">
        <v>6</v>
      </c>
      <c r="B23" s="91"/>
      <c r="C23" s="92"/>
      <c r="D23" s="93"/>
      <c r="E23" s="139"/>
    </row>
    <row r="24" spans="1:14" ht="15.75" thickTop="1" x14ac:dyDescent="0.25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/>
      <c r="C30" s="92"/>
      <c r="D30" s="93"/>
      <c r="E30" s="139"/>
    </row>
    <row r="31" spans="1:14" ht="16.5" thickTop="1" thickBot="1" x14ac:dyDescent="0.3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39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0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39"/>
    </row>
    <row r="40" spans="1:14" ht="15.75" thickTop="1" x14ac:dyDescent="0.25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/>
      <c r="C46" s="104"/>
      <c r="D46" s="105"/>
      <c r="E46" s="140"/>
    </row>
    <row r="47" spans="1:14" ht="15.75" thickTop="1" x14ac:dyDescent="0.25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39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0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39"/>
    </row>
    <row r="55" spans="1:11" x14ac:dyDescent="0.25">
      <c r="A55" s="90" t="s">
        <v>1000</v>
      </c>
      <c r="B55" s="91"/>
      <c r="C55" s="92"/>
      <c r="D55" s="93"/>
      <c r="E55" s="139"/>
    </row>
    <row r="56" spans="1:11" ht="15.75" thickBot="1" x14ac:dyDescent="0.3">
      <c r="A56" s="102" t="s">
        <v>16</v>
      </c>
      <c r="B56" s="103"/>
      <c r="C56" s="104"/>
      <c r="D56" s="105"/>
      <c r="E56" s="140"/>
    </row>
    <row r="57" spans="1:11" ht="15.75" thickTop="1" x14ac:dyDescent="0.25">
      <c r="A57" s="86" t="s">
        <v>999</v>
      </c>
      <c r="B57" s="87"/>
      <c r="C57" s="88"/>
      <c r="D57" s="89"/>
      <c r="E57" s="138"/>
    </row>
    <row r="58" spans="1:11" x14ac:dyDescent="0.25">
      <c r="A58" s="90" t="s">
        <v>6</v>
      </c>
      <c r="B58" s="91"/>
      <c r="C58" s="92"/>
      <c r="D58" s="93"/>
      <c r="E58" s="139"/>
    </row>
    <row r="59" spans="1:11" x14ac:dyDescent="0.25">
      <c r="A59" s="90" t="s">
        <v>1001</v>
      </c>
      <c r="B59" s="91"/>
      <c r="C59" s="92"/>
      <c r="D59" s="93"/>
      <c r="E59" s="139"/>
    </row>
    <row r="60" spans="1:11" x14ac:dyDescent="0.25">
      <c r="A60" s="90" t="s">
        <v>1000</v>
      </c>
      <c r="B60" s="91"/>
      <c r="C60" s="92"/>
      <c r="D60" s="93"/>
      <c r="E60" s="139"/>
    </row>
    <row r="61" spans="1:11" ht="15.75" thickBot="1" x14ac:dyDescent="0.3">
      <c r="A61" s="102" t="s">
        <v>16</v>
      </c>
      <c r="B61" s="103"/>
      <c r="C61" s="104"/>
      <c r="D61" s="105"/>
      <c r="E61" s="140"/>
    </row>
    <row r="62" spans="1:11" ht="15.75" thickTop="1" x14ac:dyDescent="0.25">
      <c r="A62" s="86" t="s">
        <v>999</v>
      </c>
      <c r="B62" s="87"/>
      <c r="C62" s="88"/>
      <c r="D62" s="89"/>
      <c r="E62" s="138"/>
    </row>
    <row r="63" spans="1:11" x14ac:dyDescent="0.25">
      <c r="A63" s="90" t="s">
        <v>6</v>
      </c>
      <c r="B63" s="91"/>
      <c r="C63" s="92"/>
      <c r="D63" s="93"/>
      <c r="E63" s="139"/>
    </row>
    <row r="64" spans="1:11" x14ac:dyDescent="0.25">
      <c r="A64" s="90" t="s">
        <v>1001</v>
      </c>
      <c r="B64" s="91"/>
      <c r="C64" s="92"/>
      <c r="D64" s="93"/>
      <c r="E64" s="139"/>
    </row>
    <row r="65" spans="1:5" x14ac:dyDescent="0.25">
      <c r="A65" s="90" t="s">
        <v>1000</v>
      </c>
      <c r="B65" s="91"/>
      <c r="C65" s="92"/>
      <c r="D65" s="93"/>
      <c r="E65" s="139"/>
    </row>
    <row r="66" spans="1:5" ht="15.75" thickBot="1" x14ac:dyDescent="0.3">
      <c r="A66" s="102" t="s">
        <v>16</v>
      </c>
      <c r="B66" s="103"/>
      <c r="C66" s="104"/>
      <c r="D66" s="105"/>
      <c r="E66" s="140"/>
    </row>
    <row r="67" spans="1:5" ht="15.75" thickTop="1" x14ac:dyDescent="0.25">
      <c r="A67" s="86" t="s">
        <v>999</v>
      </c>
      <c r="B67" s="87"/>
      <c r="C67" s="88"/>
      <c r="D67" s="89"/>
      <c r="E67" s="138"/>
    </row>
    <row r="68" spans="1:5" x14ac:dyDescent="0.25">
      <c r="A68" s="90" t="s">
        <v>6</v>
      </c>
      <c r="B68" s="91"/>
      <c r="C68" s="92"/>
      <c r="D68" s="93"/>
      <c r="E68" s="139"/>
    </row>
    <row r="69" spans="1:5" x14ac:dyDescent="0.25">
      <c r="A69" s="90" t="s">
        <v>1001</v>
      </c>
      <c r="B69" s="91"/>
      <c r="C69" s="92"/>
      <c r="D69" s="93"/>
      <c r="E69" s="139"/>
    </row>
    <row r="70" spans="1:5" x14ac:dyDescent="0.25">
      <c r="A70" s="90" t="s">
        <v>1000</v>
      </c>
      <c r="B70" s="91"/>
      <c r="C70" s="92"/>
      <c r="D70" s="93"/>
      <c r="E70" s="139"/>
    </row>
    <row r="71" spans="1:5" ht="15.75" thickBot="1" x14ac:dyDescent="0.3">
      <c r="A71" s="102" t="s">
        <v>16</v>
      </c>
      <c r="B71" s="103"/>
      <c r="C71" s="104"/>
      <c r="D71" s="105"/>
      <c r="E71" s="140"/>
    </row>
    <row r="72" spans="1:5" ht="15.75" thickTop="1" x14ac:dyDescent="0.25">
      <c r="A72" s="86" t="s">
        <v>999</v>
      </c>
      <c r="B72" s="87"/>
      <c r="C72" s="88"/>
      <c r="D72" s="89"/>
      <c r="E72" s="138"/>
    </row>
    <row r="73" spans="1:5" x14ac:dyDescent="0.25">
      <c r="A73" s="90" t="s">
        <v>6</v>
      </c>
      <c r="B73" s="91"/>
      <c r="C73" s="92"/>
      <c r="D73" s="93"/>
      <c r="E73" s="139"/>
    </row>
    <row r="74" spans="1:5" x14ac:dyDescent="0.25">
      <c r="A74" s="90" t="s">
        <v>1001</v>
      </c>
      <c r="B74" s="91"/>
      <c r="C74" s="92"/>
      <c r="D74" s="93"/>
      <c r="E74" s="139"/>
    </row>
    <row r="75" spans="1:5" x14ac:dyDescent="0.25">
      <c r="A75" s="90" t="s">
        <v>1000</v>
      </c>
      <c r="B75" s="91"/>
      <c r="C75" s="92"/>
      <c r="D75" s="93"/>
      <c r="E75" s="139"/>
    </row>
    <row r="76" spans="1:5" ht="15.75" thickBot="1" x14ac:dyDescent="0.3">
      <c r="A76" s="102" t="s">
        <v>16</v>
      </c>
      <c r="B76" s="103"/>
      <c r="C76" s="104"/>
      <c r="D76" s="105"/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427</v>
      </c>
      <c r="G2" s="54">
        <f t="shared" ref="G2" si="1">E2/F2</f>
        <v>9.1334894613583142E-2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427</v>
      </c>
      <c r="G3" s="54">
        <f t="shared" ref="G3:G6" si="3">E3/F3</f>
        <v>9.1334894613583142E-2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427</v>
      </c>
      <c r="G4" s="54">
        <f t="shared" si="3"/>
        <v>0.35831381733021078</v>
      </c>
    </row>
    <row r="5" spans="1:7" x14ac:dyDescent="0.25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427</v>
      </c>
      <c r="G5" s="54">
        <f t="shared" si="3"/>
        <v>0.10070257611241218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427</v>
      </c>
      <c r="G6" s="54">
        <f t="shared" si="3"/>
        <v>8.6651053864168617E-2</v>
      </c>
    </row>
    <row r="7" spans="1:7" x14ac:dyDescent="0.25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427</v>
      </c>
      <c r="G8" s="54">
        <f t="shared" ref="G8" si="5">E8/F8</f>
        <v>8.1967213114754092E-2</v>
      </c>
    </row>
    <row r="9" spans="1:7" x14ac:dyDescent="0.25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427</v>
      </c>
      <c r="G10" s="54">
        <f t="shared" ref="G10" si="7">E10/F10</f>
        <v>0.11007025761124122</v>
      </c>
    </row>
    <row r="11" spans="1:7" x14ac:dyDescent="0.25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427</v>
      </c>
      <c r="G11" s="54">
        <f t="shared" ref="G11" si="9">E11/F11</f>
        <v>0.10070257611241218</v>
      </c>
    </row>
    <row r="12" spans="1:7" x14ac:dyDescent="0.25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427</v>
      </c>
      <c r="G12" s="54">
        <f t="shared" ref="G12" si="11">E12/F12</f>
        <v>0.10070257611241218</v>
      </c>
    </row>
    <row r="13" spans="1:7" x14ac:dyDescent="0.25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427</v>
      </c>
      <c r="G13" s="54">
        <f t="shared" ref="G13:G15" si="13">E13/F13</f>
        <v>8.6651053864168617E-2</v>
      </c>
    </row>
    <row r="14" spans="1:7" x14ac:dyDescent="0.25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427</v>
      </c>
      <c r="G14" s="54">
        <f t="shared" si="13"/>
        <v>0.12412177985948478</v>
      </c>
    </row>
    <row r="15" spans="1:7" x14ac:dyDescent="0.25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427</v>
      </c>
      <c r="G15" s="54">
        <f t="shared" si="13"/>
        <v>7.7283372365339581E-2</v>
      </c>
    </row>
    <row r="16" spans="1:7" x14ac:dyDescent="0.25">
      <c r="A16" s="24">
        <f>'APAGADOS RADIO'!T3</f>
        <v>44849</v>
      </c>
      <c r="B16" s="50">
        <f>'APAGADOS RADIO'!T2+D16</f>
        <v>7</v>
      </c>
      <c r="C16" s="50">
        <f>'APAGADOS FIBRA'!T2</f>
        <v>25</v>
      </c>
      <c r="D16" s="50">
        <f>'APAGADOS ANTENA'!T2</f>
        <v>5</v>
      </c>
      <c r="E16" s="50">
        <f t="shared" ref="E16:E21" si="14">B16+C16</f>
        <v>32</v>
      </c>
      <c r="F16" s="50">
        <f>'RESUMEN TOTAL'!B1</f>
        <v>427</v>
      </c>
      <c r="G16" s="54">
        <f t="shared" ref="G16:G21" si="15">E16/F16</f>
        <v>7.4941451990632318E-2</v>
      </c>
    </row>
    <row r="17" spans="1:7" x14ac:dyDescent="0.25">
      <c r="A17" s="24">
        <f>'APAGADOS RADIO'!U3</f>
        <v>44850</v>
      </c>
      <c r="B17" s="50">
        <f>'APAGADOS RADIO'!U2+D17</f>
        <v>10</v>
      </c>
      <c r="C17" s="50">
        <f>'APAGADOS FIBRA'!U2</f>
        <v>47</v>
      </c>
      <c r="D17" s="50">
        <f>'APAGADOS ANTENA'!U2</f>
        <v>7</v>
      </c>
      <c r="E17" s="50">
        <f t="shared" si="14"/>
        <v>57</v>
      </c>
      <c r="F17" s="50">
        <f>'RESUMEN TOTAL'!B1</f>
        <v>427</v>
      </c>
      <c r="G17" s="54">
        <f t="shared" si="15"/>
        <v>0.13348946135831383</v>
      </c>
    </row>
    <row r="18" spans="1:7" x14ac:dyDescent="0.25">
      <c r="A18" s="24">
        <f>'APAGADOS RADIO'!V3</f>
        <v>44851</v>
      </c>
      <c r="B18" s="50">
        <v>10</v>
      </c>
      <c r="C18" s="50">
        <v>47</v>
      </c>
      <c r="D18" s="50">
        <v>7</v>
      </c>
      <c r="E18" s="50">
        <v>57</v>
      </c>
      <c r="F18" s="50">
        <f>'RESUMEN TOTAL'!B1</f>
        <v>427</v>
      </c>
      <c r="G18" s="54">
        <f t="shared" si="15"/>
        <v>0.13348946135831383</v>
      </c>
    </row>
    <row r="19" spans="1:7" x14ac:dyDescent="0.25">
      <c r="A19" s="24">
        <f>'APAGADOS RADIO'!W3</f>
        <v>44852</v>
      </c>
      <c r="B19" s="50">
        <f>'APAGADOS RADIO'!W2+D19</f>
        <v>6</v>
      </c>
      <c r="C19" s="50">
        <f>'APAGADOS FIBRA'!W2</f>
        <v>39</v>
      </c>
      <c r="D19" s="50">
        <f>'APAGADOS ANTENA'!W2</f>
        <v>3</v>
      </c>
      <c r="E19" s="50">
        <f t="shared" si="14"/>
        <v>45</v>
      </c>
      <c r="F19" s="50">
        <f>'RESUMEN TOTAL'!B1</f>
        <v>427</v>
      </c>
      <c r="G19" s="54">
        <f t="shared" si="15"/>
        <v>0.1053864168618267</v>
      </c>
    </row>
    <row r="20" spans="1:7" x14ac:dyDescent="0.25">
      <c r="A20" s="24">
        <f>'APAGADOS RADIO'!X3</f>
        <v>44853</v>
      </c>
      <c r="B20" s="50">
        <f>'APAGADOS RADIO'!X2+D20</f>
        <v>17</v>
      </c>
      <c r="C20" s="50">
        <f>'APAGADOS FIBRA'!X2</f>
        <v>76</v>
      </c>
      <c r="D20" s="50">
        <f>'APAGADOS ANTENA'!X2</f>
        <v>12</v>
      </c>
      <c r="E20" s="50">
        <f t="shared" si="14"/>
        <v>93</v>
      </c>
      <c r="F20" s="50">
        <f>'RESUMEN TOTAL'!B1</f>
        <v>427</v>
      </c>
      <c r="G20" s="54">
        <f t="shared" si="15"/>
        <v>0.21779859484777517</v>
      </c>
    </row>
    <row r="21" spans="1:7" x14ac:dyDescent="0.25">
      <c r="A21" s="24">
        <f>'APAGADOS RADIO'!Y3</f>
        <v>44854</v>
      </c>
      <c r="B21" s="50">
        <f>'APAGADOS RADIO'!Y2+D21</f>
        <v>11</v>
      </c>
      <c r="C21" s="50">
        <f>'APAGADOS FIBRA'!Y2</f>
        <v>41</v>
      </c>
      <c r="D21" s="50">
        <f>'APAGADOS ANTENA'!Y2</f>
        <v>4</v>
      </c>
      <c r="E21" s="50">
        <f t="shared" si="14"/>
        <v>52</v>
      </c>
      <c r="F21" s="50">
        <f>'RESUMEN TOTAL'!B1</f>
        <v>427</v>
      </c>
      <c r="G21" s="54">
        <f t="shared" si="15"/>
        <v>0.12177985948477751</v>
      </c>
    </row>
    <row r="22" spans="1:7" x14ac:dyDescent="0.25">
      <c r="A22" s="24">
        <f>'APAGADOS RADIO'!Z3</f>
        <v>44855</v>
      </c>
      <c r="B22" s="50">
        <f>'APAGADOS RADIO'!Z2+D22</f>
        <v>6</v>
      </c>
      <c r="C22" s="50">
        <f>'APAGADOS FIBRA'!Z2</f>
        <v>36</v>
      </c>
      <c r="D22" s="50">
        <f>'APAGADOS ANTENA'!Z2</f>
        <v>4</v>
      </c>
      <c r="E22" s="50">
        <f t="shared" ref="E22" si="16">B22+C22</f>
        <v>42</v>
      </c>
      <c r="F22" s="50">
        <f>'RESUMEN TOTAL'!B1</f>
        <v>427</v>
      </c>
      <c r="G22" s="54">
        <f t="shared" ref="G22" si="17">E22/F22</f>
        <v>9.8360655737704916E-2</v>
      </c>
    </row>
    <row r="23" spans="1:7" x14ac:dyDescent="0.25">
      <c r="A23" s="24">
        <f>'APAGADOS RADIO'!AA3</f>
        <v>44856</v>
      </c>
      <c r="B23" s="50"/>
      <c r="C23" s="50"/>
      <c r="D23" s="50"/>
      <c r="E23" s="50"/>
      <c r="F23" s="50"/>
    </row>
    <row r="24" spans="1:7" x14ac:dyDescent="0.25">
      <c r="A24" s="24">
        <f>'APAGADOS RADIO'!AB3</f>
        <v>44857</v>
      </c>
      <c r="B24" s="50"/>
      <c r="C24" s="50"/>
      <c r="D24" s="50"/>
      <c r="E24" s="50"/>
      <c r="F24" s="50"/>
    </row>
    <row r="25" spans="1:7" x14ac:dyDescent="0.25">
      <c r="A25" s="24">
        <f>'APAGADOS RADIO'!AC3</f>
        <v>44858</v>
      </c>
      <c r="B25" s="50"/>
      <c r="C25" s="50"/>
      <c r="D25" s="50"/>
      <c r="E25" s="50"/>
      <c r="F25" s="50"/>
    </row>
    <row r="26" spans="1:7" x14ac:dyDescent="0.25">
      <c r="A26" s="24">
        <f>'APAGADOS RADIO'!AD3</f>
        <v>44859</v>
      </c>
      <c r="B26" s="50"/>
      <c r="C26" s="50"/>
      <c r="D26" s="50"/>
      <c r="E26" s="50"/>
      <c r="F26" s="50"/>
    </row>
    <row r="27" spans="1:7" x14ac:dyDescent="0.25">
      <c r="A27" s="24">
        <f>'APAGADOS RADIO'!AE3</f>
        <v>44860</v>
      </c>
      <c r="B27" s="50"/>
      <c r="C27" s="50"/>
      <c r="D27" s="50"/>
      <c r="E27" s="50"/>
      <c r="F27" s="50"/>
    </row>
    <row r="28" spans="1:7" x14ac:dyDescent="0.25">
      <c r="A28" s="24">
        <f>'APAGADOS RADIO'!AF3</f>
        <v>44861</v>
      </c>
      <c r="B28" s="50"/>
      <c r="C28" s="50"/>
      <c r="D28" s="50"/>
      <c r="E28" s="50"/>
      <c r="F28" s="50"/>
    </row>
    <row r="29" spans="1:7" x14ac:dyDescent="0.25">
      <c r="A29" s="24">
        <f>'APAGADOS RADIO'!AG3</f>
        <v>44862</v>
      </c>
      <c r="B29" s="50"/>
      <c r="C29" s="50"/>
      <c r="D29" s="50"/>
      <c r="E29" s="50"/>
      <c r="F29" s="50"/>
    </row>
    <row r="30" spans="1:7" x14ac:dyDescent="0.25">
      <c r="A30" s="24">
        <f>'APAGADOS RADIO'!AH3</f>
        <v>44863</v>
      </c>
      <c r="B30" s="50"/>
      <c r="C30" s="50"/>
      <c r="D30" s="50"/>
      <c r="E30" s="50"/>
      <c r="F30" s="50"/>
    </row>
    <row r="31" spans="1:7" x14ac:dyDescent="0.25">
      <c r="A31" s="24"/>
      <c r="B31" s="50"/>
      <c r="C31" s="50"/>
      <c r="D31" s="50"/>
      <c r="E31" s="50"/>
      <c r="F31" s="50"/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35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34</v>
      </c>
      <c r="X3" s="75">
        <f>COUNTIFS('RESUMEN TOTAL'!C7:C501, "=BONOMO",'RESUMEN TOTAL'!AC7:AC501,"=APAGADO")</f>
        <v>41</v>
      </c>
      <c r="Y3" s="75">
        <f>COUNTIFS('RESUMEN TOTAL'!C7:C501, "=BONOMO",'RESUMEN TOTAL'!AD7:AD501,"=APAGADO")</f>
        <v>35</v>
      </c>
      <c r="Z3" s="75">
        <f>COUNTIFS('RESUMEN TOTAL'!C7:C501, "=BONOMO",'RESUMEN TOTAL'!AE7:AE501,"=APAGADO")</f>
        <v>33</v>
      </c>
      <c r="AA3" s="75">
        <f>COUNTIFS('RESUMEN TOTAL'!C7:C501, "=BONOMO",'RESUMEN TOTAL'!AF7:AF501,"=APAGADO")</f>
        <v>34</v>
      </c>
      <c r="AB3" s="75">
        <f>COUNTIFS('RESUMEN TOTAL'!C7:C501, "=BONOMO",'RESUMEN TOTAL'!AG7:AG501,"=APAGADO")</f>
        <v>45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0.15625</v>
      </c>
      <c r="V4" s="82">
        <f t="shared" si="0"/>
        <v>0</v>
      </c>
      <c r="W4" s="82">
        <f t="shared" si="0"/>
        <v>0.15178571428571427</v>
      </c>
      <c r="X4" s="82">
        <f t="shared" si="0"/>
        <v>0.18303571428571427</v>
      </c>
      <c r="Y4" s="82">
        <f t="shared" si="0"/>
        <v>0.15625</v>
      </c>
      <c r="Z4" s="82">
        <f t="shared" si="0"/>
        <v>0.14732142857142858</v>
      </c>
      <c r="AA4" s="82">
        <f t="shared" si="0"/>
        <v>0.15178571428571427</v>
      </c>
      <c r="AB4" s="82">
        <f t="shared" si="0"/>
        <v>0.20089285714285715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23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12</v>
      </c>
      <c r="X5" s="77">
        <f>COUNTIFS('RESUMEN TOTAL'!C10:C421, "=COSEIDI",'RESUMEN TOTAL'!AC10:AC421,"=APAGADO")</f>
        <v>54</v>
      </c>
      <c r="Y5" s="77">
        <f>COUNTIFS('RESUMEN TOTAL'!C10:C421, "=COSEIDI",'RESUMEN TOTAL'!AD10:AD421,"=APAGADO")</f>
        <v>17</v>
      </c>
      <c r="Z5" s="77">
        <f>COUNTIFS('RESUMEN TOTAL'!C10:C421, "=COSEIDI",'RESUMEN TOTAL'!AE10:AE421,"=APAGADO")</f>
        <v>9</v>
      </c>
      <c r="AA5" s="77">
        <f>COUNTIFS('RESUMEN TOTAL'!C10:C421, "=COSEIDI",'RESUMEN TOTAL'!AF10:AF421,"=APAGADO")</f>
        <v>11</v>
      </c>
      <c r="AB5" s="77">
        <f>COUNTIFS('RESUMEN TOTAL'!C10:C421, "=COSEIDI",'RESUMEN TOTAL'!AG10:AG421,"=APAGADO")</f>
        <v>11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0.11330049261083744</v>
      </c>
      <c r="V6" s="81">
        <f t="shared" si="2"/>
        <v>0</v>
      </c>
      <c r="W6" s="81">
        <f t="shared" si="2"/>
        <v>5.9113300492610835E-2</v>
      </c>
      <c r="X6" s="81">
        <f t="shared" si="2"/>
        <v>0.26600985221674878</v>
      </c>
      <c r="Y6" s="81">
        <f t="shared" si="2"/>
        <v>8.3743842364532015E-2</v>
      </c>
      <c r="Z6" s="81">
        <f t="shared" si="2"/>
        <v>4.4334975369458129E-2</v>
      </c>
      <c r="AA6" s="81">
        <f t="shared" si="2"/>
        <v>5.4187192118226604E-2</v>
      </c>
      <c r="AB6" s="81">
        <f t="shared" si="2"/>
        <v>5.4187192118226604E-2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2022-10-24T10:40:52Z</dcterms:modified>
</cp:coreProperties>
</file>