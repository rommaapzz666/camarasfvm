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97C68F1D-8639-49B3-8812-62C0562F063C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TOTAL'!$A$4:$D$352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TOTAL'!$A$4:$AN$399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4" l="1"/>
  <c r="C9" i="24"/>
  <c r="D9" i="24" s="1"/>
  <c r="O3" i="2"/>
  <c r="P3" i="2"/>
  <c r="Q3" i="2"/>
  <c r="R3" i="2"/>
  <c r="S3" i="2"/>
  <c r="T3" i="2"/>
  <c r="H336" i="2"/>
  <c r="I336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4" i="2"/>
  <c r="I335" i="2"/>
  <c r="H334" i="2"/>
  <c r="H335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L399" i="10"/>
  <c r="H400" i="10"/>
  <c r="N400" i="10"/>
  <c r="A399" i="9"/>
  <c r="R399" i="9"/>
  <c r="L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Q400" i="21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H398" i="11"/>
  <c r="C399" i="11"/>
  <c r="D399" i="11"/>
  <c r="M399" i="11"/>
  <c r="I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I381" i="2"/>
  <c r="I382" i="2"/>
  <c r="H381" i="2"/>
  <c r="H38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5" i="2"/>
  <c r="D3" i="24"/>
  <c r="C4" i="24"/>
  <c r="D4" i="24" s="1"/>
  <c r="G398" i="21" l="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6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5" i="2"/>
  <c r="W400" i="21"/>
  <c r="C400" i="21"/>
  <c r="Y399" i="9"/>
  <c r="AE397" i="9"/>
  <c r="AH400" i="10"/>
  <c r="J334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6" i="2"/>
  <c r="J392" i="2"/>
  <c r="J384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8" i="2"/>
  <c r="J395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5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7" i="2"/>
  <c r="J393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9" i="2"/>
  <c r="J391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3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8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4" i="2"/>
  <c r="J387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6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0" i="2"/>
  <c r="J389" i="2"/>
  <c r="C5" i="24"/>
  <c r="J382" i="2"/>
  <c r="J381" i="2"/>
  <c r="I380" i="2"/>
  <c r="I379" i="2"/>
  <c r="I378" i="2"/>
  <c r="I377" i="2"/>
  <c r="I376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7" i="2"/>
  <c r="I338" i="2"/>
  <c r="I339" i="2"/>
  <c r="I340" i="2"/>
  <c r="I341" i="2"/>
  <c r="I342" i="2"/>
  <c r="J342" i="2" s="1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J374" i="2" s="1"/>
  <c r="I375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10" i="24" l="1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3" i="2"/>
  <c r="J349" i="2"/>
  <c r="J341" i="2"/>
  <c r="J314" i="2"/>
  <c r="J298" i="2"/>
  <c r="J290" i="2"/>
  <c r="J274" i="2"/>
  <c r="J258" i="2"/>
  <c r="J250" i="2"/>
  <c r="A368" i="9"/>
  <c r="AH128" i="21"/>
  <c r="J372" i="2"/>
  <c r="J356" i="2"/>
  <c r="H369" i="11"/>
  <c r="Y368" i="10"/>
  <c r="AH305" i="21"/>
  <c r="C367" i="9"/>
  <c r="J368" i="10"/>
  <c r="AG368" i="11"/>
  <c r="AH263" i="11"/>
  <c r="J375" i="2"/>
  <c r="J367" i="2"/>
  <c r="J351" i="2"/>
  <c r="J343" i="2"/>
  <c r="J332" i="2"/>
  <c r="J316" i="2"/>
  <c r="J308" i="2"/>
  <c r="B368" i="10"/>
  <c r="AH311" i="11"/>
  <c r="AI3" i="11"/>
  <c r="AH3" i="11"/>
  <c r="A30" i="14" s="1"/>
  <c r="J257" i="2"/>
  <c r="J359" i="2"/>
  <c r="J357" i="2"/>
  <c r="J330" i="2"/>
  <c r="J322" i="2"/>
  <c r="J364" i="2"/>
  <c r="J265" i="2"/>
  <c r="J365" i="2"/>
  <c r="J266" i="2"/>
  <c r="J264" i="2"/>
  <c r="J300" i="2"/>
  <c r="J276" i="2"/>
  <c r="J268" i="2"/>
  <c r="J260" i="2"/>
  <c r="P369" i="11"/>
  <c r="J363" i="2"/>
  <c r="J339" i="2"/>
  <c r="J312" i="2"/>
  <c r="J321" i="2"/>
  <c r="J371" i="2"/>
  <c r="J275" i="2"/>
  <c r="J350" i="2"/>
  <c r="J348" i="2"/>
  <c r="J323" i="2"/>
  <c r="J320" i="2"/>
  <c r="J305" i="2"/>
  <c r="J288" i="2"/>
  <c r="J273" i="2"/>
  <c r="J280" i="2"/>
  <c r="J251" i="2"/>
  <c r="J347" i="2"/>
  <c r="J340" i="2"/>
  <c r="J329" i="2"/>
  <c r="J252" i="2"/>
  <c r="J368" i="2"/>
  <c r="J360" i="2"/>
  <c r="J352" i="2"/>
  <c r="J344" i="2"/>
  <c r="J333" i="2"/>
  <c r="J317" i="2"/>
  <c r="J301" i="2"/>
  <c r="J277" i="2"/>
  <c r="J269" i="2"/>
  <c r="J261" i="2"/>
  <c r="J253" i="2"/>
  <c r="J377" i="2"/>
  <c r="M368" i="11"/>
  <c r="U368" i="11"/>
  <c r="AB369" i="11"/>
  <c r="AC367" i="9"/>
  <c r="J379" i="2"/>
  <c r="T368" i="9"/>
  <c r="J370" i="2"/>
  <c r="J362" i="2"/>
  <c r="J354" i="2"/>
  <c r="J338" i="2"/>
  <c r="J311" i="2"/>
  <c r="J295" i="2"/>
  <c r="J271" i="2"/>
  <c r="J263" i="2"/>
  <c r="J255" i="2"/>
  <c r="J369" i="2"/>
  <c r="J361" i="2"/>
  <c r="J353" i="2"/>
  <c r="J345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8" i="2"/>
  <c r="J376" i="2"/>
  <c r="J380" i="2"/>
  <c r="J307" i="2"/>
  <c r="J306" i="2"/>
  <c r="J304" i="2"/>
  <c r="J297" i="2"/>
  <c r="J366" i="2"/>
  <c r="J309" i="2"/>
  <c r="J325" i="2"/>
  <c r="J337" i="2"/>
  <c r="J310" i="2"/>
  <c r="J327" i="2"/>
  <c r="J247" i="2"/>
  <c r="J346" i="2"/>
  <c r="J358" i="2"/>
  <c r="J289" i="2"/>
  <c r="J355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F6" i="14" l="1"/>
  <c r="F5" i="14"/>
  <c r="F4" i="14"/>
  <c r="F3" i="14"/>
  <c r="O2" i="21"/>
  <c r="AI2" i="21"/>
  <c r="AH2" i="21"/>
  <c r="AC2" i="21"/>
  <c r="U2" i="21"/>
  <c r="M2" i="21"/>
  <c r="S2" i="21"/>
  <c r="AB2" i="21"/>
  <c r="T2" i="21"/>
  <c r="L2" i="21"/>
  <c r="Z2" i="21"/>
  <c r="R2" i="21"/>
  <c r="J2" i="21"/>
  <c r="D6" i="14" s="1"/>
  <c r="AA2" i="21"/>
  <c r="Y2" i="21"/>
  <c r="Q2" i="21"/>
  <c r="I2" i="21"/>
  <c r="D5" i="14" s="1"/>
  <c r="K2" i="21"/>
  <c r="X2" i="21"/>
  <c r="P2" i="21"/>
  <c r="H2" i="21"/>
  <c r="D4" i="14" s="1"/>
  <c r="W2" i="21"/>
  <c r="G2" i="21"/>
  <c r="D3" i="14" s="1"/>
  <c r="AD2" i="21"/>
  <c r="V2" i="21"/>
  <c r="N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AH2" i="11" l="1"/>
  <c r="P2" i="11"/>
  <c r="O2" i="11"/>
  <c r="K2" i="11"/>
  <c r="G2" i="11"/>
  <c r="B3" i="14" s="1"/>
  <c r="L2" i="11"/>
  <c r="F2" i="11"/>
  <c r="M2" i="11"/>
  <c r="H2" i="11"/>
  <c r="N2" i="1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L2" i="10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W1" i="9"/>
  <c r="AF1" i="9"/>
  <c r="F2" i="21"/>
  <c r="D2" i="14" s="1"/>
  <c r="AI2" i="11"/>
  <c r="AG2" i="11"/>
  <c r="R2" i="11"/>
  <c r="AB2" i="11"/>
  <c r="V2" i="11"/>
  <c r="Q2" i="11"/>
  <c r="AA2" i="11"/>
  <c r="AC2" i="11"/>
  <c r="U2" i="11"/>
  <c r="AE2" i="11"/>
  <c r="AF2" i="11"/>
  <c r="X2" i="11"/>
  <c r="AD2" i="11"/>
  <c r="Y2" i="11"/>
  <c r="Z2" i="11"/>
  <c r="S2" i="11"/>
  <c r="T2" i="11"/>
  <c r="W2" i="11"/>
  <c r="E3" i="14" l="1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<sst xmlns="http://schemas.openxmlformats.org/spreadsheetml/2006/main" count="3115" uniqueCount="1204">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</sst>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7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  <c:pt idx="1">
                  <c:v>0.13417721518987341</c:v>
                </c:pt>
                <c:pt idx="2">
                  <c:v>0.21772151898734177</c:v>
                </c:pt>
                <c:pt idx="3">
                  <c:v>0.21772151898734177</c:v>
                </c:pt>
                <c:pt idx="4">
                  <c:v>9.6202531645569619E-2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  <c:pt idx="1">
                  <c:v>0.13417721518987341</c:v>
                </c:pt>
                <c:pt idx="2">
                  <c:v>0.21772151898734177</c:v>
                </c:pt>
                <c:pt idx="3">
                  <c:v>0.21772151898734177</c:v>
                </c:pt>
                <c:pt idx="4">
                  <c:v>9.6202531645569619E-2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0.28301886792452829</c:v>
                      </c:pt>
                      <c:pt idx="3">
                        <c:v>0.25943396226415094</c:v>
                      </c:pt>
                      <c:pt idx="4">
                        <c:v>0.12735849056603774</c:v>
                      </c:pt>
                      <c:pt idx="5">
                        <c:v>0.13679245283018868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3.2786885245901641E-2</c:v>
                      </c:pt>
                      <c:pt idx="1">
                        <c:v>1.6393442622950821E-2</c:v>
                      </c:pt>
                      <c:pt idx="2">
                        <c:v>0.14207650273224043</c:v>
                      </c:pt>
                      <c:pt idx="3">
                        <c:v>0.18032786885245902</c:v>
                      </c:pt>
                      <c:pt idx="4">
                        <c:v>6.0109289617486336E-2</c:v>
                      </c:pt>
                      <c:pt idx="5">
                        <c:v>1.6393442622950821E-2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0.28301886792452829</c:v>
                </c:pt>
                <c:pt idx="3">
                  <c:v>0.25943396226415094</c:v>
                </c:pt>
                <c:pt idx="4">
                  <c:v>0.12735849056603774</c:v>
                </c:pt>
                <c:pt idx="5">
                  <c:v>0.13679245283018868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3.2786885245901641E-2</c:v>
                </c:pt>
                <c:pt idx="1">
                  <c:v>1.6393442622950821E-2</c:v>
                </c:pt>
                <c:pt idx="2">
                  <c:v>0.14207650273224043</c:v>
                </c:pt>
                <c:pt idx="3">
                  <c:v>0.18032786885245902</c:v>
                </c:pt>
                <c:pt idx="4">
                  <c:v>6.0109289617486336E-2</c:v>
                </c:pt>
                <c:pt idx="5">
                  <c:v>1.6393442622950821E-2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P204" activePane="bottomRight" state="frozen"/>
      <selection pane="topRight" activeCell="M1" sqref="M1"/>
      <selection pane="bottomLeft" activeCell="A5" sqref="A5"/>
      <selection pane="bottomRight" activeCell="P218" sqref="P218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COUNTA(B5:B527)</f>
        <v>395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7.0886075949367092E-2</v>
      </c>
      <c r="L1" s="4">
        <f t="shared" si="0"/>
        <v>0.13417721518987341</v>
      </c>
      <c r="M1" s="4">
        <f t="shared" si="0"/>
        <v>0.21772151898734177</v>
      </c>
      <c r="N1" s="4">
        <f t="shared" si="0"/>
        <v>0.22278481012658227</v>
      </c>
      <c r="O1" s="4">
        <f t="shared" si="0"/>
        <v>9.6202531645569619E-2</v>
      </c>
      <c r="P1" s="4">
        <f t="shared" si="0"/>
        <v>8.1012658227848103E-2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COUNTIF(K5:K399, "")</f>
        <v>367</v>
      </c>
      <c r="L2" s="10">
        <f t="shared" ref="L2:AN2" si="1">COUNTIF(L5:L399, "")</f>
        <v>342</v>
      </c>
      <c r="M2" s="10">
        <f t="shared" si="1"/>
        <v>309</v>
      </c>
      <c r="N2" s="10">
        <f t="shared" si="1"/>
        <v>307</v>
      </c>
      <c r="O2" s="10">
        <f t="shared" si="1"/>
        <v>357</v>
      </c>
      <c r="P2" s="10">
        <f t="shared" si="1"/>
        <v>363</v>
      </c>
      <c r="Q2" s="10">
        <f t="shared" si="1"/>
        <v>395</v>
      </c>
      <c r="R2" s="10">
        <f t="shared" si="1"/>
        <v>395</v>
      </c>
      <c r="S2" s="10">
        <f t="shared" si="1"/>
        <v>395</v>
      </c>
      <c r="T2" s="10">
        <f t="shared" si="1"/>
        <v>395</v>
      </c>
      <c r="U2" s="10">
        <f t="shared" si="1"/>
        <v>395</v>
      </c>
      <c r="V2" s="10">
        <f t="shared" si="1"/>
        <v>395</v>
      </c>
      <c r="W2" s="10">
        <f t="shared" si="1"/>
        <v>395</v>
      </c>
      <c r="X2" s="10">
        <f t="shared" si="1"/>
        <v>395</v>
      </c>
      <c r="Y2" s="10">
        <f t="shared" si="1"/>
        <v>395</v>
      </c>
      <c r="Z2" s="10">
        <f t="shared" si="1"/>
        <v>395</v>
      </c>
      <c r="AA2" s="10">
        <f t="shared" si="1"/>
        <v>395</v>
      </c>
      <c r="AB2" s="10">
        <f t="shared" si="1"/>
        <v>395</v>
      </c>
      <c r="AC2" s="10">
        <f t="shared" si="1"/>
        <v>395</v>
      </c>
      <c r="AD2" s="10">
        <f t="shared" si="1"/>
        <v>395</v>
      </c>
      <c r="AE2" s="10">
        <f t="shared" si="1"/>
        <v>395</v>
      </c>
      <c r="AF2" s="10">
        <f t="shared" si="1"/>
        <v>395</v>
      </c>
      <c r="AG2" s="10">
        <f t="shared" si="1"/>
        <v>395</v>
      </c>
      <c r="AH2" s="10">
        <f t="shared" si="1"/>
        <v>395</v>
      </c>
      <c r="AI2" s="10">
        <f t="shared" si="1"/>
        <v>395</v>
      </c>
      <c r="AJ2" s="10">
        <f t="shared" si="1"/>
        <v>395</v>
      </c>
      <c r="AK2" s="10">
        <f t="shared" si="1"/>
        <v>395</v>
      </c>
      <c r="AL2" s="10">
        <f t="shared" si="1"/>
        <v>395</v>
      </c>
      <c r="AM2" s="10">
        <f t="shared" si="1"/>
        <v>395</v>
      </c>
      <c r="AN2" s="10">
        <f t="shared" si="1"/>
        <v>395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COUNTIF(K4:K447, "apagado")</f>
        <v>28</v>
      </c>
      <c r="L3" s="14">
        <f>COUNTIF(L4:L447, "apagado")</f>
        <v>53</v>
      </c>
      <c r="M3" s="14">
        <f>COUNTIF(M4:M447, "apagado")</f>
        <v>86</v>
      </c>
      <c r="N3" s="14">
        <f>COUNTIF(N4:N447, "apagado")</f>
        <v>88</v>
      </c>
      <c r="O3" s="14">
        <f t="shared" ref="O3:T3" si="2">COUNTIF(O4:O447, "apagado")</f>
        <v>38</v>
      </c>
      <c r="P3" s="14">
        <f t="shared" si="2"/>
        <v>32</v>
      </c>
      <c r="Q3" s="14">
        <f t="shared" si="2"/>
        <v>0</v>
      </c>
      <c r="R3" s="14">
        <f t="shared" si="2"/>
        <v>0</v>
      </c>
      <c r="S3" s="14">
        <f t="shared" si="2"/>
        <v>0</v>
      </c>
      <c r="T3" s="14">
        <f t="shared" si="2"/>
        <v>0</v>
      </c>
      <c r="U3" s="14">
        <f t="shared" ref="U3:AN3" si="3">COUNTIF(U4:U447, "apagado")</f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6.5" thickTop="1" thickBot="1" x14ac:dyDescent="0.3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4">COUNTIF(K5:AL5,"APAGADO")</f>
        <v>0</v>
      </c>
      <c r="J5" s="17">
        <f t="shared" ref="J5:J68" si="5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.75" thickBot="1" x14ac:dyDescent="0.3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6">COUNTIF(K6:AN6,"")</f>
        <v>30</v>
      </c>
      <c r="I6" s="16">
        <f t="shared" si="4"/>
        <v>0</v>
      </c>
      <c r="J6" s="17">
        <f t="shared" si="5"/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75" thickBot="1" x14ac:dyDescent="0.3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6"/>
        <v>30</v>
      </c>
      <c r="I7" s="16">
        <f t="shared" si="4"/>
        <v>0</v>
      </c>
      <c r="J7" s="17">
        <f t="shared" si="5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.75" thickBot="1" x14ac:dyDescent="0.3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6"/>
        <v>30</v>
      </c>
      <c r="I8" s="16">
        <f t="shared" si="4"/>
        <v>0</v>
      </c>
      <c r="J8" s="17">
        <f t="shared" si="5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6"/>
        <v>30</v>
      </c>
      <c r="I9" s="16">
        <f t="shared" si="4"/>
        <v>0</v>
      </c>
      <c r="J9" s="17">
        <f t="shared" si="5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6"/>
        <v>24</v>
      </c>
      <c r="I10" s="16">
        <f t="shared" si="4"/>
        <v>6</v>
      </c>
      <c r="J10" s="17">
        <f t="shared" si="5"/>
        <v>0.8</v>
      </c>
      <c r="K10" s="26" t="s">
        <v>1200</v>
      </c>
      <c r="L10" s="8" t="s">
        <v>1200</v>
      </c>
      <c r="M10" s="8" t="s">
        <v>1200</v>
      </c>
      <c r="N10" s="8" t="s">
        <v>1200</v>
      </c>
      <c r="O10" s="26" t="s">
        <v>1200</v>
      </c>
      <c r="P10" s="26" t="s">
        <v>1200</v>
      </c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6"/>
        <v>30</v>
      </c>
      <c r="I11" s="16">
        <f t="shared" si="4"/>
        <v>0</v>
      </c>
      <c r="J11" s="17">
        <f t="shared" si="5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6"/>
        <v>30</v>
      </c>
      <c r="I12" s="16">
        <f t="shared" si="4"/>
        <v>0</v>
      </c>
      <c r="J12" s="17">
        <f t="shared" si="5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6"/>
        <v>24</v>
      </c>
      <c r="I13" s="16">
        <f t="shared" si="4"/>
        <v>6</v>
      </c>
      <c r="J13" s="17">
        <f t="shared" si="5"/>
        <v>0.8</v>
      </c>
      <c r="K13" s="26" t="s">
        <v>1200</v>
      </c>
      <c r="L13" s="8" t="s">
        <v>1200</v>
      </c>
      <c r="M13" s="8" t="s">
        <v>1200</v>
      </c>
      <c r="N13" s="8" t="s">
        <v>1200</v>
      </c>
      <c r="O13" s="26" t="s">
        <v>1200</v>
      </c>
      <c r="P13" s="26" t="s">
        <v>1200</v>
      </c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6"/>
        <v>30</v>
      </c>
      <c r="I14" s="16">
        <f t="shared" si="4"/>
        <v>0</v>
      </c>
      <c r="J14" s="17">
        <f t="shared" si="5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6"/>
        <v>30</v>
      </c>
      <c r="I15" s="16">
        <f t="shared" si="4"/>
        <v>0</v>
      </c>
      <c r="J15" s="17">
        <f t="shared" si="5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6"/>
        <v>26</v>
      </c>
      <c r="I16" s="16">
        <f t="shared" si="4"/>
        <v>4</v>
      </c>
      <c r="J16" s="17">
        <f t="shared" si="5"/>
        <v>0.8666666666666667</v>
      </c>
      <c r="K16" s="26" t="s">
        <v>1200</v>
      </c>
      <c r="L16" s="8" t="s">
        <v>1200</v>
      </c>
      <c r="M16" s="8"/>
      <c r="N16" s="8"/>
      <c r="O16" s="26" t="s">
        <v>1200</v>
      </c>
      <c r="P16" s="26" t="s">
        <v>1200</v>
      </c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6"/>
        <v>30</v>
      </c>
      <c r="I17" s="16">
        <f t="shared" si="4"/>
        <v>0</v>
      </c>
      <c r="J17" s="17">
        <f t="shared" si="5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6"/>
        <v>30</v>
      </c>
      <c r="I18" s="16">
        <f t="shared" si="4"/>
        <v>0</v>
      </c>
      <c r="J18" s="17">
        <f t="shared" si="5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6"/>
        <v>30</v>
      </c>
      <c r="I19" s="16">
        <f t="shared" si="4"/>
        <v>0</v>
      </c>
      <c r="J19" s="17">
        <f t="shared" si="5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6"/>
        <v>30</v>
      </c>
      <c r="I20" s="16">
        <f t="shared" si="4"/>
        <v>0</v>
      </c>
      <c r="J20" s="17">
        <f t="shared" si="5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6"/>
        <v>28</v>
      </c>
      <c r="I21" s="16">
        <f t="shared" si="4"/>
        <v>2</v>
      </c>
      <c r="J21" s="17">
        <f t="shared" si="5"/>
        <v>0.93333333333333335</v>
      </c>
      <c r="K21" s="26"/>
      <c r="L21" s="8"/>
      <c r="M21" s="8" t="s">
        <v>1200</v>
      </c>
      <c r="N21" s="8" t="s">
        <v>1200</v>
      </c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6"/>
        <v>30</v>
      </c>
      <c r="I22" s="16">
        <f t="shared" si="4"/>
        <v>0</v>
      </c>
      <c r="J22" s="17">
        <f t="shared" si="5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6"/>
        <v>30</v>
      </c>
      <c r="I23" s="16">
        <f t="shared" si="4"/>
        <v>0</v>
      </c>
      <c r="J23" s="17">
        <f t="shared" si="5"/>
        <v>1</v>
      </c>
      <c r="K23" s="26"/>
      <c r="L23" s="8"/>
      <c r="M23" s="8"/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6"/>
        <v>30</v>
      </c>
      <c r="I24" s="16">
        <f t="shared" si="4"/>
        <v>0</v>
      </c>
      <c r="J24" s="17">
        <f t="shared" si="5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6"/>
        <v>29</v>
      </c>
      <c r="I25" s="16">
        <f t="shared" si="4"/>
        <v>1</v>
      </c>
      <c r="J25" s="17">
        <f t="shared" si="5"/>
        <v>0.96666666666666667</v>
      </c>
      <c r="K25" s="26"/>
      <c r="L25" s="8"/>
      <c r="M25" s="8" t="s">
        <v>1200</v>
      </c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6"/>
        <v>30</v>
      </c>
      <c r="I26" s="16">
        <f t="shared" si="4"/>
        <v>0</v>
      </c>
      <c r="J26" s="17">
        <f t="shared" si="5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6"/>
        <v>30</v>
      </c>
      <c r="I27" s="16">
        <f t="shared" si="4"/>
        <v>0</v>
      </c>
      <c r="J27" s="17">
        <f t="shared" si="5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6"/>
        <v>30</v>
      </c>
      <c r="I28" s="16">
        <f t="shared" si="4"/>
        <v>0</v>
      </c>
      <c r="J28" s="17">
        <f t="shared" si="5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6"/>
        <v>30</v>
      </c>
      <c r="I29" s="16">
        <f t="shared" si="4"/>
        <v>0</v>
      </c>
      <c r="J29" s="17">
        <f t="shared" si="5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6"/>
        <v>30</v>
      </c>
      <c r="I30" s="16">
        <f t="shared" si="4"/>
        <v>0</v>
      </c>
      <c r="J30" s="17">
        <f t="shared" si="5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6"/>
        <v>28</v>
      </c>
      <c r="I31" s="16">
        <f t="shared" si="4"/>
        <v>2</v>
      </c>
      <c r="J31" s="17">
        <f t="shared" si="5"/>
        <v>0.93333333333333335</v>
      </c>
      <c r="K31" s="26"/>
      <c r="L31" s="8" t="s">
        <v>1200</v>
      </c>
      <c r="M31" s="8" t="s">
        <v>1200</v>
      </c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6"/>
        <v>30</v>
      </c>
      <c r="I32" s="16">
        <f t="shared" si="4"/>
        <v>0</v>
      </c>
      <c r="J32" s="17">
        <f t="shared" si="5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6"/>
        <v>30</v>
      </c>
      <c r="I33" s="16">
        <f t="shared" si="4"/>
        <v>0</v>
      </c>
      <c r="J33" s="17">
        <f t="shared" si="5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6"/>
        <v>24</v>
      </c>
      <c r="I34" s="16">
        <f t="shared" si="4"/>
        <v>6</v>
      </c>
      <c r="J34" s="17">
        <f t="shared" si="5"/>
        <v>0.8</v>
      </c>
      <c r="K34" s="26" t="s">
        <v>1200</v>
      </c>
      <c r="L34" s="8" t="s">
        <v>1200</v>
      </c>
      <c r="M34" s="8" t="s">
        <v>1200</v>
      </c>
      <c r="N34" s="8" t="s">
        <v>1200</v>
      </c>
      <c r="O34" s="26" t="s">
        <v>1200</v>
      </c>
      <c r="P34" s="26" t="s">
        <v>1200</v>
      </c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6"/>
        <v>30</v>
      </c>
      <c r="I35" s="16">
        <f t="shared" si="4"/>
        <v>0</v>
      </c>
      <c r="J35" s="17">
        <f t="shared" si="5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6"/>
        <v>30</v>
      </c>
      <c r="I36" s="16">
        <f t="shared" si="4"/>
        <v>0</v>
      </c>
      <c r="J36" s="17">
        <f t="shared" si="5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6"/>
        <v>28</v>
      </c>
      <c r="I37" s="16">
        <f t="shared" si="4"/>
        <v>2</v>
      </c>
      <c r="J37" s="17">
        <f t="shared" si="5"/>
        <v>0.93333333333333335</v>
      </c>
      <c r="K37" s="26"/>
      <c r="L37" s="8"/>
      <c r="M37" s="8" t="s">
        <v>1200</v>
      </c>
      <c r="N37" s="8" t="s">
        <v>1200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6"/>
        <v>28</v>
      </c>
      <c r="I38" s="16">
        <f t="shared" si="4"/>
        <v>2</v>
      </c>
      <c r="J38" s="17">
        <f t="shared" si="5"/>
        <v>0.93333333333333335</v>
      </c>
      <c r="K38" s="26"/>
      <c r="L38" s="8"/>
      <c r="M38" s="8" t="s">
        <v>1200</v>
      </c>
      <c r="N38" s="8" t="s">
        <v>1200</v>
      </c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6"/>
        <v>30</v>
      </c>
      <c r="I39" s="16">
        <f t="shared" si="4"/>
        <v>0</v>
      </c>
      <c r="J39" s="17">
        <f t="shared" si="5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6"/>
        <v>30</v>
      </c>
      <c r="I40" s="16">
        <f t="shared" si="4"/>
        <v>0</v>
      </c>
      <c r="J40" s="17">
        <f t="shared" si="5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6"/>
        <v>30</v>
      </c>
      <c r="I41" s="16">
        <f t="shared" si="4"/>
        <v>0</v>
      </c>
      <c r="J41" s="17">
        <f t="shared" si="5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6"/>
        <v>28</v>
      </c>
      <c r="I42" s="16">
        <f t="shared" si="4"/>
        <v>2</v>
      </c>
      <c r="J42" s="17">
        <f t="shared" si="5"/>
        <v>0.93333333333333335</v>
      </c>
      <c r="K42" s="26"/>
      <c r="L42" s="8"/>
      <c r="M42" s="8" t="s">
        <v>1200</v>
      </c>
      <c r="N42" s="8" t="s">
        <v>1200</v>
      </c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6"/>
        <v>30</v>
      </c>
      <c r="I43" s="16">
        <f t="shared" si="4"/>
        <v>0</v>
      </c>
      <c r="J43" s="17">
        <f t="shared" si="5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6"/>
        <v>30</v>
      </c>
      <c r="I44" s="16">
        <f t="shared" si="4"/>
        <v>0</v>
      </c>
      <c r="J44" s="17">
        <f t="shared" si="5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6"/>
        <v>30</v>
      </c>
      <c r="I45" s="16">
        <f t="shared" si="4"/>
        <v>0</v>
      </c>
      <c r="J45" s="17">
        <f t="shared" si="5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6"/>
        <v>30</v>
      </c>
      <c r="I46" s="16">
        <f t="shared" si="4"/>
        <v>0</v>
      </c>
      <c r="J46" s="17">
        <f t="shared" si="5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6"/>
        <v>30</v>
      </c>
      <c r="I47" s="16">
        <f t="shared" si="4"/>
        <v>0</v>
      </c>
      <c r="J47" s="17">
        <f t="shared" si="5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6"/>
        <v>30</v>
      </c>
      <c r="I48" s="16">
        <f t="shared" si="4"/>
        <v>0</v>
      </c>
      <c r="J48" s="17">
        <f t="shared" si="5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6"/>
        <v>30</v>
      </c>
      <c r="I49" s="16">
        <f t="shared" si="4"/>
        <v>0</v>
      </c>
      <c r="J49" s="17">
        <f t="shared" si="5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6"/>
        <v>28</v>
      </c>
      <c r="I50" s="16">
        <f t="shared" si="4"/>
        <v>2</v>
      </c>
      <c r="J50" s="17">
        <f t="shared" si="5"/>
        <v>0.93333333333333335</v>
      </c>
      <c r="K50" s="26"/>
      <c r="L50" s="8"/>
      <c r="M50" s="8" t="s">
        <v>1200</v>
      </c>
      <c r="N50" s="8" t="s">
        <v>1200</v>
      </c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6"/>
        <v>30</v>
      </c>
      <c r="I51" s="16">
        <f t="shared" si="4"/>
        <v>0</v>
      </c>
      <c r="J51" s="17">
        <f t="shared" si="5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6"/>
        <v>30</v>
      </c>
      <c r="I52" s="16">
        <f t="shared" si="4"/>
        <v>0</v>
      </c>
      <c r="J52" s="17">
        <f t="shared" si="5"/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6"/>
        <v>30</v>
      </c>
      <c r="I53" s="16">
        <f t="shared" si="4"/>
        <v>0</v>
      </c>
      <c r="J53" s="17">
        <f t="shared" si="5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6"/>
        <v>29</v>
      </c>
      <c r="I54" s="16">
        <f t="shared" si="4"/>
        <v>1</v>
      </c>
      <c r="J54" s="17">
        <f t="shared" si="5"/>
        <v>0.96666666666666667</v>
      </c>
      <c r="K54" s="26"/>
      <c r="L54" s="8"/>
      <c r="M54" s="8"/>
      <c r="N54" s="8" t="s">
        <v>1200</v>
      </c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6"/>
        <v>30</v>
      </c>
      <c r="I55" s="16">
        <f t="shared" si="4"/>
        <v>0</v>
      </c>
      <c r="J55" s="17">
        <f t="shared" si="5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6"/>
        <v>30</v>
      </c>
      <c r="I56" s="16">
        <f t="shared" si="4"/>
        <v>0</v>
      </c>
      <c r="J56" s="17">
        <f t="shared" si="5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6"/>
        <v>30</v>
      </c>
      <c r="I57" s="16">
        <f t="shared" si="4"/>
        <v>0</v>
      </c>
      <c r="J57" s="17">
        <f t="shared" si="5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6"/>
        <v>28</v>
      </c>
      <c r="I58" s="16">
        <f t="shared" si="4"/>
        <v>2</v>
      </c>
      <c r="J58" s="17">
        <f t="shared" si="5"/>
        <v>0.93333333333333335</v>
      </c>
      <c r="K58" s="26"/>
      <c r="L58" s="8" t="s">
        <v>1200</v>
      </c>
      <c r="M58" s="8"/>
      <c r="N58" s="8" t="s">
        <v>1200</v>
      </c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6"/>
        <v>26</v>
      </c>
      <c r="I59" s="16">
        <f t="shared" si="4"/>
        <v>4</v>
      </c>
      <c r="J59" s="17">
        <f t="shared" si="5"/>
        <v>0.8666666666666667</v>
      </c>
      <c r="K59" s="26" t="s">
        <v>1200</v>
      </c>
      <c r="L59" s="8"/>
      <c r="M59" s="8"/>
      <c r="N59" s="8" t="s">
        <v>1200</v>
      </c>
      <c r="O59" s="26" t="s">
        <v>1200</v>
      </c>
      <c r="P59" s="26" t="s">
        <v>1200</v>
      </c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6"/>
        <v>30</v>
      </c>
      <c r="I60" s="16">
        <f t="shared" si="4"/>
        <v>0</v>
      </c>
      <c r="J60" s="17">
        <f t="shared" si="5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6"/>
        <v>30</v>
      </c>
      <c r="I61" s="16">
        <f t="shared" si="4"/>
        <v>0</v>
      </c>
      <c r="J61" s="17">
        <f t="shared" si="5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6"/>
        <v>28</v>
      </c>
      <c r="I62" s="16">
        <f t="shared" si="4"/>
        <v>2</v>
      </c>
      <c r="J62" s="17">
        <f t="shared" si="5"/>
        <v>0.93333333333333335</v>
      </c>
      <c r="K62" s="26"/>
      <c r="L62" s="8"/>
      <c r="M62" s="8" t="s">
        <v>1200</v>
      </c>
      <c r="N62" s="8" t="s">
        <v>1200</v>
      </c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6"/>
        <v>28</v>
      </c>
      <c r="I63" s="16">
        <f t="shared" si="4"/>
        <v>2</v>
      </c>
      <c r="J63" s="17">
        <f t="shared" si="5"/>
        <v>0.93333333333333335</v>
      </c>
      <c r="K63" s="26"/>
      <c r="L63" s="8"/>
      <c r="M63" s="8" t="s">
        <v>1200</v>
      </c>
      <c r="N63" s="8" t="s">
        <v>1200</v>
      </c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6"/>
        <v>30</v>
      </c>
      <c r="I64" s="16">
        <f t="shared" si="4"/>
        <v>0</v>
      </c>
      <c r="J64" s="17">
        <f t="shared" si="5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6"/>
        <v>28</v>
      </c>
      <c r="I65" s="16">
        <f t="shared" si="4"/>
        <v>2</v>
      </c>
      <c r="J65" s="17">
        <f t="shared" si="5"/>
        <v>0.93333333333333335</v>
      </c>
      <c r="K65" s="26"/>
      <c r="L65" s="8"/>
      <c r="M65" s="8" t="s">
        <v>1200</v>
      </c>
      <c r="N65" s="8" t="s">
        <v>1200</v>
      </c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6"/>
        <v>30</v>
      </c>
      <c r="I66" s="16">
        <f t="shared" si="4"/>
        <v>0</v>
      </c>
      <c r="J66" s="17">
        <f t="shared" si="5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6"/>
        <v>24</v>
      </c>
      <c r="I67" s="16">
        <f t="shared" si="4"/>
        <v>6</v>
      </c>
      <c r="J67" s="17">
        <f t="shared" si="5"/>
        <v>0.8</v>
      </c>
      <c r="K67" s="26" t="s">
        <v>1200</v>
      </c>
      <c r="L67" s="8" t="s">
        <v>1200</v>
      </c>
      <c r="M67" s="8" t="s">
        <v>1200</v>
      </c>
      <c r="N67" s="8" t="s">
        <v>1200</v>
      </c>
      <c r="O67" s="26" t="s">
        <v>1200</v>
      </c>
      <c r="P67" s="26" t="s">
        <v>1200</v>
      </c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6"/>
        <v>30</v>
      </c>
      <c r="I68" s="16">
        <f t="shared" si="4"/>
        <v>0</v>
      </c>
      <c r="J68" s="17">
        <f t="shared" si="5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6"/>
        <v>30</v>
      </c>
      <c r="I69" s="16">
        <f t="shared" ref="I69:I132" si="7">COUNTIF(K69:AL69,"APAGADO")</f>
        <v>0</v>
      </c>
      <c r="J69" s="17">
        <f t="shared" ref="J69:J132" si="8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9">COUNTIF(K70:AN70,"")</f>
        <v>30</v>
      </c>
      <c r="I70" s="16">
        <f t="shared" si="7"/>
        <v>0</v>
      </c>
      <c r="J70" s="17">
        <f t="shared" si="8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9"/>
        <v>30</v>
      </c>
      <c r="I71" s="16">
        <f t="shared" si="7"/>
        <v>0</v>
      </c>
      <c r="J71" s="17">
        <f t="shared" si="8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9"/>
        <v>30</v>
      </c>
      <c r="I72" s="16">
        <f t="shared" si="7"/>
        <v>0</v>
      </c>
      <c r="J72" s="17">
        <f t="shared" si="8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9"/>
        <v>29</v>
      </c>
      <c r="I73" s="16">
        <f t="shared" si="7"/>
        <v>1</v>
      </c>
      <c r="J73" s="17">
        <f t="shared" si="8"/>
        <v>0.96666666666666667</v>
      </c>
      <c r="K73" s="26"/>
      <c r="L73" s="8"/>
      <c r="M73" s="8"/>
      <c r="N73" s="8"/>
      <c r="O73" s="26"/>
      <c r="P73" s="26" t="s">
        <v>1200</v>
      </c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9"/>
        <v>30</v>
      </c>
      <c r="I74" s="16">
        <f t="shared" si="7"/>
        <v>0</v>
      </c>
      <c r="J74" s="17">
        <f t="shared" si="8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9"/>
        <v>30</v>
      </c>
      <c r="I75" s="16">
        <f t="shared" si="7"/>
        <v>0</v>
      </c>
      <c r="J75" s="17">
        <f t="shared" si="8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9"/>
        <v>29</v>
      </c>
      <c r="I76" s="16">
        <f t="shared" si="7"/>
        <v>1</v>
      </c>
      <c r="J76" s="17">
        <f t="shared" si="8"/>
        <v>0.96666666666666667</v>
      </c>
      <c r="K76" s="26"/>
      <c r="L76" s="8"/>
      <c r="M76" s="8" t="s">
        <v>1200</v>
      </c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9"/>
        <v>30</v>
      </c>
      <c r="I77" s="16">
        <f t="shared" si="7"/>
        <v>0</v>
      </c>
      <c r="J77" s="17">
        <f t="shared" si="8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9"/>
        <v>30</v>
      </c>
      <c r="I78" s="16">
        <f t="shared" si="7"/>
        <v>0</v>
      </c>
      <c r="J78" s="17">
        <f t="shared" si="8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9"/>
        <v>24</v>
      </c>
      <c r="I79" s="16">
        <f t="shared" si="7"/>
        <v>6</v>
      </c>
      <c r="J79" s="17">
        <f t="shared" si="8"/>
        <v>0.8</v>
      </c>
      <c r="K79" s="26" t="s">
        <v>1200</v>
      </c>
      <c r="L79" s="8" t="s">
        <v>1200</v>
      </c>
      <c r="M79" s="8" t="s">
        <v>1200</v>
      </c>
      <c r="N79" s="8" t="s">
        <v>1200</v>
      </c>
      <c r="O79" s="26" t="s">
        <v>1200</v>
      </c>
      <c r="P79" s="26" t="s">
        <v>1200</v>
      </c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9"/>
        <v>30</v>
      </c>
      <c r="I80" s="16">
        <f t="shared" si="7"/>
        <v>0</v>
      </c>
      <c r="J80" s="17">
        <f t="shared" si="8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9"/>
        <v>30</v>
      </c>
      <c r="I81" s="16">
        <f t="shared" si="7"/>
        <v>0</v>
      </c>
      <c r="J81" s="17">
        <f t="shared" si="8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9"/>
        <v>30</v>
      </c>
      <c r="I82" s="16">
        <f t="shared" si="7"/>
        <v>0</v>
      </c>
      <c r="J82" s="17">
        <f t="shared" si="8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9"/>
        <v>30</v>
      </c>
      <c r="I83" s="16">
        <f t="shared" si="7"/>
        <v>0</v>
      </c>
      <c r="J83" s="17">
        <f t="shared" si="8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9"/>
        <v>30</v>
      </c>
      <c r="I84" s="16">
        <f t="shared" si="7"/>
        <v>0</v>
      </c>
      <c r="J84" s="17">
        <f t="shared" si="8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9"/>
        <v>30</v>
      </c>
      <c r="I85" s="16">
        <f t="shared" si="7"/>
        <v>0</v>
      </c>
      <c r="J85" s="17">
        <f t="shared" si="8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9"/>
        <v>30</v>
      </c>
      <c r="I86" s="16">
        <f t="shared" si="7"/>
        <v>0</v>
      </c>
      <c r="J86" s="17">
        <f t="shared" si="8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9"/>
        <v>28</v>
      </c>
      <c r="I87" s="16">
        <f t="shared" si="7"/>
        <v>2</v>
      </c>
      <c r="J87" s="17">
        <f t="shared" si="8"/>
        <v>0.93333333333333335</v>
      </c>
      <c r="K87" s="26"/>
      <c r="L87" s="8" t="s">
        <v>1200</v>
      </c>
      <c r="M87" s="8" t="s">
        <v>1200</v>
      </c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9"/>
        <v>30</v>
      </c>
      <c r="I88" s="16">
        <f t="shared" si="7"/>
        <v>0</v>
      </c>
      <c r="J88" s="17">
        <f t="shared" si="8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.75" thickBot="1" x14ac:dyDescent="0.3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9"/>
        <v>30</v>
      </c>
      <c r="I89" s="16">
        <f t="shared" si="7"/>
        <v>0</v>
      </c>
      <c r="J89" s="17">
        <f t="shared" si="8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9"/>
        <v>30</v>
      </c>
      <c r="I90" s="16">
        <f t="shared" si="7"/>
        <v>0</v>
      </c>
      <c r="J90" s="17">
        <f t="shared" si="8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" customHeight="1" thickBot="1" x14ac:dyDescent="0.3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9"/>
        <v>28</v>
      </c>
      <c r="I91" s="16">
        <f t="shared" si="7"/>
        <v>2</v>
      </c>
      <c r="J91" s="17">
        <f t="shared" si="8"/>
        <v>0.93333333333333335</v>
      </c>
      <c r="K91" s="26"/>
      <c r="L91" s="8"/>
      <c r="M91" s="8" t="s">
        <v>1200</v>
      </c>
      <c r="N91" s="8" t="s">
        <v>1200</v>
      </c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9"/>
        <v>30</v>
      </c>
      <c r="I92" s="16">
        <f t="shared" si="7"/>
        <v>0</v>
      </c>
      <c r="J92" s="17">
        <f t="shared" si="8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.75" thickBot="1" x14ac:dyDescent="0.3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9"/>
        <v>30</v>
      </c>
      <c r="I93" s="16">
        <f t="shared" si="7"/>
        <v>0</v>
      </c>
      <c r="J93" s="17">
        <f t="shared" si="8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.75" thickBot="1" x14ac:dyDescent="0.3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9"/>
        <v>30</v>
      </c>
      <c r="I94" s="16">
        <f t="shared" si="7"/>
        <v>0</v>
      </c>
      <c r="J94" s="17">
        <f t="shared" si="8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.75" thickBot="1" x14ac:dyDescent="0.3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9"/>
        <v>30</v>
      </c>
      <c r="I95" s="16">
        <f t="shared" si="7"/>
        <v>0</v>
      </c>
      <c r="J95" s="17">
        <f t="shared" si="8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.75" thickBot="1" x14ac:dyDescent="0.3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9"/>
        <v>24</v>
      </c>
      <c r="I96" s="16">
        <f t="shared" si="7"/>
        <v>6</v>
      </c>
      <c r="J96" s="17">
        <f t="shared" si="8"/>
        <v>0.8</v>
      </c>
      <c r="K96" s="26" t="s">
        <v>1200</v>
      </c>
      <c r="L96" s="8" t="s">
        <v>1200</v>
      </c>
      <c r="M96" s="8" t="s">
        <v>1200</v>
      </c>
      <c r="N96" s="8" t="s">
        <v>1200</v>
      </c>
      <c r="O96" s="26" t="s">
        <v>1200</v>
      </c>
      <c r="P96" s="26" t="s">
        <v>1200</v>
      </c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.75" thickBot="1" x14ac:dyDescent="0.3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9"/>
        <v>30</v>
      </c>
      <c r="I97" s="16">
        <f t="shared" si="7"/>
        <v>0</v>
      </c>
      <c r="J97" s="17">
        <f t="shared" si="8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9"/>
        <v>30</v>
      </c>
      <c r="I98" s="16">
        <f t="shared" si="7"/>
        <v>0</v>
      </c>
      <c r="J98" s="17">
        <f t="shared" si="8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9"/>
        <v>30</v>
      </c>
      <c r="I99" s="16">
        <f t="shared" si="7"/>
        <v>0</v>
      </c>
      <c r="J99" s="17">
        <f t="shared" si="8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9"/>
        <v>30</v>
      </c>
      <c r="I100" s="16">
        <f t="shared" si="7"/>
        <v>0</v>
      </c>
      <c r="J100" s="17">
        <f t="shared" si="8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9"/>
        <v>30</v>
      </c>
      <c r="I101" s="16">
        <f t="shared" si="7"/>
        <v>0</v>
      </c>
      <c r="J101" s="17">
        <f t="shared" si="8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9"/>
        <v>28</v>
      </c>
      <c r="I102" s="16">
        <f t="shared" si="7"/>
        <v>2</v>
      </c>
      <c r="J102" s="17">
        <f t="shared" si="8"/>
        <v>0.93333333333333335</v>
      </c>
      <c r="K102" s="26"/>
      <c r="L102" s="8"/>
      <c r="M102" s="8" t="s">
        <v>1200</v>
      </c>
      <c r="N102" s="8" t="s">
        <v>1200</v>
      </c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9"/>
        <v>28</v>
      </c>
      <c r="I103" s="16">
        <f t="shared" si="7"/>
        <v>2</v>
      </c>
      <c r="J103" s="17">
        <f t="shared" si="8"/>
        <v>0.93333333333333335</v>
      </c>
      <c r="K103" s="26"/>
      <c r="L103" s="8"/>
      <c r="M103" s="8" t="s">
        <v>1200</v>
      </c>
      <c r="N103" s="8" t="s">
        <v>1200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9"/>
        <v>30</v>
      </c>
      <c r="I104" s="16">
        <f t="shared" si="7"/>
        <v>0</v>
      </c>
      <c r="J104" s="17">
        <f t="shared" si="8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149999999999999" customHeight="1" thickBot="1" x14ac:dyDescent="0.3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9"/>
        <v>30</v>
      </c>
      <c r="I105" s="16">
        <f t="shared" si="7"/>
        <v>0</v>
      </c>
      <c r="J105" s="17">
        <f t="shared" si="8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.75" thickBot="1" x14ac:dyDescent="0.3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9"/>
        <v>30</v>
      </c>
      <c r="I106" s="16">
        <f t="shared" si="7"/>
        <v>0</v>
      </c>
      <c r="J106" s="17">
        <f t="shared" si="8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9"/>
        <v>30</v>
      </c>
      <c r="I107" s="16">
        <f t="shared" si="7"/>
        <v>0</v>
      </c>
      <c r="J107" s="17">
        <f t="shared" si="8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9"/>
        <v>30</v>
      </c>
      <c r="I108" s="16">
        <f t="shared" si="7"/>
        <v>0</v>
      </c>
      <c r="J108" s="17">
        <f t="shared" si="8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.75" thickBot="1" x14ac:dyDescent="0.3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9"/>
        <v>28</v>
      </c>
      <c r="I109" s="16">
        <f t="shared" si="7"/>
        <v>2</v>
      </c>
      <c r="J109" s="17">
        <f t="shared" si="8"/>
        <v>0.93333333333333335</v>
      </c>
      <c r="K109" s="26"/>
      <c r="L109" s="8"/>
      <c r="M109" s="8" t="s">
        <v>1200</v>
      </c>
      <c r="N109" s="8" t="s">
        <v>1200</v>
      </c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.75" thickBot="1" x14ac:dyDescent="0.3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9"/>
        <v>30</v>
      </c>
      <c r="I110" s="16">
        <f t="shared" si="7"/>
        <v>0</v>
      </c>
      <c r="J110" s="17">
        <f t="shared" si="8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.75" thickBot="1" x14ac:dyDescent="0.3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9"/>
        <v>30</v>
      </c>
      <c r="I111" s="16">
        <f t="shared" si="7"/>
        <v>0</v>
      </c>
      <c r="J111" s="17">
        <f t="shared" si="8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9"/>
        <v>28</v>
      </c>
      <c r="I112" s="16">
        <f t="shared" si="7"/>
        <v>2</v>
      </c>
      <c r="J112" s="17">
        <f t="shared" si="8"/>
        <v>0.93333333333333335</v>
      </c>
      <c r="K112" s="26"/>
      <c r="L112" s="8"/>
      <c r="M112" s="8" t="s">
        <v>1200</v>
      </c>
      <c r="N112" s="8" t="s">
        <v>1200</v>
      </c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9"/>
        <v>30</v>
      </c>
      <c r="I113" s="16">
        <f t="shared" si="7"/>
        <v>0</v>
      </c>
      <c r="J113" s="17">
        <f t="shared" si="8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9"/>
        <v>30</v>
      </c>
      <c r="I114" s="16">
        <f t="shared" si="7"/>
        <v>0</v>
      </c>
      <c r="J114" s="17">
        <f t="shared" si="8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9"/>
        <v>30</v>
      </c>
      <c r="I115" s="16">
        <f t="shared" si="7"/>
        <v>0</v>
      </c>
      <c r="J115" s="17">
        <f t="shared" si="8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9"/>
        <v>30</v>
      </c>
      <c r="I116" s="16">
        <f t="shared" si="7"/>
        <v>0</v>
      </c>
      <c r="J116" s="17">
        <f t="shared" si="8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9"/>
        <v>30</v>
      </c>
      <c r="I117" s="16">
        <f t="shared" si="7"/>
        <v>0</v>
      </c>
      <c r="J117" s="17">
        <f t="shared" si="8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9"/>
        <v>30</v>
      </c>
      <c r="I118" s="16">
        <f t="shared" si="7"/>
        <v>0</v>
      </c>
      <c r="J118" s="17">
        <f t="shared" si="8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9"/>
        <v>30</v>
      </c>
      <c r="I119" s="16">
        <f t="shared" si="7"/>
        <v>0</v>
      </c>
      <c r="J119" s="17">
        <f t="shared" si="8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9"/>
        <v>30</v>
      </c>
      <c r="I120" s="16">
        <f t="shared" si="7"/>
        <v>0</v>
      </c>
      <c r="J120" s="17">
        <f t="shared" si="8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9"/>
        <v>30</v>
      </c>
      <c r="I121" s="16">
        <f t="shared" si="7"/>
        <v>0</v>
      </c>
      <c r="J121" s="17">
        <f t="shared" si="8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9"/>
        <v>29</v>
      </c>
      <c r="I122" s="16">
        <f t="shared" si="7"/>
        <v>1</v>
      </c>
      <c r="J122" s="17">
        <f t="shared" si="8"/>
        <v>0.96666666666666667</v>
      </c>
      <c r="K122" s="26"/>
      <c r="L122" s="8"/>
      <c r="M122" s="8" t="s">
        <v>1200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9"/>
        <v>30</v>
      </c>
      <c r="I123" s="16">
        <f t="shared" si="7"/>
        <v>0</v>
      </c>
      <c r="J123" s="17">
        <f t="shared" si="8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9"/>
        <v>30</v>
      </c>
      <c r="I124" s="16">
        <f t="shared" si="7"/>
        <v>0</v>
      </c>
      <c r="J124" s="17">
        <f t="shared" si="8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9"/>
        <v>30</v>
      </c>
      <c r="I125" s="16">
        <f t="shared" si="7"/>
        <v>0</v>
      </c>
      <c r="J125" s="17">
        <f t="shared" si="8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9"/>
        <v>30</v>
      </c>
      <c r="I126" s="16">
        <f t="shared" si="7"/>
        <v>0</v>
      </c>
      <c r="J126" s="17">
        <f t="shared" si="8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9"/>
        <v>30</v>
      </c>
      <c r="I127" s="16">
        <f t="shared" si="7"/>
        <v>0</v>
      </c>
      <c r="J127" s="17">
        <f t="shared" si="8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9"/>
        <v>30</v>
      </c>
      <c r="I128" s="16">
        <f t="shared" si="7"/>
        <v>0</v>
      </c>
      <c r="J128" s="17">
        <f t="shared" si="8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9"/>
        <v>30</v>
      </c>
      <c r="I129" s="16">
        <f t="shared" si="7"/>
        <v>0</v>
      </c>
      <c r="J129" s="17">
        <f t="shared" si="8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9"/>
        <v>30</v>
      </c>
      <c r="I130" s="16">
        <f t="shared" si="7"/>
        <v>0</v>
      </c>
      <c r="J130" s="17">
        <f t="shared" si="8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9"/>
        <v>30</v>
      </c>
      <c r="I131" s="16">
        <f t="shared" si="7"/>
        <v>0</v>
      </c>
      <c r="J131" s="17">
        <f t="shared" si="8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9"/>
        <v>30</v>
      </c>
      <c r="I132" s="16">
        <f t="shared" si="7"/>
        <v>0</v>
      </c>
      <c r="J132" s="17">
        <f t="shared" si="8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9"/>
        <v>30</v>
      </c>
      <c r="I133" s="16">
        <f t="shared" ref="I133:I196" si="10">COUNTIF(K133:AL133,"APAGADO")</f>
        <v>0</v>
      </c>
      <c r="J133" s="17">
        <f t="shared" ref="J133:J196" si="11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2">COUNTIF(K134:AN134,"")</f>
        <v>24</v>
      </c>
      <c r="I134" s="16">
        <f t="shared" si="10"/>
        <v>6</v>
      </c>
      <c r="J134" s="17">
        <f t="shared" si="11"/>
        <v>0.8</v>
      </c>
      <c r="K134" s="26" t="s">
        <v>1200</v>
      </c>
      <c r="L134" s="8" t="s">
        <v>1200</v>
      </c>
      <c r="M134" s="8" t="s">
        <v>1200</v>
      </c>
      <c r="N134" s="8" t="s">
        <v>1200</v>
      </c>
      <c r="O134" s="26" t="s">
        <v>1200</v>
      </c>
      <c r="P134" s="26" t="s">
        <v>1200</v>
      </c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2"/>
        <v>30</v>
      </c>
      <c r="I135" s="16">
        <f t="shared" si="10"/>
        <v>0</v>
      </c>
      <c r="J135" s="17">
        <f t="shared" si="11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2"/>
        <v>30</v>
      </c>
      <c r="I136" s="16">
        <f t="shared" si="10"/>
        <v>0</v>
      </c>
      <c r="J136" s="17">
        <f t="shared" si="11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2"/>
        <v>30</v>
      </c>
      <c r="I137" s="16">
        <f t="shared" si="10"/>
        <v>0</v>
      </c>
      <c r="J137" s="17">
        <f t="shared" si="11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2"/>
        <v>30</v>
      </c>
      <c r="I138" s="16">
        <f t="shared" si="10"/>
        <v>0</v>
      </c>
      <c r="J138" s="17">
        <f t="shared" si="11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2"/>
        <v>30</v>
      </c>
      <c r="I139" s="16">
        <f t="shared" si="10"/>
        <v>0</v>
      </c>
      <c r="J139" s="17">
        <f t="shared" si="11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2"/>
        <v>30</v>
      </c>
      <c r="I140" s="16">
        <f t="shared" si="10"/>
        <v>0</v>
      </c>
      <c r="J140" s="17">
        <f t="shared" si="11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.75" thickBot="1" x14ac:dyDescent="0.3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2"/>
        <v>28</v>
      </c>
      <c r="I141" s="16">
        <f t="shared" si="10"/>
        <v>2</v>
      </c>
      <c r="J141" s="17">
        <f t="shared" si="11"/>
        <v>0.93333333333333335</v>
      </c>
      <c r="K141" s="26"/>
      <c r="L141" s="8"/>
      <c r="M141" s="8" t="s">
        <v>1200</v>
      </c>
      <c r="N141" s="8" t="s">
        <v>1200</v>
      </c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2"/>
        <v>28</v>
      </c>
      <c r="I142" s="16">
        <f t="shared" si="10"/>
        <v>2</v>
      </c>
      <c r="J142" s="17">
        <f t="shared" si="11"/>
        <v>0.93333333333333335</v>
      </c>
      <c r="K142" s="26"/>
      <c r="L142" s="8"/>
      <c r="M142" s="8" t="s">
        <v>1200</v>
      </c>
      <c r="N142" s="8" t="s">
        <v>1200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2"/>
        <v>28</v>
      </c>
      <c r="I143" s="16">
        <f t="shared" si="10"/>
        <v>2</v>
      </c>
      <c r="J143" s="17">
        <f t="shared" si="11"/>
        <v>0.93333333333333335</v>
      </c>
      <c r="K143" s="26"/>
      <c r="L143" s="8"/>
      <c r="M143" s="8" t="s">
        <v>1200</v>
      </c>
      <c r="N143" s="8" t="s">
        <v>1200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2"/>
        <v>30</v>
      </c>
      <c r="I144" s="16">
        <f t="shared" si="10"/>
        <v>0</v>
      </c>
      <c r="J144" s="17">
        <f t="shared" si="11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2"/>
        <v>30</v>
      </c>
      <c r="I145" s="16">
        <f t="shared" si="10"/>
        <v>0</v>
      </c>
      <c r="J145" s="17">
        <f t="shared" si="11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2"/>
        <v>30</v>
      </c>
      <c r="I146" s="16">
        <f t="shared" si="10"/>
        <v>0</v>
      </c>
      <c r="J146" s="17">
        <f t="shared" si="11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2"/>
        <v>30</v>
      </c>
      <c r="I147" s="16">
        <f t="shared" si="10"/>
        <v>0</v>
      </c>
      <c r="J147" s="17">
        <f t="shared" si="11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2"/>
        <v>30</v>
      </c>
      <c r="I148" s="16">
        <f t="shared" si="10"/>
        <v>0</v>
      </c>
      <c r="J148" s="17">
        <f t="shared" si="11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2"/>
        <v>30</v>
      </c>
      <c r="I149" s="16">
        <f t="shared" si="10"/>
        <v>0</v>
      </c>
      <c r="J149" s="17">
        <f t="shared" si="11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2"/>
        <v>30</v>
      </c>
      <c r="I150" s="16">
        <f t="shared" si="10"/>
        <v>0</v>
      </c>
      <c r="J150" s="17">
        <f t="shared" si="11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2"/>
        <v>30</v>
      </c>
      <c r="I151" s="16">
        <f t="shared" si="10"/>
        <v>0</v>
      </c>
      <c r="J151" s="17">
        <f t="shared" si="11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2"/>
        <v>30</v>
      </c>
      <c r="I152" s="16">
        <f t="shared" si="10"/>
        <v>0</v>
      </c>
      <c r="J152" s="17">
        <f t="shared" si="11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2"/>
        <v>30</v>
      </c>
      <c r="I153" s="16">
        <f t="shared" si="10"/>
        <v>0</v>
      </c>
      <c r="J153" s="17">
        <f t="shared" si="11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2"/>
        <v>28</v>
      </c>
      <c r="I154" s="16">
        <f t="shared" si="10"/>
        <v>2</v>
      </c>
      <c r="J154" s="17">
        <f t="shared" si="11"/>
        <v>0.93333333333333335</v>
      </c>
      <c r="K154" s="26"/>
      <c r="L154" s="8"/>
      <c r="M154" s="8"/>
      <c r="N154" s="8"/>
      <c r="O154" s="26" t="s">
        <v>1200</v>
      </c>
      <c r="P154" s="26" t="s">
        <v>1200</v>
      </c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2"/>
        <v>28</v>
      </c>
      <c r="I155" s="16">
        <f t="shared" si="10"/>
        <v>2</v>
      </c>
      <c r="J155" s="17">
        <f t="shared" si="11"/>
        <v>0.93333333333333335</v>
      </c>
      <c r="K155" s="26"/>
      <c r="L155" s="8"/>
      <c r="M155" s="8"/>
      <c r="N155" s="8"/>
      <c r="O155" s="26" t="s">
        <v>1200</v>
      </c>
      <c r="P155" s="26" t="s">
        <v>1200</v>
      </c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2"/>
        <v>24</v>
      </c>
      <c r="I156" s="16">
        <f t="shared" si="10"/>
        <v>6</v>
      </c>
      <c r="J156" s="17">
        <f t="shared" si="11"/>
        <v>0.8</v>
      </c>
      <c r="K156" s="26" t="s">
        <v>1200</v>
      </c>
      <c r="L156" s="8" t="s">
        <v>1200</v>
      </c>
      <c r="M156" s="8" t="s">
        <v>1200</v>
      </c>
      <c r="N156" s="8" t="s">
        <v>1200</v>
      </c>
      <c r="O156" s="26" t="s">
        <v>1200</v>
      </c>
      <c r="P156" s="26" t="s">
        <v>1200</v>
      </c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2"/>
        <v>24</v>
      </c>
      <c r="I157" s="16">
        <f t="shared" si="10"/>
        <v>6</v>
      </c>
      <c r="J157" s="17">
        <f t="shared" si="11"/>
        <v>0.8</v>
      </c>
      <c r="K157" s="26" t="s">
        <v>1200</v>
      </c>
      <c r="L157" s="8" t="s">
        <v>1200</v>
      </c>
      <c r="M157" s="8" t="s">
        <v>1200</v>
      </c>
      <c r="N157" s="8" t="s">
        <v>1200</v>
      </c>
      <c r="O157" s="26" t="s">
        <v>1200</v>
      </c>
      <c r="P157" s="26" t="s">
        <v>1200</v>
      </c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.75" thickBot="1" x14ac:dyDescent="0.3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2"/>
        <v>24</v>
      </c>
      <c r="I158" s="16">
        <f t="shared" si="10"/>
        <v>6</v>
      </c>
      <c r="J158" s="17">
        <f t="shared" si="11"/>
        <v>0.8</v>
      </c>
      <c r="K158" s="26" t="s">
        <v>1200</v>
      </c>
      <c r="L158" s="8" t="s">
        <v>1200</v>
      </c>
      <c r="M158" s="8" t="s">
        <v>1200</v>
      </c>
      <c r="N158" s="8" t="s">
        <v>1200</v>
      </c>
      <c r="O158" s="26" t="s">
        <v>1200</v>
      </c>
      <c r="P158" s="26" t="s">
        <v>1200</v>
      </c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2"/>
        <v>28</v>
      </c>
      <c r="I159" s="16">
        <f t="shared" si="10"/>
        <v>2</v>
      </c>
      <c r="J159" s="17">
        <f t="shared" si="11"/>
        <v>0.93333333333333335</v>
      </c>
      <c r="K159" s="26"/>
      <c r="L159" s="8"/>
      <c r="M159" s="8" t="s">
        <v>1200</v>
      </c>
      <c r="N159" s="8" t="s">
        <v>1200</v>
      </c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2"/>
        <v>30</v>
      </c>
      <c r="I160" s="16">
        <f t="shared" si="10"/>
        <v>0</v>
      </c>
      <c r="J160" s="17">
        <f t="shared" si="11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.75" thickBot="1" x14ac:dyDescent="0.3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2"/>
        <v>30</v>
      </c>
      <c r="I161" s="16">
        <f t="shared" si="10"/>
        <v>0</v>
      </c>
      <c r="J161" s="17">
        <f t="shared" si="11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2"/>
        <v>26</v>
      </c>
      <c r="I162" s="16">
        <f t="shared" si="10"/>
        <v>4</v>
      </c>
      <c r="J162" s="17">
        <f t="shared" si="11"/>
        <v>0.8666666666666667</v>
      </c>
      <c r="K162" s="26"/>
      <c r="L162" s="8" t="s">
        <v>1200</v>
      </c>
      <c r="M162" s="8" t="s">
        <v>1200</v>
      </c>
      <c r="N162" s="8"/>
      <c r="O162" s="26" t="s">
        <v>1200</v>
      </c>
      <c r="P162" s="26" t="s">
        <v>1200</v>
      </c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.75" thickBot="1" x14ac:dyDescent="0.3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2"/>
        <v>24</v>
      </c>
      <c r="I163" s="16">
        <f t="shared" si="10"/>
        <v>6</v>
      </c>
      <c r="J163" s="17">
        <f t="shared" si="11"/>
        <v>0.8</v>
      </c>
      <c r="K163" s="26" t="s">
        <v>1200</v>
      </c>
      <c r="L163" s="8" t="s">
        <v>1200</v>
      </c>
      <c r="M163" s="8" t="s">
        <v>1200</v>
      </c>
      <c r="N163" s="8" t="s">
        <v>1200</v>
      </c>
      <c r="O163" s="26" t="s">
        <v>1200</v>
      </c>
      <c r="P163" s="26" t="s">
        <v>1200</v>
      </c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2"/>
        <v>30</v>
      </c>
      <c r="I164" s="16">
        <f t="shared" si="10"/>
        <v>0</v>
      </c>
      <c r="J164" s="17">
        <f t="shared" si="11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.75" thickBot="1" x14ac:dyDescent="0.3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2"/>
        <v>28</v>
      </c>
      <c r="I165" s="16">
        <f t="shared" si="10"/>
        <v>2</v>
      </c>
      <c r="J165" s="17">
        <f t="shared" si="11"/>
        <v>0.93333333333333335</v>
      </c>
      <c r="K165" s="26"/>
      <c r="L165" s="8"/>
      <c r="M165" s="8" t="s">
        <v>1200</v>
      </c>
      <c r="N165" s="8" t="s">
        <v>1200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2"/>
        <v>24</v>
      </c>
      <c r="I166" s="16">
        <f t="shared" si="10"/>
        <v>6</v>
      </c>
      <c r="J166" s="17">
        <f t="shared" si="11"/>
        <v>0.8</v>
      </c>
      <c r="K166" s="26" t="s">
        <v>1200</v>
      </c>
      <c r="L166" s="8" t="s">
        <v>1200</v>
      </c>
      <c r="M166" s="8" t="s">
        <v>1200</v>
      </c>
      <c r="N166" s="8" t="s">
        <v>1200</v>
      </c>
      <c r="O166" s="26" t="s">
        <v>1200</v>
      </c>
      <c r="P166" s="26" t="s">
        <v>1200</v>
      </c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2"/>
        <v>30</v>
      </c>
      <c r="I167" s="16">
        <f t="shared" si="10"/>
        <v>0</v>
      </c>
      <c r="J167" s="17">
        <f t="shared" si="11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.75" thickBot="1" x14ac:dyDescent="0.3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2"/>
        <v>30</v>
      </c>
      <c r="I168" s="16">
        <f t="shared" si="10"/>
        <v>0</v>
      </c>
      <c r="J168" s="17">
        <f t="shared" si="11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.75" thickBot="1" x14ac:dyDescent="0.3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2"/>
        <v>30</v>
      </c>
      <c r="I169" s="16">
        <f t="shared" si="10"/>
        <v>0</v>
      </c>
      <c r="J169" s="17">
        <f t="shared" si="11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.75" thickBot="1" x14ac:dyDescent="0.3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2"/>
        <v>30</v>
      </c>
      <c r="I170" s="16">
        <f t="shared" si="10"/>
        <v>0</v>
      </c>
      <c r="J170" s="17">
        <f t="shared" si="11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2"/>
        <v>30</v>
      </c>
      <c r="I171" s="16">
        <f t="shared" si="10"/>
        <v>0</v>
      </c>
      <c r="J171" s="17">
        <f t="shared" si="11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2"/>
        <v>30</v>
      </c>
      <c r="I172" s="16">
        <f t="shared" si="10"/>
        <v>0</v>
      </c>
      <c r="J172" s="17">
        <f t="shared" si="11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.75" thickBot="1" x14ac:dyDescent="0.3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2"/>
        <v>30</v>
      </c>
      <c r="I173" s="16">
        <f t="shared" si="10"/>
        <v>0</v>
      </c>
      <c r="J173" s="17">
        <f t="shared" si="11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2"/>
        <v>28</v>
      </c>
      <c r="I174" s="16">
        <f t="shared" si="10"/>
        <v>2</v>
      </c>
      <c r="J174" s="17">
        <f t="shared" si="11"/>
        <v>0.93333333333333335</v>
      </c>
      <c r="K174" s="26"/>
      <c r="L174" s="8"/>
      <c r="M174" s="8" t="s">
        <v>1200</v>
      </c>
      <c r="N174" s="8" t="s">
        <v>1200</v>
      </c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2"/>
        <v>28</v>
      </c>
      <c r="I175" s="16">
        <f t="shared" si="10"/>
        <v>2</v>
      </c>
      <c r="J175" s="17">
        <f t="shared" si="11"/>
        <v>0.93333333333333335</v>
      </c>
      <c r="K175" s="26"/>
      <c r="L175" s="8"/>
      <c r="M175" s="8" t="s">
        <v>1200</v>
      </c>
      <c r="N175" s="8" t="s">
        <v>1200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2"/>
        <v>30</v>
      </c>
      <c r="I176" s="16">
        <f t="shared" si="10"/>
        <v>0</v>
      </c>
      <c r="J176" s="17">
        <f t="shared" si="11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2"/>
        <v>29</v>
      </c>
      <c r="I177" s="16">
        <f t="shared" si="10"/>
        <v>1</v>
      </c>
      <c r="J177" s="17">
        <f t="shared" si="11"/>
        <v>0.96666666666666667</v>
      </c>
      <c r="K177" s="26"/>
      <c r="L177" s="8"/>
      <c r="M177" s="8"/>
      <c r="N177" s="8"/>
      <c r="O177" s="26"/>
      <c r="P177" s="26" t="s">
        <v>1200</v>
      </c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2"/>
        <v>30</v>
      </c>
      <c r="I178" s="16">
        <f t="shared" si="10"/>
        <v>0</v>
      </c>
      <c r="J178" s="17">
        <f t="shared" si="11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2"/>
        <v>28</v>
      </c>
      <c r="I179" s="16">
        <f t="shared" si="10"/>
        <v>2</v>
      </c>
      <c r="J179" s="17">
        <f t="shared" si="11"/>
        <v>0.93333333333333335</v>
      </c>
      <c r="K179" s="26"/>
      <c r="L179" s="8"/>
      <c r="M179" s="8" t="s">
        <v>1200</v>
      </c>
      <c r="N179" s="8" t="s">
        <v>1200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2"/>
        <v>30</v>
      </c>
      <c r="I180" s="16">
        <f t="shared" si="10"/>
        <v>0</v>
      </c>
      <c r="J180" s="17">
        <f t="shared" si="11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2"/>
        <v>30</v>
      </c>
      <c r="I181" s="16">
        <f t="shared" si="10"/>
        <v>0</v>
      </c>
      <c r="J181" s="17">
        <f t="shared" si="11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2"/>
        <v>28</v>
      </c>
      <c r="I182" s="16">
        <f t="shared" si="10"/>
        <v>2</v>
      </c>
      <c r="J182" s="17">
        <f t="shared" si="11"/>
        <v>0.93333333333333335</v>
      </c>
      <c r="K182" s="26"/>
      <c r="L182" s="8"/>
      <c r="M182" s="8" t="s">
        <v>1200</v>
      </c>
      <c r="N182" s="8" t="s">
        <v>1200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2"/>
        <v>28</v>
      </c>
      <c r="I183" s="16">
        <f t="shared" si="10"/>
        <v>2</v>
      </c>
      <c r="J183" s="17">
        <f t="shared" si="11"/>
        <v>0.93333333333333335</v>
      </c>
      <c r="K183" s="26"/>
      <c r="L183" s="8"/>
      <c r="M183" s="8" t="s">
        <v>1200</v>
      </c>
      <c r="N183" s="8" t="s">
        <v>1200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.75" thickBot="1" x14ac:dyDescent="0.3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2"/>
        <v>30</v>
      </c>
      <c r="I184" s="16">
        <f t="shared" si="10"/>
        <v>0</v>
      </c>
      <c r="J184" s="17">
        <f t="shared" si="11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2"/>
        <v>28</v>
      </c>
      <c r="I185" s="16">
        <f t="shared" si="10"/>
        <v>2</v>
      </c>
      <c r="J185" s="17">
        <f t="shared" si="11"/>
        <v>0.93333333333333335</v>
      </c>
      <c r="K185" s="26"/>
      <c r="L185" s="8"/>
      <c r="M185" s="8" t="s">
        <v>1200</v>
      </c>
      <c r="N185" s="8" t="s">
        <v>1200</v>
      </c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.75" thickBot="1" x14ac:dyDescent="0.3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2"/>
        <v>28</v>
      </c>
      <c r="I186" s="16">
        <f t="shared" si="10"/>
        <v>2</v>
      </c>
      <c r="J186" s="17">
        <f t="shared" si="11"/>
        <v>0.93333333333333335</v>
      </c>
      <c r="K186" s="26"/>
      <c r="L186" s="8"/>
      <c r="M186" s="8" t="s">
        <v>1200</v>
      </c>
      <c r="N186" s="8" t="s">
        <v>1200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.75" thickBot="1" x14ac:dyDescent="0.3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2"/>
        <v>28</v>
      </c>
      <c r="I187" s="16">
        <f t="shared" si="10"/>
        <v>2</v>
      </c>
      <c r="J187" s="17">
        <f t="shared" si="11"/>
        <v>0.93333333333333335</v>
      </c>
      <c r="K187" s="26"/>
      <c r="L187" s="8"/>
      <c r="M187" s="8" t="s">
        <v>1200</v>
      </c>
      <c r="N187" s="8" t="s">
        <v>1200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2"/>
        <v>28</v>
      </c>
      <c r="I188" s="16">
        <f t="shared" si="10"/>
        <v>2</v>
      </c>
      <c r="J188" s="17">
        <f t="shared" si="11"/>
        <v>0.93333333333333335</v>
      </c>
      <c r="K188" s="26"/>
      <c r="L188" s="8"/>
      <c r="M188" s="8" t="s">
        <v>1200</v>
      </c>
      <c r="N188" s="8" t="s">
        <v>1200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2"/>
        <v>30</v>
      </c>
      <c r="I189" s="16">
        <f t="shared" si="10"/>
        <v>0</v>
      </c>
      <c r="J189" s="17">
        <f t="shared" si="11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2"/>
        <v>30</v>
      </c>
      <c r="I190" s="16">
        <f t="shared" si="10"/>
        <v>0</v>
      </c>
      <c r="J190" s="17">
        <f t="shared" si="11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2"/>
        <v>29</v>
      </c>
      <c r="I191" s="16">
        <f t="shared" si="10"/>
        <v>1</v>
      </c>
      <c r="J191" s="17">
        <f t="shared" si="11"/>
        <v>0.96666666666666667</v>
      </c>
      <c r="K191" s="26"/>
      <c r="L191" s="8"/>
      <c r="M191" s="8" t="s">
        <v>1200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2"/>
        <v>30</v>
      </c>
      <c r="I192" s="16">
        <f t="shared" si="10"/>
        <v>0</v>
      </c>
      <c r="J192" s="17">
        <f t="shared" si="11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2"/>
        <v>30</v>
      </c>
      <c r="I193" s="16">
        <f t="shared" si="10"/>
        <v>0</v>
      </c>
      <c r="J193" s="17">
        <f t="shared" si="11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2"/>
        <v>30</v>
      </c>
      <c r="I194" s="16">
        <f t="shared" si="10"/>
        <v>0</v>
      </c>
      <c r="J194" s="17">
        <f t="shared" si="11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2"/>
        <v>30</v>
      </c>
      <c r="I195" s="16">
        <f t="shared" si="10"/>
        <v>0</v>
      </c>
      <c r="J195" s="17">
        <f t="shared" si="11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2"/>
        <v>30</v>
      </c>
      <c r="I196" s="16">
        <f t="shared" si="10"/>
        <v>0</v>
      </c>
      <c r="J196" s="17">
        <f t="shared" si="11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2"/>
        <v>30</v>
      </c>
      <c r="I197" s="16">
        <f t="shared" ref="I197:I262" si="13">COUNTIF(K197:AL197,"APAGADO")</f>
        <v>0</v>
      </c>
      <c r="J197" s="17">
        <f t="shared" ref="J197:J262" si="14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5">COUNTIF(K198:AN198,"")</f>
        <v>30</v>
      </c>
      <c r="I198" s="16">
        <f t="shared" si="13"/>
        <v>0</v>
      </c>
      <c r="J198" s="17">
        <f t="shared" si="14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5"/>
        <v>30</v>
      </c>
      <c r="I199" s="16">
        <f t="shared" si="13"/>
        <v>0</v>
      </c>
      <c r="J199" s="17">
        <f t="shared" si="14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5"/>
        <v>30</v>
      </c>
      <c r="I200" s="16">
        <f t="shared" si="13"/>
        <v>0</v>
      </c>
      <c r="J200" s="17">
        <f t="shared" si="14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5"/>
        <v>30</v>
      </c>
      <c r="I201" s="16">
        <f t="shared" si="13"/>
        <v>0</v>
      </c>
      <c r="J201" s="17">
        <f t="shared" si="14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5"/>
        <v>30</v>
      </c>
      <c r="I202" s="16">
        <f t="shared" si="13"/>
        <v>0</v>
      </c>
      <c r="J202" s="17">
        <f t="shared" si="14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5"/>
        <v>30</v>
      </c>
      <c r="I203" s="16">
        <f t="shared" si="13"/>
        <v>0</v>
      </c>
      <c r="J203" s="17">
        <f t="shared" si="14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5"/>
        <v>30</v>
      </c>
      <c r="I204" s="16">
        <f t="shared" si="13"/>
        <v>0</v>
      </c>
      <c r="J204" s="17">
        <f t="shared" si="14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5"/>
        <v>30</v>
      </c>
      <c r="I205" s="16">
        <f t="shared" si="13"/>
        <v>0</v>
      </c>
      <c r="J205" s="17">
        <f t="shared" si="14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5"/>
        <v>30</v>
      </c>
      <c r="I206" s="16">
        <f t="shared" si="13"/>
        <v>0</v>
      </c>
      <c r="J206" s="17">
        <f t="shared" si="14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5"/>
        <v>30</v>
      </c>
      <c r="I207" s="16">
        <f t="shared" si="13"/>
        <v>0</v>
      </c>
      <c r="J207" s="17">
        <f t="shared" si="14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5"/>
        <v>30</v>
      </c>
      <c r="I208" s="16">
        <f t="shared" si="13"/>
        <v>0</v>
      </c>
      <c r="J208" s="17">
        <f t="shared" si="14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.75" thickBot="1" x14ac:dyDescent="0.3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5"/>
        <v>30</v>
      </c>
      <c r="I209" s="16">
        <f t="shared" si="13"/>
        <v>0</v>
      </c>
      <c r="J209" s="17">
        <f t="shared" si="14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5"/>
        <v>24</v>
      </c>
      <c r="I210" s="16">
        <f t="shared" si="13"/>
        <v>6</v>
      </c>
      <c r="J210" s="17">
        <f t="shared" si="14"/>
        <v>0.8</v>
      </c>
      <c r="K210" s="26" t="s">
        <v>1200</v>
      </c>
      <c r="L210" s="8" t="s">
        <v>1200</v>
      </c>
      <c r="M210" s="8" t="s">
        <v>1200</v>
      </c>
      <c r="N210" s="8" t="s">
        <v>1200</v>
      </c>
      <c r="O210" s="26" t="s">
        <v>1200</v>
      </c>
      <c r="P210" s="26" t="s">
        <v>1200</v>
      </c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5"/>
        <v>30</v>
      </c>
      <c r="I211" s="16">
        <f t="shared" si="13"/>
        <v>0</v>
      </c>
      <c r="J211" s="17">
        <f t="shared" si="14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5"/>
        <v>30</v>
      </c>
      <c r="I212" s="16">
        <f t="shared" si="13"/>
        <v>0</v>
      </c>
      <c r="J212" s="17">
        <f t="shared" si="14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5"/>
        <v>28</v>
      </c>
      <c r="I213" s="16">
        <f t="shared" si="13"/>
        <v>2</v>
      </c>
      <c r="J213" s="17">
        <f t="shared" si="14"/>
        <v>0.93333333333333335</v>
      </c>
      <c r="K213" s="26"/>
      <c r="L213" s="8"/>
      <c r="M213" s="8" t="s">
        <v>1200</v>
      </c>
      <c r="N213" s="8" t="s">
        <v>1200</v>
      </c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5"/>
        <v>30</v>
      </c>
      <c r="I214" s="16">
        <f t="shared" si="13"/>
        <v>0</v>
      </c>
      <c r="J214" s="17">
        <f t="shared" si="14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.75" thickBot="1" x14ac:dyDescent="0.3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5"/>
        <v>30</v>
      </c>
      <c r="I215" s="16">
        <f t="shared" si="13"/>
        <v>0</v>
      </c>
      <c r="J215" s="17">
        <f t="shared" si="14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.75" thickBot="1" x14ac:dyDescent="0.3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5"/>
        <v>24</v>
      </c>
      <c r="I216" s="16">
        <f t="shared" si="13"/>
        <v>6</v>
      </c>
      <c r="J216" s="17">
        <f t="shared" si="14"/>
        <v>0.8</v>
      </c>
      <c r="K216" s="26" t="s">
        <v>1200</v>
      </c>
      <c r="L216" s="8" t="s">
        <v>1200</v>
      </c>
      <c r="M216" s="8" t="s">
        <v>1200</v>
      </c>
      <c r="N216" s="8" t="s">
        <v>1200</v>
      </c>
      <c r="O216" s="26" t="s">
        <v>1200</v>
      </c>
      <c r="P216" s="26" t="s">
        <v>1200</v>
      </c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.75" thickBot="1" x14ac:dyDescent="0.3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5"/>
        <v>25</v>
      </c>
      <c r="I217" s="16">
        <f t="shared" si="13"/>
        <v>5</v>
      </c>
      <c r="J217" s="17">
        <f t="shared" si="14"/>
        <v>0.83333333333333337</v>
      </c>
      <c r="K217" s="26" t="s">
        <v>1200</v>
      </c>
      <c r="L217" s="8" t="s">
        <v>1200</v>
      </c>
      <c r="M217" s="8" t="s">
        <v>1200</v>
      </c>
      <c r="N217" s="8"/>
      <c r="O217" s="26" t="s">
        <v>1200</v>
      </c>
      <c r="P217" s="26" t="s">
        <v>1200</v>
      </c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5"/>
        <v>30</v>
      </c>
      <c r="I218" s="16">
        <f t="shared" si="13"/>
        <v>0</v>
      </c>
      <c r="J218" s="17">
        <f t="shared" si="14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5"/>
        <v>30</v>
      </c>
      <c r="I219" s="16">
        <f t="shared" si="13"/>
        <v>0</v>
      </c>
      <c r="J219" s="17">
        <f t="shared" si="14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5"/>
        <v>30</v>
      </c>
      <c r="I220" s="16">
        <f t="shared" si="13"/>
        <v>0</v>
      </c>
      <c r="J220" s="17">
        <f t="shared" si="14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.75" thickBot="1" x14ac:dyDescent="0.3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5"/>
        <v>30</v>
      </c>
      <c r="I221" s="16">
        <f t="shared" si="13"/>
        <v>0</v>
      </c>
      <c r="J221" s="17">
        <f t="shared" si="14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5"/>
        <v>30</v>
      </c>
      <c r="I222" s="16">
        <f t="shared" si="13"/>
        <v>0</v>
      </c>
      <c r="J222" s="17">
        <f t="shared" si="14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5"/>
        <v>30</v>
      </c>
      <c r="I223" s="16">
        <f t="shared" si="13"/>
        <v>0</v>
      </c>
      <c r="J223" s="17">
        <f t="shared" si="14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.75" thickBot="1" x14ac:dyDescent="0.3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5"/>
        <v>30</v>
      </c>
      <c r="I224" s="16">
        <f t="shared" si="13"/>
        <v>0</v>
      </c>
      <c r="J224" s="17">
        <f t="shared" si="14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5"/>
        <v>30</v>
      </c>
      <c r="I225" s="16">
        <f t="shared" si="13"/>
        <v>0</v>
      </c>
      <c r="J225" s="17">
        <f t="shared" si="14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5"/>
        <v>30</v>
      </c>
      <c r="I226" s="16">
        <f t="shared" si="13"/>
        <v>0</v>
      </c>
      <c r="J226" s="17">
        <f t="shared" si="14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5"/>
        <v>30</v>
      </c>
      <c r="I227" s="16">
        <f t="shared" si="13"/>
        <v>0</v>
      </c>
      <c r="J227" s="17">
        <f t="shared" si="14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5"/>
        <v>30</v>
      </c>
      <c r="I228" s="16">
        <f t="shared" si="13"/>
        <v>0</v>
      </c>
      <c r="J228" s="17">
        <f t="shared" si="14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.75" thickBot="1" x14ac:dyDescent="0.3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5"/>
        <v>30</v>
      </c>
      <c r="I229" s="16">
        <f t="shared" si="13"/>
        <v>0</v>
      </c>
      <c r="J229" s="17">
        <f t="shared" si="14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5"/>
        <v>30</v>
      </c>
      <c r="I230" s="16">
        <f t="shared" si="13"/>
        <v>0</v>
      </c>
      <c r="J230" s="17">
        <f t="shared" si="14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5"/>
        <v>30</v>
      </c>
      <c r="I231" s="16">
        <f t="shared" si="13"/>
        <v>0</v>
      </c>
      <c r="J231" s="17">
        <f t="shared" si="14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5"/>
        <v>28</v>
      </c>
      <c r="I232" s="16">
        <f t="shared" si="13"/>
        <v>2</v>
      </c>
      <c r="J232" s="17">
        <f t="shared" si="14"/>
        <v>0.93333333333333335</v>
      </c>
      <c r="K232" s="26"/>
      <c r="L232" s="8"/>
      <c r="M232" s="8" t="s">
        <v>1200</v>
      </c>
      <c r="N232" s="8" t="s">
        <v>1200</v>
      </c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5"/>
        <v>30</v>
      </c>
      <c r="I233" s="16">
        <f t="shared" si="13"/>
        <v>0</v>
      </c>
      <c r="J233" s="17">
        <f t="shared" si="14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5"/>
        <v>30</v>
      </c>
      <c r="I234" s="16">
        <f t="shared" si="13"/>
        <v>0</v>
      </c>
      <c r="J234" s="17">
        <f t="shared" si="14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5"/>
        <v>30</v>
      </c>
      <c r="I235" s="16">
        <f t="shared" si="13"/>
        <v>0</v>
      </c>
      <c r="J235" s="17">
        <f t="shared" si="14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5"/>
        <v>30</v>
      </c>
      <c r="I236" s="16">
        <f t="shared" si="13"/>
        <v>0</v>
      </c>
      <c r="J236" s="17">
        <f t="shared" si="14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5"/>
        <v>30</v>
      </c>
      <c r="I237" s="16">
        <f t="shared" si="13"/>
        <v>0</v>
      </c>
      <c r="J237" s="17">
        <f t="shared" si="14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5"/>
        <v>30</v>
      </c>
      <c r="I238" s="16">
        <f t="shared" si="13"/>
        <v>0</v>
      </c>
      <c r="J238" s="17">
        <f t="shared" si="14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5"/>
        <v>30</v>
      </c>
      <c r="I239" s="16">
        <f t="shared" si="13"/>
        <v>0</v>
      </c>
      <c r="J239" s="17">
        <f t="shared" si="14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5"/>
        <v>30</v>
      </c>
      <c r="I240" s="16">
        <f t="shared" si="13"/>
        <v>0</v>
      </c>
      <c r="J240" s="17">
        <f t="shared" si="14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5"/>
        <v>28</v>
      </c>
      <c r="I241" s="16">
        <f t="shared" si="13"/>
        <v>2</v>
      </c>
      <c r="J241" s="17">
        <f t="shared" si="14"/>
        <v>0.93333333333333335</v>
      </c>
      <c r="K241" s="26"/>
      <c r="L241" s="8"/>
      <c r="M241" s="8" t="s">
        <v>1200</v>
      </c>
      <c r="N241" s="8" t="s">
        <v>1200</v>
      </c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5"/>
        <v>30</v>
      </c>
      <c r="I242" s="16">
        <f t="shared" si="13"/>
        <v>0</v>
      </c>
      <c r="J242" s="17">
        <f t="shared" si="14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5"/>
        <v>30</v>
      </c>
      <c r="I243" s="16">
        <f t="shared" si="13"/>
        <v>0</v>
      </c>
      <c r="J243" s="17">
        <f t="shared" si="14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5"/>
        <v>24</v>
      </c>
      <c r="I244" s="16">
        <f t="shared" si="13"/>
        <v>6</v>
      </c>
      <c r="J244" s="17">
        <f t="shared" si="14"/>
        <v>0.8</v>
      </c>
      <c r="K244" s="26" t="s">
        <v>1200</v>
      </c>
      <c r="L244" s="8" t="s">
        <v>1200</v>
      </c>
      <c r="M244" s="8" t="s">
        <v>1200</v>
      </c>
      <c r="N244" s="8" t="s">
        <v>1200</v>
      </c>
      <c r="O244" s="26" t="s">
        <v>1200</v>
      </c>
      <c r="P244" s="26" t="s">
        <v>1200</v>
      </c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5"/>
        <v>24</v>
      </c>
      <c r="I245" s="16">
        <f t="shared" si="13"/>
        <v>6</v>
      </c>
      <c r="J245" s="17">
        <f t="shared" si="14"/>
        <v>0.8</v>
      </c>
      <c r="K245" s="26" t="s">
        <v>1200</v>
      </c>
      <c r="L245" s="26" t="s">
        <v>1200</v>
      </c>
      <c r="M245" s="26" t="s">
        <v>1200</v>
      </c>
      <c r="N245" s="26" t="s">
        <v>1200</v>
      </c>
      <c r="O245" s="26" t="s">
        <v>1200</v>
      </c>
      <c r="P245" s="26" t="s">
        <v>1200</v>
      </c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.75" thickBot="1" x14ac:dyDescent="0.3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5"/>
        <v>30</v>
      </c>
      <c r="I246" s="16">
        <f t="shared" si="13"/>
        <v>0</v>
      </c>
      <c r="J246" s="17">
        <f t="shared" si="14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.75" thickBot="1" x14ac:dyDescent="0.3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5"/>
        <v>30</v>
      </c>
      <c r="I247" s="16">
        <f t="shared" si="13"/>
        <v>0</v>
      </c>
      <c r="J247" s="17">
        <f t="shared" si="14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.75" thickBot="1" x14ac:dyDescent="0.3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5"/>
        <v>30</v>
      </c>
      <c r="I248" s="16">
        <f t="shared" si="13"/>
        <v>0</v>
      </c>
      <c r="J248" s="17">
        <f t="shared" si="14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.75" thickBot="1" x14ac:dyDescent="0.3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5"/>
        <v>27</v>
      </c>
      <c r="I249" s="16">
        <f t="shared" si="13"/>
        <v>3</v>
      </c>
      <c r="J249" s="17">
        <f t="shared" si="14"/>
        <v>0.9</v>
      </c>
      <c r="K249" s="26"/>
      <c r="L249" s="8" t="s">
        <v>1200</v>
      </c>
      <c r="M249" s="8" t="s">
        <v>1200</v>
      </c>
      <c r="N249" s="8" t="s">
        <v>1200</v>
      </c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5"/>
        <v>30</v>
      </c>
      <c r="I250" s="16">
        <f t="shared" si="13"/>
        <v>0</v>
      </c>
      <c r="J250" s="17">
        <f t="shared" si="14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5"/>
        <v>30</v>
      </c>
      <c r="I251" s="16">
        <f t="shared" si="13"/>
        <v>0</v>
      </c>
      <c r="J251" s="17">
        <f t="shared" si="14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5"/>
        <v>30</v>
      </c>
      <c r="I252" s="16">
        <f t="shared" si="13"/>
        <v>0</v>
      </c>
      <c r="J252" s="17">
        <f t="shared" si="14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.75" thickBot="1" x14ac:dyDescent="0.3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5"/>
        <v>27</v>
      </c>
      <c r="I253" s="16">
        <f t="shared" si="13"/>
        <v>3</v>
      </c>
      <c r="J253" s="17">
        <f t="shared" si="14"/>
        <v>0.9</v>
      </c>
      <c r="K253" s="26"/>
      <c r="L253" s="8" t="s">
        <v>1200</v>
      </c>
      <c r="M253" s="8" t="s">
        <v>1200</v>
      </c>
      <c r="N253" s="8" t="s">
        <v>1200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.75" thickBot="1" x14ac:dyDescent="0.3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5"/>
        <v>24</v>
      </c>
      <c r="I254" s="16">
        <f t="shared" si="13"/>
        <v>6</v>
      </c>
      <c r="J254" s="17">
        <f t="shared" si="14"/>
        <v>0.8</v>
      </c>
      <c r="K254" s="26" t="s">
        <v>1200</v>
      </c>
      <c r="L254" s="8" t="s">
        <v>1200</v>
      </c>
      <c r="M254" s="8" t="s">
        <v>1200</v>
      </c>
      <c r="N254" s="8" t="s">
        <v>1200</v>
      </c>
      <c r="O254" s="26" t="s">
        <v>1200</v>
      </c>
      <c r="P254" s="26" t="s">
        <v>1200</v>
      </c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.75" thickBot="1" x14ac:dyDescent="0.3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5"/>
        <v>24</v>
      </c>
      <c r="I255" s="16">
        <f t="shared" si="13"/>
        <v>6</v>
      </c>
      <c r="J255" s="17">
        <f t="shared" si="14"/>
        <v>0.8</v>
      </c>
      <c r="K255" s="26" t="s">
        <v>1200</v>
      </c>
      <c r="L255" s="8" t="s">
        <v>1200</v>
      </c>
      <c r="M255" s="8" t="s">
        <v>1200</v>
      </c>
      <c r="N255" s="8" t="s">
        <v>1200</v>
      </c>
      <c r="O255" s="26" t="s">
        <v>1200</v>
      </c>
      <c r="P255" s="26" t="s">
        <v>1200</v>
      </c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.75" thickBot="1" x14ac:dyDescent="0.3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5"/>
        <v>30</v>
      </c>
      <c r="I256" s="16">
        <f t="shared" si="13"/>
        <v>0</v>
      </c>
      <c r="J256" s="17">
        <f t="shared" si="14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.75" thickBot="1" x14ac:dyDescent="0.3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5"/>
        <v>30</v>
      </c>
      <c r="I257" s="16">
        <f t="shared" si="13"/>
        <v>0</v>
      </c>
      <c r="J257" s="17">
        <f t="shared" si="14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.75" thickBot="1" x14ac:dyDescent="0.3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5"/>
        <v>29</v>
      </c>
      <c r="I258" s="16">
        <f t="shared" si="13"/>
        <v>1</v>
      </c>
      <c r="J258" s="17">
        <f t="shared" si="14"/>
        <v>0.96666666666666667</v>
      </c>
      <c r="K258" s="26"/>
      <c r="L258" s="8" t="s">
        <v>1200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.75" thickBot="1" x14ac:dyDescent="0.3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5"/>
        <v>29</v>
      </c>
      <c r="I259" s="16">
        <f t="shared" si="13"/>
        <v>1</v>
      </c>
      <c r="J259" s="17">
        <f t="shared" si="14"/>
        <v>0.96666666666666667</v>
      </c>
      <c r="K259" s="26"/>
      <c r="L259" s="8" t="s">
        <v>1200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5"/>
        <v>29</v>
      </c>
      <c r="I260" s="16">
        <f t="shared" si="13"/>
        <v>1</v>
      </c>
      <c r="J260" s="17">
        <f t="shared" si="14"/>
        <v>0.96666666666666667</v>
      </c>
      <c r="K260" s="26"/>
      <c r="L260" s="8" t="s">
        <v>1200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5"/>
        <v>29</v>
      </c>
      <c r="I261" s="16">
        <f t="shared" si="13"/>
        <v>1</v>
      </c>
      <c r="J261" s="17">
        <f t="shared" si="14"/>
        <v>0.96666666666666667</v>
      </c>
      <c r="K261" s="26"/>
      <c r="L261" s="8" t="s">
        <v>1200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5" si="16">COUNTIF(K262:AN262,"")</f>
        <v>29</v>
      </c>
      <c r="I262" s="16">
        <f t="shared" si="13"/>
        <v>1</v>
      </c>
      <c r="J262" s="17">
        <f t="shared" si="14"/>
        <v>0.96666666666666667</v>
      </c>
      <c r="K262" s="26"/>
      <c r="L262" s="8" t="s">
        <v>1200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6"/>
        <v>27</v>
      </c>
      <c r="I263" s="16">
        <f t="shared" ref="I263:I326" si="17">COUNTIF(K263:AL263,"APAGADO")</f>
        <v>3</v>
      </c>
      <c r="J263" s="17">
        <f t="shared" ref="J263:J326" si="18">(H263)/(I263+H263)</f>
        <v>0.9</v>
      </c>
      <c r="K263" s="26"/>
      <c r="L263" s="8" t="s">
        <v>1200</v>
      </c>
      <c r="M263" s="8" t="s">
        <v>1200</v>
      </c>
      <c r="N263" s="8" t="s">
        <v>1200</v>
      </c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.75" thickBot="1" x14ac:dyDescent="0.3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6"/>
        <v>30</v>
      </c>
      <c r="I264" s="16">
        <f t="shared" si="17"/>
        <v>0</v>
      </c>
      <c r="J264" s="17">
        <f t="shared" si="18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6"/>
        <v>29</v>
      </c>
      <c r="I265" s="16">
        <f t="shared" si="17"/>
        <v>1</v>
      </c>
      <c r="J265" s="17">
        <f t="shared" si="18"/>
        <v>0.96666666666666667</v>
      </c>
      <c r="K265" s="26"/>
      <c r="L265" s="8" t="s">
        <v>1200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6"/>
        <v>29</v>
      </c>
      <c r="I266" s="16">
        <f t="shared" si="17"/>
        <v>1</v>
      </c>
      <c r="J266" s="17">
        <f t="shared" si="18"/>
        <v>0.96666666666666667</v>
      </c>
      <c r="K266" s="26"/>
      <c r="L266" s="8" t="s">
        <v>1200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6"/>
        <v>29</v>
      </c>
      <c r="I267" s="16">
        <f t="shared" si="17"/>
        <v>1</v>
      </c>
      <c r="J267" s="17">
        <f t="shared" si="18"/>
        <v>0.96666666666666667</v>
      </c>
      <c r="K267" s="26"/>
      <c r="L267" s="8" t="s">
        <v>1200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6"/>
        <v>29</v>
      </c>
      <c r="I268" s="16">
        <f t="shared" si="17"/>
        <v>1</v>
      </c>
      <c r="J268" s="17">
        <f t="shared" si="18"/>
        <v>0.96666666666666667</v>
      </c>
      <c r="K268" s="26"/>
      <c r="L268" s="8" t="s">
        <v>1200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6"/>
        <v>29</v>
      </c>
      <c r="I269" s="16">
        <f t="shared" si="17"/>
        <v>1</v>
      </c>
      <c r="J269" s="17">
        <f t="shared" si="18"/>
        <v>0.96666666666666667</v>
      </c>
      <c r="K269" s="26"/>
      <c r="L269" s="8" t="s">
        <v>1200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6"/>
        <v>29</v>
      </c>
      <c r="I270" s="16">
        <f t="shared" si="17"/>
        <v>1</v>
      </c>
      <c r="J270" s="17">
        <f t="shared" si="18"/>
        <v>0.96666666666666667</v>
      </c>
      <c r="K270" s="26"/>
      <c r="L270" s="8" t="s">
        <v>1200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6"/>
        <v>28</v>
      </c>
      <c r="I271" s="16">
        <f t="shared" si="17"/>
        <v>2</v>
      </c>
      <c r="J271" s="17">
        <f t="shared" si="18"/>
        <v>0.93333333333333335</v>
      </c>
      <c r="K271" s="26"/>
      <c r="L271" s="8"/>
      <c r="M271" s="8" t="s">
        <v>1200</v>
      </c>
      <c r="N271" s="8" t="s">
        <v>1200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6"/>
        <v>28</v>
      </c>
      <c r="I272" s="16">
        <f t="shared" si="17"/>
        <v>2</v>
      </c>
      <c r="J272" s="17">
        <f t="shared" si="18"/>
        <v>0.93333333333333335</v>
      </c>
      <c r="K272" s="26"/>
      <c r="L272" s="8"/>
      <c r="M272" s="8" t="s">
        <v>1200</v>
      </c>
      <c r="N272" s="8" t="s">
        <v>1200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6"/>
        <v>30</v>
      </c>
      <c r="I273" s="16">
        <f t="shared" si="17"/>
        <v>0</v>
      </c>
      <c r="J273" s="17">
        <f t="shared" si="18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6"/>
        <v>30</v>
      </c>
      <c r="I274" s="16">
        <f t="shared" si="17"/>
        <v>0</v>
      </c>
      <c r="J274" s="17">
        <f t="shared" si="18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6"/>
        <v>30</v>
      </c>
      <c r="I275" s="16">
        <f t="shared" si="17"/>
        <v>0</v>
      </c>
      <c r="J275" s="17">
        <f t="shared" si="18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6"/>
        <v>28</v>
      </c>
      <c r="I276" s="16">
        <f t="shared" si="17"/>
        <v>2</v>
      </c>
      <c r="J276" s="17">
        <f t="shared" si="18"/>
        <v>0.93333333333333335</v>
      </c>
      <c r="K276" s="26"/>
      <c r="L276" s="8"/>
      <c r="M276" s="8" t="s">
        <v>1200</v>
      </c>
      <c r="N276" s="8" t="s">
        <v>1200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6"/>
        <v>30</v>
      </c>
      <c r="I277" s="16">
        <f t="shared" si="17"/>
        <v>0</v>
      </c>
      <c r="J277" s="17">
        <f t="shared" si="18"/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6"/>
        <v>30</v>
      </c>
      <c r="I278" s="16">
        <f t="shared" si="17"/>
        <v>0</v>
      </c>
      <c r="J278" s="17">
        <f t="shared" si="18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6"/>
        <v>30</v>
      </c>
      <c r="I279" s="16">
        <f t="shared" si="17"/>
        <v>0</v>
      </c>
      <c r="J279" s="17">
        <f t="shared" si="18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6"/>
        <v>30</v>
      </c>
      <c r="I280" s="16">
        <f t="shared" si="17"/>
        <v>0</v>
      </c>
      <c r="J280" s="17">
        <f t="shared" si="18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6"/>
        <v>28</v>
      </c>
      <c r="I281" s="16">
        <f t="shared" si="17"/>
        <v>2</v>
      </c>
      <c r="J281" s="17">
        <f t="shared" si="18"/>
        <v>0.93333333333333335</v>
      </c>
      <c r="K281" s="26"/>
      <c r="L281" s="8"/>
      <c r="M281" s="8" t="s">
        <v>1200</v>
      </c>
      <c r="N281" s="8" t="s">
        <v>1200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6"/>
        <v>30</v>
      </c>
      <c r="I282" s="16">
        <f t="shared" si="17"/>
        <v>0</v>
      </c>
      <c r="J282" s="17">
        <f t="shared" si="18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6"/>
        <v>30</v>
      </c>
      <c r="I283" s="16">
        <f t="shared" si="17"/>
        <v>0</v>
      </c>
      <c r="J283" s="17">
        <f t="shared" si="18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6"/>
        <v>30</v>
      </c>
      <c r="I284" s="16">
        <f t="shared" si="17"/>
        <v>0</v>
      </c>
      <c r="J284" s="17">
        <f t="shared" si="18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6"/>
        <v>30</v>
      </c>
      <c r="I285" s="16">
        <f t="shared" si="17"/>
        <v>0</v>
      </c>
      <c r="J285" s="17">
        <f t="shared" si="18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6"/>
        <v>30</v>
      </c>
      <c r="I286" s="16">
        <f t="shared" si="17"/>
        <v>0</v>
      </c>
      <c r="J286" s="17">
        <f t="shared" si="18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6"/>
        <v>30</v>
      </c>
      <c r="I287" s="16">
        <f t="shared" si="17"/>
        <v>0</v>
      </c>
      <c r="J287" s="17">
        <f t="shared" si="18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6"/>
        <v>30</v>
      </c>
      <c r="I288" s="16">
        <f t="shared" si="17"/>
        <v>0</v>
      </c>
      <c r="J288" s="17">
        <f t="shared" si="18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899999999999999" customHeight="1" thickBot="1" x14ac:dyDescent="0.3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6"/>
        <v>24</v>
      </c>
      <c r="I289" s="16">
        <f t="shared" si="17"/>
        <v>6</v>
      </c>
      <c r="J289" s="17">
        <f t="shared" si="18"/>
        <v>0.8</v>
      </c>
      <c r="K289" s="26" t="s">
        <v>1200</v>
      </c>
      <c r="L289" s="8" t="s">
        <v>1200</v>
      </c>
      <c r="M289" s="8" t="s">
        <v>1200</v>
      </c>
      <c r="N289" s="8" t="s">
        <v>1200</v>
      </c>
      <c r="O289" s="26" t="s">
        <v>1200</v>
      </c>
      <c r="P289" s="26" t="s">
        <v>1200</v>
      </c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6"/>
        <v>24</v>
      </c>
      <c r="I290" s="16">
        <f t="shared" si="17"/>
        <v>6</v>
      </c>
      <c r="J290" s="17">
        <f t="shared" si="18"/>
        <v>0.8</v>
      </c>
      <c r="K290" s="26" t="s">
        <v>1200</v>
      </c>
      <c r="L290" s="8" t="s">
        <v>1200</v>
      </c>
      <c r="M290" s="8" t="s">
        <v>1200</v>
      </c>
      <c r="N290" s="8" t="s">
        <v>1200</v>
      </c>
      <c r="O290" s="26" t="s">
        <v>1200</v>
      </c>
      <c r="P290" s="26" t="s">
        <v>1200</v>
      </c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6"/>
        <v>24</v>
      </c>
      <c r="I291" s="16">
        <f t="shared" si="17"/>
        <v>6</v>
      </c>
      <c r="J291" s="17">
        <f t="shared" si="18"/>
        <v>0.8</v>
      </c>
      <c r="K291" s="26" t="s">
        <v>1200</v>
      </c>
      <c r="L291" s="8" t="s">
        <v>1200</v>
      </c>
      <c r="M291" s="8" t="s">
        <v>1200</v>
      </c>
      <c r="N291" s="8" t="s">
        <v>1200</v>
      </c>
      <c r="O291" s="26" t="s">
        <v>1200</v>
      </c>
      <c r="P291" s="26" t="s">
        <v>1200</v>
      </c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.75" thickBot="1" x14ac:dyDescent="0.3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6"/>
        <v>24</v>
      </c>
      <c r="I292" s="16">
        <f t="shared" si="17"/>
        <v>6</v>
      </c>
      <c r="J292" s="17">
        <f t="shared" si="18"/>
        <v>0.8</v>
      </c>
      <c r="K292" s="26" t="s">
        <v>1200</v>
      </c>
      <c r="L292" s="8" t="s">
        <v>1200</v>
      </c>
      <c r="M292" s="8" t="s">
        <v>1200</v>
      </c>
      <c r="N292" s="8" t="s">
        <v>1200</v>
      </c>
      <c r="O292" s="26" t="s">
        <v>1200</v>
      </c>
      <c r="P292" s="26" t="s">
        <v>1200</v>
      </c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6"/>
        <v>30</v>
      </c>
      <c r="I293" s="16">
        <f t="shared" si="17"/>
        <v>0</v>
      </c>
      <c r="J293" s="17">
        <f t="shared" si="18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6"/>
        <v>28</v>
      </c>
      <c r="I294" s="16">
        <f t="shared" si="17"/>
        <v>2</v>
      </c>
      <c r="J294" s="17">
        <f t="shared" si="18"/>
        <v>0.93333333333333335</v>
      </c>
      <c r="K294" s="26"/>
      <c r="L294" s="8"/>
      <c r="M294" s="8" t="s">
        <v>1200</v>
      </c>
      <c r="N294" s="8" t="s">
        <v>1200</v>
      </c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6"/>
        <v>30</v>
      </c>
      <c r="I295" s="16">
        <f t="shared" si="17"/>
        <v>0</v>
      </c>
      <c r="J295" s="17">
        <f t="shared" si="18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6"/>
        <v>30</v>
      </c>
      <c r="I296" s="16">
        <f t="shared" si="17"/>
        <v>0</v>
      </c>
      <c r="J296" s="17">
        <f t="shared" si="18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6"/>
        <v>30</v>
      </c>
      <c r="I297" s="16">
        <f t="shared" si="17"/>
        <v>0</v>
      </c>
      <c r="J297" s="17">
        <f t="shared" si="18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6"/>
        <v>30</v>
      </c>
      <c r="I298" s="16">
        <f t="shared" si="17"/>
        <v>0</v>
      </c>
      <c r="J298" s="17">
        <f t="shared" si="18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.75" thickBot="1" x14ac:dyDescent="0.3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6"/>
        <v>30</v>
      </c>
      <c r="I299" s="16">
        <f t="shared" si="17"/>
        <v>0</v>
      </c>
      <c r="J299" s="17">
        <f t="shared" si="18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.75" thickBot="1" x14ac:dyDescent="0.3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6"/>
        <v>29</v>
      </c>
      <c r="I300" s="16">
        <f t="shared" si="17"/>
        <v>1</v>
      </c>
      <c r="J300" s="17">
        <f t="shared" si="18"/>
        <v>0.96666666666666667</v>
      </c>
      <c r="K300" s="26"/>
      <c r="L300" s="8"/>
      <c r="M300" s="8"/>
      <c r="N300" s="8" t="s">
        <v>1200</v>
      </c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.75" thickBot="1" x14ac:dyDescent="0.3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6"/>
        <v>30</v>
      </c>
      <c r="I301" s="16">
        <f t="shared" si="17"/>
        <v>0</v>
      </c>
      <c r="J301" s="17">
        <f t="shared" si="18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6"/>
        <v>30</v>
      </c>
      <c r="I302" s="16">
        <f t="shared" si="17"/>
        <v>0</v>
      </c>
      <c r="J302" s="17">
        <f t="shared" si="18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.75" thickBot="1" x14ac:dyDescent="0.3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6"/>
        <v>28</v>
      </c>
      <c r="I303" s="16">
        <f t="shared" si="17"/>
        <v>2</v>
      </c>
      <c r="J303" s="17">
        <f t="shared" si="18"/>
        <v>0.93333333333333335</v>
      </c>
      <c r="K303" s="26"/>
      <c r="L303" s="8"/>
      <c r="M303" s="8" t="s">
        <v>1200</v>
      </c>
      <c r="N303" s="8" t="s">
        <v>1200</v>
      </c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6"/>
        <v>28</v>
      </c>
      <c r="I304" s="16">
        <f t="shared" si="17"/>
        <v>2</v>
      </c>
      <c r="J304" s="17">
        <f t="shared" si="18"/>
        <v>0.93333333333333335</v>
      </c>
      <c r="K304" s="26"/>
      <c r="L304" s="8"/>
      <c r="M304" s="8" t="s">
        <v>1200</v>
      </c>
      <c r="N304" s="8" t="s">
        <v>1200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6"/>
        <v>28</v>
      </c>
      <c r="I305" s="16">
        <f t="shared" si="17"/>
        <v>2</v>
      </c>
      <c r="J305" s="17">
        <f t="shared" si="18"/>
        <v>0.93333333333333335</v>
      </c>
      <c r="K305" s="26"/>
      <c r="L305" s="8"/>
      <c r="M305" s="8" t="s">
        <v>1200</v>
      </c>
      <c r="N305" s="8" t="s">
        <v>1200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6"/>
        <v>30</v>
      </c>
      <c r="I306" s="16">
        <f t="shared" si="17"/>
        <v>0</v>
      </c>
      <c r="J306" s="17">
        <f t="shared" si="18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6"/>
        <v>30</v>
      </c>
      <c r="I307" s="16">
        <f t="shared" si="17"/>
        <v>0</v>
      </c>
      <c r="J307" s="17">
        <f t="shared" si="18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6"/>
        <v>30</v>
      </c>
      <c r="I308" s="16">
        <f t="shared" si="17"/>
        <v>0</v>
      </c>
      <c r="J308" s="17">
        <f t="shared" si="18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6"/>
        <v>30</v>
      </c>
      <c r="I309" s="16">
        <f t="shared" si="17"/>
        <v>0</v>
      </c>
      <c r="J309" s="17">
        <f t="shared" si="18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6"/>
        <v>30</v>
      </c>
      <c r="I310" s="16">
        <f t="shared" si="17"/>
        <v>0</v>
      </c>
      <c r="J310" s="17">
        <f t="shared" si="18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6"/>
        <v>30</v>
      </c>
      <c r="I311" s="16">
        <f t="shared" si="17"/>
        <v>0</v>
      </c>
      <c r="J311" s="17">
        <f t="shared" si="18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6"/>
        <v>30</v>
      </c>
      <c r="I312" s="16">
        <f t="shared" si="17"/>
        <v>0</v>
      </c>
      <c r="J312" s="17">
        <f t="shared" si="18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6"/>
        <v>30</v>
      </c>
      <c r="I313" s="16">
        <f t="shared" si="17"/>
        <v>0</v>
      </c>
      <c r="J313" s="17">
        <f t="shared" si="18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s="50" t="s">
        <v>267</v>
      </c>
      <c r="B314" s="50" t="s">
        <v>1127</v>
      </c>
      <c r="C314" s="50" t="s">
        <v>1160</v>
      </c>
      <c r="D314" s="50" t="s">
        <v>504</v>
      </c>
      <c r="E314" s="50" t="s">
        <v>19</v>
      </c>
      <c r="F314" s="50" t="s">
        <v>1153</v>
      </c>
      <c r="G314" s="50" t="s">
        <v>908</v>
      </c>
      <c r="H314" s="52">
        <f t="shared" si="16"/>
        <v>30</v>
      </c>
      <c r="I314" s="16">
        <f t="shared" si="17"/>
        <v>0</v>
      </c>
      <c r="J314" s="17">
        <f t="shared" si="18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.75" thickBot="1" x14ac:dyDescent="0.3">
      <c r="A315" s="50" t="s">
        <v>486</v>
      </c>
      <c r="B315" s="50" t="s">
        <v>487</v>
      </c>
      <c r="C315" s="50" t="s">
        <v>1160</v>
      </c>
      <c r="D315" s="50" t="s">
        <v>488</v>
      </c>
      <c r="E315" s="50" t="s">
        <v>19</v>
      </c>
      <c r="F315" s="50" t="s">
        <v>1153</v>
      </c>
      <c r="G315" s="50" t="s">
        <v>900</v>
      </c>
      <c r="H315" s="52">
        <f t="shared" si="16"/>
        <v>30</v>
      </c>
      <c r="I315" s="16">
        <f t="shared" si="17"/>
        <v>0</v>
      </c>
      <c r="J315" s="17">
        <f t="shared" si="18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.75" thickBot="1" x14ac:dyDescent="0.3">
      <c r="A316" s="50" t="s">
        <v>486</v>
      </c>
      <c r="B316" s="50" t="s">
        <v>489</v>
      </c>
      <c r="C316" s="50" t="s">
        <v>1160</v>
      </c>
      <c r="D316" s="50" t="s">
        <v>490</v>
      </c>
      <c r="E316" s="50" t="s">
        <v>19</v>
      </c>
      <c r="F316" s="50" t="s">
        <v>28</v>
      </c>
      <c r="G316" s="50" t="s">
        <v>901</v>
      </c>
      <c r="H316" s="52">
        <f t="shared" si="16"/>
        <v>28</v>
      </c>
      <c r="I316" s="16">
        <f t="shared" si="17"/>
        <v>2</v>
      </c>
      <c r="J316" s="17">
        <f t="shared" si="18"/>
        <v>0.93333333333333335</v>
      </c>
      <c r="K316" s="26"/>
      <c r="L316" s="8"/>
      <c r="M316" s="8" t="s">
        <v>1200</v>
      </c>
      <c r="N316" s="8" t="s">
        <v>1200</v>
      </c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491</v>
      </c>
      <c r="B317" s="50" t="s">
        <v>492</v>
      </c>
      <c r="C317" s="50" t="s">
        <v>1160</v>
      </c>
      <c r="D317" s="50" t="s">
        <v>493</v>
      </c>
      <c r="E317" s="50" t="s">
        <v>19</v>
      </c>
      <c r="F317" s="50" t="s">
        <v>28</v>
      </c>
      <c r="G317" s="50" t="s">
        <v>902</v>
      </c>
      <c r="H317" s="52">
        <f t="shared" si="16"/>
        <v>30</v>
      </c>
      <c r="I317" s="16">
        <f t="shared" si="17"/>
        <v>0</v>
      </c>
      <c r="J317" s="17">
        <f t="shared" si="18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486</v>
      </c>
      <c r="B318" s="50" t="s">
        <v>494</v>
      </c>
      <c r="C318" s="50" t="s">
        <v>1160</v>
      </c>
      <c r="D318" s="50" t="s">
        <v>495</v>
      </c>
      <c r="E318" s="50" t="s">
        <v>15</v>
      </c>
      <c r="F318" s="50" t="s">
        <v>28</v>
      </c>
      <c r="G318" s="50" t="s">
        <v>903</v>
      </c>
      <c r="H318" s="52">
        <f t="shared" si="16"/>
        <v>30</v>
      </c>
      <c r="I318" s="16">
        <f t="shared" si="17"/>
        <v>0</v>
      </c>
      <c r="J318" s="17">
        <f t="shared" si="18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486</v>
      </c>
      <c r="B319" s="50" t="s">
        <v>496</v>
      </c>
      <c r="C319" s="50" t="s">
        <v>1160</v>
      </c>
      <c r="D319" s="50" t="s">
        <v>497</v>
      </c>
      <c r="E319" s="50" t="s">
        <v>19</v>
      </c>
      <c r="F319" s="50" t="s">
        <v>28</v>
      </c>
      <c r="G319" s="50" t="s">
        <v>904</v>
      </c>
      <c r="H319" s="52">
        <f t="shared" si="16"/>
        <v>30</v>
      </c>
      <c r="I319" s="16">
        <f t="shared" si="17"/>
        <v>0</v>
      </c>
      <c r="J319" s="17">
        <f t="shared" si="18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486</v>
      </c>
      <c r="B320" s="50" t="s">
        <v>498</v>
      </c>
      <c r="C320" s="50" t="s">
        <v>1160</v>
      </c>
      <c r="D320" s="50" t="s">
        <v>499</v>
      </c>
      <c r="E320" s="50" t="s">
        <v>15</v>
      </c>
      <c r="F320" s="50" t="s">
        <v>28</v>
      </c>
      <c r="G320" s="50" t="s">
        <v>905</v>
      </c>
      <c r="H320" s="52">
        <f t="shared" si="16"/>
        <v>30</v>
      </c>
      <c r="I320" s="16">
        <f t="shared" si="17"/>
        <v>0</v>
      </c>
      <c r="J320" s="17">
        <f t="shared" si="18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486</v>
      </c>
      <c r="B321" s="50" t="s">
        <v>500</v>
      </c>
      <c r="C321" s="50" t="s">
        <v>1160</v>
      </c>
      <c r="D321" s="50" t="s">
        <v>501</v>
      </c>
      <c r="E321" s="50" t="s">
        <v>19</v>
      </c>
      <c r="F321" s="50" t="s">
        <v>28</v>
      </c>
      <c r="G321" s="50" t="s">
        <v>906</v>
      </c>
      <c r="H321" s="52">
        <f t="shared" si="16"/>
        <v>30</v>
      </c>
      <c r="I321" s="16">
        <f t="shared" si="17"/>
        <v>0</v>
      </c>
      <c r="J321" s="17">
        <f t="shared" si="18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486</v>
      </c>
      <c r="B322" s="50" t="s">
        <v>502</v>
      </c>
      <c r="C322" s="50" t="s">
        <v>1160</v>
      </c>
      <c r="D322" s="50" t="s">
        <v>503</v>
      </c>
      <c r="E322" s="50" t="s">
        <v>19</v>
      </c>
      <c r="F322" s="50" t="s">
        <v>1153</v>
      </c>
      <c r="G322" s="50" t="s">
        <v>907</v>
      </c>
      <c r="H322" s="52">
        <f t="shared" si="16"/>
        <v>30</v>
      </c>
      <c r="I322" s="16">
        <f t="shared" si="17"/>
        <v>0</v>
      </c>
      <c r="J322" s="17">
        <f t="shared" si="18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232</v>
      </c>
      <c r="B323" s="50" t="s">
        <v>505</v>
      </c>
      <c r="C323" s="50" t="s">
        <v>1161</v>
      </c>
      <c r="D323" s="50" t="s">
        <v>506</v>
      </c>
      <c r="E323" s="50" t="s">
        <v>19</v>
      </c>
      <c r="F323" s="50" t="s">
        <v>20</v>
      </c>
      <c r="G323" s="50" t="s">
        <v>909</v>
      </c>
      <c r="H323" s="52">
        <f t="shared" si="16"/>
        <v>30</v>
      </c>
      <c r="I323" s="16">
        <f t="shared" si="17"/>
        <v>0</v>
      </c>
      <c r="J323" s="17">
        <f t="shared" si="18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232</v>
      </c>
      <c r="B324" s="50" t="s">
        <v>507</v>
      </c>
      <c r="C324" s="50" t="s">
        <v>1161</v>
      </c>
      <c r="D324" s="50" t="s">
        <v>508</v>
      </c>
      <c r="E324" s="50" t="s">
        <v>15</v>
      </c>
      <c r="F324" s="50" t="s">
        <v>20</v>
      </c>
      <c r="G324" s="50" t="s">
        <v>910</v>
      </c>
      <c r="H324" s="52">
        <f t="shared" si="16"/>
        <v>26</v>
      </c>
      <c r="I324" s="16">
        <f t="shared" si="17"/>
        <v>4</v>
      </c>
      <c r="J324" s="17">
        <f t="shared" si="18"/>
        <v>0.8666666666666667</v>
      </c>
      <c r="K324" s="26" t="s">
        <v>1200</v>
      </c>
      <c r="L324" s="8"/>
      <c r="M324" s="8" t="s">
        <v>1200</v>
      </c>
      <c r="N324" s="8" t="s">
        <v>1200</v>
      </c>
      <c r="O324" s="26" t="s">
        <v>1200</v>
      </c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232</v>
      </c>
      <c r="B325" s="50" t="s">
        <v>1128</v>
      </c>
      <c r="C325" s="50" t="s">
        <v>1161</v>
      </c>
      <c r="D325" s="50" t="s">
        <v>517</v>
      </c>
      <c r="E325" s="50" t="s">
        <v>73</v>
      </c>
      <c r="F325" s="50" t="s">
        <v>1152</v>
      </c>
      <c r="G325" s="50" t="s">
        <v>916</v>
      </c>
      <c r="H325" s="52">
        <f t="shared" si="16"/>
        <v>30</v>
      </c>
      <c r="I325" s="16">
        <f t="shared" si="17"/>
        <v>0</v>
      </c>
      <c r="J325" s="17">
        <f t="shared" si="18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s="50" t="s">
        <v>232</v>
      </c>
      <c r="B326" s="50" t="s">
        <v>1129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917</v>
      </c>
      <c r="H326" s="52">
        <f t="shared" ref="H326:H382" si="19">COUNTIF(K326:AN326,"")</f>
        <v>30</v>
      </c>
      <c r="I326" s="16">
        <f t="shared" si="17"/>
        <v>0</v>
      </c>
      <c r="J326" s="17">
        <f t="shared" si="18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.75" thickBot="1" x14ac:dyDescent="0.3">
      <c r="A327" s="50" t="s">
        <v>232</v>
      </c>
      <c r="B327" s="50" t="s">
        <v>509</v>
      </c>
      <c r="C327" s="50" t="s">
        <v>1161</v>
      </c>
      <c r="D327" s="50" t="s">
        <v>510</v>
      </c>
      <c r="E327" s="50" t="s">
        <v>73</v>
      </c>
      <c r="F327" s="50" t="s">
        <v>16</v>
      </c>
      <c r="G327" s="50" t="s">
        <v>911</v>
      </c>
      <c r="H327" s="52">
        <f t="shared" si="19"/>
        <v>29</v>
      </c>
      <c r="I327" s="16">
        <f t="shared" ref="I327:I375" si="20">COUNTIF(K327:AL327,"APAGADO")</f>
        <v>1</v>
      </c>
      <c r="J327" s="17">
        <f t="shared" ref="J327:J375" si="21">(H327)/(I327+H327)</f>
        <v>0.96666666666666667</v>
      </c>
      <c r="K327" s="26" t="s">
        <v>1200</v>
      </c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232</v>
      </c>
      <c r="B328" s="50" t="s">
        <v>511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912</v>
      </c>
      <c r="H328" s="52">
        <f t="shared" si="19"/>
        <v>29</v>
      </c>
      <c r="I328" s="16">
        <f t="shared" si="20"/>
        <v>1</v>
      </c>
      <c r="J328" s="17">
        <f t="shared" si="21"/>
        <v>0.96666666666666667</v>
      </c>
      <c r="K328" s="26" t="s">
        <v>1200</v>
      </c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232</v>
      </c>
      <c r="B329" s="50" t="s">
        <v>512</v>
      </c>
      <c r="C329" s="50" t="s">
        <v>1161</v>
      </c>
      <c r="D329" s="50" t="s">
        <v>513</v>
      </c>
      <c r="E329" s="50" t="s">
        <v>73</v>
      </c>
      <c r="F329" s="50" t="s">
        <v>16</v>
      </c>
      <c r="G329" s="50" t="s">
        <v>913</v>
      </c>
      <c r="H329" s="52">
        <f t="shared" si="19"/>
        <v>30</v>
      </c>
      <c r="I329" s="16">
        <f t="shared" si="20"/>
        <v>0</v>
      </c>
      <c r="J329" s="17">
        <f t="shared" si="21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.75" thickBot="1" x14ac:dyDescent="0.3">
      <c r="A330" s="50" t="s">
        <v>232</v>
      </c>
      <c r="B330" s="50" t="s">
        <v>514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914</v>
      </c>
      <c r="H330" s="52">
        <f t="shared" si="19"/>
        <v>30</v>
      </c>
      <c r="I330" s="16">
        <f t="shared" si="20"/>
        <v>0</v>
      </c>
      <c r="J330" s="17">
        <f t="shared" si="21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.75" thickBot="1" x14ac:dyDescent="0.3">
      <c r="A331" s="50" t="s">
        <v>232</v>
      </c>
      <c r="B331" s="50" t="s">
        <v>515</v>
      </c>
      <c r="C331" s="50" t="s">
        <v>1161</v>
      </c>
      <c r="D331" s="50" t="s">
        <v>516</v>
      </c>
      <c r="E331" s="50" t="s">
        <v>15</v>
      </c>
      <c r="F331" s="50" t="s">
        <v>28</v>
      </c>
      <c r="G331" s="50" t="s">
        <v>915</v>
      </c>
      <c r="H331" s="52">
        <f t="shared" si="19"/>
        <v>30</v>
      </c>
      <c r="I331" s="16">
        <f t="shared" si="20"/>
        <v>0</v>
      </c>
      <c r="J331" s="17">
        <f t="shared" si="21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.75" thickBot="1" x14ac:dyDescent="0.3">
      <c r="A332" s="50" t="s">
        <v>232</v>
      </c>
      <c r="B332" s="50" t="s">
        <v>518</v>
      </c>
      <c r="C332" s="50" t="s">
        <v>1161</v>
      </c>
      <c r="D332" s="50" t="s">
        <v>519</v>
      </c>
      <c r="E332" s="50" t="s">
        <v>73</v>
      </c>
      <c r="F332" s="50" t="s">
        <v>1152</v>
      </c>
      <c r="G332" s="50" t="s">
        <v>918</v>
      </c>
      <c r="H332" s="52">
        <f t="shared" si="19"/>
        <v>30</v>
      </c>
      <c r="I332" s="16">
        <f t="shared" si="20"/>
        <v>0</v>
      </c>
      <c r="J332" s="17">
        <f t="shared" si="21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.75" thickBot="1" x14ac:dyDescent="0.3">
      <c r="A333" s="50" t="s">
        <v>232</v>
      </c>
      <c r="B333" s="50" t="s">
        <v>520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919</v>
      </c>
      <c r="H333" s="52">
        <f t="shared" si="19"/>
        <v>30</v>
      </c>
      <c r="I333" s="16">
        <f t="shared" si="20"/>
        <v>0</v>
      </c>
      <c r="J333" s="17">
        <f t="shared" si="21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.75" thickBot="1" x14ac:dyDescent="0.3">
      <c r="A334" t="s">
        <v>232</v>
      </c>
      <c r="B334" s="44" t="s">
        <v>1194</v>
      </c>
      <c r="C334" s="51" t="s">
        <v>1161</v>
      </c>
      <c r="D334" t="s">
        <v>1195</v>
      </c>
      <c r="E334" s="9" t="s">
        <v>19</v>
      </c>
      <c r="F334" s="9" t="s">
        <v>28</v>
      </c>
      <c r="G334" s="50" t="s">
        <v>1196</v>
      </c>
      <c r="H334" s="52">
        <f>COUNTIF(K334:AN334,"")</f>
        <v>30</v>
      </c>
      <c r="I334" s="52">
        <f>COUNTIF(K334:AL334,"APAGADO")</f>
        <v>0</v>
      </c>
      <c r="J334" s="53">
        <f>(H334)/(I334+H334)</f>
        <v>1</v>
      </c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spans="1:40" ht="15.75" thickBot="1" x14ac:dyDescent="0.3">
      <c r="A335" t="s">
        <v>232</v>
      </c>
      <c r="B335" s="44" t="s">
        <v>1199</v>
      </c>
      <c r="C335" s="51" t="s">
        <v>1161</v>
      </c>
      <c r="D335" t="s">
        <v>1197</v>
      </c>
      <c r="E335" s="9" t="s">
        <v>19</v>
      </c>
      <c r="F335" s="9" t="s">
        <v>28</v>
      </c>
      <c r="G335" s="50" t="s">
        <v>1198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.75" thickBot="1" x14ac:dyDescent="0.3">
      <c r="A336" t="s">
        <v>232</v>
      </c>
      <c r="B336" s="44" t="s">
        <v>1201</v>
      </c>
      <c r="C336" s="51" t="s">
        <v>1161</v>
      </c>
      <c r="D336" t="s">
        <v>1202</v>
      </c>
      <c r="E336" s="9" t="s">
        <v>19</v>
      </c>
      <c r="F336" s="9" t="s">
        <v>28</v>
      </c>
      <c r="G336" s="50" t="s">
        <v>1203</v>
      </c>
      <c r="H336" s="52">
        <f t="shared" ref="H336" si="22">COUNTIF(K336:AN336,"")</f>
        <v>30</v>
      </c>
      <c r="I336" s="52">
        <f t="shared" ref="I336" si="23">COUNTIF(K336:AL336,"APAGADO")</f>
        <v>0</v>
      </c>
      <c r="J336" s="53">
        <f t="shared" ref="J336" si="24"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.75" thickBot="1" x14ac:dyDescent="0.3">
      <c r="A337" s="50" t="s">
        <v>522</v>
      </c>
      <c r="B337" s="50" t="s">
        <v>1130</v>
      </c>
      <c r="C337" s="50" t="s">
        <v>1161</v>
      </c>
      <c r="D337" s="50" t="s">
        <v>548</v>
      </c>
      <c r="E337" s="50" t="s">
        <v>19</v>
      </c>
      <c r="F337" s="50" t="s">
        <v>28</v>
      </c>
      <c r="G337" s="50" t="s">
        <v>929</v>
      </c>
      <c r="H337" s="52">
        <f t="shared" si="19"/>
        <v>28</v>
      </c>
      <c r="I337" s="16">
        <f t="shared" si="20"/>
        <v>2</v>
      </c>
      <c r="J337" s="17">
        <f t="shared" si="21"/>
        <v>0.93333333333333335</v>
      </c>
      <c r="K337" s="26"/>
      <c r="L337" s="8"/>
      <c r="M337" s="8"/>
      <c r="N337" s="8" t="s">
        <v>1200</v>
      </c>
      <c r="O337" s="26" t="s">
        <v>1200</v>
      </c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.75" thickBot="1" x14ac:dyDescent="0.3">
      <c r="A338" s="50" t="s">
        <v>526</v>
      </c>
      <c r="B338" s="50" t="s">
        <v>1131</v>
      </c>
      <c r="C338" s="50" t="s">
        <v>1161</v>
      </c>
      <c r="D338" s="50" t="s">
        <v>551</v>
      </c>
      <c r="E338" s="50" t="s">
        <v>15</v>
      </c>
      <c r="F338" s="50" t="s">
        <v>1152</v>
      </c>
      <c r="G338" s="50" t="s">
        <v>933</v>
      </c>
      <c r="H338" s="52">
        <f t="shared" si="19"/>
        <v>30</v>
      </c>
      <c r="I338" s="16">
        <f t="shared" si="20"/>
        <v>0</v>
      </c>
      <c r="J338" s="17">
        <f t="shared" si="21"/>
        <v>1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.75" thickBot="1" x14ac:dyDescent="0.3">
      <c r="A339" s="50" t="s">
        <v>526</v>
      </c>
      <c r="B339" s="50" t="s">
        <v>524</v>
      </c>
      <c r="C339" s="50" t="s">
        <v>1161</v>
      </c>
      <c r="D339" s="50" t="s">
        <v>525</v>
      </c>
      <c r="E339" s="50" t="s">
        <v>15</v>
      </c>
      <c r="F339" s="50" t="s">
        <v>1153</v>
      </c>
      <c r="G339" s="50" t="s">
        <v>934</v>
      </c>
      <c r="H339" s="52">
        <f t="shared" si="19"/>
        <v>27</v>
      </c>
      <c r="I339" s="16">
        <f t="shared" si="20"/>
        <v>3</v>
      </c>
      <c r="J339" s="17">
        <f t="shared" si="21"/>
        <v>0.9</v>
      </c>
      <c r="K339" s="26"/>
      <c r="L339" s="8"/>
      <c r="M339" s="8" t="s">
        <v>1200</v>
      </c>
      <c r="N339" s="8" t="s">
        <v>1200</v>
      </c>
      <c r="O339" s="26" t="s">
        <v>1200</v>
      </c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526</v>
      </c>
      <c r="B340" s="50" t="s">
        <v>527</v>
      </c>
      <c r="C340" s="50" t="s">
        <v>1161</v>
      </c>
      <c r="D340" s="50" t="s">
        <v>528</v>
      </c>
      <c r="E340" s="50" t="s">
        <v>15</v>
      </c>
      <c r="F340" s="50" t="s">
        <v>1153</v>
      </c>
      <c r="G340" s="50" t="s">
        <v>935</v>
      </c>
      <c r="H340" s="52">
        <f t="shared" si="19"/>
        <v>28</v>
      </c>
      <c r="I340" s="16">
        <f t="shared" si="20"/>
        <v>2</v>
      </c>
      <c r="J340" s="17">
        <f t="shared" si="21"/>
        <v>0.93333333333333335</v>
      </c>
      <c r="K340" s="26"/>
      <c r="L340" s="8"/>
      <c r="M340" s="8" t="s">
        <v>1200</v>
      </c>
      <c r="N340" s="8" t="s">
        <v>1200</v>
      </c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526</v>
      </c>
      <c r="B341" s="50" t="s">
        <v>529</v>
      </c>
      <c r="C341" s="50" t="s">
        <v>1161</v>
      </c>
      <c r="D341" s="50" t="s">
        <v>1189</v>
      </c>
      <c r="E341" s="50" t="s">
        <v>15</v>
      </c>
      <c r="F341" s="50" t="s">
        <v>1153</v>
      </c>
      <c r="G341" s="50" t="s">
        <v>936</v>
      </c>
      <c r="H341" s="52">
        <f t="shared" si="19"/>
        <v>30</v>
      </c>
      <c r="I341" s="16">
        <f t="shared" si="20"/>
        <v>0</v>
      </c>
      <c r="J341" s="17">
        <f t="shared" si="21"/>
        <v>1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526</v>
      </c>
      <c r="B342" s="50" t="s">
        <v>532</v>
      </c>
      <c r="C342" s="50" t="s">
        <v>1161</v>
      </c>
      <c r="D342" s="50" t="s">
        <v>533</v>
      </c>
      <c r="E342" s="50" t="s">
        <v>46</v>
      </c>
      <c r="F342" s="50" t="s">
        <v>20</v>
      </c>
      <c r="G342" s="50" t="s">
        <v>939</v>
      </c>
      <c r="H342" s="52">
        <f t="shared" si="19"/>
        <v>28</v>
      </c>
      <c r="I342" s="16">
        <f t="shared" si="20"/>
        <v>2</v>
      </c>
      <c r="J342" s="17">
        <f t="shared" si="21"/>
        <v>0.93333333333333335</v>
      </c>
      <c r="K342" s="26"/>
      <c r="L342" s="8"/>
      <c r="M342" s="8" t="s">
        <v>1200</v>
      </c>
      <c r="N342" s="8" t="s">
        <v>1200</v>
      </c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522</v>
      </c>
      <c r="B343" s="50" t="s">
        <v>1132</v>
      </c>
      <c r="C343" s="50" t="s">
        <v>1161</v>
      </c>
      <c r="D343" s="50" t="s">
        <v>552</v>
      </c>
      <c r="E343" s="50" t="s">
        <v>73</v>
      </c>
      <c r="F343" s="50" t="s">
        <v>28</v>
      </c>
      <c r="G343" s="50" t="s">
        <v>940</v>
      </c>
      <c r="H343" s="52">
        <f t="shared" si="19"/>
        <v>28</v>
      </c>
      <c r="I343" s="16">
        <f t="shared" si="20"/>
        <v>2</v>
      </c>
      <c r="J343" s="17">
        <f t="shared" si="21"/>
        <v>0.93333333333333335</v>
      </c>
      <c r="K343" s="26"/>
      <c r="L343" s="8"/>
      <c r="M343" s="8"/>
      <c r="N343" s="8" t="s">
        <v>1200</v>
      </c>
      <c r="O343" s="26" t="s">
        <v>1200</v>
      </c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522</v>
      </c>
      <c r="B344" s="50" t="s">
        <v>1133</v>
      </c>
      <c r="C344" s="50" t="s">
        <v>1161</v>
      </c>
      <c r="D344" s="50" t="s">
        <v>552</v>
      </c>
      <c r="E344" s="50" t="s">
        <v>73</v>
      </c>
      <c r="F344" s="50" t="s">
        <v>28</v>
      </c>
      <c r="G344" s="50" t="s">
        <v>941</v>
      </c>
      <c r="H344" s="52">
        <f t="shared" si="19"/>
        <v>28</v>
      </c>
      <c r="I344" s="16">
        <f t="shared" si="20"/>
        <v>2</v>
      </c>
      <c r="J344" s="17">
        <f t="shared" si="21"/>
        <v>0.93333333333333335</v>
      </c>
      <c r="K344" s="26"/>
      <c r="L344" s="8"/>
      <c r="M344" s="8"/>
      <c r="N344" s="8" t="s">
        <v>1200</v>
      </c>
      <c r="O344" s="26" t="s">
        <v>1200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526</v>
      </c>
      <c r="B345" s="50" t="s">
        <v>534</v>
      </c>
      <c r="C345" s="50" t="s">
        <v>1161</v>
      </c>
      <c r="D345" s="50" t="s">
        <v>1134</v>
      </c>
      <c r="E345" s="50" t="s">
        <v>19</v>
      </c>
      <c r="F345" s="50" t="s">
        <v>28</v>
      </c>
      <c r="G345" s="50" t="s">
        <v>920</v>
      </c>
      <c r="H345" s="52">
        <f t="shared" si="19"/>
        <v>30</v>
      </c>
      <c r="I345" s="16">
        <f t="shared" si="20"/>
        <v>0</v>
      </c>
      <c r="J345" s="17">
        <f t="shared" si="21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522</v>
      </c>
      <c r="B346" s="50" t="s">
        <v>535</v>
      </c>
      <c r="C346" s="50" t="s">
        <v>1161</v>
      </c>
      <c r="D346" s="50" t="s">
        <v>1190</v>
      </c>
      <c r="E346" s="50" t="s">
        <v>19</v>
      </c>
      <c r="F346" s="50" t="s">
        <v>28</v>
      </c>
      <c r="G346" s="50" t="s">
        <v>921</v>
      </c>
      <c r="H346" s="52">
        <f t="shared" si="19"/>
        <v>28</v>
      </c>
      <c r="I346" s="16">
        <f t="shared" si="20"/>
        <v>2</v>
      </c>
      <c r="J346" s="17">
        <f t="shared" si="21"/>
        <v>0.93333333333333335</v>
      </c>
      <c r="K346" s="26"/>
      <c r="L346" s="8"/>
      <c r="M346" s="8" t="s">
        <v>1200</v>
      </c>
      <c r="N346" s="8" t="s">
        <v>1200</v>
      </c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s="50" t="s">
        <v>522</v>
      </c>
      <c r="B347" s="50" t="s">
        <v>536</v>
      </c>
      <c r="C347" s="50" t="s">
        <v>1161</v>
      </c>
      <c r="D347" s="50" t="s">
        <v>537</v>
      </c>
      <c r="E347" s="50" t="s">
        <v>19</v>
      </c>
      <c r="F347" s="50" t="s">
        <v>28</v>
      </c>
      <c r="G347" s="50" t="s">
        <v>922</v>
      </c>
      <c r="H347" s="52">
        <f t="shared" si="19"/>
        <v>28</v>
      </c>
      <c r="I347" s="16">
        <f t="shared" si="20"/>
        <v>2</v>
      </c>
      <c r="J347" s="17">
        <f t="shared" si="21"/>
        <v>0.93333333333333335</v>
      </c>
      <c r="K347" s="26"/>
      <c r="L347" s="8"/>
      <c r="M347" s="8"/>
      <c r="N347" s="8" t="s">
        <v>1200</v>
      </c>
      <c r="O347" s="26" t="s">
        <v>1200</v>
      </c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.75" thickBot="1" x14ac:dyDescent="0.3">
      <c r="A348" s="50" t="s">
        <v>522</v>
      </c>
      <c r="B348" s="50" t="s">
        <v>538</v>
      </c>
      <c r="C348" s="50" t="s">
        <v>1161</v>
      </c>
      <c r="D348" s="50" t="s">
        <v>539</v>
      </c>
      <c r="E348" s="50" t="s">
        <v>19</v>
      </c>
      <c r="F348" s="50" t="s">
        <v>28</v>
      </c>
      <c r="G348" s="50" t="s">
        <v>923</v>
      </c>
      <c r="H348" s="52">
        <f t="shared" si="19"/>
        <v>28</v>
      </c>
      <c r="I348" s="16">
        <f t="shared" si="20"/>
        <v>2</v>
      </c>
      <c r="J348" s="17">
        <f t="shared" si="21"/>
        <v>0.93333333333333335</v>
      </c>
      <c r="K348" s="26"/>
      <c r="L348" s="8"/>
      <c r="M348" s="8"/>
      <c r="N348" s="8" t="s">
        <v>1200</v>
      </c>
      <c r="O348" s="26" t="s">
        <v>1200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.75" thickBot="1" x14ac:dyDescent="0.3">
      <c r="A349" s="50" t="s">
        <v>522</v>
      </c>
      <c r="B349" s="50" t="s">
        <v>540</v>
      </c>
      <c r="C349" s="50" t="s">
        <v>1161</v>
      </c>
      <c r="D349" s="50" t="s">
        <v>541</v>
      </c>
      <c r="E349" s="50" t="s">
        <v>19</v>
      </c>
      <c r="F349" s="50" t="s">
        <v>20</v>
      </c>
      <c r="G349" s="50" t="s">
        <v>924</v>
      </c>
      <c r="H349" s="52">
        <f t="shared" si="19"/>
        <v>30</v>
      </c>
      <c r="I349" s="16">
        <f t="shared" si="20"/>
        <v>0</v>
      </c>
      <c r="J349" s="17">
        <f t="shared" si="21"/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.75" thickBot="1" x14ac:dyDescent="0.3">
      <c r="A350" s="50" t="s">
        <v>522</v>
      </c>
      <c r="B350" s="50" t="s">
        <v>542</v>
      </c>
      <c r="C350" s="50" t="s">
        <v>1161</v>
      </c>
      <c r="D350" s="50" t="s">
        <v>1168</v>
      </c>
      <c r="E350" s="50" t="s">
        <v>19</v>
      </c>
      <c r="F350" s="50" t="s">
        <v>28</v>
      </c>
      <c r="G350" s="50" t="s">
        <v>925</v>
      </c>
      <c r="H350" s="52">
        <f t="shared" si="19"/>
        <v>28</v>
      </c>
      <c r="I350" s="16">
        <f t="shared" si="20"/>
        <v>2</v>
      </c>
      <c r="J350" s="17">
        <f t="shared" si="21"/>
        <v>0.93333333333333335</v>
      </c>
      <c r="K350" s="26"/>
      <c r="L350" s="8"/>
      <c r="M350" s="8" t="s">
        <v>1200</v>
      </c>
      <c r="N350" s="8" t="s">
        <v>1200</v>
      </c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543</v>
      </c>
      <c r="C351" s="50" t="s">
        <v>1160</v>
      </c>
      <c r="D351" s="50" t="s">
        <v>1167</v>
      </c>
      <c r="E351" s="50"/>
      <c r="F351" s="50" t="s">
        <v>1153</v>
      </c>
      <c r="G351" s="50" t="s">
        <v>926</v>
      </c>
      <c r="H351" s="52">
        <f t="shared" si="19"/>
        <v>27</v>
      </c>
      <c r="I351" s="16">
        <f t="shared" si="20"/>
        <v>3</v>
      </c>
      <c r="J351" s="17">
        <f t="shared" si="21"/>
        <v>0.9</v>
      </c>
      <c r="K351" s="26"/>
      <c r="L351" s="8" t="s">
        <v>1200</v>
      </c>
      <c r="M351" s="8" t="s">
        <v>1200</v>
      </c>
      <c r="N351" s="8" t="s">
        <v>1200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526</v>
      </c>
      <c r="B352" s="50" t="s">
        <v>544</v>
      </c>
      <c r="C352" s="50" t="s">
        <v>1161</v>
      </c>
      <c r="D352" s="50" t="s">
        <v>545</v>
      </c>
      <c r="E352" s="50" t="s">
        <v>19</v>
      </c>
      <c r="F352" s="50" t="s">
        <v>1152</v>
      </c>
      <c r="G352" s="50" t="s">
        <v>927</v>
      </c>
      <c r="H352" s="52">
        <f t="shared" si="19"/>
        <v>30</v>
      </c>
      <c r="I352" s="16">
        <f t="shared" si="20"/>
        <v>0</v>
      </c>
      <c r="J352" s="17">
        <f t="shared" si="21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526</v>
      </c>
      <c r="B353" s="50" t="s">
        <v>546</v>
      </c>
      <c r="C353" s="50" t="s">
        <v>1161</v>
      </c>
      <c r="D353" s="50" t="s">
        <v>547</v>
      </c>
      <c r="E353" s="50" t="s">
        <v>19</v>
      </c>
      <c r="F353" s="50" t="s">
        <v>28</v>
      </c>
      <c r="G353" s="50" t="s">
        <v>928</v>
      </c>
      <c r="H353" s="52">
        <f t="shared" si="19"/>
        <v>30</v>
      </c>
      <c r="I353" s="16">
        <f t="shared" si="20"/>
        <v>0</v>
      </c>
      <c r="J353" s="17">
        <f t="shared" si="21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526</v>
      </c>
      <c r="B354" s="50" t="s">
        <v>549</v>
      </c>
      <c r="C354" s="50" t="s">
        <v>1161</v>
      </c>
      <c r="D354" s="50" t="s">
        <v>550</v>
      </c>
      <c r="E354" s="50" t="s">
        <v>19</v>
      </c>
      <c r="F354" s="50" t="s">
        <v>28</v>
      </c>
      <c r="G354" s="50" t="s">
        <v>930</v>
      </c>
      <c r="H354" s="52">
        <f t="shared" si="19"/>
        <v>28</v>
      </c>
      <c r="I354" s="16">
        <f t="shared" si="20"/>
        <v>2</v>
      </c>
      <c r="J354" s="17">
        <f t="shared" si="21"/>
        <v>0.93333333333333335</v>
      </c>
      <c r="K354" s="26"/>
      <c r="L354" s="8"/>
      <c r="M354" s="8" t="s">
        <v>1200</v>
      </c>
      <c r="N354" s="8" t="s">
        <v>1200</v>
      </c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526</v>
      </c>
      <c r="B355" s="50" t="s">
        <v>1135</v>
      </c>
      <c r="C355" s="50" t="s">
        <v>1161</v>
      </c>
      <c r="D355" s="50" t="s">
        <v>521</v>
      </c>
      <c r="E355" s="50" t="s">
        <v>15</v>
      </c>
      <c r="F355" s="50" t="s">
        <v>1153</v>
      </c>
      <c r="G355" s="50" t="s">
        <v>931</v>
      </c>
      <c r="H355" s="52">
        <f t="shared" si="19"/>
        <v>30</v>
      </c>
      <c r="I355" s="16">
        <f t="shared" si="20"/>
        <v>0</v>
      </c>
      <c r="J355" s="17">
        <f t="shared" si="21"/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.75" thickBot="1" x14ac:dyDescent="0.3">
      <c r="A356" s="50" t="s">
        <v>522</v>
      </c>
      <c r="B356" s="50" t="s">
        <v>1136</v>
      </c>
      <c r="C356" s="50" t="s">
        <v>1161</v>
      </c>
      <c r="D356" s="50" t="s">
        <v>523</v>
      </c>
      <c r="E356" s="50" t="s">
        <v>19</v>
      </c>
      <c r="F356" s="50" t="s">
        <v>1153</v>
      </c>
      <c r="G356" s="50" t="s">
        <v>932</v>
      </c>
      <c r="H356" s="52">
        <f t="shared" si="19"/>
        <v>30</v>
      </c>
      <c r="I356" s="16">
        <f t="shared" si="20"/>
        <v>0</v>
      </c>
      <c r="J356" s="17">
        <f t="shared" si="21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522</v>
      </c>
      <c r="B357" s="50" t="s">
        <v>1137</v>
      </c>
      <c r="C357" s="50" t="s">
        <v>1161</v>
      </c>
      <c r="D357" s="50" t="s">
        <v>530</v>
      </c>
      <c r="E357" s="50" t="s">
        <v>15</v>
      </c>
      <c r="F357" s="50" t="s">
        <v>1153</v>
      </c>
      <c r="G357" s="50" t="s">
        <v>937</v>
      </c>
      <c r="H357" s="52">
        <f t="shared" si="19"/>
        <v>28</v>
      </c>
      <c r="I357" s="16">
        <f t="shared" si="20"/>
        <v>2</v>
      </c>
      <c r="J357" s="17">
        <f t="shared" si="21"/>
        <v>0.93333333333333335</v>
      </c>
      <c r="K357" s="26"/>
      <c r="L357" s="8"/>
      <c r="M357" s="8"/>
      <c r="N357" s="8" t="s">
        <v>1200</v>
      </c>
      <c r="O357" s="26" t="s">
        <v>1200</v>
      </c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522</v>
      </c>
      <c r="B358" s="50" t="s">
        <v>1138</v>
      </c>
      <c r="C358" s="50" t="s">
        <v>1161</v>
      </c>
      <c r="D358" s="50" t="s">
        <v>531</v>
      </c>
      <c r="E358" s="50" t="s">
        <v>15</v>
      </c>
      <c r="F358" s="50" t="s">
        <v>20</v>
      </c>
      <c r="G358" s="50" t="s">
        <v>938</v>
      </c>
      <c r="H358" s="52">
        <f t="shared" si="19"/>
        <v>30</v>
      </c>
      <c r="I358" s="16">
        <f t="shared" si="20"/>
        <v>0</v>
      </c>
      <c r="J358" s="17">
        <f t="shared" si="21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553</v>
      </c>
      <c r="C359" s="50" t="s">
        <v>1160</v>
      </c>
      <c r="D359" s="50" t="s">
        <v>554</v>
      </c>
      <c r="E359" s="50" t="s">
        <v>73</v>
      </c>
      <c r="F359" s="50" t="s">
        <v>28</v>
      </c>
      <c r="G359" s="50" t="s">
        <v>701</v>
      </c>
      <c r="H359" s="52">
        <f t="shared" si="19"/>
        <v>28</v>
      </c>
      <c r="I359" s="16">
        <f t="shared" si="20"/>
        <v>2</v>
      </c>
      <c r="J359" s="17">
        <f t="shared" si="21"/>
        <v>0.93333333333333335</v>
      </c>
      <c r="K359" s="26"/>
      <c r="L359" s="8" t="s">
        <v>1200</v>
      </c>
      <c r="M359" s="8" t="s">
        <v>1200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522</v>
      </c>
      <c r="B360" s="50" t="s">
        <v>555</v>
      </c>
      <c r="C360" s="50" t="s">
        <v>1160</v>
      </c>
      <c r="D360" s="50" t="s">
        <v>554</v>
      </c>
      <c r="E360" s="50" t="s">
        <v>73</v>
      </c>
      <c r="F360" s="50" t="s">
        <v>28</v>
      </c>
      <c r="G360" s="50" t="s">
        <v>942</v>
      </c>
      <c r="H360" s="52">
        <f t="shared" si="19"/>
        <v>28</v>
      </c>
      <c r="I360" s="16">
        <f t="shared" si="20"/>
        <v>2</v>
      </c>
      <c r="J360" s="17">
        <f t="shared" si="21"/>
        <v>0.93333333333333335</v>
      </c>
      <c r="K360" s="26"/>
      <c r="L360" s="8" t="s">
        <v>1200</v>
      </c>
      <c r="M360" s="8" t="s">
        <v>1200</v>
      </c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415</v>
      </c>
      <c r="B361" s="50" t="s">
        <v>1139</v>
      </c>
      <c r="C361" s="50" t="s">
        <v>1160</v>
      </c>
      <c r="D361" s="50" t="s">
        <v>558</v>
      </c>
      <c r="E361" s="50" t="s">
        <v>19</v>
      </c>
      <c r="F361" s="50" t="s">
        <v>28</v>
      </c>
      <c r="G361" s="50" t="s">
        <v>945</v>
      </c>
      <c r="H361" s="52">
        <f t="shared" si="19"/>
        <v>27</v>
      </c>
      <c r="I361" s="16">
        <f t="shared" si="20"/>
        <v>3</v>
      </c>
      <c r="J361" s="17">
        <f t="shared" si="21"/>
        <v>0.9</v>
      </c>
      <c r="K361" s="26"/>
      <c r="L361" s="8" t="s">
        <v>1200</v>
      </c>
      <c r="M361" s="8" t="s">
        <v>1200</v>
      </c>
      <c r="N361" s="8" t="s">
        <v>1200</v>
      </c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297</v>
      </c>
      <c r="B362" s="50" t="s">
        <v>1140</v>
      </c>
      <c r="C362" s="50" t="s">
        <v>1160</v>
      </c>
      <c r="D362" s="50" t="s">
        <v>559</v>
      </c>
      <c r="E362" s="50" t="s">
        <v>19</v>
      </c>
      <c r="F362" s="50" t="s">
        <v>28</v>
      </c>
      <c r="G362" s="50" t="s">
        <v>946</v>
      </c>
      <c r="H362" s="52">
        <f t="shared" si="19"/>
        <v>28</v>
      </c>
      <c r="I362" s="16">
        <f t="shared" si="20"/>
        <v>2</v>
      </c>
      <c r="J362" s="17">
        <f t="shared" si="21"/>
        <v>0.93333333333333335</v>
      </c>
      <c r="K362" s="26"/>
      <c r="L362" s="8" t="s">
        <v>1200</v>
      </c>
      <c r="M362" s="8"/>
      <c r="N362" s="8" t="s">
        <v>1200</v>
      </c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415</v>
      </c>
      <c r="B363" s="50" t="s">
        <v>556</v>
      </c>
      <c r="C363" s="50" t="s">
        <v>1160</v>
      </c>
      <c r="D363" s="50" t="s">
        <v>557</v>
      </c>
      <c r="E363" s="50" t="s">
        <v>19</v>
      </c>
      <c r="F363" s="50" t="s">
        <v>28</v>
      </c>
      <c r="G363" s="50" t="s">
        <v>949</v>
      </c>
      <c r="H363" s="52">
        <f t="shared" si="19"/>
        <v>29</v>
      </c>
      <c r="I363" s="16">
        <f t="shared" si="20"/>
        <v>1</v>
      </c>
      <c r="J363" s="17">
        <f t="shared" si="21"/>
        <v>0.96666666666666667</v>
      </c>
      <c r="K363" s="26"/>
      <c r="L363" s="8" t="s">
        <v>1200</v>
      </c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415</v>
      </c>
      <c r="B364" s="50" t="s">
        <v>560</v>
      </c>
      <c r="C364" s="50" t="s">
        <v>1160</v>
      </c>
      <c r="D364" s="50" t="s">
        <v>561</v>
      </c>
      <c r="E364" s="50" t="s">
        <v>73</v>
      </c>
      <c r="F364" s="50" t="s">
        <v>28</v>
      </c>
      <c r="G364" s="50" t="s">
        <v>943</v>
      </c>
      <c r="H364" s="52">
        <f t="shared" si="19"/>
        <v>25</v>
      </c>
      <c r="I364" s="16">
        <f t="shared" si="20"/>
        <v>5</v>
      </c>
      <c r="J364" s="17">
        <f t="shared" si="21"/>
        <v>0.83333333333333337</v>
      </c>
      <c r="K364" s="26"/>
      <c r="L364" s="8" t="s">
        <v>1200</v>
      </c>
      <c r="M364" s="8" t="s">
        <v>1200</v>
      </c>
      <c r="N364" s="8" t="s">
        <v>1200</v>
      </c>
      <c r="O364" s="26" t="s">
        <v>1200</v>
      </c>
      <c r="P364" s="26" t="s">
        <v>1200</v>
      </c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415</v>
      </c>
      <c r="B365" s="50" t="s">
        <v>562</v>
      </c>
      <c r="C365" s="50" t="s">
        <v>1160</v>
      </c>
      <c r="D365" s="50" t="s">
        <v>561</v>
      </c>
      <c r="E365" s="50" t="s">
        <v>73</v>
      </c>
      <c r="F365" s="50" t="s">
        <v>28</v>
      </c>
      <c r="G365" s="50" t="s">
        <v>944</v>
      </c>
      <c r="H365" s="52">
        <f t="shared" si="19"/>
        <v>25</v>
      </c>
      <c r="I365" s="16">
        <f t="shared" si="20"/>
        <v>5</v>
      </c>
      <c r="J365" s="17">
        <f t="shared" si="21"/>
        <v>0.83333333333333337</v>
      </c>
      <c r="K365" s="26"/>
      <c r="L365" s="8" t="s">
        <v>1200</v>
      </c>
      <c r="M365" s="8" t="s">
        <v>1200</v>
      </c>
      <c r="N365" s="8" t="s">
        <v>1200</v>
      </c>
      <c r="O365" s="26" t="s">
        <v>1200</v>
      </c>
      <c r="P365" s="26" t="s">
        <v>1200</v>
      </c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415</v>
      </c>
      <c r="B366" s="50" t="s">
        <v>563</v>
      </c>
      <c r="C366" s="50" t="s">
        <v>1160</v>
      </c>
      <c r="D366" s="50" t="s">
        <v>564</v>
      </c>
      <c r="E366" s="50" t="s">
        <v>73</v>
      </c>
      <c r="F366" s="50" t="s">
        <v>28</v>
      </c>
      <c r="G366" s="50" t="s">
        <v>947</v>
      </c>
      <c r="H366" s="52">
        <f t="shared" si="19"/>
        <v>29</v>
      </c>
      <c r="I366" s="16">
        <f t="shared" si="20"/>
        <v>1</v>
      </c>
      <c r="J366" s="17">
        <f t="shared" si="21"/>
        <v>0.96666666666666667</v>
      </c>
      <c r="K366" s="26"/>
      <c r="L366" s="8" t="s">
        <v>1200</v>
      </c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415</v>
      </c>
      <c r="B367" s="50" t="s">
        <v>565</v>
      </c>
      <c r="C367" s="50" t="s">
        <v>1160</v>
      </c>
      <c r="D367" s="50" t="s">
        <v>564</v>
      </c>
      <c r="E367" s="50" t="s">
        <v>73</v>
      </c>
      <c r="F367" s="50" t="s">
        <v>28</v>
      </c>
      <c r="G367" s="50" t="s">
        <v>948</v>
      </c>
      <c r="H367" s="52">
        <f t="shared" si="19"/>
        <v>29</v>
      </c>
      <c r="I367" s="16">
        <f t="shared" si="20"/>
        <v>1</v>
      </c>
      <c r="J367" s="17">
        <f t="shared" si="21"/>
        <v>0.96666666666666667</v>
      </c>
      <c r="K367" s="26"/>
      <c r="L367" s="8" t="s">
        <v>1200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415</v>
      </c>
      <c r="B368" s="50" t="s">
        <v>566</v>
      </c>
      <c r="C368" s="50" t="s">
        <v>1160</v>
      </c>
      <c r="D368" s="50" t="s">
        <v>567</v>
      </c>
      <c r="E368" s="50" t="s">
        <v>15</v>
      </c>
      <c r="F368" s="50" t="s">
        <v>28</v>
      </c>
      <c r="G368" s="50" t="s">
        <v>950</v>
      </c>
      <c r="H368" s="52">
        <f t="shared" si="19"/>
        <v>29</v>
      </c>
      <c r="I368" s="16">
        <f t="shared" si="20"/>
        <v>1</v>
      </c>
      <c r="J368" s="17">
        <f t="shared" si="21"/>
        <v>0.96666666666666667</v>
      </c>
      <c r="K368" s="26"/>
      <c r="L368" s="8" t="s">
        <v>1200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491</v>
      </c>
      <c r="B369" s="50" t="s">
        <v>568</v>
      </c>
      <c r="C369" s="50" t="s">
        <v>1160</v>
      </c>
      <c r="D369" s="50" t="s">
        <v>569</v>
      </c>
      <c r="E369" s="50" t="s">
        <v>19</v>
      </c>
      <c r="F369" s="50" t="s">
        <v>28</v>
      </c>
      <c r="G369" s="50" t="s">
        <v>951</v>
      </c>
      <c r="H369" s="52">
        <f t="shared" si="19"/>
        <v>30</v>
      </c>
      <c r="I369" s="16">
        <f t="shared" si="20"/>
        <v>0</v>
      </c>
      <c r="J369" s="17">
        <f t="shared" si="21"/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491</v>
      </c>
      <c r="B370" s="50" t="s">
        <v>570</v>
      </c>
      <c r="C370" s="50" t="s">
        <v>1160</v>
      </c>
      <c r="D370" s="50" t="s">
        <v>571</v>
      </c>
      <c r="E370" s="50" t="s">
        <v>19</v>
      </c>
      <c r="F370" s="50" t="s">
        <v>20</v>
      </c>
      <c r="G370" s="50" t="s">
        <v>952</v>
      </c>
      <c r="H370" s="52">
        <f t="shared" si="19"/>
        <v>30</v>
      </c>
      <c r="I370" s="16">
        <f t="shared" si="20"/>
        <v>0</v>
      </c>
      <c r="J370" s="17">
        <f t="shared" si="21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491</v>
      </c>
      <c r="B371" s="50" t="s">
        <v>572</v>
      </c>
      <c r="C371" s="50" t="s">
        <v>1160</v>
      </c>
      <c r="D371" s="50" t="s">
        <v>573</v>
      </c>
      <c r="E371" s="50" t="s">
        <v>19</v>
      </c>
      <c r="F371" s="50" t="s">
        <v>20</v>
      </c>
      <c r="G371" s="50" t="s">
        <v>953</v>
      </c>
      <c r="H371" s="52">
        <f t="shared" si="19"/>
        <v>30</v>
      </c>
      <c r="I371" s="16">
        <f t="shared" si="20"/>
        <v>0</v>
      </c>
      <c r="J371" s="17">
        <f t="shared" si="21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491</v>
      </c>
      <c r="B372" s="50" t="s">
        <v>574</v>
      </c>
      <c r="C372" s="50" t="s">
        <v>1160</v>
      </c>
      <c r="D372" s="50" t="s">
        <v>575</v>
      </c>
      <c r="E372" s="50" t="s">
        <v>19</v>
      </c>
      <c r="F372" s="50" t="s">
        <v>1153</v>
      </c>
      <c r="G372" s="50" t="s">
        <v>954</v>
      </c>
      <c r="H372" s="52">
        <f t="shared" si="19"/>
        <v>30</v>
      </c>
      <c r="I372" s="16">
        <f t="shared" si="20"/>
        <v>0</v>
      </c>
      <c r="J372" s="17">
        <f t="shared" si="21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486</v>
      </c>
      <c r="B373" s="50" t="s">
        <v>576</v>
      </c>
      <c r="C373" s="50" t="s">
        <v>1160</v>
      </c>
      <c r="D373" s="50" t="s">
        <v>577</v>
      </c>
      <c r="E373" s="50" t="s">
        <v>19</v>
      </c>
      <c r="F373" s="50" t="s">
        <v>20</v>
      </c>
      <c r="G373" s="50" t="s">
        <v>955</v>
      </c>
      <c r="H373" s="52">
        <f t="shared" si="19"/>
        <v>30</v>
      </c>
      <c r="I373" s="16">
        <f t="shared" si="20"/>
        <v>0</v>
      </c>
      <c r="J373" s="17">
        <f t="shared" si="21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spans="1:40" ht="15.75" thickBot="1" x14ac:dyDescent="0.3">
      <c r="A374" s="50" t="s">
        <v>578</v>
      </c>
      <c r="B374" s="50" t="s">
        <v>579</v>
      </c>
      <c r="C374" s="50" t="s">
        <v>1161</v>
      </c>
      <c r="D374" s="50" t="s">
        <v>580</v>
      </c>
      <c r="E374" s="50" t="s">
        <v>15</v>
      </c>
      <c r="F374" s="50" t="s">
        <v>28</v>
      </c>
      <c r="G374" s="50" t="s">
        <v>956</v>
      </c>
      <c r="H374" s="52">
        <f t="shared" si="19"/>
        <v>30</v>
      </c>
      <c r="I374" s="16">
        <f t="shared" si="20"/>
        <v>0</v>
      </c>
      <c r="J374" s="17">
        <f t="shared" si="21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.75" thickBot="1" x14ac:dyDescent="0.3">
      <c r="A375" s="50" t="s">
        <v>578</v>
      </c>
      <c r="B375" s="50" t="s">
        <v>581</v>
      </c>
      <c r="C375" s="50" t="s">
        <v>1161</v>
      </c>
      <c r="D375" s="50" t="s">
        <v>582</v>
      </c>
      <c r="E375" s="50" t="s">
        <v>15</v>
      </c>
      <c r="F375" s="50" t="s">
        <v>28</v>
      </c>
      <c r="G375" s="50" t="s">
        <v>957</v>
      </c>
      <c r="H375" s="52">
        <f t="shared" si="19"/>
        <v>30</v>
      </c>
      <c r="I375" s="16">
        <f t="shared" si="20"/>
        <v>0</v>
      </c>
      <c r="J375" s="17">
        <f t="shared" si="21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s="50" customFormat="1" ht="15.75" thickBot="1" x14ac:dyDescent="0.3">
      <c r="A376" s="50" t="s">
        <v>578</v>
      </c>
      <c r="B376" s="50" t="s">
        <v>1141</v>
      </c>
      <c r="C376" s="50" t="s">
        <v>1161</v>
      </c>
      <c r="D376" s="50" t="s">
        <v>583</v>
      </c>
      <c r="E376" s="50" t="s">
        <v>73</v>
      </c>
      <c r="F376" s="50" t="s">
        <v>28</v>
      </c>
      <c r="G376" s="50" t="s">
        <v>958</v>
      </c>
      <c r="H376" s="52">
        <f t="shared" si="19"/>
        <v>30</v>
      </c>
      <c r="I376" s="52">
        <f t="shared" ref="I376:I382" si="25">COUNTIF(K376:AL376,"APAGADO")</f>
        <v>0</v>
      </c>
      <c r="J376" s="53">
        <f t="shared" ref="J376:J382" si="26">(H376)/(I376+H376)</f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.75" thickBot="1" x14ac:dyDescent="0.3">
      <c r="A377" s="50" t="s">
        <v>578</v>
      </c>
      <c r="B377" s="50" t="s">
        <v>1142</v>
      </c>
      <c r="C377" s="50" t="s">
        <v>1161</v>
      </c>
      <c r="D377" s="50" t="s">
        <v>583</v>
      </c>
      <c r="E377" s="50" t="s">
        <v>73</v>
      </c>
      <c r="F377" s="50" t="s">
        <v>28</v>
      </c>
      <c r="G377" s="50" t="s">
        <v>959</v>
      </c>
      <c r="H377" s="52">
        <f t="shared" si="19"/>
        <v>30</v>
      </c>
      <c r="I377" s="52">
        <f t="shared" si="25"/>
        <v>0</v>
      </c>
      <c r="J377" s="53">
        <f t="shared" si="26"/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.75" thickBot="1" x14ac:dyDescent="0.3">
      <c r="A378" s="50" t="s">
        <v>584</v>
      </c>
      <c r="B378" s="50" t="s">
        <v>1143</v>
      </c>
      <c r="C378" s="50" t="s">
        <v>1161</v>
      </c>
      <c r="D378" s="50" t="s">
        <v>585</v>
      </c>
      <c r="E378" s="50" t="s">
        <v>73</v>
      </c>
      <c r="F378" s="50" t="s">
        <v>28</v>
      </c>
      <c r="G378" s="50" t="s">
        <v>960</v>
      </c>
      <c r="H378" s="52">
        <f t="shared" si="19"/>
        <v>30</v>
      </c>
      <c r="I378" s="52">
        <f t="shared" si="25"/>
        <v>0</v>
      </c>
      <c r="J378" s="53">
        <f t="shared" si="26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.75" thickBot="1" x14ac:dyDescent="0.3">
      <c r="A379" s="50" t="s">
        <v>584</v>
      </c>
      <c r="B379" s="50" t="s">
        <v>1144</v>
      </c>
      <c r="C379" s="50" t="s">
        <v>1161</v>
      </c>
      <c r="D379" s="50" t="s">
        <v>586</v>
      </c>
      <c r="E379" s="50" t="s">
        <v>15</v>
      </c>
      <c r="F379" s="50" t="s">
        <v>28</v>
      </c>
      <c r="G379" s="50" t="s">
        <v>961</v>
      </c>
      <c r="H379" s="52">
        <f t="shared" si="19"/>
        <v>30</v>
      </c>
      <c r="I379" s="52">
        <f t="shared" si="25"/>
        <v>0</v>
      </c>
      <c r="J379" s="53">
        <f t="shared" si="26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.75" thickBot="1" x14ac:dyDescent="0.3">
      <c r="A380" s="50" t="s">
        <v>584</v>
      </c>
      <c r="B380" s="50" t="s">
        <v>587</v>
      </c>
      <c r="C380" s="50" t="s">
        <v>1161</v>
      </c>
      <c r="D380" s="50" t="s">
        <v>588</v>
      </c>
      <c r="E380" s="50" t="s">
        <v>73</v>
      </c>
      <c r="F380" s="50" t="s">
        <v>28</v>
      </c>
      <c r="G380" s="50" t="s">
        <v>962</v>
      </c>
      <c r="H380" s="52">
        <f t="shared" si="19"/>
        <v>30</v>
      </c>
      <c r="I380" s="52">
        <f t="shared" si="25"/>
        <v>0</v>
      </c>
      <c r="J380" s="53">
        <f t="shared" si="26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.75" thickBot="1" x14ac:dyDescent="0.3">
      <c r="A381" s="50" t="s">
        <v>584</v>
      </c>
      <c r="B381" s="50" t="s">
        <v>589</v>
      </c>
      <c r="C381" s="50" t="s">
        <v>1161</v>
      </c>
      <c r="D381" s="50" t="s">
        <v>590</v>
      </c>
      <c r="E381" s="50" t="s">
        <v>15</v>
      </c>
      <c r="F381" s="50" t="s">
        <v>28</v>
      </c>
      <c r="G381" s="50" t="s">
        <v>963</v>
      </c>
      <c r="H381" s="52">
        <f t="shared" si="19"/>
        <v>30</v>
      </c>
      <c r="I381" s="52">
        <f t="shared" si="25"/>
        <v>0</v>
      </c>
      <c r="J381" s="53">
        <f t="shared" si="26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.75" thickBot="1" x14ac:dyDescent="0.3">
      <c r="A382" s="50" t="s">
        <v>584</v>
      </c>
      <c r="B382" s="50" t="s">
        <v>591</v>
      </c>
      <c r="C382" s="50" t="s">
        <v>1161</v>
      </c>
      <c r="D382" s="50" t="s">
        <v>592</v>
      </c>
      <c r="E382" s="50" t="s">
        <v>15</v>
      </c>
      <c r="F382" s="50" t="s">
        <v>28</v>
      </c>
      <c r="G382" s="50" t="s">
        <v>964</v>
      </c>
      <c r="H382" s="52">
        <f t="shared" si="19"/>
        <v>30</v>
      </c>
      <c r="I382" s="52">
        <f t="shared" si="25"/>
        <v>0</v>
      </c>
      <c r="J382" s="53">
        <f t="shared" si="26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ht="15.75" thickBot="1" x14ac:dyDescent="0.3">
      <c r="A383" s="50" t="s">
        <v>178</v>
      </c>
      <c r="B383" s="50" t="s">
        <v>593</v>
      </c>
      <c r="C383" s="50" t="s">
        <v>1161</v>
      </c>
      <c r="D383" s="50" t="s">
        <v>1191</v>
      </c>
      <c r="E383" s="50" t="s">
        <v>19</v>
      </c>
      <c r="F383" s="50" t="s">
        <v>20</v>
      </c>
      <c r="G383" s="50" t="s">
        <v>965</v>
      </c>
      <c r="H383" s="52">
        <f t="shared" ref="H383:H399" si="27">COUNTIF(K383:AN383,"")</f>
        <v>30</v>
      </c>
      <c r="I383" s="52">
        <f t="shared" ref="I383:I399" si="28">COUNTIF(K383:AL383,"APAGADO")</f>
        <v>0</v>
      </c>
      <c r="J383" s="53">
        <f t="shared" ref="J383:J399" si="29">(H383)/(I383+H383)</f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.75" thickBot="1" x14ac:dyDescent="0.3">
      <c r="A384" s="50" t="s">
        <v>178</v>
      </c>
      <c r="B384" s="50" t="s">
        <v>1145</v>
      </c>
      <c r="C384" s="50" t="s">
        <v>1161</v>
      </c>
      <c r="D384" s="50" t="s">
        <v>1192</v>
      </c>
      <c r="E384" s="50" t="s">
        <v>73</v>
      </c>
      <c r="F384" s="50" t="s">
        <v>28</v>
      </c>
      <c r="G384" s="50" t="s">
        <v>966</v>
      </c>
      <c r="H384" s="52">
        <f t="shared" si="27"/>
        <v>30</v>
      </c>
      <c r="I384" s="52">
        <f t="shared" si="28"/>
        <v>0</v>
      </c>
      <c r="J384" s="53">
        <f t="shared" si="29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.75" thickBot="1" x14ac:dyDescent="0.3">
      <c r="A385" s="50" t="s">
        <v>178</v>
      </c>
      <c r="B385" s="50" t="s">
        <v>1146</v>
      </c>
      <c r="C385" s="50" t="s">
        <v>1161</v>
      </c>
      <c r="D385" s="50" t="s">
        <v>1192</v>
      </c>
      <c r="E385" s="50" t="s">
        <v>73</v>
      </c>
      <c r="F385" s="50" t="s">
        <v>28</v>
      </c>
      <c r="G385" s="50" t="s">
        <v>967</v>
      </c>
      <c r="H385" s="52">
        <f t="shared" si="27"/>
        <v>30</v>
      </c>
      <c r="I385" s="52">
        <f t="shared" si="28"/>
        <v>0</v>
      </c>
      <c r="J385" s="53">
        <f t="shared" si="29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.75" thickBot="1" x14ac:dyDescent="0.3">
      <c r="A386" s="50" t="s">
        <v>178</v>
      </c>
      <c r="B386" s="50" t="s">
        <v>1147</v>
      </c>
      <c r="C386" s="50" t="s">
        <v>1161</v>
      </c>
      <c r="D386" s="50" t="s">
        <v>1148</v>
      </c>
      <c r="E386" s="50" t="s">
        <v>15</v>
      </c>
      <c r="F386" s="50" t="s">
        <v>28</v>
      </c>
      <c r="G386" s="50" t="s">
        <v>968</v>
      </c>
      <c r="H386" s="52">
        <f t="shared" si="27"/>
        <v>30</v>
      </c>
      <c r="I386" s="52">
        <f t="shared" si="28"/>
        <v>0</v>
      </c>
      <c r="J386" s="53">
        <f t="shared" si="29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.75" thickBot="1" x14ac:dyDescent="0.3">
      <c r="A387" s="50" t="s">
        <v>178</v>
      </c>
      <c r="B387" s="50" t="s">
        <v>594</v>
      </c>
      <c r="C387" s="50" t="s">
        <v>1161</v>
      </c>
      <c r="D387" s="50" t="s">
        <v>1193</v>
      </c>
      <c r="E387" s="50" t="s">
        <v>15</v>
      </c>
      <c r="F387" s="50" t="s">
        <v>28</v>
      </c>
      <c r="G387" s="50"/>
      <c r="H387" s="52">
        <f t="shared" si="27"/>
        <v>30</v>
      </c>
      <c r="I387" s="52">
        <f t="shared" si="28"/>
        <v>0</v>
      </c>
      <c r="J387" s="53">
        <f t="shared" si="29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.75" thickBot="1" x14ac:dyDescent="0.3">
      <c r="A388" s="50" t="s">
        <v>595</v>
      </c>
      <c r="B388" s="50" t="s">
        <v>1149</v>
      </c>
      <c r="C388" s="50" t="s">
        <v>1161</v>
      </c>
      <c r="D388" s="50" t="s">
        <v>597</v>
      </c>
      <c r="E388" s="50" t="s">
        <v>73</v>
      </c>
      <c r="F388" s="50" t="s">
        <v>28</v>
      </c>
      <c r="G388" s="50" t="s">
        <v>970</v>
      </c>
      <c r="H388" s="52">
        <f t="shared" si="27"/>
        <v>30</v>
      </c>
      <c r="I388" s="52">
        <f t="shared" si="28"/>
        <v>0</v>
      </c>
      <c r="J388" s="53">
        <f t="shared" si="29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595</v>
      </c>
      <c r="B389" s="50" t="s">
        <v>1150</v>
      </c>
      <c r="C389" s="50" t="s">
        <v>1161</v>
      </c>
      <c r="D389" s="50" t="s">
        <v>598</v>
      </c>
      <c r="E389" s="50" t="s">
        <v>73</v>
      </c>
      <c r="F389" s="50" t="s">
        <v>28</v>
      </c>
      <c r="G389" s="50" t="s">
        <v>971</v>
      </c>
      <c r="H389" s="52">
        <f t="shared" si="27"/>
        <v>30</v>
      </c>
      <c r="I389" s="52">
        <f t="shared" si="28"/>
        <v>0</v>
      </c>
      <c r="J389" s="53">
        <f t="shared" si="29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595</v>
      </c>
      <c r="B390" s="50" t="s">
        <v>596</v>
      </c>
      <c r="C390" s="50" t="s">
        <v>1161</v>
      </c>
      <c r="D390" s="50" t="s">
        <v>597</v>
      </c>
      <c r="E390" s="50" t="s">
        <v>73</v>
      </c>
      <c r="F390" s="50" t="s">
        <v>28</v>
      </c>
      <c r="G390" s="50" t="s">
        <v>969</v>
      </c>
      <c r="H390" s="52">
        <f t="shared" si="27"/>
        <v>30</v>
      </c>
      <c r="I390" s="52">
        <f t="shared" si="28"/>
        <v>0</v>
      </c>
      <c r="J390" s="53">
        <f t="shared" si="29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.75" thickBot="1" x14ac:dyDescent="0.3">
      <c r="A391" s="50" t="s">
        <v>595</v>
      </c>
      <c r="B391" s="50" t="s">
        <v>599</v>
      </c>
      <c r="C391" s="50" t="s">
        <v>1161</v>
      </c>
      <c r="D391" s="50" t="s">
        <v>598</v>
      </c>
      <c r="E391" s="50" t="s">
        <v>73</v>
      </c>
      <c r="F391" s="50" t="s">
        <v>28</v>
      </c>
      <c r="G391" s="50" t="s">
        <v>972</v>
      </c>
      <c r="H391" s="52">
        <f t="shared" si="27"/>
        <v>30</v>
      </c>
      <c r="I391" s="52">
        <f t="shared" si="28"/>
        <v>0</v>
      </c>
      <c r="J391" s="53">
        <f t="shared" si="29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.75" thickBot="1" x14ac:dyDescent="0.3">
      <c r="A392" s="50" t="s">
        <v>600</v>
      </c>
      <c r="B392" s="50" t="s">
        <v>601</v>
      </c>
      <c r="C392" s="50" t="s">
        <v>1161</v>
      </c>
      <c r="D392" s="50" t="s">
        <v>602</v>
      </c>
      <c r="E392" s="50" t="s">
        <v>15</v>
      </c>
      <c r="F392" s="50" t="s">
        <v>28</v>
      </c>
      <c r="G392" s="50" t="s">
        <v>973</v>
      </c>
      <c r="H392" s="52">
        <f t="shared" si="27"/>
        <v>30</v>
      </c>
      <c r="I392" s="52">
        <f t="shared" si="28"/>
        <v>0</v>
      </c>
      <c r="J392" s="53">
        <f t="shared" si="29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.75" thickBot="1" x14ac:dyDescent="0.3">
      <c r="A393" s="50" t="s">
        <v>603</v>
      </c>
      <c r="B393" s="50" t="s">
        <v>605</v>
      </c>
      <c r="C393" s="50" t="s">
        <v>1161</v>
      </c>
      <c r="D393" s="50" t="s">
        <v>606</v>
      </c>
      <c r="E393" s="50" t="s">
        <v>15</v>
      </c>
      <c r="F393" s="50" t="s">
        <v>20</v>
      </c>
      <c r="G393" s="50" t="s">
        <v>975</v>
      </c>
      <c r="H393" s="52">
        <f t="shared" si="27"/>
        <v>30</v>
      </c>
      <c r="I393" s="52">
        <f t="shared" si="28"/>
        <v>0</v>
      </c>
      <c r="J393" s="53">
        <f t="shared" si="29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.75" thickBot="1" x14ac:dyDescent="0.3">
      <c r="A394" s="50" t="s">
        <v>603</v>
      </c>
      <c r="B394" s="50" t="s">
        <v>607</v>
      </c>
      <c r="C394" s="50" t="s">
        <v>1161</v>
      </c>
      <c r="D394" s="50" t="s">
        <v>608</v>
      </c>
      <c r="E394" s="50" t="s">
        <v>15</v>
      </c>
      <c r="F394" s="50" t="s">
        <v>20</v>
      </c>
      <c r="G394" s="50" t="s">
        <v>976</v>
      </c>
      <c r="H394" s="52">
        <f t="shared" si="27"/>
        <v>29</v>
      </c>
      <c r="I394" s="52">
        <f t="shared" si="28"/>
        <v>1</v>
      </c>
      <c r="J394" s="53">
        <f t="shared" si="29"/>
        <v>0.96666666666666667</v>
      </c>
      <c r="K394" s="26"/>
      <c r="L394" s="26"/>
      <c r="M394" s="26"/>
      <c r="N394" s="26" t="s">
        <v>1200</v>
      </c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.75" thickBot="1" x14ac:dyDescent="0.3">
      <c r="A395" s="50" t="s">
        <v>603</v>
      </c>
      <c r="B395" s="50" t="s">
        <v>1151</v>
      </c>
      <c r="C395" s="50" t="s">
        <v>1161</v>
      </c>
      <c r="D395" s="50" t="s">
        <v>604</v>
      </c>
      <c r="E395" s="50" t="s">
        <v>15</v>
      </c>
      <c r="F395" s="50" t="s">
        <v>20</v>
      </c>
      <c r="G395" s="50" t="s">
        <v>974</v>
      </c>
      <c r="H395" s="52">
        <f t="shared" si="27"/>
        <v>30</v>
      </c>
      <c r="I395" s="52">
        <f t="shared" si="28"/>
        <v>0</v>
      </c>
      <c r="J395" s="53">
        <f t="shared" si="29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.75" thickBot="1" x14ac:dyDescent="0.3">
      <c r="A396" s="50" t="s">
        <v>611</v>
      </c>
      <c r="B396" s="50" t="s">
        <v>609</v>
      </c>
      <c r="C396" s="50" t="s">
        <v>1161</v>
      </c>
      <c r="D396" s="50" t="s">
        <v>610</v>
      </c>
      <c r="E396" s="50" t="s">
        <v>19</v>
      </c>
      <c r="F396" s="50" t="s">
        <v>20</v>
      </c>
      <c r="G396" s="50" t="s">
        <v>980</v>
      </c>
      <c r="H396" s="52">
        <f t="shared" si="27"/>
        <v>30</v>
      </c>
      <c r="I396" s="52">
        <f t="shared" si="28"/>
        <v>0</v>
      </c>
      <c r="J396" s="53">
        <f t="shared" si="29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.75" thickBot="1" x14ac:dyDescent="0.3">
      <c r="A397" s="50" t="s">
        <v>611</v>
      </c>
      <c r="B397" s="50" t="s">
        <v>612</v>
      </c>
      <c r="C397" s="50" t="s">
        <v>1161</v>
      </c>
      <c r="D397" s="50" t="s">
        <v>613</v>
      </c>
      <c r="E397" s="50" t="s">
        <v>19</v>
      </c>
      <c r="F397" s="50" t="s">
        <v>20</v>
      </c>
      <c r="G397" s="50" t="s">
        <v>977</v>
      </c>
      <c r="H397" s="52">
        <f t="shared" si="27"/>
        <v>28</v>
      </c>
      <c r="I397" s="52">
        <f t="shared" si="28"/>
        <v>2</v>
      </c>
      <c r="J397" s="53">
        <f t="shared" si="29"/>
        <v>0.93333333333333335</v>
      </c>
      <c r="K397" s="26"/>
      <c r="L397" s="26"/>
      <c r="M397" s="26" t="s">
        <v>1200</v>
      </c>
      <c r="N397" s="26" t="s">
        <v>1200</v>
      </c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313</v>
      </c>
      <c r="B398" s="50" t="s">
        <v>614</v>
      </c>
      <c r="C398" s="50" t="s">
        <v>1161</v>
      </c>
      <c r="D398" s="50" t="s">
        <v>615</v>
      </c>
      <c r="E398" s="50" t="s">
        <v>19</v>
      </c>
      <c r="F398" s="50" t="s">
        <v>20</v>
      </c>
      <c r="G398" s="50" t="s">
        <v>978</v>
      </c>
      <c r="H398" s="52">
        <f t="shared" si="27"/>
        <v>30</v>
      </c>
      <c r="I398" s="52">
        <f t="shared" si="28"/>
        <v>0</v>
      </c>
      <c r="J398" s="53">
        <f t="shared" si="29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611</v>
      </c>
      <c r="B399" s="50" t="s">
        <v>616</v>
      </c>
      <c r="C399" s="50" t="s">
        <v>1161</v>
      </c>
      <c r="D399" s="50" t="s">
        <v>617</v>
      </c>
      <c r="E399" s="50" t="s">
        <v>15</v>
      </c>
      <c r="F399" s="50" t="s">
        <v>20</v>
      </c>
      <c r="G399" s="50" t="s">
        <v>979</v>
      </c>
      <c r="H399" s="52">
        <f t="shared" si="27"/>
        <v>30</v>
      </c>
      <c r="I399" s="52">
        <f t="shared" si="28"/>
        <v>0</v>
      </c>
      <c r="J399" s="53">
        <f t="shared" si="29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x14ac:dyDescent="0.25">
      <c r="E400" s="9"/>
      <c r="F400" s="9"/>
      <c r="G400" s="27"/>
      <c r="J400" s="20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9"/>
      <c r="AH400" s="9"/>
      <c r="AI400" s="9"/>
      <c r="AJ400" s="9"/>
      <c r="AK400" s="9"/>
      <c r="AL400" s="9"/>
      <c r="AM400" s="27"/>
      <c r="AN400" s="27"/>
    </row>
    <row r="401" spans="5:40" x14ac:dyDescent="0.25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25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25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25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25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25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25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25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25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25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25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25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25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25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25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25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7"/>
      <c r="J673" s="20"/>
    </row>
    <row r="674" spans="5:10" x14ac:dyDescent="0.25">
      <c r="E674" s="9"/>
      <c r="F674" s="9"/>
      <c r="G674" s="27"/>
      <c r="J674" s="20"/>
    </row>
    <row r="675" spans="5:10" x14ac:dyDescent="0.25">
      <c r="E675" s="9"/>
      <c r="F675" s="9"/>
      <c r="G675" s="27"/>
      <c r="J675" s="20"/>
    </row>
    <row r="676" spans="5:10" x14ac:dyDescent="0.25">
      <c r="J676" s="20"/>
    </row>
  </sheetData>
  <autoFilter ref="A4:AN399" xr:uid="{32AE3966-3F3A-4A38-B5F8-35AF221F7220}"/>
  <conditionalFormatting sqref="J4:J244 L236:Q244 L247:Q281 K95:K244 K247:K372 R96:T244 R247:T375 AG95:AL372 AN95:AN372 J245:T246 AF96:AF375 W96:AD375 J247:J399 L376:AF399 L334:AF336">
    <cfRule type="cellIs" dxfId="798" priority="2229" operator="lessThan">
      <formula>0.8</formula>
    </cfRule>
    <cfRule type="cellIs" dxfId="797" priority="2230" operator="greaterThan">
      <formula>0.8</formula>
    </cfRule>
  </conditionalFormatting>
  <conditionalFormatting sqref="E394:G1048576 E1:G382">
    <cfRule type="containsText" dxfId="796" priority="2228" operator="containsText" text="Radio">
      <formula>NOT(ISERROR(SEARCH("Radio",E1)))</formula>
    </cfRule>
  </conditionalFormatting>
  <conditionalFormatting sqref="L236:Q244 L247:Q281 K95:K244 K247:K375 R96:T244 R247:T375 K245:T246 AG95:AL375 R400:AL1048576 AN400:AN1048576 AN95:AN375 AF96:AF375 W96:AD375 K376:AN399 K334:AN336">
    <cfRule type="notContainsText" dxfId="795" priority="2224" operator="notContains" text="Caida">
      <formula>ISERROR(SEARCH("Caida",K95))</formula>
    </cfRule>
    <cfRule type="containsText" dxfId="794" priority="2225" operator="containsText" text="Caida">
      <formula>NOT(ISERROR(SEARCH("Caida",K95)))</formula>
    </cfRule>
  </conditionalFormatting>
  <conditionalFormatting sqref="L6:L92 L96:L230">
    <cfRule type="cellIs" dxfId="793" priority="1722" operator="lessThan">
      <formula>0.8</formula>
    </cfRule>
    <cfRule type="cellIs" dxfId="792" priority="1723" operator="greaterThan">
      <formula>0.8</formula>
    </cfRule>
  </conditionalFormatting>
  <conditionalFormatting sqref="L6:L92 L96:L230">
    <cfRule type="notContainsText" dxfId="791" priority="1720" operator="notContains" text="Caida">
      <formula>ISERROR(SEARCH("Caida",L6))</formula>
    </cfRule>
    <cfRule type="containsText" dxfId="790" priority="1721" operator="containsText" text="Caida">
      <formula>NOT(ISERROR(SEARCH("Caida",L6)))</formula>
    </cfRule>
  </conditionalFormatting>
  <conditionalFormatting sqref="L340:L369 L284:L337">
    <cfRule type="cellIs" dxfId="789" priority="1718" operator="lessThan">
      <formula>0.8</formula>
    </cfRule>
    <cfRule type="cellIs" dxfId="788" priority="1719" operator="greaterThan">
      <formula>0.8</formula>
    </cfRule>
  </conditionalFormatting>
  <conditionalFormatting sqref="L340:L369 L284:L337 L400:L1048576">
    <cfRule type="notContainsText" dxfId="787" priority="1716" operator="notContains" text="Caida">
      <formula>ISERROR(SEARCH("Caida",L284))</formula>
    </cfRule>
    <cfRule type="containsText" dxfId="786" priority="1717" operator="containsText" text="Caida">
      <formula>NOT(ISERROR(SEARCH("Caida",L284)))</formula>
    </cfRule>
  </conditionalFormatting>
  <conditionalFormatting sqref="K400:K1048576">
    <cfRule type="notContainsText" dxfId="785" priority="1765" operator="notContains" text="Caida">
      <formula>ISERROR(SEARCH("Caida",K400))</formula>
    </cfRule>
    <cfRule type="containsText" dxfId="784" priority="1766" operator="containsText" text="Caida">
      <formula>NOT(ISERROR(SEARCH("Caida",K400)))</formula>
    </cfRule>
  </conditionalFormatting>
  <conditionalFormatting sqref="L339">
    <cfRule type="cellIs" dxfId="783" priority="1677" operator="lessThan">
      <formula>0.8</formula>
    </cfRule>
    <cfRule type="cellIs" dxfId="782" priority="1678" operator="greaterThan">
      <formula>0.8</formula>
    </cfRule>
  </conditionalFormatting>
  <conditionalFormatting sqref="L339">
    <cfRule type="notContainsText" dxfId="781" priority="1675" operator="notContains" text="Caida">
      <formula>ISERROR(SEARCH("Caida",L339))</formula>
    </cfRule>
    <cfRule type="containsText" dxfId="780" priority="1676" operator="containsText" text="Caida">
      <formula>NOT(ISERROR(SEARCH("Caida",L339)))</formula>
    </cfRule>
  </conditionalFormatting>
  <conditionalFormatting sqref="L22">
    <cfRule type="containsText" dxfId="779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8" priority="1713" operator="lessThan">
      <formula>0.8</formula>
    </cfRule>
    <cfRule type="cellIs" dxfId="777" priority="1714" operator="greaterThan">
      <formula>0.8</formula>
    </cfRule>
  </conditionalFormatting>
  <conditionalFormatting sqref="L282">
    <cfRule type="notContainsText" dxfId="776" priority="1711" operator="notContains" text="Caida">
      <formula>ISERROR(SEARCH("Caida",L282))</formula>
    </cfRule>
    <cfRule type="containsText" dxfId="775" priority="1712" operator="containsText" text="Caida">
      <formula>NOT(ISERROR(SEARCH("Caida",L282)))</formula>
    </cfRule>
  </conditionalFormatting>
  <conditionalFormatting sqref="L283">
    <cfRule type="cellIs" dxfId="774" priority="1709" operator="lessThan">
      <formula>0.8</formula>
    </cfRule>
    <cfRule type="cellIs" dxfId="773" priority="1710" operator="greaterThan">
      <formula>0.8</formula>
    </cfRule>
  </conditionalFormatting>
  <conditionalFormatting sqref="L283">
    <cfRule type="notContainsText" dxfId="772" priority="1707" operator="notContains" text="Caida">
      <formula>ISERROR(SEARCH("Caida",L283))</formula>
    </cfRule>
    <cfRule type="containsText" dxfId="771" priority="1708" operator="containsText" text="Caida">
      <formula>NOT(ISERROR(SEARCH("Caida",L283)))</formula>
    </cfRule>
  </conditionalFormatting>
  <conditionalFormatting sqref="L5">
    <cfRule type="cellIs" dxfId="770" priority="1705" operator="lessThan">
      <formula>0.8</formula>
    </cfRule>
    <cfRule type="cellIs" dxfId="769" priority="1706" operator="greaterThan">
      <formula>0.8</formula>
    </cfRule>
  </conditionalFormatting>
  <conditionalFormatting sqref="L5">
    <cfRule type="notContainsText" dxfId="768" priority="1703" operator="notContains" text="Caida">
      <formula>ISERROR(SEARCH("Caida",L5))</formula>
    </cfRule>
    <cfRule type="containsText" dxfId="767" priority="1704" operator="containsText" text="Caida">
      <formula>NOT(ISERROR(SEARCH("Caida",L5)))</formula>
    </cfRule>
  </conditionalFormatting>
  <conditionalFormatting sqref="L231">
    <cfRule type="cellIs" dxfId="766" priority="1701" operator="lessThan">
      <formula>0.8</formula>
    </cfRule>
    <cfRule type="cellIs" dxfId="765" priority="1702" operator="greaterThan">
      <formula>0.8</formula>
    </cfRule>
  </conditionalFormatting>
  <conditionalFormatting sqref="L231">
    <cfRule type="notContainsText" dxfId="764" priority="1699" operator="notContains" text="Caida">
      <formula>ISERROR(SEARCH("Caida",L231))</formula>
    </cfRule>
    <cfRule type="containsText" dxfId="763" priority="1700" operator="containsText" text="Caida">
      <formula>NOT(ISERROR(SEARCH("Caida",L231)))</formula>
    </cfRule>
  </conditionalFormatting>
  <conditionalFormatting sqref="L232">
    <cfRule type="cellIs" dxfId="762" priority="1697" operator="lessThan">
      <formula>0.8</formula>
    </cfRule>
    <cfRule type="cellIs" dxfId="761" priority="1698" operator="greaterThan">
      <formula>0.8</formula>
    </cfRule>
  </conditionalFormatting>
  <conditionalFormatting sqref="L232">
    <cfRule type="notContainsText" dxfId="760" priority="1695" operator="notContains" text="Caida">
      <formula>ISERROR(SEARCH("Caida",L232))</formula>
    </cfRule>
    <cfRule type="containsText" dxfId="759" priority="1696" operator="containsText" text="Caida">
      <formula>NOT(ISERROR(SEARCH("Caida",L232)))</formula>
    </cfRule>
  </conditionalFormatting>
  <conditionalFormatting sqref="L233">
    <cfRule type="cellIs" dxfId="758" priority="1693" operator="lessThan">
      <formula>0.8</formula>
    </cfRule>
    <cfRule type="cellIs" dxfId="757" priority="1694" operator="greaterThan">
      <formula>0.8</formula>
    </cfRule>
  </conditionalFormatting>
  <conditionalFormatting sqref="L233">
    <cfRule type="notContainsText" dxfId="756" priority="1691" operator="notContains" text="Caida">
      <formula>ISERROR(SEARCH("Caida",L233))</formula>
    </cfRule>
    <cfRule type="containsText" dxfId="755" priority="1692" operator="containsText" text="Caida">
      <formula>NOT(ISERROR(SEARCH("Caida",L233)))</formula>
    </cfRule>
  </conditionalFormatting>
  <conditionalFormatting sqref="L234">
    <cfRule type="cellIs" dxfId="754" priority="1689" operator="lessThan">
      <formula>0.8</formula>
    </cfRule>
    <cfRule type="cellIs" dxfId="753" priority="1690" operator="greaterThan">
      <formula>0.8</formula>
    </cfRule>
  </conditionalFormatting>
  <conditionalFormatting sqref="L234">
    <cfRule type="notContainsText" dxfId="752" priority="1687" operator="notContains" text="Caida">
      <formula>ISERROR(SEARCH("Caida",L234))</formula>
    </cfRule>
    <cfRule type="containsText" dxfId="751" priority="1688" operator="containsText" text="Caida">
      <formula>NOT(ISERROR(SEARCH("Caida",L234)))</formula>
    </cfRule>
  </conditionalFormatting>
  <conditionalFormatting sqref="L235">
    <cfRule type="cellIs" dxfId="750" priority="1685" operator="lessThan">
      <formula>0.8</formula>
    </cfRule>
    <cfRule type="cellIs" dxfId="749" priority="1686" operator="greaterThan">
      <formula>0.8</formula>
    </cfRule>
  </conditionalFormatting>
  <conditionalFormatting sqref="L235">
    <cfRule type="notContainsText" dxfId="748" priority="1683" operator="notContains" text="Caida">
      <formula>ISERROR(SEARCH("Caida",L235))</formula>
    </cfRule>
    <cfRule type="containsText" dxfId="747" priority="1684" operator="containsText" text="Caida">
      <formula>NOT(ISERROR(SEARCH("Caida",L235)))</formula>
    </cfRule>
  </conditionalFormatting>
  <conditionalFormatting sqref="L338">
    <cfRule type="cellIs" dxfId="746" priority="1681" operator="lessThan">
      <formula>0.8</formula>
    </cfRule>
    <cfRule type="cellIs" dxfId="745" priority="1682" operator="greaterThan">
      <formula>0.8</formula>
    </cfRule>
  </conditionalFormatting>
  <conditionalFormatting sqref="L338">
    <cfRule type="notContainsText" dxfId="744" priority="1679" operator="notContains" text="Caida">
      <formula>ISERROR(SEARCH("Caida",L338))</formula>
    </cfRule>
    <cfRule type="containsText" dxfId="743" priority="1680" operator="containsText" text="Caida">
      <formula>NOT(ISERROR(SEARCH("Caida",L338)))</formula>
    </cfRule>
  </conditionalFormatting>
  <conditionalFormatting sqref="M6:M92 M96:M230">
    <cfRule type="cellIs" dxfId="742" priority="1673" operator="lessThan">
      <formula>0.8</formula>
    </cfRule>
    <cfRule type="cellIs" dxfId="741" priority="1674" operator="greaterThan">
      <formula>0.8</formula>
    </cfRule>
  </conditionalFormatting>
  <conditionalFormatting sqref="M6:M92 M96:M230">
    <cfRule type="notContainsText" dxfId="740" priority="1671" operator="notContains" text="Caida">
      <formula>ISERROR(SEARCH("Caida",M6))</formula>
    </cfRule>
    <cfRule type="containsText" dxfId="739" priority="1672" operator="containsText" text="Caida">
      <formula>NOT(ISERROR(SEARCH("Caida",M6)))</formula>
    </cfRule>
  </conditionalFormatting>
  <conditionalFormatting sqref="M339">
    <cfRule type="cellIs" dxfId="738" priority="1628" operator="lessThan">
      <formula>0.8</formula>
    </cfRule>
    <cfRule type="cellIs" dxfId="737" priority="1629" operator="greaterThan">
      <formula>0.8</formula>
    </cfRule>
  </conditionalFormatting>
  <conditionalFormatting sqref="M339">
    <cfRule type="notContainsText" dxfId="736" priority="1626" operator="notContains" text="Caida">
      <formula>ISERROR(SEARCH("Caida",M339))</formula>
    </cfRule>
    <cfRule type="containsText" dxfId="735" priority="1627" operator="containsText" text="Caida">
      <formula>NOT(ISERROR(SEARCH("Caida",M339)))</formula>
    </cfRule>
  </conditionalFormatting>
  <conditionalFormatting sqref="M340:M369 M284:M337">
    <cfRule type="cellIs" dxfId="734" priority="1669" operator="lessThan">
      <formula>0.8</formula>
    </cfRule>
    <cfRule type="cellIs" dxfId="733" priority="1670" operator="greaterThan">
      <formula>0.8</formula>
    </cfRule>
  </conditionalFormatting>
  <conditionalFormatting sqref="M340:M369 M284:M337 M400:M1048576">
    <cfRule type="notContainsText" dxfId="732" priority="1667" operator="notContains" text="Caida">
      <formula>ISERROR(SEARCH("Caida",M284))</formula>
    </cfRule>
    <cfRule type="containsText" dxfId="731" priority="1668" operator="containsText" text="Caida">
      <formula>NOT(ISERROR(SEARCH("Caida",M284)))</formula>
    </cfRule>
  </conditionalFormatting>
  <conditionalFormatting sqref="M22">
    <cfRule type="containsText" dxfId="730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9" priority="1664" operator="lessThan">
      <formula>0.8</formula>
    </cfRule>
    <cfRule type="cellIs" dxfId="728" priority="1665" operator="greaterThan">
      <formula>0.8</formula>
    </cfRule>
  </conditionalFormatting>
  <conditionalFormatting sqref="M282">
    <cfRule type="notContainsText" dxfId="727" priority="1662" operator="notContains" text="Caida">
      <formula>ISERROR(SEARCH("Caida",M282))</formula>
    </cfRule>
    <cfRule type="containsText" dxfId="726" priority="1663" operator="containsText" text="Caida">
      <formula>NOT(ISERROR(SEARCH("Caida",M282)))</formula>
    </cfRule>
  </conditionalFormatting>
  <conditionalFormatting sqref="M283">
    <cfRule type="cellIs" dxfId="725" priority="1660" operator="lessThan">
      <formula>0.8</formula>
    </cfRule>
    <cfRule type="cellIs" dxfId="724" priority="1661" operator="greaterThan">
      <formula>0.8</formula>
    </cfRule>
  </conditionalFormatting>
  <conditionalFormatting sqref="M283">
    <cfRule type="notContainsText" dxfId="723" priority="1658" operator="notContains" text="Caida">
      <formula>ISERROR(SEARCH("Caida",M283))</formula>
    </cfRule>
    <cfRule type="containsText" dxfId="722" priority="1659" operator="containsText" text="Caida">
      <formula>NOT(ISERROR(SEARCH("Caida",M283)))</formula>
    </cfRule>
  </conditionalFormatting>
  <conditionalFormatting sqref="M5">
    <cfRule type="cellIs" dxfId="721" priority="1656" operator="lessThan">
      <formula>0.8</formula>
    </cfRule>
    <cfRule type="cellIs" dxfId="720" priority="1657" operator="greaterThan">
      <formula>0.8</formula>
    </cfRule>
  </conditionalFormatting>
  <conditionalFormatting sqref="M5">
    <cfRule type="notContainsText" dxfId="719" priority="1654" operator="notContains" text="Caida">
      <formula>ISERROR(SEARCH("Caida",M5))</formula>
    </cfRule>
    <cfRule type="containsText" dxfId="718" priority="1655" operator="containsText" text="Caida">
      <formula>NOT(ISERROR(SEARCH("Caida",M5)))</formula>
    </cfRule>
  </conditionalFormatting>
  <conditionalFormatting sqref="M231">
    <cfRule type="cellIs" dxfId="717" priority="1652" operator="lessThan">
      <formula>0.8</formula>
    </cfRule>
    <cfRule type="cellIs" dxfId="716" priority="1653" operator="greaterThan">
      <formula>0.8</formula>
    </cfRule>
  </conditionalFormatting>
  <conditionalFormatting sqref="M231">
    <cfRule type="notContainsText" dxfId="715" priority="1650" operator="notContains" text="Caida">
      <formula>ISERROR(SEARCH("Caida",M231))</formula>
    </cfRule>
    <cfRule type="containsText" dxfId="714" priority="1651" operator="containsText" text="Caida">
      <formula>NOT(ISERROR(SEARCH("Caida",M231)))</formula>
    </cfRule>
  </conditionalFormatting>
  <conditionalFormatting sqref="M232">
    <cfRule type="cellIs" dxfId="713" priority="1648" operator="lessThan">
      <formula>0.8</formula>
    </cfRule>
    <cfRule type="cellIs" dxfId="712" priority="1649" operator="greaterThan">
      <formula>0.8</formula>
    </cfRule>
  </conditionalFormatting>
  <conditionalFormatting sqref="M232">
    <cfRule type="notContainsText" dxfId="711" priority="1646" operator="notContains" text="Caida">
      <formula>ISERROR(SEARCH("Caida",M232))</formula>
    </cfRule>
    <cfRule type="containsText" dxfId="710" priority="1647" operator="containsText" text="Caida">
      <formula>NOT(ISERROR(SEARCH("Caida",M232)))</formula>
    </cfRule>
  </conditionalFormatting>
  <conditionalFormatting sqref="M233">
    <cfRule type="cellIs" dxfId="709" priority="1644" operator="lessThan">
      <formula>0.8</formula>
    </cfRule>
    <cfRule type="cellIs" dxfId="708" priority="1645" operator="greaterThan">
      <formula>0.8</formula>
    </cfRule>
  </conditionalFormatting>
  <conditionalFormatting sqref="M233">
    <cfRule type="notContainsText" dxfId="707" priority="1642" operator="notContains" text="Caida">
      <formula>ISERROR(SEARCH("Caida",M233))</formula>
    </cfRule>
    <cfRule type="containsText" dxfId="706" priority="1643" operator="containsText" text="Caida">
      <formula>NOT(ISERROR(SEARCH("Caida",M233)))</formula>
    </cfRule>
  </conditionalFormatting>
  <conditionalFormatting sqref="M234">
    <cfRule type="cellIs" dxfId="705" priority="1640" operator="lessThan">
      <formula>0.8</formula>
    </cfRule>
    <cfRule type="cellIs" dxfId="704" priority="1641" operator="greaterThan">
      <formula>0.8</formula>
    </cfRule>
  </conditionalFormatting>
  <conditionalFormatting sqref="M234">
    <cfRule type="notContainsText" dxfId="703" priority="1638" operator="notContains" text="Caida">
      <formula>ISERROR(SEARCH("Caida",M234))</formula>
    </cfRule>
    <cfRule type="containsText" dxfId="702" priority="1639" operator="containsText" text="Caida">
      <formula>NOT(ISERROR(SEARCH("Caida",M234)))</formula>
    </cfRule>
  </conditionalFormatting>
  <conditionalFormatting sqref="M235">
    <cfRule type="cellIs" dxfId="701" priority="1636" operator="lessThan">
      <formula>0.8</formula>
    </cfRule>
    <cfRule type="cellIs" dxfId="700" priority="1637" operator="greaterThan">
      <formula>0.8</formula>
    </cfRule>
  </conditionalFormatting>
  <conditionalFormatting sqref="M235">
    <cfRule type="notContainsText" dxfId="699" priority="1634" operator="notContains" text="Caida">
      <formula>ISERROR(SEARCH("Caida",M235))</formula>
    </cfRule>
    <cfRule type="containsText" dxfId="698" priority="1635" operator="containsText" text="Caida">
      <formula>NOT(ISERROR(SEARCH("Caida",M235)))</formula>
    </cfRule>
  </conditionalFormatting>
  <conditionalFormatting sqref="M338">
    <cfRule type="cellIs" dxfId="697" priority="1632" operator="lessThan">
      <formula>0.8</formula>
    </cfRule>
    <cfRule type="cellIs" dxfId="696" priority="1633" operator="greaterThan">
      <formula>0.8</formula>
    </cfRule>
  </conditionalFormatting>
  <conditionalFormatting sqref="M338">
    <cfRule type="notContainsText" dxfId="695" priority="1630" operator="notContains" text="Caida">
      <formula>ISERROR(SEARCH("Caida",M338))</formula>
    </cfRule>
    <cfRule type="containsText" dxfId="694" priority="1631" operator="containsText" text="Caida">
      <formula>NOT(ISERROR(SEARCH("Caida",M338)))</formula>
    </cfRule>
  </conditionalFormatting>
  <conditionalFormatting sqref="N6:N92 N96:N230">
    <cfRule type="cellIs" dxfId="693" priority="1624" operator="lessThan">
      <formula>0.8</formula>
    </cfRule>
    <cfRule type="cellIs" dxfId="692" priority="1625" operator="greaterThan">
      <formula>0.8</formula>
    </cfRule>
  </conditionalFormatting>
  <conditionalFormatting sqref="N6:N92 N96:N230">
    <cfRule type="notContainsText" dxfId="691" priority="1622" operator="notContains" text="Caida">
      <formula>ISERROR(SEARCH("Caida",N6))</formula>
    </cfRule>
    <cfRule type="containsText" dxfId="690" priority="1623" operator="containsText" text="Caida">
      <formula>NOT(ISERROR(SEARCH("Caida",N6)))</formula>
    </cfRule>
  </conditionalFormatting>
  <conditionalFormatting sqref="N339:P339">
    <cfRule type="cellIs" dxfId="689" priority="1579" operator="lessThan">
      <formula>0.8</formula>
    </cfRule>
    <cfRule type="cellIs" dxfId="688" priority="1580" operator="greaterThan">
      <formula>0.8</formula>
    </cfRule>
  </conditionalFormatting>
  <conditionalFormatting sqref="N339:P339">
    <cfRule type="notContainsText" dxfId="687" priority="1577" operator="notContains" text="Caida">
      <formula>ISERROR(SEARCH("Caida",N339))</formula>
    </cfRule>
    <cfRule type="containsText" dxfId="686" priority="1578" operator="containsText" text="Caida">
      <formula>NOT(ISERROR(SEARCH("Caida",N339)))</formula>
    </cfRule>
  </conditionalFormatting>
  <conditionalFormatting sqref="N340:N369 N284:N337">
    <cfRule type="cellIs" dxfId="685" priority="1620" operator="lessThan">
      <formula>0.8</formula>
    </cfRule>
    <cfRule type="cellIs" dxfId="684" priority="1621" operator="greaterThan">
      <formula>0.8</formula>
    </cfRule>
  </conditionalFormatting>
  <conditionalFormatting sqref="N340:N369 N284:N337 N400:N1048576">
    <cfRule type="notContainsText" dxfId="683" priority="1618" operator="notContains" text="Caida">
      <formula>ISERROR(SEARCH("Caida",N284))</formula>
    </cfRule>
    <cfRule type="containsText" dxfId="682" priority="1619" operator="containsText" text="Caida">
      <formula>NOT(ISERROR(SEARCH("Caida",N284)))</formula>
    </cfRule>
  </conditionalFormatting>
  <conditionalFormatting sqref="N22:P22">
    <cfRule type="containsText" dxfId="681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80" priority="1615" operator="lessThan">
      <formula>0.8</formula>
    </cfRule>
    <cfRule type="cellIs" dxfId="679" priority="1616" operator="greaterThan">
      <formula>0.8</formula>
    </cfRule>
  </conditionalFormatting>
  <conditionalFormatting sqref="N282:P282">
    <cfRule type="notContainsText" dxfId="678" priority="1613" operator="notContains" text="Caida">
      <formula>ISERROR(SEARCH("Caida",N282))</formula>
    </cfRule>
    <cfRule type="containsText" dxfId="677" priority="1614" operator="containsText" text="Caida">
      <formula>NOT(ISERROR(SEARCH("Caida",N282)))</formula>
    </cfRule>
  </conditionalFormatting>
  <conditionalFormatting sqref="N283:P283">
    <cfRule type="cellIs" dxfId="676" priority="1611" operator="lessThan">
      <formula>0.8</formula>
    </cfRule>
    <cfRule type="cellIs" dxfId="675" priority="1612" operator="greaterThan">
      <formula>0.8</formula>
    </cfRule>
  </conditionalFormatting>
  <conditionalFormatting sqref="N283:P283">
    <cfRule type="notContainsText" dxfId="674" priority="1609" operator="notContains" text="Caida">
      <formula>ISERROR(SEARCH("Caida",N283))</formula>
    </cfRule>
    <cfRule type="containsText" dxfId="673" priority="1610" operator="containsText" text="Caida">
      <formula>NOT(ISERROR(SEARCH("Caida",N283)))</formula>
    </cfRule>
  </conditionalFormatting>
  <conditionalFormatting sqref="N5:P5">
    <cfRule type="cellIs" dxfId="672" priority="1607" operator="lessThan">
      <formula>0.8</formula>
    </cfRule>
    <cfRule type="cellIs" dxfId="671" priority="1608" operator="greaterThan">
      <formula>0.8</formula>
    </cfRule>
  </conditionalFormatting>
  <conditionalFormatting sqref="N5:P5">
    <cfRule type="notContainsText" dxfId="670" priority="1605" operator="notContains" text="Caida">
      <formula>ISERROR(SEARCH("Caida",N5))</formula>
    </cfRule>
    <cfRule type="containsText" dxfId="669" priority="1606" operator="containsText" text="Caida">
      <formula>NOT(ISERROR(SEARCH("Caida",N5)))</formula>
    </cfRule>
  </conditionalFormatting>
  <conditionalFormatting sqref="N231:P231">
    <cfRule type="cellIs" dxfId="668" priority="1603" operator="lessThan">
      <formula>0.8</formula>
    </cfRule>
    <cfRule type="cellIs" dxfId="667" priority="1604" operator="greaterThan">
      <formula>0.8</formula>
    </cfRule>
  </conditionalFormatting>
  <conditionalFormatting sqref="N231:P231">
    <cfRule type="notContainsText" dxfId="666" priority="1601" operator="notContains" text="Caida">
      <formula>ISERROR(SEARCH("Caida",N231))</formula>
    </cfRule>
    <cfRule type="containsText" dxfId="665" priority="1602" operator="containsText" text="Caida">
      <formula>NOT(ISERROR(SEARCH("Caida",N231)))</formula>
    </cfRule>
  </conditionalFormatting>
  <conditionalFormatting sqref="N232:P232">
    <cfRule type="cellIs" dxfId="664" priority="1599" operator="lessThan">
      <formula>0.8</formula>
    </cfRule>
    <cfRule type="cellIs" dxfId="663" priority="1600" operator="greaterThan">
      <formula>0.8</formula>
    </cfRule>
  </conditionalFormatting>
  <conditionalFormatting sqref="N232:P232">
    <cfRule type="notContainsText" dxfId="662" priority="1597" operator="notContains" text="Caida">
      <formula>ISERROR(SEARCH("Caida",N232))</formula>
    </cfRule>
    <cfRule type="containsText" dxfId="661" priority="1598" operator="containsText" text="Caida">
      <formula>NOT(ISERROR(SEARCH("Caida",N232)))</formula>
    </cfRule>
  </conditionalFormatting>
  <conditionalFormatting sqref="N233:P233">
    <cfRule type="cellIs" dxfId="660" priority="1595" operator="lessThan">
      <formula>0.8</formula>
    </cfRule>
    <cfRule type="cellIs" dxfId="659" priority="1596" operator="greaterThan">
      <formula>0.8</formula>
    </cfRule>
  </conditionalFormatting>
  <conditionalFormatting sqref="N233:P233">
    <cfRule type="notContainsText" dxfId="658" priority="1593" operator="notContains" text="Caida">
      <formula>ISERROR(SEARCH("Caida",N233))</formula>
    </cfRule>
    <cfRule type="containsText" dxfId="657" priority="1594" operator="containsText" text="Caida">
      <formula>NOT(ISERROR(SEARCH("Caida",N233)))</formula>
    </cfRule>
  </conditionalFormatting>
  <conditionalFormatting sqref="N234:P234">
    <cfRule type="cellIs" dxfId="656" priority="1591" operator="lessThan">
      <formula>0.8</formula>
    </cfRule>
    <cfRule type="cellIs" dxfId="655" priority="1592" operator="greaterThan">
      <formula>0.8</formula>
    </cfRule>
  </conditionalFormatting>
  <conditionalFormatting sqref="N234:P234">
    <cfRule type="notContainsText" dxfId="654" priority="1589" operator="notContains" text="Caida">
      <formula>ISERROR(SEARCH("Caida",N234))</formula>
    </cfRule>
    <cfRule type="containsText" dxfId="653" priority="1590" operator="containsText" text="Caida">
      <formula>NOT(ISERROR(SEARCH("Caida",N234)))</formula>
    </cfRule>
  </conditionalFormatting>
  <conditionalFormatting sqref="N235:P235">
    <cfRule type="cellIs" dxfId="652" priority="1587" operator="lessThan">
      <formula>0.8</formula>
    </cfRule>
    <cfRule type="cellIs" dxfId="651" priority="1588" operator="greaterThan">
      <formula>0.8</formula>
    </cfRule>
  </conditionalFormatting>
  <conditionalFormatting sqref="N235:P235">
    <cfRule type="notContainsText" dxfId="650" priority="1585" operator="notContains" text="Caida">
      <formula>ISERROR(SEARCH("Caida",N235))</formula>
    </cfRule>
    <cfRule type="containsText" dxfId="649" priority="1586" operator="containsText" text="Caida">
      <formula>NOT(ISERROR(SEARCH("Caida",N235)))</formula>
    </cfRule>
  </conditionalFormatting>
  <conditionalFormatting sqref="N338:P338">
    <cfRule type="cellIs" dxfId="648" priority="1583" operator="lessThan">
      <formula>0.8</formula>
    </cfRule>
    <cfRule type="cellIs" dxfId="647" priority="1584" operator="greaterThan">
      <formula>0.8</formula>
    </cfRule>
  </conditionalFormatting>
  <conditionalFormatting sqref="N338:P338">
    <cfRule type="notContainsText" dxfId="646" priority="1581" operator="notContains" text="Caida">
      <formula>ISERROR(SEARCH("Caida",N338))</formula>
    </cfRule>
    <cfRule type="containsText" dxfId="645" priority="1582" operator="containsText" text="Caida">
      <formula>NOT(ISERROR(SEARCH("Caida",N338)))</formula>
    </cfRule>
  </conditionalFormatting>
  <conditionalFormatting sqref="O400:O1048576">
    <cfRule type="notContainsText" dxfId="644" priority="1569" operator="notContains" text="Caida">
      <formula>ISERROR(SEARCH("Caida",O400))</formula>
    </cfRule>
    <cfRule type="containsText" dxfId="643" priority="1570" operator="containsText" text="Caida">
      <formula>NOT(ISERROR(SEARCH("Caida",O400)))</formula>
    </cfRule>
  </conditionalFormatting>
  <conditionalFormatting sqref="P400:P1048576">
    <cfRule type="notContainsText" dxfId="642" priority="1520" operator="notContains" text="Caida">
      <formula>ISERROR(SEARCH("Caida",P400))</formula>
    </cfRule>
    <cfRule type="containsText" dxfId="641" priority="1521" operator="containsText" text="Caida">
      <formula>NOT(ISERROR(SEARCH("Caida",P400)))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0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0">
    <cfRule type="notContainsText" dxfId="626" priority="1405" operator="notContains" text="Caida">
      <formula>ISERROR(SEARCH("Caida",L370))</formula>
    </cfRule>
    <cfRule type="containsText" dxfId="625" priority="1406" operator="containsText" text="Caida">
      <formula>NOT(ISERROR(SEARCH("Caida",L370)))</formula>
    </cfRule>
  </conditionalFormatting>
  <conditionalFormatting sqref="M370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0">
    <cfRule type="notContainsText" dxfId="622" priority="1401" operator="notContains" text="Caida">
      <formula>ISERROR(SEARCH("Caida",M370))</formula>
    </cfRule>
    <cfRule type="containsText" dxfId="621" priority="1402" operator="containsText" text="Caida">
      <formula>NOT(ISERROR(SEARCH("Caida",M370)))</formula>
    </cfRule>
  </conditionalFormatting>
  <conditionalFormatting sqref="N370:P370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0:P370">
    <cfRule type="notContainsText" dxfId="618" priority="1397" operator="notContains" text="Caida">
      <formula>ISERROR(SEARCH("Caida",N370))</formula>
    </cfRule>
    <cfRule type="containsText" dxfId="617" priority="1398" operator="containsText" text="Caida">
      <formula>NOT(ISERROR(SEARCH("Caida",N370)))</formula>
    </cfRule>
  </conditionalFormatting>
  <conditionalFormatting sqref="L371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1">
    <cfRule type="notContainsText" dxfId="614" priority="1366" operator="notContains" text="Caida">
      <formula>ISERROR(SEARCH("Caida",L371))</formula>
    </cfRule>
    <cfRule type="containsText" dxfId="613" priority="1367" operator="containsText" text="Caida">
      <formula>NOT(ISERROR(SEARCH("Caida",L371)))</formula>
    </cfRule>
  </conditionalFormatting>
  <conditionalFormatting sqref="M371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1">
    <cfRule type="notContainsText" dxfId="610" priority="1362" operator="notContains" text="Caida">
      <formula>ISERROR(SEARCH("Caida",M371))</formula>
    </cfRule>
    <cfRule type="containsText" dxfId="609" priority="1363" operator="containsText" text="Caida">
      <formula>NOT(ISERROR(SEARCH("Caida",M371)))</formula>
    </cfRule>
  </conditionalFormatting>
  <conditionalFormatting sqref="N371:P371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1:P371">
    <cfRule type="notContainsText" dxfId="606" priority="1358" operator="notContains" text="Caida">
      <formula>ISERROR(SEARCH("Caida",N371))</formula>
    </cfRule>
    <cfRule type="containsText" dxfId="605" priority="1359" operator="containsText" text="Caida">
      <formula>NOT(ISERROR(SEARCH("Caida",N371)))</formula>
    </cfRule>
  </conditionalFormatting>
  <conditionalFormatting sqref="L372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2">
    <cfRule type="notContainsText" dxfId="602" priority="1327" operator="notContains" text="Caida">
      <formula>ISERROR(SEARCH("Caida",L372))</formula>
    </cfRule>
    <cfRule type="containsText" dxfId="601" priority="1328" operator="containsText" text="Caida">
      <formula>NOT(ISERROR(SEARCH("Caida",L372)))</formula>
    </cfRule>
  </conditionalFormatting>
  <conditionalFormatting sqref="M372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2">
    <cfRule type="notContainsText" dxfId="598" priority="1323" operator="notContains" text="Caida">
      <formula>ISERROR(SEARCH("Caida",M372))</formula>
    </cfRule>
    <cfRule type="containsText" dxfId="597" priority="1324" operator="containsText" text="Caida">
      <formula>NOT(ISERROR(SEARCH("Caida",M372)))</formula>
    </cfRule>
  </conditionalFormatting>
  <conditionalFormatting sqref="N372:P372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2:P372">
    <cfRule type="notContainsText" dxfId="594" priority="1319" operator="notContains" text="Caida">
      <formula>ISERROR(SEARCH("Caida",N372))</formula>
    </cfRule>
    <cfRule type="containsText" dxfId="593" priority="1320" operator="containsText" text="Caida">
      <formula>NOT(ISERROR(SEARCH("Caida",N372)))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3:L375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3:L375">
    <cfRule type="notContainsText" dxfId="582" priority="1288" operator="notContains" text="Caida">
      <formula>ISERROR(SEARCH("Caida",L373))</formula>
    </cfRule>
    <cfRule type="containsText" dxfId="581" priority="1289" operator="containsText" text="Caida">
      <formula>NOT(ISERROR(SEARCH("Caida",L373)))</formula>
    </cfRule>
  </conditionalFormatting>
  <conditionalFormatting sqref="M373:M375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3:M375">
    <cfRule type="notContainsText" dxfId="578" priority="1284" operator="notContains" text="Caida">
      <formula>ISERROR(SEARCH("Caida",M373))</formula>
    </cfRule>
    <cfRule type="containsText" dxfId="577" priority="1285" operator="containsText" text="Caida">
      <formula>NOT(ISERROR(SEARCH("Caida",M373)))</formula>
    </cfRule>
  </conditionalFormatting>
  <conditionalFormatting sqref="N373:P373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3:P373">
    <cfRule type="notContainsText" dxfId="574" priority="1280" operator="notContains" text="Caida">
      <formula>ISERROR(SEARCH("Caida",N373))</formula>
    </cfRule>
    <cfRule type="containsText" dxfId="573" priority="1281" operator="containsText" text="Caida">
      <formula>NOT(ISERROR(SEARCH("Caida",N373)))</formula>
    </cfRule>
  </conditionalFormatting>
  <conditionalFormatting sqref="Q371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1">
    <cfRule type="notContainsText" dxfId="570" priority="1211" operator="notContains" text="Caida">
      <formula>ISERROR(SEARCH("Caida",Q371))</formula>
    </cfRule>
    <cfRule type="containsText" dxfId="569" priority="1212" operator="containsText" text="Caida">
      <formula>NOT(ISERROR(SEARCH("Caida",Q371)))</formula>
    </cfRule>
  </conditionalFormatting>
  <conditionalFormatting sqref="Q372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2">
    <cfRule type="notContainsText" dxfId="566" priority="1207" operator="notContains" text="Caida">
      <formula>ISERROR(SEARCH("Caida",Q372))</formula>
    </cfRule>
    <cfRule type="containsText" dxfId="565" priority="1208" operator="containsText" text="Caida">
      <formula>NOT(ISERROR(SEARCH("Caida",Q372)))</formula>
    </cfRule>
  </conditionalFormatting>
  <conditionalFormatting sqref="Q373:Q375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3:Q375">
    <cfRule type="notContainsText" dxfId="562" priority="1203" operator="notContains" text="Caida">
      <formula>ISERROR(SEARCH("Caida",Q373))</formula>
    </cfRule>
    <cfRule type="containsText" dxfId="561" priority="1204" operator="containsText" text="Caida">
      <formula>NOT(ISERROR(SEARCH("Caida",Q373)))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39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39">
    <cfRule type="notContainsText" dxfId="554" priority="1223" operator="notContains" text="Caida">
      <formula>ISERROR(SEARCH("Caida",Q339))</formula>
    </cfRule>
    <cfRule type="containsText" dxfId="553" priority="1224" operator="containsText" text="Caida">
      <formula>NOT(ISERROR(SEARCH("Caida",Q339)))</formula>
    </cfRule>
  </conditionalFormatting>
  <conditionalFormatting sqref="Q340:Q369 Q284:Q337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0:Q369 Q284:Q337 Q400:Q1048576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8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8">
    <cfRule type="notContainsText" dxfId="521" priority="1227" operator="notContains" text="Caida">
      <formula>ISERROR(SEARCH("Caida",Q338))</formula>
    </cfRule>
    <cfRule type="containsText" dxfId="520" priority="1228" operator="containsText" text="Caida">
      <formula>NOT(ISERROR(SEARCH("Caida",Q338)))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0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0">
    <cfRule type="notContainsText" dxfId="513" priority="1215" operator="notContains" text="Caida">
      <formula>ISERROR(SEARCH("Caida",Q370))</formula>
    </cfRule>
    <cfRule type="containsText" dxfId="512" priority="1216" operator="containsText" text="Caida">
      <formula>NOT(ISERROR(SEARCH("Caida",Q370)))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4:E1048576 E1:E375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247:K375 K5:T372 AG400:AN1048576 AG5:AN375 AF5:AF372 W5:AD372 K376:AN399 K334:AN336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0:O369 O284:O337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0:O369 O284:O337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0:P369 P284:P337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0:P369 P284:P337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4:F1048576 F1:F375">
    <cfRule type="cellIs" dxfId="458" priority="905" operator="equal">
      <formula>"PTP A FO"</formula>
    </cfRule>
  </conditionalFormatting>
  <conditionalFormatting sqref="N374:P375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4:P375">
    <cfRule type="notContainsText" dxfId="455" priority="532" operator="notContains" text="Caida">
      <formula>ISERROR(SEARCH("Caida",N374))</formula>
    </cfRule>
    <cfRule type="containsText" dxfId="454" priority="533" operator="containsText" text="Caida">
      <formula>NOT(ISERROR(SEARCH("Caida",N374)))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400:AB1048576 AB3 AB5:AB375 AM376:AM399 AM334:AM336 U376:AF399 U334:AF336">
    <cfRule type="cellIs" dxfId="424" priority="432" operator="equal">
      <formula>"apagado"</formula>
    </cfRule>
  </conditionalFormatting>
  <conditionalFormatting sqref="AA5:AA375 AA400:AA1048576 AA3">
    <cfRule type="cellIs" dxfId="423" priority="431" operator="equal">
      <formula>"apagado"</formula>
    </cfRule>
  </conditionalFormatting>
  <conditionalFormatting sqref="Z5:Z375 Z400:Z1048576 Z3">
    <cfRule type="cellIs" dxfId="422" priority="430" operator="equal">
      <formula>"apagado"</formula>
    </cfRule>
  </conditionalFormatting>
  <conditionalFormatting sqref="Y5:Y375 Y400:Y1048576 Y3">
    <cfRule type="cellIs" dxfId="421" priority="429" operator="equal">
      <formula>"apagado"</formula>
    </cfRule>
  </conditionalFormatting>
  <conditionalFormatting sqref="X5:X375 X400:X1048576 X3">
    <cfRule type="cellIs" dxfId="420" priority="428" operator="equal">
      <formula>"apagado"</formula>
    </cfRule>
  </conditionalFormatting>
  <conditionalFormatting sqref="W5:W375 W400:W1048576 W3">
    <cfRule type="cellIs" dxfId="419" priority="427" operator="equal">
      <formula>"apagado"</formula>
    </cfRule>
  </conditionalFormatting>
  <conditionalFormatting sqref="V400:V1048576 V3">
    <cfRule type="cellIs" dxfId="418" priority="426" operator="equal">
      <formula>"apagado"</formula>
    </cfRule>
  </conditionalFormatting>
  <conditionalFormatting sqref="U400:U1048576 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5:AC375 AC400:AC1048576 AC3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400:AD1048576 AD3 AD5:AD375">
    <cfRule type="cellIs" dxfId="399" priority="407" operator="equal">
      <formula>"apagado"</formula>
    </cfRule>
  </conditionalFormatting>
  <conditionalFormatting sqref="AE400:AE1048576 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5:AF375 AF400:AF1048576 AF3">
    <cfRule type="cellIs" dxfId="389" priority="389" operator="equal">
      <formula>"apagado"</formula>
    </cfRule>
  </conditionalFormatting>
  <conditionalFormatting sqref="AM95:AM372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5 AM400:AM10485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5:AM375 AM400:AM1048576 AM3">
    <cfRule type="cellIs" dxfId="371" priority="354" operator="equal">
      <formula>"apagado"</formula>
    </cfRule>
  </conditionalFormatting>
  <conditionalFormatting sqref="K5:T375 AF5:AN375 W5:AD375">
    <cfRule type="cellIs" dxfId="370" priority="353" operator="equal">
      <formula>"APAGADO"</formula>
    </cfRule>
  </conditionalFormatting>
  <conditionalFormatting sqref="U96:U375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5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5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5">
    <cfRule type="cellIs" dxfId="351" priority="298" operator="equal">
      <formula>"apagado"</formula>
    </cfRule>
  </conditionalFormatting>
  <conditionalFormatting sqref="V96:V375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5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5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5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2">
    <cfRule type="cellIs" dxfId="243" priority="188" operator="equal">
      <formula>"apagado"</formula>
    </cfRule>
  </conditionalFormatting>
  <conditionalFormatting sqref="AD363">
    <cfRule type="cellIs" dxfId="242" priority="187" operator="equal">
      <formula>"apagado"</formula>
    </cfRule>
  </conditionalFormatting>
  <conditionalFormatting sqref="AD364">
    <cfRule type="cellIs" dxfId="241" priority="186" operator="equal">
      <formula>"apagado"</formula>
    </cfRule>
  </conditionalFormatting>
  <conditionalFormatting sqref="AD365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6:E382">
    <cfRule type="containsText" dxfId="213" priority="126" operator="containsText" text="fija">
      <formula>NOT(ISERROR(SEARCH("fija",E376)))</formula>
    </cfRule>
    <cfRule type="containsText" dxfId="212" priority="127" operator="containsText" text="domo">
      <formula>NOT(ISERROR(SEARCH("domo",E376)))</formula>
    </cfRule>
  </conditionalFormatting>
  <conditionalFormatting sqref="F376:F382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5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5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2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5">
    <cfRule type="cellIs" dxfId="187" priority="47" operator="equal">
      <formula>"apagado"</formula>
    </cfRule>
  </conditionalFormatting>
  <conditionalFormatting sqref="AE5:AE375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51">
    <cfRule type="cellIs" dxfId="159" priority="13" operator="equal">
      <formula>"apagado"</formula>
    </cfRule>
  </conditionalFormatting>
  <conditionalFormatting sqref="AB359">
    <cfRule type="cellIs" dxfId="158" priority="12" operator="equal">
      <formula>"apagado"</formula>
    </cfRule>
  </conditionalFormatting>
  <conditionalFormatting sqref="AB360">
    <cfRule type="cellIs" dxfId="157" priority="11" operator="equal">
      <formula>"apagado"</formula>
    </cfRule>
  </conditionalFormatting>
  <conditionalFormatting sqref="AB364">
    <cfRule type="cellIs" dxfId="156" priority="10" operator="equal">
      <formula>"apagado"</formula>
    </cfRule>
  </conditionalFormatting>
  <conditionalFormatting sqref="AB365">
    <cfRule type="cellIs" dxfId="155" priority="9" operator="equal">
      <formula>"apagado"</formula>
    </cfRule>
  </conditionalFormatting>
  <conditionalFormatting sqref="AB372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 t="str">
        <f>'RESUMEN TOTAL'!M21</f>
        <v>APAGADO</v>
      </c>
      <c r="I18" t="str">
        <f>'RESUMEN TOTAL'!N21</f>
        <v>APAGADO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 t="str">
        <f>'RESUMEN TOTAL'!M25</f>
        <v>APAGADO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 t="str">
        <f>'RESUMEN TOTAL'!M31</f>
        <v>APAGADO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 t="str">
        <f>'RESUMEN TOTAL'!M37</f>
        <v>APAGADO</v>
      </c>
      <c r="I34" t="str">
        <f>'RESUMEN TOTAL'!N37</f>
        <v>APAGADO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 t="str">
        <f>'RESUMEN TOTAL'!M38</f>
        <v>APAGADO</v>
      </c>
      <c r="I35" t="str">
        <f>'RESUMEN TOTAL'!N38</f>
        <v>APAGADO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 t="str">
        <f>'RESUMEN TOTAL'!M42</f>
        <v>APAGADO</v>
      </c>
      <c r="I39" t="str">
        <f>'RESUMEN TOTAL'!N42</f>
        <v>APAGADO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 t="str">
        <f>'RESUMEN TOTAL'!M50</f>
        <v>APAGADO</v>
      </c>
      <c r="I47" t="str">
        <f>'RESUMEN TOTAL'!N50</f>
        <v>APAGADO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 t="str">
        <f>'RESUMEN TOTAL'!N54</f>
        <v>APAGADO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 t="str">
        <f>'RESUMEN TOTAL'!N58</f>
        <v>APAGADO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 t="str">
        <f>'RESUMEN TOTAL'!O59</f>
        <v>APAGADO</v>
      </c>
      <c r="K56" t="str">
        <f>'RESUMEN TOTAL'!P59</f>
        <v>APAGADO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 t="str">
        <f>'RESUMEN TOTAL'!M62</f>
        <v>APAGADO</v>
      </c>
      <c r="I59" t="str">
        <f>'RESUMEN TOTAL'!N62</f>
        <v>APAGADO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 t="str">
        <f>'RESUMEN TOTAL'!M63</f>
        <v>APAGADO</v>
      </c>
      <c r="I60" t="str">
        <f>'RESUMEN TOTAL'!N63</f>
        <v>APAGADO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 t="str">
        <f>'RESUMEN TOTAL'!M65</f>
        <v>APAGADO</v>
      </c>
      <c r="I62" t="str">
        <f>'RESUMEN TOTAL'!N65</f>
        <v>APAGADO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 t="str">
        <f>'RESUMEN TOTAL'!P73</f>
        <v>APAGADO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 t="str">
        <f>'RESUMEN TOTAL'!M76</f>
        <v>APAGADO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 t="str">
        <f>'RESUMEN TOTAL'!M79</f>
        <v>APAGADO</v>
      </c>
      <c r="I76" t="str">
        <f>'RESUMEN TOTAL'!N79</f>
        <v>APAGADO</v>
      </c>
      <c r="J76" t="str">
        <f>'RESUMEN TOTAL'!O79</f>
        <v>APAGADO</v>
      </c>
      <c r="K76" t="str">
        <f>'RESUMEN TOTAL'!P79</f>
        <v>APAGADO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 t="str">
        <f>'RESUMEN TOTAL'!M91</f>
        <v>APAGADO</v>
      </c>
      <c r="I88" t="str">
        <f>'RESUMEN TOTAL'!N91</f>
        <v>APAGADO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 t="str">
        <f>'RESUMEN TOTAL'!M96</f>
        <v>APAGADO</v>
      </c>
      <c r="I93" t="str">
        <f>'RESUMEN TOTAL'!N96</f>
        <v>APAGADO</v>
      </c>
      <c r="J93" t="str">
        <f>'RESUMEN TOTAL'!O96</f>
        <v>APAGADO</v>
      </c>
      <c r="K93" t="str">
        <f>'RESUMEN TOTAL'!P96</f>
        <v>APAGADO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 t="str">
        <f>'RESUMEN TOTAL'!M102</f>
        <v>APAGADO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 t="str">
        <f>'RESUMEN TOTAL'!M103</f>
        <v>APAGADO</v>
      </c>
      <c r="I100" t="str">
        <f>'RESUMEN TOTAL'!N103</f>
        <v>APAGADO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 t="str">
        <f>'RESUMEN TOTAL'!M109</f>
        <v>APAGADO</v>
      </c>
      <c r="I106" t="str">
        <f>'RESUMEN TOTAL'!N109</f>
        <v>APAGADO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 t="str">
        <f>'RESUMEN TOTAL'!M112</f>
        <v>APAGADO</v>
      </c>
      <c r="I109" t="str">
        <f>'RESUMEN TOTAL'!N112</f>
        <v>APAGADO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 t="str">
        <f>'RESUMEN TOTAL'!N141</f>
        <v>APAGADO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 t="str">
        <f>'RESUMEN TOTAL'!M142</f>
        <v>APAGADO</v>
      </c>
      <c r="I139" t="str">
        <f>'RESUMEN TOTAL'!N142</f>
        <v>APAGADO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 t="str">
        <f>'RESUMEN TOTAL'!O154</f>
        <v>APAGADO</v>
      </c>
      <c r="K151" t="str">
        <f>'RESUMEN TOTAL'!P154</f>
        <v>APAGADO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 t="str">
        <f>'RESUMEN TOTAL'!O155</f>
        <v>APAGADO</v>
      </c>
      <c r="K152" t="str">
        <f>'RESUMEN TOTAL'!P155</f>
        <v>APAGADO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 t="str">
        <f>'RESUMEN TOTAL'!M159</f>
        <v>APAGADO</v>
      </c>
      <c r="I156" t="str">
        <f>'RESUMEN TOTAL'!N159</f>
        <v>APAGADO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 t="str">
        <f>'RESUMEN TOTAL'!M162</f>
        <v>APAGADO</v>
      </c>
      <c r="I159">
        <f>'RESUMEN TOTAL'!N162</f>
        <v>0</v>
      </c>
      <c r="J159" t="str">
        <f>'RESUMEN TOTAL'!O162</f>
        <v>APAGADO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 t="str">
        <f>'RESUMEN TOTAL'!M165</f>
        <v>APAGADO</v>
      </c>
      <c r="I162" t="str">
        <f>'RESUMEN TOTAL'!N165</f>
        <v>APAGADO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 t="str">
        <f>'RESUMEN TOTAL'!M174</f>
        <v>APAGADO</v>
      </c>
      <c r="I171" t="str">
        <f>'RESUMEN TOTAL'!N174</f>
        <v>APAGADO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 t="str">
        <f>'RESUMEN TOTAL'!M175</f>
        <v>APAGADO</v>
      </c>
      <c r="I172" t="str">
        <f>'RESUMEN TOTAL'!N175</f>
        <v>APAGADO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 t="str">
        <f>'RESUMEN TOTAL'!M182</f>
        <v>APAGADO</v>
      </c>
      <c r="I179" t="str">
        <f>'RESUMEN TOTAL'!N182</f>
        <v>APAGADO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 t="str">
        <f>'RESUMEN TOTAL'!M183</f>
        <v>APAGADO</v>
      </c>
      <c r="I180" t="str">
        <f>'RESUMEN TOTAL'!N183</f>
        <v>APAGADO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 t="str">
        <f>'RESUMEN TOTAL'!M185</f>
        <v>APAGADO</v>
      </c>
      <c r="I182" t="str">
        <f>'RESUMEN TOTAL'!N185</f>
        <v>APAGADO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 t="str">
        <f>'RESUMEN TOTAL'!M186</f>
        <v>APAGADO</v>
      </c>
      <c r="I183" t="str">
        <f>'RESUMEN TOTAL'!N186</f>
        <v>APAGADO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>
        <f>'RESUMEN TOTAL'!Q210</f>
        <v>0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 t="str">
        <f>'RESUMEN TOTAL'!M213</f>
        <v>APAGADO</v>
      </c>
      <c r="I210" t="str">
        <f>'RESUMEN TOTAL'!N213</f>
        <v>APAGADO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 t="str">
        <f>'RESUMEN TOTAL'!M217</f>
        <v>APAGADO</v>
      </c>
      <c r="I214">
        <f>'RESUMEN TOTAL'!N217</f>
        <v>0</v>
      </c>
      <c r="J214" t="str">
        <f>'RESUMEN TOTAL'!O217</f>
        <v>APAGADO</v>
      </c>
      <c r="K214" t="str">
        <f>'RESUMEN TOTAL'!P217</f>
        <v>APAGADO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 t="str">
        <f>'RESUMEN TOTAL'!M232</f>
        <v>APAGADO</v>
      </c>
      <c r="I229" t="str">
        <f>'RESUMEN TOTAL'!N232</f>
        <v>APAGADO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 t="str">
        <f>'RESUMEN TOTAL'!M241</f>
        <v>APAGADO</v>
      </c>
      <c r="I238" t="str">
        <f>'RESUMEN TOTAL'!N241</f>
        <v>APAGADO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 t="str">
        <f>'RESUMEN TOTAL'!M249</f>
        <v>APAGADO</v>
      </c>
      <c r="I246" t="str">
        <f>'RESUMEN TOTAL'!N249</f>
        <v>APAGADO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 t="str">
        <f>'RESUMEN TOTAL'!M263</f>
        <v>APAGADO</v>
      </c>
      <c r="I260" t="str">
        <f>'RESUMEN TOTAL'!N263</f>
        <v>APAGADO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 t="str">
        <f>'RESUMEN TOTAL'!M271</f>
        <v>APAGADO</v>
      </c>
      <c r="I268" t="str">
        <f>'RESUMEN TOTAL'!N271</f>
        <v>APAGADO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 t="str">
        <f>'RESUMEN TOTAL'!M272</f>
        <v>APAGADO</v>
      </c>
      <c r="I269" t="str">
        <f>'RESUMEN TOTAL'!N272</f>
        <v>APAGADO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 t="str">
        <f>'RESUMEN TOTAL'!M276</f>
        <v>APAGADO</v>
      </c>
      <c r="I273" t="str">
        <f>'RESUMEN TOTAL'!N276</f>
        <v>APAGADO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 t="str">
        <f>'RESUMEN TOTAL'!M281</f>
        <v>APAGADO</v>
      </c>
      <c r="I278" t="str">
        <f>'RESUMEN TOTAL'!N281</f>
        <v>APAGADO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 t="str">
        <f>'RESUMEN TOTAL'!M289</f>
        <v>APAGADO</v>
      </c>
      <c r="I286" t="str">
        <f>'RESUMEN TOTAL'!N289</f>
        <v>APAGADO</v>
      </c>
      <c r="J286" t="str">
        <f>'RESUMEN TOTAL'!O289</f>
        <v>APAGADO</v>
      </c>
      <c r="K286" t="str">
        <f>'RESUMEN TOTAL'!P289</f>
        <v>APAGADO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 t="str">
        <f>'RESUMEN TOTAL'!M290</f>
        <v>APAGADO</v>
      </c>
      <c r="I287" t="str">
        <f>'RESUMEN TOTAL'!N290</f>
        <v>APAGADO</v>
      </c>
      <c r="J287" t="str">
        <f>'RESUMEN TOTAL'!O290</f>
        <v>APAGADO</v>
      </c>
      <c r="K287" t="str">
        <f>'RESUMEN TOTAL'!P290</f>
        <v>APAGADO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 t="str">
        <f>'RESUMEN TOTAL'!M291</f>
        <v>APAGADO</v>
      </c>
      <c r="I288" t="str">
        <f>'RESUMEN TOTAL'!N291</f>
        <v>APAGADO</v>
      </c>
      <c r="J288" t="str">
        <f>'RESUMEN TOTAL'!O291</f>
        <v>APAGADO</v>
      </c>
      <c r="K288" t="str">
        <f>'RESUMEN TOTAL'!P291</f>
        <v>APAGADO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 t="str">
        <f>'RESUMEN TOTAL'!M292</f>
        <v>APAGADO</v>
      </c>
      <c r="I289" t="str">
        <f>'RESUMEN TOTAL'!N292</f>
        <v>APAGADO</v>
      </c>
      <c r="J289" t="str">
        <f>'RESUMEN TOTAL'!O292</f>
        <v>APAGADO</v>
      </c>
      <c r="K289" t="str">
        <f>'RESUMEN TOTAL'!P292</f>
        <v>APAGADO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 t="str">
        <f>'RESUMEN TOTAL'!M294</f>
        <v>APAGADO</v>
      </c>
      <c r="I291" t="str">
        <f>'RESUMEN TOTAL'!N294</f>
        <v>APAGADO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 t="str">
        <f>'RESUMEN TOTAL'!N300</f>
        <v>APAGADO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 t="str">
        <f>'RESUMEN TOTAL'!M303</f>
        <v>APAGADO</v>
      </c>
      <c r="I300" t="str">
        <f>'RESUMEN TOTAL'!N303</f>
        <v>APAGADO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 t="str">
        <f>'RESUMEN TOTAL'!M304</f>
        <v>APAGADO</v>
      </c>
      <c r="I301" t="str">
        <f>'RESUMEN TOTAL'!N304</f>
        <v>APAGADO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 t="str">
        <f>'RESUMEN TOTAL'!M305</f>
        <v>APAGADO</v>
      </c>
      <c r="I302" t="str">
        <f>'RESUMEN TOTAL'!N305</f>
        <v>APAGADO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 t="str">
        <f>'RESUMEN TOTAL'!M316</f>
        <v>APAGADO</v>
      </c>
      <c r="I313" t="str">
        <f>'RESUMEN TOTAL'!N316</f>
        <v>APAGADO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 t="str">
        <f>'RESUMEN TOTAL'!K324</f>
        <v>APAGADO</v>
      </c>
      <c r="G321">
        <f>'RESUMEN TOTAL'!L324</f>
        <v>0</v>
      </c>
      <c r="H321" t="str">
        <f>'RESUMEN TOTAL'!M324</f>
        <v>APAGADO</v>
      </c>
      <c r="I321" t="str">
        <f>'RESUMEN TOTAL'!N324</f>
        <v>APAGADO</v>
      </c>
      <c r="J321" t="str">
        <f>'RESUMEN TOTAL'!O324</f>
        <v>APAGADO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TOTAL'!A337</f>
        <v>VILLA VATTEONE CENTRO</v>
      </c>
      <c r="B331" t="str">
        <f>'RESUMEN TOTAL'!B337</f>
        <v>VAT 10</v>
      </c>
      <c r="C331" t="str">
        <f>'RESUMEN TOTAL'!D337</f>
        <v>Belgrano y Quintana</v>
      </c>
      <c r="D331" t="str">
        <f>'RESUMEN TOTAL'!E337</f>
        <v>Domo</v>
      </c>
      <c r="E331" t="str">
        <f>'RESUMEN TOTAL'!F337</f>
        <v>Fibra Optica</v>
      </c>
      <c r="F331">
        <f>'RESUMEN TOTAL'!K337</f>
        <v>0</v>
      </c>
      <c r="G331">
        <f>'RESUMEN TOTAL'!L337</f>
        <v>0</v>
      </c>
      <c r="H331">
        <f>'RESUMEN TOTAL'!M337</f>
        <v>0</v>
      </c>
      <c r="I331" t="str">
        <f>'RESUMEN TOTAL'!N337</f>
        <v>APAGADO</v>
      </c>
      <c r="J331" t="str">
        <f>'RESUMEN TOTAL'!O337</f>
        <v>APAGADO</v>
      </c>
      <c r="K331">
        <f>'RESUMEN TOTAL'!P337</f>
        <v>0</v>
      </c>
      <c r="L331">
        <f>'RESUMEN TOTAL'!Q337</f>
        <v>0</v>
      </c>
      <c r="M331">
        <f>'RESUMEN TOTAL'!R337</f>
        <v>0</v>
      </c>
      <c r="N331">
        <f>'RESUMEN TOTAL'!S337</f>
        <v>0</v>
      </c>
      <c r="O331">
        <f>'RESUMEN TOTAL'!T337</f>
        <v>0</v>
      </c>
      <c r="P331">
        <f>'RESUMEN TOTAL'!U337</f>
        <v>0</v>
      </c>
      <c r="Q331">
        <f>'RESUMEN TOTAL'!V337</f>
        <v>0</v>
      </c>
      <c r="R331">
        <f>'RESUMEN TOTAL'!W337</f>
        <v>0</v>
      </c>
      <c r="S331">
        <f>'RESUMEN TOTAL'!X337</f>
        <v>0</v>
      </c>
      <c r="T331">
        <f>'RESUMEN TOTAL'!Y337</f>
        <v>0</v>
      </c>
      <c r="U331">
        <f>'RESUMEN TOTAL'!Z337</f>
        <v>0</v>
      </c>
      <c r="V331">
        <f>'RESUMEN TOTAL'!AA337</f>
        <v>0</v>
      </c>
      <c r="W331">
        <f>'RESUMEN TOTAL'!AB337</f>
        <v>0</v>
      </c>
      <c r="X331">
        <f>'RESUMEN TOTAL'!AC337</f>
        <v>0</v>
      </c>
      <c r="Y331">
        <f>'RESUMEN TOTAL'!AD337</f>
        <v>0</v>
      </c>
      <c r="Z331">
        <f>'RESUMEN TOTAL'!AE337</f>
        <v>0</v>
      </c>
      <c r="AA331">
        <f>'RESUMEN TOTAL'!AF337</f>
        <v>0</v>
      </c>
      <c r="AB331">
        <f>'RESUMEN TOTAL'!AG337</f>
        <v>0</v>
      </c>
      <c r="AC331">
        <f>'RESUMEN TOTAL'!AH337</f>
        <v>0</v>
      </c>
      <c r="AD331">
        <f>'RESUMEN TOTAL'!AI337</f>
        <v>0</v>
      </c>
      <c r="AE331">
        <f>'RESUMEN TOTAL'!AJ337</f>
        <v>0</v>
      </c>
      <c r="AF331">
        <f>'RESUMEN TOTAL'!AK337</f>
        <v>0</v>
      </c>
      <c r="AG331">
        <f>'RESUMEN TOTAL'!AL337</f>
        <v>0</v>
      </c>
      <c r="AH331">
        <f>'RESUMEN TOTAL'!AM337</f>
        <v>0</v>
      </c>
      <c r="AI331">
        <f>'RESUMEN TOTAL'!AN337</f>
        <v>0</v>
      </c>
    </row>
    <row r="332" spans="1:35" x14ac:dyDescent="0.25">
      <c r="A332" t="str">
        <f>'RESUMEN TOTAL'!A338</f>
        <v>VILLA VATTEONE</v>
      </c>
      <c r="B332" t="str">
        <f>'RESUMEN TOTAL'!B338</f>
        <v>VAT 14</v>
      </c>
      <c r="C332" t="str">
        <f>'RESUMEN TOTAL'!D338</f>
        <v>FLORIDA Y MONTEVIDEO</v>
      </c>
      <c r="D332" t="str">
        <f>'RESUMEN TOTAL'!E338</f>
        <v>DOMO</v>
      </c>
      <c r="E332" t="str">
        <f>'RESUMEN TOTAL'!F338</f>
        <v>FIBRA OPTICA</v>
      </c>
      <c r="F332">
        <f>'RESUMEN TOTAL'!K338</f>
        <v>0</v>
      </c>
      <c r="G332">
        <f>'RESUMEN TOTAL'!L338</f>
        <v>0</v>
      </c>
      <c r="H332">
        <f>'RESUMEN TOTAL'!M338</f>
        <v>0</v>
      </c>
      <c r="I332">
        <f>'RESUMEN TOTAL'!N338</f>
        <v>0</v>
      </c>
      <c r="J332">
        <f>'RESUMEN TOTAL'!O338</f>
        <v>0</v>
      </c>
      <c r="K332">
        <f>'RESUMEN TOTAL'!P338</f>
        <v>0</v>
      </c>
      <c r="L332">
        <f>'RESUMEN TOTAL'!Q338</f>
        <v>0</v>
      </c>
      <c r="M332">
        <f>'RESUMEN TOTAL'!R338</f>
        <v>0</v>
      </c>
      <c r="N332">
        <f>'RESUMEN TOTAL'!S338</f>
        <v>0</v>
      </c>
      <c r="O332">
        <f>'RESUMEN TOTAL'!T338</f>
        <v>0</v>
      </c>
      <c r="P332">
        <f>'RESUMEN TOTAL'!U338</f>
        <v>0</v>
      </c>
      <c r="Q332">
        <f>'RESUMEN TOTAL'!V338</f>
        <v>0</v>
      </c>
      <c r="R332">
        <f>'RESUMEN TOTAL'!W338</f>
        <v>0</v>
      </c>
      <c r="S332">
        <f>'RESUMEN TOTAL'!X338</f>
        <v>0</v>
      </c>
      <c r="T332">
        <f>'RESUMEN TOTAL'!Y338</f>
        <v>0</v>
      </c>
      <c r="U332">
        <f>'RESUMEN TOTAL'!Z338</f>
        <v>0</v>
      </c>
      <c r="V332">
        <f>'RESUMEN TOTAL'!AA338</f>
        <v>0</v>
      </c>
      <c r="W332">
        <f>'RESUMEN TOTAL'!AB338</f>
        <v>0</v>
      </c>
      <c r="X332">
        <f>'RESUMEN TOTAL'!AC338</f>
        <v>0</v>
      </c>
      <c r="Y332">
        <f>'RESUMEN TOTAL'!AD338</f>
        <v>0</v>
      </c>
      <c r="Z332">
        <f>'RESUMEN TOTAL'!AE338</f>
        <v>0</v>
      </c>
      <c r="AA332">
        <f>'RESUMEN TOTAL'!AF338</f>
        <v>0</v>
      </c>
      <c r="AB332">
        <f>'RESUMEN TOTAL'!AG338</f>
        <v>0</v>
      </c>
      <c r="AC332">
        <f>'RESUMEN TOTAL'!AH338</f>
        <v>0</v>
      </c>
      <c r="AD332">
        <f>'RESUMEN TOTAL'!AI338</f>
        <v>0</v>
      </c>
      <c r="AE332">
        <f>'RESUMEN TOTAL'!AJ338</f>
        <v>0</v>
      </c>
      <c r="AF332">
        <f>'RESUMEN TOTAL'!AK338</f>
        <v>0</v>
      </c>
      <c r="AG332">
        <f>'RESUMEN TOTAL'!AL338</f>
        <v>0</v>
      </c>
      <c r="AH332">
        <f>'RESUMEN TOTAL'!AM338</f>
        <v>0</v>
      </c>
      <c r="AI332">
        <f>'RESUMEN TOTAL'!AN338</f>
        <v>0</v>
      </c>
    </row>
    <row r="333" spans="1:35" x14ac:dyDescent="0.25">
      <c r="A333" t="str">
        <f>'RESUMEN TOTAL'!A339</f>
        <v>VILLA VATTEONE</v>
      </c>
      <c r="B333" t="str">
        <f>'RESUMEN TOTAL'!B339</f>
        <v>VAT 15</v>
      </c>
      <c r="C333" t="str">
        <f>'RESUMEN TOTAL'!D339</f>
        <v>CORRIENTES Y VICENTE LOPEZ</v>
      </c>
      <c r="D333" t="str">
        <f>'RESUMEN TOTAL'!E339</f>
        <v>DOMO</v>
      </c>
      <c r="E333" t="str">
        <f>'RESUMEN TOTAL'!F339</f>
        <v>PTO A FO</v>
      </c>
      <c r="F333">
        <f>'RESUMEN TOTAL'!K339</f>
        <v>0</v>
      </c>
      <c r="G333">
        <f>'RESUMEN TOTAL'!L339</f>
        <v>0</v>
      </c>
      <c r="H333" t="str">
        <f>'RESUMEN TOTAL'!M339</f>
        <v>APAGADO</v>
      </c>
      <c r="I333" t="str">
        <f>'RESUMEN TOTAL'!N339</f>
        <v>APAGADO</v>
      </c>
      <c r="J333" t="str">
        <f>'RESUMEN TOTAL'!O339</f>
        <v>APAGADO</v>
      </c>
      <c r="K333">
        <f>'RESUMEN TOTAL'!P339</f>
        <v>0</v>
      </c>
      <c r="L333">
        <f>'RESUMEN TOTAL'!Q339</f>
        <v>0</v>
      </c>
      <c r="M333">
        <f>'RESUMEN TOTAL'!R339</f>
        <v>0</v>
      </c>
      <c r="N333">
        <f>'RESUMEN TOTAL'!S339</f>
        <v>0</v>
      </c>
      <c r="O333">
        <f>'RESUMEN TOTAL'!T339</f>
        <v>0</v>
      </c>
      <c r="P333">
        <f>'RESUMEN TOTAL'!U339</f>
        <v>0</v>
      </c>
      <c r="Q333">
        <f>'RESUMEN TOTAL'!V339</f>
        <v>0</v>
      </c>
      <c r="R333">
        <f>'RESUMEN TOTAL'!W339</f>
        <v>0</v>
      </c>
      <c r="S333">
        <f>'RESUMEN TOTAL'!X339</f>
        <v>0</v>
      </c>
      <c r="T333">
        <f>'RESUMEN TOTAL'!Y339</f>
        <v>0</v>
      </c>
      <c r="U333">
        <f>'RESUMEN TOTAL'!Z339</f>
        <v>0</v>
      </c>
      <c r="V333">
        <f>'RESUMEN TOTAL'!AA339</f>
        <v>0</v>
      </c>
      <c r="W333">
        <f>'RESUMEN TOTAL'!AB339</f>
        <v>0</v>
      </c>
      <c r="X333">
        <f>'RESUMEN TOTAL'!AC339</f>
        <v>0</v>
      </c>
      <c r="Y333">
        <f>'RESUMEN TOTAL'!AD339</f>
        <v>0</v>
      </c>
      <c r="Z333">
        <f>'RESUMEN TOTAL'!AE339</f>
        <v>0</v>
      </c>
      <c r="AA333">
        <f>'RESUMEN TOTAL'!AF339</f>
        <v>0</v>
      </c>
      <c r="AB333">
        <f>'RESUMEN TOTAL'!AG339</f>
        <v>0</v>
      </c>
      <c r="AC333">
        <f>'RESUMEN TOTAL'!AH339</f>
        <v>0</v>
      </c>
      <c r="AD333">
        <f>'RESUMEN TOTAL'!AI339</f>
        <v>0</v>
      </c>
      <c r="AE333">
        <f>'RESUMEN TOTAL'!AJ339</f>
        <v>0</v>
      </c>
      <c r="AF333">
        <f>'RESUMEN TOTAL'!AK339</f>
        <v>0</v>
      </c>
      <c r="AG333">
        <f>'RESUMEN TOTAL'!AL339</f>
        <v>0</v>
      </c>
      <c r="AH333">
        <f>'RESUMEN TOTAL'!AM339</f>
        <v>0</v>
      </c>
      <c r="AI333">
        <f>'RESUMEN TOTAL'!AN339</f>
        <v>0</v>
      </c>
    </row>
    <row r="334" spans="1:35" x14ac:dyDescent="0.25">
      <c r="A334" t="str">
        <f>'RESUMEN TOTAL'!A340</f>
        <v>VILLA VATTEONE</v>
      </c>
      <c r="B334" t="str">
        <f>'RESUMEN TOTAL'!B340</f>
        <v>VAT 16</v>
      </c>
      <c r="C334" t="str">
        <f>'RESUMEN TOTAL'!D340</f>
        <v>MONTEVIDEO Y CHACO</v>
      </c>
      <c r="D334" t="str">
        <f>'RESUMEN TOTAL'!E340</f>
        <v>DOMO</v>
      </c>
      <c r="E334" t="str">
        <f>'RESUMEN TOTAL'!F340</f>
        <v>PTO A FO</v>
      </c>
      <c r="F334">
        <f>'RESUMEN TOTAL'!K340</f>
        <v>0</v>
      </c>
      <c r="G334">
        <f>'RESUMEN TOTAL'!L340</f>
        <v>0</v>
      </c>
      <c r="H334" t="str">
        <f>'RESUMEN TOTAL'!M340</f>
        <v>APAGADO</v>
      </c>
      <c r="I334" t="str">
        <f>'RESUMEN TOTAL'!N340</f>
        <v>APAGADO</v>
      </c>
      <c r="J334">
        <f>'RESUMEN TOTAL'!O340</f>
        <v>0</v>
      </c>
      <c r="K334">
        <f>'RESUMEN TOTAL'!P340</f>
        <v>0</v>
      </c>
      <c r="L334">
        <f>'RESUMEN TOTAL'!Q340</f>
        <v>0</v>
      </c>
      <c r="M334">
        <f>'RESUMEN TOTAL'!R340</f>
        <v>0</v>
      </c>
      <c r="N334">
        <f>'RESUMEN TOTAL'!S340</f>
        <v>0</v>
      </c>
      <c r="O334">
        <f>'RESUMEN TOTAL'!T340</f>
        <v>0</v>
      </c>
      <c r="P334">
        <f>'RESUMEN TOTAL'!U340</f>
        <v>0</v>
      </c>
      <c r="Q334">
        <f>'RESUMEN TOTAL'!V340</f>
        <v>0</v>
      </c>
      <c r="R334">
        <f>'RESUMEN TOTAL'!W340</f>
        <v>0</v>
      </c>
      <c r="S334">
        <f>'RESUMEN TOTAL'!X340</f>
        <v>0</v>
      </c>
      <c r="T334">
        <f>'RESUMEN TOTAL'!Y340</f>
        <v>0</v>
      </c>
      <c r="U334">
        <f>'RESUMEN TOTAL'!Z340</f>
        <v>0</v>
      </c>
      <c r="V334">
        <f>'RESUMEN TOTAL'!AA340</f>
        <v>0</v>
      </c>
      <c r="W334">
        <f>'RESUMEN TOTAL'!AB340</f>
        <v>0</v>
      </c>
      <c r="X334">
        <f>'RESUMEN TOTAL'!AC340</f>
        <v>0</v>
      </c>
      <c r="Y334">
        <f>'RESUMEN TOTAL'!AD340</f>
        <v>0</v>
      </c>
      <c r="Z334">
        <f>'RESUMEN TOTAL'!AE340</f>
        <v>0</v>
      </c>
      <c r="AA334">
        <f>'RESUMEN TOTAL'!AF340</f>
        <v>0</v>
      </c>
      <c r="AB334">
        <f>'RESUMEN TOTAL'!AG340</f>
        <v>0</v>
      </c>
      <c r="AC334">
        <f>'RESUMEN TOTAL'!AH340</f>
        <v>0</v>
      </c>
      <c r="AD334">
        <f>'RESUMEN TOTAL'!AI340</f>
        <v>0</v>
      </c>
      <c r="AE334">
        <f>'RESUMEN TOTAL'!AJ340</f>
        <v>0</v>
      </c>
      <c r="AF334">
        <f>'RESUMEN TOTAL'!AK340</f>
        <v>0</v>
      </c>
      <c r="AG334">
        <f>'RESUMEN TOTAL'!AL340</f>
        <v>0</v>
      </c>
      <c r="AH334">
        <f>'RESUMEN TOTAL'!AM340</f>
        <v>0</v>
      </c>
      <c r="AI334">
        <f>'RESUMEN TOTAL'!AN340</f>
        <v>0</v>
      </c>
    </row>
    <row r="335" spans="1:35" x14ac:dyDescent="0.25">
      <c r="A335" t="str">
        <f>'RESUMEN TOTAL'!A341</f>
        <v>VILLA VATTEONE</v>
      </c>
      <c r="B335" t="str">
        <f>'RESUMEN TOTAL'!B341</f>
        <v>VAT 17</v>
      </c>
      <c r="C335" t="str">
        <f>'RESUMEN TOTAL'!D341</f>
        <v>CHAÑAR Y URUGUAY</v>
      </c>
      <c r="D335" t="str">
        <f>'RESUMEN TOTAL'!E341</f>
        <v>DOMO</v>
      </c>
      <c r="E335" t="str">
        <f>'RESUMEN TOTAL'!F341</f>
        <v>PTO A FO</v>
      </c>
      <c r="F335">
        <f>'RESUMEN TOTAL'!K341</f>
        <v>0</v>
      </c>
      <c r="G335">
        <f>'RESUMEN TOTAL'!L341</f>
        <v>0</v>
      </c>
      <c r="H335">
        <f>'RESUMEN TOTAL'!M341</f>
        <v>0</v>
      </c>
      <c r="I335">
        <f>'RESUMEN TOTAL'!N341</f>
        <v>0</v>
      </c>
      <c r="J335">
        <f>'RESUMEN TOTAL'!O341</f>
        <v>0</v>
      </c>
      <c r="K335">
        <f>'RESUMEN TOTAL'!P341</f>
        <v>0</v>
      </c>
      <c r="L335">
        <f>'RESUMEN TOTAL'!Q341</f>
        <v>0</v>
      </c>
      <c r="M335">
        <f>'RESUMEN TOTAL'!R341</f>
        <v>0</v>
      </c>
      <c r="N335">
        <f>'RESUMEN TOTAL'!S341</f>
        <v>0</v>
      </c>
      <c r="O335">
        <f>'RESUMEN TOTAL'!T341</f>
        <v>0</v>
      </c>
      <c r="P335">
        <f>'RESUMEN TOTAL'!U341</f>
        <v>0</v>
      </c>
      <c r="Q335">
        <f>'RESUMEN TOTAL'!V341</f>
        <v>0</v>
      </c>
      <c r="R335">
        <f>'RESUMEN TOTAL'!W341</f>
        <v>0</v>
      </c>
      <c r="S335">
        <f>'RESUMEN TOTAL'!X341</f>
        <v>0</v>
      </c>
      <c r="T335">
        <f>'RESUMEN TOTAL'!Y341</f>
        <v>0</v>
      </c>
      <c r="U335">
        <f>'RESUMEN TOTAL'!Z341</f>
        <v>0</v>
      </c>
      <c r="V335">
        <f>'RESUMEN TOTAL'!AA341</f>
        <v>0</v>
      </c>
      <c r="W335">
        <f>'RESUMEN TOTAL'!AB341</f>
        <v>0</v>
      </c>
      <c r="X335">
        <f>'RESUMEN TOTAL'!AC341</f>
        <v>0</v>
      </c>
      <c r="Y335">
        <f>'RESUMEN TOTAL'!AD341</f>
        <v>0</v>
      </c>
      <c r="Z335">
        <f>'RESUMEN TOTAL'!AE341</f>
        <v>0</v>
      </c>
      <c r="AA335">
        <f>'RESUMEN TOTAL'!AF341</f>
        <v>0</v>
      </c>
      <c r="AB335">
        <f>'RESUMEN TOTAL'!AG341</f>
        <v>0</v>
      </c>
      <c r="AC335">
        <f>'RESUMEN TOTAL'!AH341</f>
        <v>0</v>
      </c>
      <c r="AD335">
        <f>'RESUMEN TOTAL'!AI341</f>
        <v>0</v>
      </c>
      <c r="AE335">
        <f>'RESUMEN TOTAL'!AJ341</f>
        <v>0</v>
      </c>
      <c r="AF335">
        <f>'RESUMEN TOTAL'!AK341</f>
        <v>0</v>
      </c>
      <c r="AG335">
        <f>'RESUMEN TOTAL'!AL341</f>
        <v>0</v>
      </c>
      <c r="AH335">
        <f>'RESUMEN TOTAL'!AM341</f>
        <v>0</v>
      </c>
      <c r="AI335">
        <f>'RESUMEN TOTAL'!AN341</f>
        <v>0</v>
      </c>
    </row>
    <row r="336" spans="1:35" x14ac:dyDescent="0.25">
      <c r="A336" t="str">
        <f>'RESUMEN TOTAL'!A342</f>
        <v>VILLA VATTEONE</v>
      </c>
      <c r="B336" t="str">
        <f>'RESUMEN TOTAL'!B342</f>
        <v>VAT 20</v>
      </c>
      <c r="C336" t="str">
        <f>'RESUMEN TOTAL'!D342</f>
        <v>URUGUAY Y PILCOMAYO</v>
      </c>
      <c r="D336" t="str">
        <f>'RESUMEN TOTAL'!E342</f>
        <v>FIJA</v>
      </c>
      <c r="E336" t="str">
        <f>'RESUMEN TOTAL'!F342</f>
        <v>Radio</v>
      </c>
      <c r="F336">
        <f>'RESUMEN TOTAL'!K342</f>
        <v>0</v>
      </c>
      <c r="G336">
        <f>'RESUMEN TOTAL'!L342</f>
        <v>0</v>
      </c>
      <c r="H336" t="str">
        <f>'RESUMEN TOTAL'!M342</f>
        <v>APAGADO</v>
      </c>
      <c r="I336" t="str">
        <f>'RESUMEN TOTAL'!N342</f>
        <v>APAGADO</v>
      </c>
      <c r="J336">
        <f>'RESUMEN TOTAL'!O342</f>
        <v>0</v>
      </c>
      <c r="K336">
        <f>'RESUMEN TOTAL'!P342</f>
        <v>0</v>
      </c>
      <c r="L336">
        <f>'RESUMEN TOTAL'!Q342</f>
        <v>0</v>
      </c>
      <c r="M336">
        <f>'RESUMEN TOTAL'!R342</f>
        <v>0</v>
      </c>
      <c r="N336">
        <f>'RESUMEN TOTAL'!S342</f>
        <v>0</v>
      </c>
      <c r="O336">
        <f>'RESUMEN TOTAL'!T342</f>
        <v>0</v>
      </c>
      <c r="P336">
        <f>'RESUMEN TOTAL'!U342</f>
        <v>0</v>
      </c>
      <c r="Q336">
        <f>'RESUMEN TOTAL'!V342</f>
        <v>0</v>
      </c>
      <c r="R336">
        <f>'RESUMEN TOTAL'!W342</f>
        <v>0</v>
      </c>
      <c r="S336">
        <f>'RESUMEN TOTAL'!X342</f>
        <v>0</v>
      </c>
      <c r="T336">
        <f>'RESUMEN TOTAL'!Y342</f>
        <v>0</v>
      </c>
      <c r="U336">
        <f>'RESUMEN TOTAL'!Z342</f>
        <v>0</v>
      </c>
      <c r="V336">
        <f>'RESUMEN TOTAL'!AA342</f>
        <v>0</v>
      </c>
      <c r="W336">
        <f>'RESUMEN TOTAL'!AB342</f>
        <v>0</v>
      </c>
      <c r="X336">
        <f>'RESUMEN TOTAL'!AC342</f>
        <v>0</v>
      </c>
      <c r="Y336">
        <f>'RESUMEN TOTAL'!AD342</f>
        <v>0</v>
      </c>
      <c r="Z336">
        <f>'RESUMEN TOTAL'!AE342</f>
        <v>0</v>
      </c>
      <c r="AA336">
        <f>'RESUMEN TOTAL'!AF342</f>
        <v>0</v>
      </c>
      <c r="AB336">
        <f>'RESUMEN TOTAL'!AG342</f>
        <v>0</v>
      </c>
      <c r="AC336">
        <f>'RESUMEN TOTAL'!AH342</f>
        <v>0</v>
      </c>
      <c r="AD336">
        <f>'RESUMEN TOTAL'!AI342</f>
        <v>0</v>
      </c>
      <c r="AE336">
        <f>'RESUMEN TOTAL'!AJ342</f>
        <v>0</v>
      </c>
      <c r="AF336">
        <f>'RESUMEN TOTAL'!AK342</f>
        <v>0</v>
      </c>
      <c r="AG336">
        <f>'RESUMEN TOTAL'!AL342</f>
        <v>0</v>
      </c>
      <c r="AH336">
        <f>'RESUMEN TOTAL'!AM342</f>
        <v>0</v>
      </c>
      <c r="AI336">
        <f>'RESUMEN TOTAL'!AN342</f>
        <v>0</v>
      </c>
    </row>
    <row r="337" spans="1:35" x14ac:dyDescent="0.25">
      <c r="A337" t="str">
        <f>'RESUMEN TOTAL'!A343</f>
        <v>VILLA VATTEONE CENTRO</v>
      </c>
      <c r="B337" t="str">
        <f>'RESUMEN TOTAL'!B343</f>
        <v>VAT 21 (fija 1)</v>
      </c>
      <c r="C337" t="str">
        <f>'RESUMEN TOTAL'!D343</f>
        <v>QUINTANA E/ BELGRANO Y FONROUGE</v>
      </c>
      <c r="D337" t="str">
        <f>'RESUMEN TOTAL'!E343</f>
        <v>Fija</v>
      </c>
      <c r="E337" t="str">
        <f>'RESUMEN TOTAL'!F343</f>
        <v>Fibra Optica</v>
      </c>
      <c r="F337">
        <f>'RESUMEN TOTAL'!K343</f>
        <v>0</v>
      </c>
      <c r="G337">
        <f>'RESUMEN TOTAL'!L343</f>
        <v>0</v>
      </c>
      <c r="H337">
        <f>'RESUMEN TOTAL'!M343</f>
        <v>0</v>
      </c>
      <c r="I337" t="str">
        <f>'RESUMEN TOTAL'!N343</f>
        <v>APAGADO</v>
      </c>
      <c r="J337" t="str">
        <f>'RESUMEN TOTAL'!O343</f>
        <v>APAGADO</v>
      </c>
      <c r="K337">
        <f>'RESUMEN TOTAL'!P343</f>
        <v>0</v>
      </c>
      <c r="L337">
        <f>'RESUMEN TOTAL'!Q343</f>
        <v>0</v>
      </c>
      <c r="M337">
        <f>'RESUMEN TOTAL'!R343</f>
        <v>0</v>
      </c>
      <c r="N337">
        <f>'RESUMEN TOTAL'!S343</f>
        <v>0</v>
      </c>
      <c r="O337">
        <f>'RESUMEN TOTAL'!T343</f>
        <v>0</v>
      </c>
      <c r="P337">
        <f>'RESUMEN TOTAL'!U343</f>
        <v>0</v>
      </c>
      <c r="Q337">
        <f>'RESUMEN TOTAL'!V343</f>
        <v>0</v>
      </c>
      <c r="R337">
        <f>'RESUMEN TOTAL'!W343</f>
        <v>0</v>
      </c>
      <c r="S337">
        <f>'RESUMEN TOTAL'!X343</f>
        <v>0</v>
      </c>
      <c r="T337">
        <f>'RESUMEN TOTAL'!Y343</f>
        <v>0</v>
      </c>
      <c r="U337">
        <f>'RESUMEN TOTAL'!Z343</f>
        <v>0</v>
      </c>
      <c r="V337">
        <f>'RESUMEN TOTAL'!AA343</f>
        <v>0</v>
      </c>
      <c r="W337">
        <f>'RESUMEN TOTAL'!AB343</f>
        <v>0</v>
      </c>
      <c r="X337">
        <f>'RESUMEN TOTAL'!AC343</f>
        <v>0</v>
      </c>
      <c r="Y337">
        <f>'RESUMEN TOTAL'!AD343</f>
        <v>0</v>
      </c>
      <c r="Z337">
        <f>'RESUMEN TOTAL'!AE343</f>
        <v>0</v>
      </c>
      <c r="AA337">
        <f>'RESUMEN TOTAL'!AF343</f>
        <v>0</v>
      </c>
      <c r="AB337">
        <f>'RESUMEN TOTAL'!AG343</f>
        <v>0</v>
      </c>
      <c r="AC337">
        <f>'RESUMEN TOTAL'!AH343</f>
        <v>0</v>
      </c>
      <c r="AD337">
        <f>'RESUMEN TOTAL'!AI343</f>
        <v>0</v>
      </c>
      <c r="AE337">
        <f>'RESUMEN TOTAL'!AJ343</f>
        <v>0</v>
      </c>
      <c r="AF337">
        <f>'RESUMEN TOTAL'!AK343</f>
        <v>0</v>
      </c>
      <c r="AG337">
        <f>'RESUMEN TOTAL'!AL343</f>
        <v>0</v>
      </c>
      <c r="AH337">
        <f>'RESUMEN TOTAL'!AM343</f>
        <v>0</v>
      </c>
      <c r="AI337">
        <f>'RESUMEN TOTAL'!AN343</f>
        <v>0</v>
      </c>
    </row>
    <row r="338" spans="1:35" x14ac:dyDescent="0.25">
      <c r="A338" t="str">
        <f>'RESUMEN TOTAL'!A344</f>
        <v>VILLA VATTEONE CENTRO</v>
      </c>
      <c r="B338" t="str">
        <f>'RESUMEN TOTAL'!B344</f>
        <v>VAT 22 (fija 2)</v>
      </c>
      <c r="C338" t="str">
        <f>'RESUMEN TOTAL'!D344</f>
        <v>QUINTANA E/ BELGRANO Y FONROUGE</v>
      </c>
      <c r="D338" t="str">
        <f>'RESUMEN TOTAL'!E344</f>
        <v>Fija</v>
      </c>
      <c r="E338" t="str">
        <f>'RESUMEN TOTAL'!F344</f>
        <v>Fibra Optica</v>
      </c>
      <c r="F338">
        <f>'RESUMEN TOTAL'!K344</f>
        <v>0</v>
      </c>
      <c r="G338">
        <f>'RESUMEN TOTAL'!L344</f>
        <v>0</v>
      </c>
      <c r="H338">
        <f>'RESUMEN TOTAL'!M344</f>
        <v>0</v>
      </c>
      <c r="I338" t="str">
        <f>'RESUMEN TOTAL'!N344</f>
        <v>APAGADO</v>
      </c>
      <c r="J338" t="str">
        <f>'RESUMEN TOTAL'!O344</f>
        <v>APAGADO</v>
      </c>
      <c r="K338">
        <f>'RESUMEN TOTAL'!P344</f>
        <v>0</v>
      </c>
      <c r="L338">
        <f>'RESUMEN TOTAL'!Q344</f>
        <v>0</v>
      </c>
      <c r="M338">
        <f>'RESUMEN TOTAL'!R344</f>
        <v>0</v>
      </c>
      <c r="N338">
        <f>'RESUMEN TOTAL'!S344</f>
        <v>0</v>
      </c>
      <c r="O338">
        <f>'RESUMEN TOTAL'!T344</f>
        <v>0</v>
      </c>
      <c r="P338">
        <f>'RESUMEN TOTAL'!U344</f>
        <v>0</v>
      </c>
      <c r="Q338">
        <f>'RESUMEN TOTAL'!V344</f>
        <v>0</v>
      </c>
      <c r="R338">
        <f>'RESUMEN TOTAL'!W344</f>
        <v>0</v>
      </c>
      <c r="S338">
        <f>'RESUMEN TOTAL'!X344</f>
        <v>0</v>
      </c>
      <c r="T338">
        <f>'RESUMEN TOTAL'!Y344</f>
        <v>0</v>
      </c>
      <c r="U338">
        <f>'RESUMEN TOTAL'!Z344</f>
        <v>0</v>
      </c>
      <c r="V338">
        <f>'RESUMEN TOTAL'!AA344</f>
        <v>0</v>
      </c>
      <c r="W338">
        <f>'RESUMEN TOTAL'!AB344</f>
        <v>0</v>
      </c>
      <c r="X338">
        <f>'RESUMEN TOTAL'!AC344</f>
        <v>0</v>
      </c>
      <c r="Y338">
        <f>'RESUMEN TOTAL'!AD344</f>
        <v>0</v>
      </c>
      <c r="Z338">
        <f>'RESUMEN TOTAL'!AE344</f>
        <v>0</v>
      </c>
      <c r="AA338">
        <f>'RESUMEN TOTAL'!AF344</f>
        <v>0</v>
      </c>
      <c r="AB338">
        <f>'RESUMEN TOTAL'!AG344</f>
        <v>0</v>
      </c>
      <c r="AC338">
        <f>'RESUMEN TOTAL'!AH344</f>
        <v>0</v>
      </c>
      <c r="AD338">
        <f>'RESUMEN TOTAL'!AI344</f>
        <v>0</v>
      </c>
      <c r="AE338">
        <f>'RESUMEN TOTAL'!AJ344</f>
        <v>0</v>
      </c>
      <c r="AF338">
        <f>'RESUMEN TOTAL'!AK344</f>
        <v>0</v>
      </c>
      <c r="AG338">
        <f>'RESUMEN TOTAL'!AL344</f>
        <v>0</v>
      </c>
      <c r="AH338">
        <f>'RESUMEN TOTAL'!AM344</f>
        <v>0</v>
      </c>
      <c r="AI338">
        <f>'RESUMEN TOTAL'!AN344</f>
        <v>0</v>
      </c>
    </row>
    <row r="339" spans="1:35" x14ac:dyDescent="0.25">
      <c r="A339" t="str">
        <f>'RESUMEN TOTAL'!A345</f>
        <v>VILLA VATTEONE</v>
      </c>
      <c r="B339" t="str">
        <f>'RESUMEN TOTAL'!B345</f>
        <v>VAT01</v>
      </c>
      <c r="C339" t="str">
        <f>'RESUMEN TOTAL'!D345</f>
        <v>Montevideo y El ChaÃ±ar</v>
      </c>
      <c r="D339" t="str">
        <f>'RESUMEN TOTAL'!E345</f>
        <v>Domo</v>
      </c>
      <c r="E339" t="str">
        <f>'RESUMEN TOTAL'!F345</f>
        <v>Fibra Optica</v>
      </c>
      <c r="F339">
        <f>'RESUMEN TOTAL'!K345</f>
        <v>0</v>
      </c>
      <c r="G339">
        <f>'RESUMEN TOTAL'!L345</f>
        <v>0</v>
      </c>
      <c r="H339">
        <f>'RESUMEN TOTAL'!M345</f>
        <v>0</v>
      </c>
      <c r="I339">
        <f>'RESUMEN TOTAL'!N345</f>
        <v>0</v>
      </c>
      <c r="J339">
        <f>'RESUMEN TOTAL'!O345</f>
        <v>0</v>
      </c>
      <c r="K339">
        <f>'RESUMEN TOTAL'!P345</f>
        <v>0</v>
      </c>
      <c r="L339">
        <f>'RESUMEN TOTAL'!Q345</f>
        <v>0</v>
      </c>
      <c r="M339">
        <f>'RESUMEN TOTAL'!R345</f>
        <v>0</v>
      </c>
      <c r="N339">
        <f>'RESUMEN TOTAL'!S345</f>
        <v>0</v>
      </c>
      <c r="O339">
        <f>'RESUMEN TOTAL'!T345</f>
        <v>0</v>
      </c>
      <c r="P339">
        <f>'RESUMEN TOTAL'!U345</f>
        <v>0</v>
      </c>
      <c r="Q339">
        <f>'RESUMEN TOTAL'!V345</f>
        <v>0</v>
      </c>
      <c r="R339">
        <f>'RESUMEN TOTAL'!W345</f>
        <v>0</v>
      </c>
      <c r="S339">
        <f>'RESUMEN TOTAL'!X345</f>
        <v>0</v>
      </c>
      <c r="T339">
        <f>'RESUMEN TOTAL'!Y345</f>
        <v>0</v>
      </c>
      <c r="U339">
        <f>'RESUMEN TOTAL'!Z345</f>
        <v>0</v>
      </c>
      <c r="V339">
        <f>'RESUMEN TOTAL'!AA345</f>
        <v>0</v>
      </c>
      <c r="W339">
        <f>'RESUMEN TOTAL'!AB345</f>
        <v>0</v>
      </c>
      <c r="X339">
        <f>'RESUMEN TOTAL'!AC345</f>
        <v>0</v>
      </c>
      <c r="Y339">
        <f>'RESUMEN TOTAL'!AD345</f>
        <v>0</v>
      </c>
      <c r="Z339">
        <f>'RESUMEN TOTAL'!AE345</f>
        <v>0</v>
      </c>
      <c r="AA339">
        <f>'RESUMEN TOTAL'!AF345</f>
        <v>0</v>
      </c>
      <c r="AB339">
        <f>'RESUMEN TOTAL'!AG345</f>
        <v>0</v>
      </c>
      <c r="AC339">
        <f>'RESUMEN TOTAL'!AH345</f>
        <v>0</v>
      </c>
      <c r="AD339">
        <f>'RESUMEN TOTAL'!AI345</f>
        <v>0</v>
      </c>
      <c r="AE339">
        <f>'RESUMEN TOTAL'!AJ345</f>
        <v>0</v>
      </c>
      <c r="AF339">
        <f>'RESUMEN TOTAL'!AK345</f>
        <v>0</v>
      </c>
      <c r="AG339">
        <f>'RESUMEN TOTAL'!AL345</f>
        <v>0</v>
      </c>
      <c r="AH339">
        <f>'RESUMEN TOTAL'!AM345</f>
        <v>0</v>
      </c>
      <c r="AI339">
        <f>'RESUMEN TOTAL'!AN345</f>
        <v>0</v>
      </c>
    </row>
    <row r="340" spans="1:35" x14ac:dyDescent="0.25">
      <c r="A340" t="str">
        <f>'RESUMEN TOTAL'!A346</f>
        <v>VILLA VATTEONE CENTRO</v>
      </c>
      <c r="B340" t="str">
        <f>'RESUMEN TOTAL'!B346</f>
        <v>VAT02</v>
      </c>
      <c r="C340" t="str">
        <f>'RESUMEN TOTAL'!D346</f>
        <v>Eva Peron y 12 de Octubre</v>
      </c>
      <c r="D340" t="str">
        <f>'RESUMEN TOTAL'!E346</f>
        <v>Domo</v>
      </c>
      <c r="E340" t="str">
        <f>'RESUMEN TOTAL'!F346</f>
        <v>Fibra Optica</v>
      </c>
      <c r="F340">
        <f>'RESUMEN TOTAL'!K346</f>
        <v>0</v>
      </c>
      <c r="G340">
        <f>'RESUMEN TOTAL'!L346</f>
        <v>0</v>
      </c>
      <c r="H340" t="str">
        <f>'RESUMEN TOTAL'!M346</f>
        <v>APAGADO</v>
      </c>
      <c r="I340" t="str">
        <f>'RESUMEN TOTAL'!N346</f>
        <v>APAGADO</v>
      </c>
      <c r="J340">
        <f>'RESUMEN TOTAL'!O346</f>
        <v>0</v>
      </c>
      <c r="K340">
        <f>'RESUMEN TOTAL'!P346</f>
        <v>0</v>
      </c>
      <c r="L340">
        <f>'RESUMEN TOTAL'!Q346</f>
        <v>0</v>
      </c>
      <c r="M340">
        <f>'RESUMEN TOTAL'!R346</f>
        <v>0</v>
      </c>
      <c r="N340">
        <f>'RESUMEN TOTAL'!S346</f>
        <v>0</v>
      </c>
      <c r="O340">
        <f>'RESUMEN TOTAL'!T346</f>
        <v>0</v>
      </c>
      <c r="P340">
        <f>'RESUMEN TOTAL'!U346</f>
        <v>0</v>
      </c>
      <c r="Q340">
        <f>'RESUMEN TOTAL'!V346</f>
        <v>0</v>
      </c>
      <c r="R340">
        <f>'RESUMEN TOTAL'!W346</f>
        <v>0</v>
      </c>
      <c r="S340">
        <f>'RESUMEN TOTAL'!X346</f>
        <v>0</v>
      </c>
      <c r="T340">
        <f>'RESUMEN TOTAL'!Y346</f>
        <v>0</v>
      </c>
      <c r="U340">
        <f>'RESUMEN TOTAL'!Z346</f>
        <v>0</v>
      </c>
      <c r="V340">
        <f>'RESUMEN TOTAL'!AA346</f>
        <v>0</v>
      </c>
      <c r="W340">
        <f>'RESUMEN TOTAL'!AB346</f>
        <v>0</v>
      </c>
      <c r="X340">
        <f>'RESUMEN TOTAL'!AC346</f>
        <v>0</v>
      </c>
      <c r="Y340">
        <f>'RESUMEN TOTAL'!AD346</f>
        <v>0</v>
      </c>
      <c r="Z340">
        <f>'RESUMEN TOTAL'!AE346</f>
        <v>0</v>
      </c>
      <c r="AA340">
        <f>'RESUMEN TOTAL'!AF346</f>
        <v>0</v>
      </c>
      <c r="AB340">
        <f>'RESUMEN TOTAL'!AG346</f>
        <v>0</v>
      </c>
      <c r="AC340">
        <f>'RESUMEN TOTAL'!AH346</f>
        <v>0</v>
      </c>
      <c r="AD340">
        <f>'RESUMEN TOTAL'!AI346</f>
        <v>0</v>
      </c>
      <c r="AE340">
        <f>'RESUMEN TOTAL'!AJ346</f>
        <v>0</v>
      </c>
      <c r="AF340">
        <f>'RESUMEN TOTAL'!AK346</f>
        <v>0</v>
      </c>
      <c r="AG340">
        <f>'RESUMEN TOTAL'!AL346</f>
        <v>0</v>
      </c>
      <c r="AH340">
        <f>'RESUMEN TOTAL'!AM346</f>
        <v>0</v>
      </c>
      <c r="AI340">
        <f>'RESUMEN TOTAL'!AN346</f>
        <v>0</v>
      </c>
    </row>
    <row r="341" spans="1:35" x14ac:dyDescent="0.25">
      <c r="A341" t="str">
        <f>'RESUMEN TOTAL'!A347</f>
        <v>VILLA VATTEONE CENTRO</v>
      </c>
      <c r="B341" t="str">
        <f>'RESUMEN TOTAL'!B347</f>
        <v>VAT03</v>
      </c>
      <c r="C341" t="str">
        <f>'RESUMEN TOTAL'!D347</f>
        <v>Lavalle y Belgrano</v>
      </c>
      <c r="D341" t="str">
        <f>'RESUMEN TOTAL'!E347</f>
        <v>Domo</v>
      </c>
      <c r="E341" t="str">
        <f>'RESUMEN TOTAL'!F347</f>
        <v>Fibra Optica</v>
      </c>
      <c r="F341">
        <f>'RESUMEN TOTAL'!K347</f>
        <v>0</v>
      </c>
      <c r="G341">
        <f>'RESUMEN TOTAL'!L347</f>
        <v>0</v>
      </c>
      <c r="H341">
        <f>'RESUMEN TOTAL'!M347</f>
        <v>0</v>
      </c>
      <c r="I341" t="str">
        <f>'RESUMEN TOTAL'!N347</f>
        <v>APAGADO</v>
      </c>
      <c r="J341" t="str">
        <f>'RESUMEN TOTAL'!O347</f>
        <v>APAGADO</v>
      </c>
      <c r="K341">
        <f>'RESUMEN TOTAL'!P347</f>
        <v>0</v>
      </c>
      <c r="L341">
        <f>'RESUMEN TOTAL'!Q347</f>
        <v>0</v>
      </c>
      <c r="M341">
        <f>'RESUMEN TOTAL'!R347</f>
        <v>0</v>
      </c>
      <c r="N341">
        <f>'RESUMEN TOTAL'!S347</f>
        <v>0</v>
      </c>
      <c r="O341">
        <f>'RESUMEN TOTAL'!T347</f>
        <v>0</v>
      </c>
      <c r="P341">
        <f>'RESUMEN TOTAL'!U347</f>
        <v>0</v>
      </c>
      <c r="Q341">
        <f>'RESUMEN TOTAL'!V347</f>
        <v>0</v>
      </c>
      <c r="R341">
        <f>'RESUMEN TOTAL'!W347</f>
        <v>0</v>
      </c>
      <c r="S341">
        <f>'RESUMEN TOTAL'!X347</f>
        <v>0</v>
      </c>
      <c r="T341">
        <f>'RESUMEN TOTAL'!Y347</f>
        <v>0</v>
      </c>
      <c r="U341">
        <f>'RESUMEN TOTAL'!Z347</f>
        <v>0</v>
      </c>
      <c r="V341">
        <f>'RESUMEN TOTAL'!AA347</f>
        <v>0</v>
      </c>
      <c r="W341">
        <f>'RESUMEN TOTAL'!AB347</f>
        <v>0</v>
      </c>
      <c r="X341">
        <f>'RESUMEN TOTAL'!AC347</f>
        <v>0</v>
      </c>
      <c r="Y341">
        <f>'RESUMEN TOTAL'!AD347</f>
        <v>0</v>
      </c>
      <c r="Z341">
        <f>'RESUMEN TOTAL'!AE347</f>
        <v>0</v>
      </c>
      <c r="AA341">
        <f>'RESUMEN TOTAL'!AF347</f>
        <v>0</v>
      </c>
      <c r="AB341">
        <f>'RESUMEN TOTAL'!AG347</f>
        <v>0</v>
      </c>
      <c r="AC341">
        <f>'RESUMEN TOTAL'!AH347</f>
        <v>0</v>
      </c>
      <c r="AD341">
        <f>'RESUMEN TOTAL'!AI347</f>
        <v>0</v>
      </c>
      <c r="AE341">
        <f>'RESUMEN TOTAL'!AJ347</f>
        <v>0</v>
      </c>
      <c r="AF341">
        <f>'RESUMEN TOTAL'!AK347</f>
        <v>0</v>
      </c>
      <c r="AG341">
        <f>'RESUMEN TOTAL'!AL347</f>
        <v>0</v>
      </c>
      <c r="AH341">
        <f>'RESUMEN TOTAL'!AM347</f>
        <v>0</v>
      </c>
      <c r="AI341">
        <f>'RESUMEN TOTAL'!AN347</f>
        <v>0</v>
      </c>
    </row>
    <row r="342" spans="1:35" x14ac:dyDescent="0.25">
      <c r="A342" t="str">
        <f>'RESUMEN TOTAL'!A348</f>
        <v>VILLA VATTEONE CENTRO</v>
      </c>
      <c r="B342" t="str">
        <f>'RESUMEN TOTAL'!B348</f>
        <v>VAT04</v>
      </c>
      <c r="C342" t="str">
        <f>'RESUMEN TOTAL'!D348</f>
        <v>Lavalle y Entre Rios</v>
      </c>
      <c r="D342" t="str">
        <f>'RESUMEN TOTAL'!E348</f>
        <v>Domo</v>
      </c>
      <c r="E342" t="str">
        <f>'RESUMEN TOTAL'!F348</f>
        <v>Fibra Optica</v>
      </c>
      <c r="F342">
        <f>'RESUMEN TOTAL'!K348</f>
        <v>0</v>
      </c>
      <c r="G342">
        <f>'RESUMEN TOTAL'!L348</f>
        <v>0</v>
      </c>
      <c r="H342">
        <f>'RESUMEN TOTAL'!M348</f>
        <v>0</v>
      </c>
      <c r="I342" t="str">
        <f>'RESUMEN TOTAL'!N348</f>
        <v>APAGADO</v>
      </c>
      <c r="J342" t="str">
        <f>'RESUMEN TOTAL'!O348</f>
        <v>APAGADO</v>
      </c>
      <c r="K342">
        <f>'RESUMEN TOTAL'!P348</f>
        <v>0</v>
      </c>
      <c r="L342">
        <f>'RESUMEN TOTAL'!Q348</f>
        <v>0</v>
      </c>
      <c r="M342">
        <f>'RESUMEN TOTAL'!R348</f>
        <v>0</v>
      </c>
      <c r="N342">
        <f>'RESUMEN TOTAL'!S348</f>
        <v>0</v>
      </c>
      <c r="O342">
        <f>'RESUMEN TOTAL'!T348</f>
        <v>0</v>
      </c>
      <c r="P342">
        <f>'RESUMEN TOTAL'!U348</f>
        <v>0</v>
      </c>
      <c r="Q342">
        <f>'RESUMEN TOTAL'!V348</f>
        <v>0</v>
      </c>
      <c r="R342">
        <f>'RESUMEN TOTAL'!W348</f>
        <v>0</v>
      </c>
      <c r="S342">
        <f>'RESUMEN TOTAL'!X348</f>
        <v>0</v>
      </c>
      <c r="T342">
        <f>'RESUMEN TOTAL'!Y348</f>
        <v>0</v>
      </c>
      <c r="U342">
        <f>'RESUMEN TOTAL'!Z348</f>
        <v>0</v>
      </c>
      <c r="V342">
        <f>'RESUMEN TOTAL'!AA348</f>
        <v>0</v>
      </c>
      <c r="W342">
        <f>'RESUMEN TOTAL'!AB348</f>
        <v>0</v>
      </c>
      <c r="X342">
        <f>'RESUMEN TOTAL'!AC348</f>
        <v>0</v>
      </c>
      <c r="Y342">
        <f>'RESUMEN TOTAL'!AD348</f>
        <v>0</v>
      </c>
      <c r="Z342">
        <f>'RESUMEN TOTAL'!AE348</f>
        <v>0</v>
      </c>
      <c r="AA342">
        <f>'RESUMEN TOTAL'!AF348</f>
        <v>0</v>
      </c>
      <c r="AB342">
        <f>'RESUMEN TOTAL'!AG348</f>
        <v>0</v>
      </c>
      <c r="AC342">
        <f>'RESUMEN TOTAL'!AH348</f>
        <v>0</v>
      </c>
      <c r="AD342">
        <f>'RESUMEN TOTAL'!AI348</f>
        <v>0</v>
      </c>
      <c r="AE342">
        <f>'RESUMEN TOTAL'!AJ348</f>
        <v>0</v>
      </c>
      <c r="AF342">
        <f>'RESUMEN TOTAL'!AK348</f>
        <v>0</v>
      </c>
      <c r="AG342">
        <f>'RESUMEN TOTAL'!AL348</f>
        <v>0</v>
      </c>
      <c r="AH342">
        <f>'RESUMEN TOTAL'!AM348</f>
        <v>0</v>
      </c>
      <c r="AI342">
        <f>'RESUMEN TOTAL'!AN348</f>
        <v>0</v>
      </c>
    </row>
    <row r="343" spans="1:35" x14ac:dyDescent="0.25">
      <c r="A343" t="str">
        <f>'RESUMEN TOTAL'!A349</f>
        <v>VILLA VATTEONE CENTRO</v>
      </c>
      <c r="B343" t="str">
        <f>'RESUMEN TOTAL'!B349</f>
        <v>VAT05</v>
      </c>
      <c r="C343" t="str">
        <f>'RESUMEN TOTAL'!D349</f>
        <v>Lavalle y Colombia</v>
      </c>
      <c r="D343" t="str">
        <f>'RESUMEN TOTAL'!E349</f>
        <v>Domo</v>
      </c>
      <c r="E343" t="str">
        <f>'RESUMEN TOTAL'!F349</f>
        <v>Radio</v>
      </c>
      <c r="F343">
        <f>'RESUMEN TOTAL'!K349</f>
        <v>0</v>
      </c>
      <c r="G343">
        <f>'RESUMEN TOTAL'!L349</f>
        <v>0</v>
      </c>
      <c r="H343">
        <f>'RESUMEN TOTAL'!M349</f>
        <v>0</v>
      </c>
      <c r="I343">
        <f>'RESUMEN TOTAL'!N349</f>
        <v>0</v>
      </c>
      <c r="J343">
        <f>'RESUMEN TOTAL'!O349</f>
        <v>0</v>
      </c>
      <c r="K343">
        <f>'RESUMEN TOTAL'!P349</f>
        <v>0</v>
      </c>
      <c r="L343">
        <f>'RESUMEN TOTAL'!Q349</f>
        <v>0</v>
      </c>
      <c r="M343">
        <f>'RESUMEN TOTAL'!R349</f>
        <v>0</v>
      </c>
      <c r="N343">
        <f>'RESUMEN TOTAL'!S349</f>
        <v>0</v>
      </c>
      <c r="O343">
        <f>'RESUMEN TOTAL'!T349</f>
        <v>0</v>
      </c>
      <c r="P343">
        <f>'RESUMEN TOTAL'!U349</f>
        <v>0</v>
      </c>
      <c r="Q343">
        <f>'RESUMEN TOTAL'!V349</f>
        <v>0</v>
      </c>
      <c r="R343">
        <f>'RESUMEN TOTAL'!W349</f>
        <v>0</v>
      </c>
      <c r="S343">
        <f>'RESUMEN TOTAL'!X349</f>
        <v>0</v>
      </c>
      <c r="T343">
        <f>'RESUMEN TOTAL'!Y349</f>
        <v>0</v>
      </c>
      <c r="U343">
        <f>'RESUMEN TOTAL'!Z349</f>
        <v>0</v>
      </c>
      <c r="V343">
        <f>'RESUMEN TOTAL'!AA349</f>
        <v>0</v>
      </c>
      <c r="W343">
        <f>'RESUMEN TOTAL'!AB349</f>
        <v>0</v>
      </c>
      <c r="X343">
        <f>'RESUMEN TOTAL'!AC349</f>
        <v>0</v>
      </c>
      <c r="Y343">
        <f>'RESUMEN TOTAL'!AD349</f>
        <v>0</v>
      </c>
      <c r="Z343">
        <f>'RESUMEN TOTAL'!AE349</f>
        <v>0</v>
      </c>
      <c r="AA343">
        <f>'RESUMEN TOTAL'!AF349</f>
        <v>0</v>
      </c>
      <c r="AB343">
        <f>'RESUMEN TOTAL'!AG349</f>
        <v>0</v>
      </c>
      <c r="AC343">
        <f>'RESUMEN TOTAL'!AH349</f>
        <v>0</v>
      </c>
      <c r="AD343">
        <f>'RESUMEN TOTAL'!AI349</f>
        <v>0</v>
      </c>
      <c r="AE343">
        <f>'RESUMEN TOTAL'!AJ349</f>
        <v>0</v>
      </c>
      <c r="AF343">
        <f>'RESUMEN TOTAL'!AK349</f>
        <v>0</v>
      </c>
      <c r="AG343">
        <f>'RESUMEN TOTAL'!AL349</f>
        <v>0</v>
      </c>
      <c r="AH343">
        <f>'RESUMEN TOTAL'!AM349</f>
        <v>0</v>
      </c>
      <c r="AI343">
        <f>'RESUMEN TOTAL'!AN349</f>
        <v>0</v>
      </c>
    </row>
    <row r="344" spans="1:35" x14ac:dyDescent="0.25">
      <c r="A344" t="str">
        <f>'RESUMEN TOTAL'!A350</f>
        <v>VILLA VATTEONE CENTRO</v>
      </c>
      <c r="B344" t="str">
        <f>'RESUMEN TOTAL'!B350</f>
        <v>VAT06</v>
      </c>
      <c r="C344" t="str">
        <f>'RESUMEN TOTAL'!D350</f>
        <v>Eva Peron y Pueyrredon</v>
      </c>
      <c r="D344" t="str">
        <f>'RESUMEN TOTAL'!E350</f>
        <v>Domo</v>
      </c>
      <c r="E344" t="str">
        <f>'RESUMEN TOTAL'!F350</f>
        <v>Fibra Optica</v>
      </c>
      <c r="F344">
        <f>'RESUMEN TOTAL'!K350</f>
        <v>0</v>
      </c>
      <c r="G344">
        <f>'RESUMEN TOTAL'!L350</f>
        <v>0</v>
      </c>
      <c r="H344" t="str">
        <f>'RESUMEN TOTAL'!M350</f>
        <v>APAGADO</v>
      </c>
      <c r="I344" t="str">
        <f>'RESUMEN TOTAL'!N350</f>
        <v>APAGADO</v>
      </c>
      <c r="J344">
        <f>'RESUMEN TOTAL'!O350</f>
        <v>0</v>
      </c>
      <c r="K344">
        <f>'RESUMEN TOTAL'!P350</f>
        <v>0</v>
      </c>
      <c r="L344">
        <f>'RESUMEN TOTAL'!Q350</f>
        <v>0</v>
      </c>
      <c r="M344">
        <f>'RESUMEN TOTAL'!R350</f>
        <v>0</v>
      </c>
      <c r="N344">
        <f>'RESUMEN TOTAL'!S350</f>
        <v>0</v>
      </c>
      <c r="O344">
        <f>'RESUMEN TOTAL'!T350</f>
        <v>0</v>
      </c>
      <c r="P344">
        <f>'RESUMEN TOTAL'!U350</f>
        <v>0</v>
      </c>
      <c r="Q344">
        <f>'RESUMEN TOTAL'!V350</f>
        <v>0</v>
      </c>
      <c r="R344">
        <f>'RESUMEN TOTAL'!W350</f>
        <v>0</v>
      </c>
      <c r="S344">
        <f>'RESUMEN TOTAL'!X350</f>
        <v>0</v>
      </c>
      <c r="T344">
        <f>'RESUMEN TOTAL'!Y350</f>
        <v>0</v>
      </c>
      <c r="U344">
        <f>'RESUMEN TOTAL'!Z350</f>
        <v>0</v>
      </c>
      <c r="V344">
        <f>'RESUMEN TOTAL'!AA350</f>
        <v>0</v>
      </c>
      <c r="W344">
        <f>'RESUMEN TOTAL'!AB350</f>
        <v>0</v>
      </c>
      <c r="X344">
        <f>'RESUMEN TOTAL'!AC350</f>
        <v>0</v>
      </c>
      <c r="Y344">
        <f>'RESUMEN TOTAL'!AD350</f>
        <v>0</v>
      </c>
      <c r="Z344">
        <f>'RESUMEN TOTAL'!AE350</f>
        <v>0</v>
      </c>
      <c r="AA344">
        <f>'RESUMEN TOTAL'!AF350</f>
        <v>0</v>
      </c>
      <c r="AB344">
        <f>'RESUMEN TOTAL'!AG350</f>
        <v>0</v>
      </c>
      <c r="AC344">
        <f>'RESUMEN TOTAL'!AH350</f>
        <v>0</v>
      </c>
      <c r="AD344">
        <f>'RESUMEN TOTAL'!AI350</f>
        <v>0</v>
      </c>
      <c r="AE344">
        <f>'RESUMEN TOTAL'!AJ350</f>
        <v>0</v>
      </c>
      <c r="AF344">
        <f>'RESUMEN TOTAL'!AK350</f>
        <v>0</v>
      </c>
      <c r="AG344">
        <f>'RESUMEN TOTAL'!AL350</f>
        <v>0</v>
      </c>
      <c r="AH344">
        <f>'RESUMEN TOTAL'!AM350</f>
        <v>0</v>
      </c>
      <c r="AI344">
        <f>'RESUMEN TOTAL'!AN350</f>
        <v>0</v>
      </c>
    </row>
    <row r="345" spans="1:35" x14ac:dyDescent="0.25">
      <c r="A345" t="str">
        <f>'RESUMEN TOTAL'!A351</f>
        <v>VILLA VATTEONE CENTRO</v>
      </c>
      <c r="B345" t="str">
        <f>'RESUMEN TOTAL'!B351</f>
        <v>VAT07</v>
      </c>
      <c r="C345" t="str">
        <f>'RESUMEN TOTAL'!D351</f>
        <v>Eva Peron y Lavalle</v>
      </c>
      <c r="D345">
        <f>'RESUMEN TOTAL'!E351</f>
        <v>0</v>
      </c>
      <c r="E345" t="str">
        <f>'RESUMEN TOTAL'!F351</f>
        <v>PTO A FO</v>
      </c>
      <c r="F345">
        <f>'RESUMEN TOTAL'!K351</f>
        <v>0</v>
      </c>
      <c r="G345" t="str">
        <f>'RESUMEN TOTAL'!L351</f>
        <v>APAGADO</v>
      </c>
      <c r="H345" t="str">
        <f>'RESUMEN TOTAL'!M351</f>
        <v>APAGADO</v>
      </c>
      <c r="I345" t="str">
        <f>'RESUMEN TOTAL'!N351</f>
        <v>APAGADO</v>
      </c>
      <c r="J345">
        <f>'RESUMEN TOTAL'!O351</f>
        <v>0</v>
      </c>
      <c r="K345">
        <f>'RESUMEN TOTAL'!P351</f>
        <v>0</v>
      </c>
      <c r="L345">
        <f>'RESUMEN TOTAL'!Q351</f>
        <v>0</v>
      </c>
      <c r="M345">
        <f>'RESUMEN TOTAL'!R351</f>
        <v>0</v>
      </c>
      <c r="N345">
        <f>'RESUMEN TOTAL'!S351</f>
        <v>0</v>
      </c>
      <c r="O345">
        <f>'RESUMEN TOTAL'!T351</f>
        <v>0</v>
      </c>
      <c r="P345">
        <f>'RESUMEN TOTAL'!U351</f>
        <v>0</v>
      </c>
      <c r="Q345">
        <f>'RESUMEN TOTAL'!V351</f>
        <v>0</v>
      </c>
      <c r="R345">
        <f>'RESUMEN TOTAL'!W351</f>
        <v>0</v>
      </c>
      <c r="S345">
        <f>'RESUMEN TOTAL'!X351</f>
        <v>0</v>
      </c>
      <c r="T345">
        <f>'RESUMEN TOTAL'!Y351</f>
        <v>0</v>
      </c>
      <c r="U345">
        <f>'RESUMEN TOTAL'!Z351</f>
        <v>0</v>
      </c>
      <c r="V345">
        <f>'RESUMEN TOTAL'!AA351</f>
        <v>0</v>
      </c>
      <c r="W345">
        <f>'RESUMEN TOTAL'!AB351</f>
        <v>0</v>
      </c>
      <c r="X345">
        <f>'RESUMEN TOTAL'!AC351</f>
        <v>0</v>
      </c>
      <c r="Y345">
        <f>'RESUMEN TOTAL'!AD351</f>
        <v>0</v>
      </c>
      <c r="Z345">
        <f>'RESUMEN TOTAL'!AE351</f>
        <v>0</v>
      </c>
      <c r="AA345">
        <f>'RESUMEN TOTAL'!AF351</f>
        <v>0</v>
      </c>
      <c r="AB345">
        <f>'RESUMEN TOTAL'!AG351</f>
        <v>0</v>
      </c>
      <c r="AC345">
        <f>'RESUMEN TOTAL'!AH351</f>
        <v>0</v>
      </c>
      <c r="AD345">
        <f>'RESUMEN TOTAL'!AI351</f>
        <v>0</v>
      </c>
      <c r="AE345">
        <f>'RESUMEN TOTAL'!AJ351</f>
        <v>0</v>
      </c>
      <c r="AF345">
        <f>'RESUMEN TOTAL'!AK351</f>
        <v>0</v>
      </c>
      <c r="AG345">
        <f>'RESUMEN TOTAL'!AL351</f>
        <v>0</v>
      </c>
      <c r="AH345">
        <f>'RESUMEN TOTAL'!AM351</f>
        <v>0</v>
      </c>
      <c r="AI345">
        <f>'RESUMEN TOTAL'!AN351</f>
        <v>0</v>
      </c>
    </row>
    <row r="346" spans="1:35" x14ac:dyDescent="0.25">
      <c r="A346" t="str">
        <f>'RESUMEN TOTAL'!A352</f>
        <v>VILLA VATTEONE</v>
      </c>
      <c r="B346" t="str">
        <f>'RESUMEN TOTAL'!B352</f>
        <v>VAT08</v>
      </c>
      <c r="C346" t="str">
        <f>'RESUMEN TOTAL'!D352</f>
        <v>12 de Octubre y Florida</v>
      </c>
      <c r="D346" t="str">
        <f>'RESUMEN TOTAL'!E352</f>
        <v>Domo</v>
      </c>
      <c r="E346" t="str">
        <f>'RESUMEN TOTAL'!F352</f>
        <v>FIBRA OPTICA</v>
      </c>
      <c r="F346">
        <f>'RESUMEN TOTAL'!K352</f>
        <v>0</v>
      </c>
      <c r="G346">
        <f>'RESUMEN TOTAL'!L352</f>
        <v>0</v>
      </c>
      <c r="H346">
        <f>'RESUMEN TOTAL'!M352</f>
        <v>0</v>
      </c>
      <c r="I346">
        <f>'RESUMEN TOTAL'!N352</f>
        <v>0</v>
      </c>
      <c r="J346">
        <f>'RESUMEN TOTAL'!O352</f>
        <v>0</v>
      </c>
      <c r="K346">
        <f>'RESUMEN TOTAL'!P352</f>
        <v>0</v>
      </c>
      <c r="L346">
        <f>'RESUMEN TOTAL'!Q352</f>
        <v>0</v>
      </c>
      <c r="M346">
        <f>'RESUMEN TOTAL'!R352</f>
        <v>0</v>
      </c>
      <c r="N346">
        <f>'RESUMEN TOTAL'!S352</f>
        <v>0</v>
      </c>
      <c r="O346">
        <f>'RESUMEN TOTAL'!T352</f>
        <v>0</v>
      </c>
      <c r="P346">
        <f>'RESUMEN TOTAL'!U352</f>
        <v>0</v>
      </c>
      <c r="Q346">
        <f>'RESUMEN TOTAL'!V352</f>
        <v>0</v>
      </c>
      <c r="R346">
        <f>'RESUMEN TOTAL'!W352</f>
        <v>0</v>
      </c>
      <c r="S346">
        <f>'RESUMEN TOTAL'!X352</f>
        <v>0</v>
      </c>
      <c r="T346">
        <f>'RESUMEN TOTAL'!Y352</f>
        <v>0</v>
      </c>
      <c r="U346">
        <f>'RESUMEN TOTAL'!Z352</f>
        <v>0</v>
      </c>
      <c r="V346">
        <f>'RESUMEN TOTAL'!AA352</f>
        <v>0</v>
      </c>
      <c r="W346">
        <f>'RESUMEN TOTAL'!AB352</f>
        <v>0</v>
      </c>
      <c r="X346">
        <f>'RESUMEN TOTAL'!AC352</f>
        <v>0</v>
      </c>
      <c r="Y346">
        <f>'RESUMEN TOTAL'!AD352</f>
        <v>0</v>
      </c>
      <c r="Z346">
        <f>'RESUMEN TOTAL'!AE352</f>
        <v>0</v>
      </c>
      <c r="AA346">
        <f>'RESUMEN TOTAL'!AF352</f>
        <v>0</v>
      </c>
      <c r="AB346">
        <f>'RESUMEN TOTAL'!AG352</f>
        <v>0</v>
      </c>
      <c r="AC346">
        <f>'RESUMEN TOTAL'!AH352</f>
        <v>0</v>
      </c>
      <c r="AD346">
        <f>'RESUMEN TOTAL'!AI352</f>
        <v>0</v>
      </c>
      <c r="AE346">
        <f>'RESUMEN TOTAL'!AJ352</f>
        <v>0</v>
      </c>
      <c r="AF346">
        <f>'RESUMEN TOTAL'!AK352</f>
        <v>0</v>
      </c>
      <c r="AG346">
        <f>'RESUMEN TOTAL'!AL352</f>
        <v>0</v>
      </c>
      <c r="AH346">
        <f>'RESUMEN TOTAL'!AM352</f>
        <v>0</v>
      </c>
      <c r="AI346">
        <f>'RESUMEN TOTAL'!AN352</f>
        <v>0</v>
      </c>
    </row>
    <row r="347" spans="1:35" x14ac:dyDescent="0.25">
      <c r="A347" t="str">
        <f>'RESUMEN TOTAL'!A353</f>
        <v>VILLA VATTEONE</v>
      </c>
      <c r="B347" t="str">
        <f>'RESUMEN TOTAL'!B353</f>
        <v>VAT09</v>
      </c>
      <c r="C347" t="str">
        <f>'RESUMEN TOTAL'!D353</f>
        <v>Montevideo y Alsina</v>
      </c>
      <c r="D347" t="str">
        <f>'RESUMEN TOTAL'!E353</f>
        <v>Domo</v>
      </c>
      <c r="E347" t="str">
        <f>'RESUMEN TOTAL'!F353</f>
        <v>Fibra Optica</v>
      </c>
      <c r="F347">
        <f>'RESUMEN TOTAL'!K353</f>
        <v>0</v>
      </c>
      <c r="G347">
        <f>'RESUMEN TOTAL'!L353</f>
        <v>0</v>
      </c>
      <c r="H347">
        <f>'RESUMEN TOTAL'!M353</f>
        <v>0</v>
      </c>
      <c r="I347">
        <f>'RESUMEN TOTAL'!N353</f>
        <v>0</v>
      </c>
      <c r="J347">
        <f>'RESUMEN TOTAL'!O353</f>
        <v>0</v>
      </c>
      <c r="K347">
        <f>'RESUMEN TOTAL'!P353</f>
        <v>0</v>
      </c>
      <c r="L347">
        <f>'RESUMEN TOTAL'!Q353</f>
        <v>0</v>
      </c>
      <c r="M347">
        <f>'RESUMEN TOTAL'!R353</f>
        <v>0</v>
      </c>
      <c r="N347">
        <f>'RESUMEN TOTAL'!S353</f>
        <v>0</v>
      </c>
      <c r="O347">
        <f>'RESUMEN TOTAL'!T353</f>
        <v>0</v>
      </c>
      <c r="P347">
        <f>'RESUMEN TOTAL'!U353</f>
        <v>0</v>
      </c>
      <c r="Q347">
        <f>'RESUMEN TOTAL'!V353</f>
        <v>0</v>
      </c>
      <c r="R347">
        <f>'RESUMEN TOTAL'!W353</f>
        <v>0</v>
      </c>
      <c r="S347">
        <f>'RESUMEN TOTAL'!X353</f>
        <v>0</v>
      </c>
      <c r="T347">
        <f>'RESUMEN TOTAL'!Y353</f>
        <v>0</v>
      </c>
      <c r="U347">
        <f>'RESUMEN TOTAL'!Z353</f>
        <v>0</v>
      </c>
      <c r="V347">
        <f>'RESUMEN TOTAL'!AA353</f>
        <v>0</v>
      </c>
      <c r="W347">
        <f>'RESUMEN TOTAL'!AB353</f>
        <v>0</v>
      </c>
      <c r="X347">
        <f>'RESUMEN TOTAL'!AC353</f>
        <v>0</v>
      </c>
      <c r="Y347">
        <f>'RESUMEN TOTAL'!AD353</f>
        <v>0</v>
      </c>
      <c r="Z347">
        <f>'RESUMEN TOTAL'!AE353</f>
        <v>0</v>
      </c>
      <c r="AA347">
        <f>'RESUMEN TOTAL'!AF353</f>
        <v>0</v>
      </c>
      <c r="AB347">
        <f>'RESUMEN TOTAL'!AG353</f>
        <v>0</v>
      </c>
      <c r="AC347">
        <f>'RESUMEN TOTAL'!AH353</f>
        <v>0</v>
      </c>
      <c r="AD347">
        <f>'RESUMEN TOTAL'!AI353</f>
        <v>0</v>
      </c>
      <c r="AE347">
        <f>'RESUMEN TOTAL'!AJ353</f>
        <v>0</v>
      </c>
      <c r="AF347">
        <f>'RESUMEN TOTAL'!AK353</f>
        <v>0</v>
      </c>
      <c r="AG347">
        <f>'RESUMEN TOTAL'!AL353</f>
        <v>0</v>
      </c>
      <c r="AH347">
        <f>'RESUMEN TOTAL'!AM353</f>
        <v>0</v>
      </c>
      <c r="AI347">
        <f>'RESUMEN TOTAL'!AN353</f>
        <v>0</v>
      </c>
    </row>
    <row r="348" spans="1:35" x14ac:dyDescent="0.25">
      <c r="A348" t="str">
        <f>'RESUMEN TOTAL'!A354</f>
        <v>VILLA VATTEONE</v>
      </c>
      <c r="B348" t="str">
        <f>'RESUMEN TOTAL'!B354</f>
        <v>VAT11</v>
      </c>
      <c r="C348" t="str">
        <f>'RESUMEN TOTAL'!D354</f>
        <v>Mainini y Montevideo</v>
      </c>
      <c r="D348" t="str">
        <f>'RESUMEN TOTAL'!E354</f>
        <v>Domo</v>
      </c>
      <c r="E348" t="str">
        <f>'RESUMEN TOTAL'!F354</f>
        <v>Fibra Optica</v>
      </c>
      <c r="F348">
        <f>'RESUMEN TOTAL'!K354</f>
        <v>0</v>
      </c>
      <c r="G348">
        <f>'RESUMEN TOTAL'!L354</f>
        <v>0</v>
      </c>
      <c r="H348" t="str">
        <f>'RESUMEN TOTAL'!M354</f>
        <v>APAGADO</v>
      </c>
      <c r="I348" t="str">
        <f>'RESUMEN TOTAL'!N354</f>
        <v>APAGADO</v>
      </c>
      <c r="J348">
        <f>'RESUMEN TOTAL'!O354</f>
        <v>0</v>
      </c>
      <c r="K348">
        <f>'RESUMEN TOTAL'!P354</f>
        <v>0</v>
      </c>
      <c r="L348">
        <f>'RESUMEN TOTAL'!Q354</f>
        <v>0</v>
      </c>
      <c r="M348">
        <f>'RESUMEN TOTAL'!R354</f>
        <v>0</v>
      </c>
      <c r="N348">
        <f>'RESUMEN TOTAL'!S354</f>
        <v>0</v>
      </c>
      <c r="O348">
        <f>'RESUMEN TOTAL'!T354</f>
        <v>0</v>
      </c>
      <c r="P348">
        <f>'RESUMEN TOTAL'!U354</f>
        <v>0</v>
      </c>
      <c r="Q348">
        <f>'RESUMEN TOTAL'!V354</f>
        <v>0</v>
      </c>
      <c r="R348">
        <f>'RESUMEN TOTAL'!W354</f>
        <v>0</v>
      </c>
      <c r="S348">
        <f>'RESUMEN TOTAL'!X354</f>
        <v>0</v>
      </c>
      <c r="T348">
        <f>'RESUMEN TOTAL'!Y354</f>
        <v>0</v>
      </c>
      <c r="U348">
        <f>'RESUMEN TOTAL'!Z354</f>
        <v>0</v>
      </c>
      <c r="V348">
        <f>'RESUMEN TOTAL'!AA354</f>
        <v>0</v>
      </c>
      <c r="W348">
        <f>'RESUMEN TOTAL'!AB354</f>
        <v>0</v>
      </c>
      <c r="X348">
        <f>'RESUMEN TOTAL'!AC354</f>
        <v>0</v>
      </c>
      <c r="Y348">
        <f>'RESUMEN TOTAL'!AD354</f>
        <v>0</v>
      </c>
      <c r="Z348">
        <f>'RESUMEN TOTAL'!AE354</f>
        <v>0</v>
      </c>
      <c r="AA348">
        <f>'RESUMEN TOTAL'!AF354</f>
        <v>0</v>
      </c>
      <c r="AB348">
        <f>'RESUMEN TOTAL'!AG354</f>
        <v>0</v>
      </c>
      <c r="AC348">
        <f>'RESUMEN TOTAL'!AH354</f>
        <v>0</v>
      </c>
      <c r="AD348">
        <f>'RESUMEN TOTAL'!AI354</f>
        <v>0</v>
      </c>
      <c r="AE348">
        <f>'RESUMEN TOTAL'!AJ354</f>
        <v>0</v>
      </c>
      <c r="AF348">
        <f>'RESUMEN TOTAL'!AK354</f>
        <v>0</v>
      </c>
      <c r="AG348">
        <f>'RESUMEN TOTAL'!AL354</f>
        <v>0</v>
      </c>
      <c r="AH348">
        <f>'RESUMEN TOTAL'!AM354</f>
        <v>0</v>
      </c>
      <c r="AI348">
        <f>'RESUMEN TOTAL'!AN354</f>
        <v>0</v>
      </c>
    </row>
    <row r="349" spans="1:35" x14ac:dyDescent="0.25">
      <c r="A349" t="str">
        <f>'RESUMEN TOTAL'!A355</f>
        <v>VILLA VATTEONE</v>
      </c>
      <c r="B349" t="str">
        <f>'RESUMEN TOTAL'!B355</f>
        <v>VAT12</v>
      </c>
      <c r="C349" t="str">
        <f>'RESUMEN TOTAL'!D355</f>
        <v>12 DE OCTUBRE Y CHACO</v>
      </c>
      <c r="D349" t="str">
        <f>'RESUMEN TOTAL'!E355</f>
        <v>DOMO</v>
      </c>
      <c r="E349" t="str">
        <f>'RESUMEN TOTAL'!F355</f>
        <v>PTO A FO</v>
      </c>
      <c r="F349">
        <f>'RESUMEN TOTAL'!K355</f>
        <v>0</v>
      </c>
      <c r="G349">
        <f>'RESUMEN TOTAL'!L355</f>
        <v>0</v>
      </c>
      <c r="H349">
        <f>'RESUMEN TOTAL'!M355</f>
        <v>0</v>
      </c>
      <c r="I349">
        <f>'RESUMEN TOTAL'!N355</f>
        <v>0</v>
      </c>
      <c r="J349">
        <f>'RESUMEN TOTAL'!O355</f>
        <v>0</v>
      </c>
      <c r="K349">
        <f>'RESUMEN TOTAL'!P355</f>
        <v>0</v>
      </c>
      <c r="L349">
        <f>'RESUMEN TOTAL'!Q355</f>
        <v>0</v>
      </c>
      <c r="M349">
        <f>'RESUMEN TOTAL'!R355</f>
        <v>0</v>
      </c>
      <c r="N349">
        <f>'RESUMEN TOTAL'!S355</f>
        <v>0</v>
      </c>
      <c r="O349">
        <f>'RESUMEN TOTAL'!T355</f>
        <v>0</v>
      </c>
      <c r="P349">
        <f>'RESUMEN TOTAL'!U355</f>
        <v>0</v>
      </c>
      <c r="Q349">
        <f>'RESUMEN TOTAL'!V355</f>
        <v>0</v>
      </c>
      <c r="R349">
        <f>'RESUMEN TOTAL'!W355</f>
        <v>0</v>
      </c>
      <c r="S349">
        <f>'RESUMEN TOTAL'!X355</f>
        <v>0</v>
      </c>
      <c r="T349">
        <f>'RESUMEN TOTAL'!Y355</f>
        <v>0</v>
      </c>
      <c r="U349">
        <f>'RESUMEN TOTAL'!Z355</f>
        <v>0</v>
      </c>
      <c r="V349">
        <f>'RESUMEN TOTAL'!AA355</f>
        <v>0</v>
      </c>
      <c r="W349">
        <f>'RESUMEN TOTAL'!AB355</f>
        <v>0</v>
      </c>
      <c r="X349">
        <f>'RESUMEN TOTAL'!AC355</f>
        <v>0</v>
      </c>
      <c r="Y349">
        <f>'RESUMEN TOTAL'!AD355</f>
        <v>0</v>
      </c>
      <c r="Z349">
        <f>'RESUMEN TOTAL'!AE355</f>
        <v>0</v>
      </c>
      <c r="AA349">
        <f>'RESUMEN TOTAL'!AF355</f>
        <v>0</v>
      </c>
      <c r="AB349">
        <f>'RESUMEN TOTAL'!AG355</f>
        <v>0</v>
      </c>
      <c r="AC349">
        <f>'RESUMEN TOTAL'!AH355</f>
        <v>0</v>
      </c>
      <c r="AD349">
        <f>'RESUMEN TOTAL'!AI355</f>
        <v>0</v>
      </c>
      <c r="AE349">
        <f>'RESUMEN TOTAL'!AJ355</f>
        <v>0</v>
      </c>
      <c r="AF349">
        <f>'RESUMEN TOTAL'!AK355</f>
        <v>0</v>
      </c>
      <c r="AG349">
        <f>'RESUMEN TOTAL'!AL355</f>
        <v>0</v>
      </c>
      <c r="AH349">
        <f>'RESUMEN TOTAL'!AM355</f>
        <v>0</v>
      </c>
      <c r="AI349">
        <f>'RESUMEN TOTAL'!AN355</f>
        <v>0</v>
      </c>
    </row>
    <row r="350" spans="1:35" x14ac:dyDescent="0.25">
      <c r="A350" t="str">
        <f>'RESUMEN TOTAL'!A356</f>
        <v>VILLA VATTEONE CENTRO</v>
      </c>
      <c r="B350" t="str">
        <f>'RESUMEN TOTAL'!B356</f>
        <v>VAT13</v>
      </c>
      <c r="C350" t="str">
        <f>'RESUMEN TOTAL'!D356</f>
        <v>Av.12 de Octubre y Belgrano</v>
      </c>
      <c r="D350" t="str">
        <f>'RESUMEN TOTAL'!E356</f>
        <v>Domo</v>
      </c>
      <c r="E350" t="str">
        <f>'RESUMEN TOTAL'!F356</f>
        <v>PTO A FO</v>
      </c>
      <c r="F350">
        <f>'RESUMEN TOTAL'!K356</f>
        <v>0</v>
      </c>
      <c r="G350">
        <f>'RESUMEN TOTAL'!L356</f>
        <v>0</v>
      </c>
      <c r="H350">
        <f>'RESUMEN TOTAL'!M356</f>
        <v>0</v>
      </c>
      <c r="I350">
        <f>'RESUMEN TOTAL'!N356</f>
        <v>0</v>
      </c>
      <c r="J350">
        <f>'RESUMEN TOTAL'!O356</f>
        <v>0</v>
      </c>
      <c r="K350">
        <f>'RESUMEN TOTAL'!P356</f>
        <v>0</v>
      </c>
      <c r="L350">
        <f>'RESUMEN TOTAL'!Q356</f>
        <v>0</v>
      </c>
      <c r="M350">
        <f>'RESUMEN TOTAL'!R356</f>
        <v>0</v>
      </c>
      <c r="N350">
        <f>'RESUMEN TOTAL'!S356</f>
        <v>0</v>
      </c>
      <c r="O350">
        <f>'RESUMEN TOTAL'!T356</f>
        <v>0</v>
      </c>
      <c r="P350">
        <f>'RESUMEN TOTAL'!U356</f>
        <v>0</v>
      </c>
      <c r="Q350">
        <f>'RESUMEN TOTAL'!V356</f>
        <v>0</v>
      </c>
      <c r="R350">
        <f>'RESUMEN TOTAL'!W356</f>
        <v>0</v>
      </c>
      <c r="S350">
        <f>'RESUMEN TOTAL'!X356</f>
        <v>0</v>
      </c>
      <c r="T350">
        <f>'RESUMEN TOTAL'!Y356</f>
        <v>0</v>
      </c>
      <c r="U350">
        <f>'RESUMEN TOTAL'!Z356</f>
        <v>0</v>
      </c>
      <c r="V350">
        <f>'RESUMEN TOTAL'!AA356</f>
        <v>0</v>
      </c>
      <c r="W350">
        <f>'RESUMEN TOTAL'!AB356</f>
        <v>0</v>
      </c>
      <c r="X350">
        <f>'RESUMEN TOTAL'!AC356</f>
        <v>0</v>
      </c>
      <c r="Y350">
        <f>'RESUMEN TOTAL'!AD356</f>
        <v>0</v>
      </c>
      <c r="Z350">
        <f>'RESUMEN TOTAL'!AE356</f>
        <v>0</v>
      </c>
      <c r="AA350">
        <f>'RESUMEN TOTAL'!AF356</f>
        <v>0</v>
      </c>
      <c r="AB350">
        <f>'RESUMEN TOTAL'!AG356</f>
        <v>0</v>
      </c>
      <c r="AC350">
        <f>'RESUMEN TOTAL'!AH356</f>
        <v>0</v>
      </c>
      <c r="AD350">
        <f>'RESUMEN TOTAL'!AI356</f>
        <v>0</v>
      </c>
      <c r="AE350">
        <f>'RESUMEN TOTAL'!AJ356</f>
        <v>0</v>
      </c>
      <c r="AF350">
        <f>'RESUMEN TOTAL'!AK356</f>
        <v>0</v>
      </c>
      <c r="AG350">
        <f>'RESUMEN TOTAL'!AL356</f>
        <v>0</v>
      </c>
      <c r="AH350">
        <f>'RESUMEN TOTAL'!AM356</f>
        <v>0</v>
      </c>
      <c r="AI350">
        <f>'RESUMEN TOTAL'!AN356</f>
        <v>0</v>
      </c>
    </row>
    <row r="351" spans="1:35" x14ac:dyDescent="0.25">
      <c r="A351" t="str">
        <f>'RESUMEN TOTAL'!A357</f>
        <v>VILLA VATTEONE CENTRO</v>
      </c>
      <c r="B351" t="str">
        <f>'RESUMEN TOTAL'!B357</f>
        <v>VAT18</v>
      </c>
      <c r="C351" t="str">
        <f>'RESUMEN TOTAL'!D357</f>
        <v>LAVALLE Y FONROUGE</v>
      </c>
      <c r="D351" t="str">
        <f>'RESUMEN TOTAL'!E357</f>
        <v>DOMO</v>
      </c>
      <c r="E351" t="str">
        <f>'RESUMEN TOTAL'!F357</f>
        <v>PTO A FO</v>
      </c>
      <c r="F351">
        <f>'RESUMEN TOTAL'!K357</f>
        <v>0</v>
      </c>
      <c r="G351">
        <f>'RESUMEN TOTAL'!L357</f>
        <v>0</v>
      </c>
      <c r="H351">
        <f>'RESUMEN TOTAL'!M357</f>
        <v>0</v>
      </c>
      <c r="I351" t="str">
        <f>'RESUMEN TOTAL'!N357</f>
        <v>APAGADO</v>
      </c>
      <c r="J351" t="str">
        <f>'RESUMEN TOTAL'!O357</f>
        <v>APAGADO</v>
      </c>
      <c r="K351">
        <f>'RESUMEN TOTAL'!P357</f>
        <v>0</v>
      </c>
      <c r="L351">
        <f>'RESUMEN TOTAL'!Q357</f>
        <v>0</v>
      </c>
      <c r="M351">
        <f>'RESUMEN TOTAL'!R357</f>
        <v>0</v>
      </c>
      <c r="N351">
        <f>'RESUMEN TOTAL'!S357</f>
        <v>0</v>
      </c>
      <c r="O351">
        <f>'RESUMEN TOTAL'!T357</f>
        <v>0</v>
      </c>
      <c r="P351">
        <f>'RESUMEN TOTAL'!U357</f>
        <v>0</v>
      </c>
      <c r="Q351">
        <f>'RESUMEN TOTAL'!V357</f>
        <v>0</v>
      </c>
      <c r="R351">
        <f>'RESUMEN TOTAL'!W357</f>
        <v>0</v>
      </c>
      <c r="S351">
        <f>'RESUMEN TOTAL'!X357</f>
        <v>0</v>
      </c>
      <c r="T351">
        <f>'RESUMEN TOTAL'!Y357</f>
        <v>0</v>
      </c>
      <c r="U351">
        <f>'RESUMEN TOTAL'!Z357</f>
        <v>0</v>
      </c>
      <c r="V351">
        <f>'RESUMEN TOTAL'!AA357</f>
        <v>0</v>
      </c>
      <c r="W351">
        <f>'RESUMEN TOTAL'!AB357</f>
        <v>0</v>
      </c>
      <c r="X351">
        <f>'RESUMEN TOTAL'!AC357</f>
        <v>0</v>
      </c>
      <c r="Y351">
        <f>'RESUMEN TOTAL'!AD357</f>
        <v>0</v>
      </c>
      <c r="Z351">
        <f>'RESUMEN TOTAL'!AE357</f>
        <v>0</v>
      </c>
      <c r="AA351">
        <f>'RESUMEN TOTAL'!AF357</f>
        <v>0</v>
      </c>
      <c r="AB351">
        <f>'RESUMEN TOTAL'!AG357</f>
        <v>0</v>
      </c>
      <c r="AC351">
        <f>'RESUMEN TOTAL'!AH357</f>
        <v>0</v>
      </c>
      <c r="AD351">
        <f>'RESUMEN TOTAL'!AI357</f>
        <v>0</v>
      </c>
      <c r="AE351">
        <f>'RESUMEN TOTAL'!AJ357</f>
        <v>0</v>
      </c>
      <c r="AF351">
        <f>'RESUMEN TOTAL'!AK357</f>
        <v>0</v>
      </c>
      <c r="AG351">
        <f>'RESUMEN TOTAL'!AL357</f>
        <v>0</v>
      </c>
      <c r="AH351">
        <f>'RESUMEN TOTAL'!AM357</f>
        <v>0</v>
      </c>
      <c r="AI351">
        <f>'RESUMEN TOTAL'!AN357</f>
        <v>0</v>
      </c>
    </row>
    <row r="352" spans="1:35" x14ac:dyDescent="0.25">
      <c r="A352" t="str">
        <f>'RESUMEN TOTAL'!A358</f>
        <v>VILLA VATTEONE CENTRO</v>
      </c>
      <c r="B352" t="str">
        <f>'RESUMEN TOTAL'!B358</f>
        <v>VAT19</v>
      </c>
      <c r="C352" t="str">
        <f>'RESUMEN TOTAL'!D358</f>
        <v>QUINTANA Y FONROUGE ( TUCUMAN )</v>
      </c>
      <c r="D352" t="str">
        <f>'RESUMEN TOTAL'!E358</f>
        <v>DOMO</v>
      </c>
      <c r="E352" t="str">
        <f>'RESUMEN TOTAL'!F358</f>
        <v>Radio</v>
      </c>
      <c r="F352">
        <f>'RESUMEN TOTAL'!K358</f>
        <v>0</v>
      </c>
      <c r="G352">
        <f>'RESUMEN TOTAL'!L358</f>
        <v>0</v>
      </c>
      <c r="H352">
        <f>'RESUMEN TOTAL'!M358</f>
        <v>0</v>
      </c>
      <c r="I352">
        <f>'RESUMEN TOTAL'!N358</f>
        <v>0</v>
      </c>
      <c r="J352">
        <f>'RESUMEN TOTAL'!O358</f>
        <v>0</v>
      </c>
      <c r="K352">
        <f>'RESUMEN TOTAL'!P358</f>
        <v>0</v>
      </c>
      <c r="L352">
        <f>'RESUMEN TOTAL'!Q358</f>
        <v>0</v>
      </c>
      <c r="M352">
        <f>'RESUMEN TOTAL'!R358</f>
        <v>0</v>
      </c>
      <c r="N352">
        <f>'RESUMEN TOTAL'!S358</f>
        <v>0</v>
      </c>
      <c r="O352">
        <f>'RESUMEN TOTAL'!T358</f>
        <v>0</v>
      </c>
      <c r="P352">
        <f>'RESUMEN TOTAL'!U358</f>
        <v>0</v>
      </c>
      <c r="Q352">
        <f>'RESUMEN TOTAL'!V358</f>
        <v>0</v>
      </c>
      <c r="R352">
        <f>'RESUMEN TOTAL'!W358</f>
        <v>0</v>
      </c>
      <c r="S352">
        <f>'RESUMEN TOTAL'!X358</f>
        <v>0</v>
      </c>
      <c r="T352">
        <f>'RESUMEN TOTAL'!Y358</f>
        <v>0</v>
      </c>
      <c r="U352">
        <f>'RESUMEN TOTAL'!Z358</f>
        <v>0</v>
      </c>
      <c r="V352">
        <f>'RESUMEN TOTAL'!AA358</f>
        <v>0</v>
      </c>
      <c r="W352">
        <f>'RESUMEN TOTAL'!AB358</f>
        <v>0</v>
      </c>
      <c r="X352">
        <f>'RESUMEN TOTAL'!AC358</f>
        <v>0</v>
      </c>
      <c r="Y352">
        <f>'RESUMEN TOTAL'!AD358</f>
        <v>0</v>
      </c>
      <c r="Z352">
        <f>'RESUMEN TOTAL'!AE358</f>
        <v>0</v>
      </c>
      <c r="AA352">
        <f>'RESUMEN TOTAL'!AF358</f>
        <v>0</v>
      </c>
      <c r="AB352">
        <f>'RESUMEN TOTAL'!AG358</f>
        <v>0</v>
      </c>
      <c r="AC352">
        <f>'RESUMEN TOTAL'!AH358</f>
        <v>0</v>
      </c>
      <c r="AD352">
        <f>'RESUMEN TOTAL'!AI358</f>
        <v>0</v>
      </c>
      <c r="AE352">
        <f>'RESUMEN TOTAL'!AJ358</f>
        <v>0</v>
      </c>
      <c r="AF352">
        <f>'RESUMEN TOTAL'!AK358</f>
        <v>0</v>
      </c>
      <c r="AG352">
        <f>'RESUMEN TOTAL'!AL358</f>
        <v>0</v>
      </c>
      <c r="AH352">
        <f>'RESUMEN TOTAL'!AM358</f>
        <v>0</v>
      </c>
      <c r="AI352">
        <f>'RESUMEN TOTAL'!AN358</f>
        <v>0</v>
      </c>
    </row>
    <row r="353" spans="1:35" x14ac:dyDescent="0.25">
      <c r="A353" t="str">
        <f>'RESUMEN TOTAL'!A359</f>
        <v>VILLA VATTEONE CENTRO</v>
      </c>
      <c r="B353" t="str">
        <f>'RESUMEN TOTAL'!B359</f>
        <v>VAT23 (fija 1)</v>
      </c>
      <c r="C353" t="str">
        <f>'RESUMEN TOTAL'!D359</f>
        <v>EVA PERON Y "EL TUNEL" (BAJO NIVEL)</v>
      </c>
      <c r="D353" t="str">
        <f>'RESUMEN TOTAL'!E359</f>
        <v>Fija</v>
      </c>
      <c r="E353" t="str">
        <f>'RESUMEN TOTAL'!F359</f>
        <v>Fibra Optica</v>
      </c>
      <c r="F353">
        <f>'RESUMEN TOTAL'!K359</f>
        <v>0</v>
      </c>
      <c r="G353" t="str">
        <f>'RESUMEN TOTAL'!L359</f>
        <v>APAGADO</v>
      </c>
      <c r="H353" t="str">
        <f>'RESUMEN TOTAL'!M359</f>
        <v>APAGADO</v>
      </c>
      <c r="I353">
        <f>'RESUMEN TOTAL'!N359</f>
        <v>0</v>
      </c>
      <c r="J353">
        <f>'RESUMEN TOTAL'!O359</f>
        <v>0</v>
      </c>
      <c r="K353">
        <f>'RESUMEN TOTAL'!P359</f>
        <v>0</v>
      </c>
      <c r="L353">
        <f>'RESUMEN TOTAL'!Q359</f>
        <v>0</v>
      </c>
      <c r="M353">
        <f>'RESUMEN TOTAL'!R359</f>
        <v>0</v>
      </c>
      <c r="N353">
        <f>'RESUMEN TOTAL'!S359</f>
        <v>0</v>
      </c>
      <c r="O353">
        <f>'RESUMEN TOTAL'!T359</f>
        <v>0</v>
      </c>
      <c r="P353">
        <f>'RESUMEN TOTAL'!U359</f>
        <v>0</v>
      </c>
      <c r="Q353">
        <f>'RESUMEN TOTAL'!V359</f>
        <v>0</v>
      </c>
      <c r="R353">
        <f>'RESUMEN TOTAL'!W359</f>
        <v>0</v>
      </c>
      <c r="S353">
        <f>'RESUMEN TOTAL'!X359</f>
        <v>0</v>
      </c>
      <c r="T353">
        <f>'RESUMEN TOTAL'!Y359</f>
        <v>0</v>
      </c>
      <c r="U353">
        <f>'RESUMEN TOTAL'!Z359</f>
        <v>0</v>
      </c>
      <c r="V353">
        <f>'RESUMEN TOTAL'!AA359</f>
        <v>0</v>
      </c>
      <c r="W353">
        <f>'RESUMEN TOTAL'!AB359</f>
        <v>0</v>
      </c>
      <c r="X353">
        <f>'RESUMEN TOTAL'!AC359</f>
        <v>0</v>
      </c>
      <c r="Y353">
        <f>'RESUMEN TOTAL'!AD359</f>
        <v>0</v>
      </c>
      <c r="Z353">
        <f>'RESUMEN TOTAL'!AE359</f>
        <v>0</v>
      </c>
      <c r="AA353">
        <f>'RESUMEN TOTAL'!AF359</f>
        <v>0</v>
      </c>
      <c r="AB353">
        <f>'RESUMEN TOTAL'!AG359</f>
        <v>0</v>
      </c>
      <c r="AC353">
        <f>'RESUMEN TOTAL'!AH359</f>
        <v>0</v>
      </c>
      <c r="AD353">
        <f>'RESUMEN TOTAL'!AI359</f>
        <v>0</v>
      </c>
      <c r="AE353">
        <f>'RESUMEN TOTAL'!AJ359</f>
        <v>0</v>
      </c>
      <c r="AF353">
        <f>'RESUMEN TOTAL'!AK359</f>
        <v>0</v>
      </c>
      <c r="AG353">
        <f>'RESUMEN TOTAL'!AL359</f>
        <v>0</v>
      </c>
      <c r="AH353">
        <f>'RESUMEN TOTAL'!AM359</f>
        <v>0</v>
      </c>
      <c r="AI353">
        <f>'RESUMEN TOTAL'!AN359</f>
        <v>0</v>
      </c>
    </row>
    <row r="354" spans="1:35" x14ac:dyDescent="0.25">
      <c r="A354" t="str">
        <f>'RESUMEN TOTAL'!A360</f>
        <v>VILLA VATTEONE CENTRO</v>
      </c>
      <c r="B354" t="str">
        <f>'RESUMEN TOTAL'!B360</f>
        <v>VAT24 (fija 2)</v>
      </c>
      <c r="C354" t="str">
        <f>'RESUMEN TOTAL'!D360</f>
        <v>EVA PERON Y "EL TUNEL" (BAJO NIVEL)</v>
      </c>
      <c r="D354" t="str">
        <f>'RESUMEN TOTAL'!E360</f>
        <v>Fija</v>
      </c>
      <c r="E354" t="str">
        <f>'RESUMEN TOTAL'!F360</f>
        <v>Fibra Optica</v>
      </c>
      <c r="F354">
        <f>'RESUMEN TOTAL'!K360</f>
        <v>0</v>
      </c>
      <c r="G354" t="str">
        <f>'RESUMEN TOTAL'!L360</f>
        <v>APAGADO</v>
      </c>
      <c r="H354" t="str">
        <f>'RESUMEN TOTAL'!M360</f>
        <v>APAGADO</v>
      </c>
      <c r="I354">
        <f>'RESUMEN TOTAL'!N360</f>
        <v>0</v>
      </c>
      <c r="J354">
        <f>'RESUMEN TOTAL'!O360</f>
        <v>0</v>
      </c>
      <c r="K354">
        <f>'RESUMEN TOTAL'!P360</f>
        <v>0</v>
      </c>
      <c r="L354">
        <f>'RESUMEN TOTAL'!Q360</f>
        <v>0</v>
      </c>
      <c r="M354">
        <f>'RESUMEN TOTAL'!R360</f>
        <v>0</v>
      </c>
      <c r="N354">
        <f>'RESUMEN TOTAL'!S360</f>
        <v>0</v>
      </c>
      <c r="O354">
        <f>'RESUMEN TOTAL'!T360</f>
        <v>0</v>
      </c>
      <c r="P354">
        <f>'RESUMEN TOTAL'!U360</f>
        <v>0</v>
      </c>
      <c r="Q354">
        <f>'RESUMEN TOTAL'!V360</f>
        <v>0</v>
      </c>
      <c r="R354">
        <f>'RESUMEN TOTAL'!W360</f>
        <v>0</v>
      </c>
      <c r="S354">
        <f>'RESUMEN TOTAL'!X360</f>
        <v>0</v>
      </c>
      <c r="T354">
        <f>'RESUMEN TOTAL'!Y360</f>
        <v>0</v>
      </c>
      <c r="U354">
        <f>'RESUMEN TOTAL'!Z360</f>
        <v>0</v>
      </c>
      <c r="V354">
        <f>'RESUMEN TOTAL'!AA360</f>
        <v>0</v>
      </c>
      <c r="W354">
        <f>'RESUMEN TOTAL'!AB360</f>
        <v>0</v>
      </c>
      <c r="X354">
        <f>'RESUMEN TOTAL'!AC360</f>
        <v>0</v>
      </c>
      <c r="Y354">
        <f>'RESUMEN TOTAL'!AD360</f>
        <v>0</v>
      </c>
      <c r="Z354">
        <f>'RESUMEN TOTAL'!AE360</f>
        <v>0</v>
      </c>
      <c r="AA354">
        <f>'RESUMEN TOTAL'!AF360</f>
        <v>0</v>
      </c>
      <c r="AB354">
        <f>'RESUMEN TOTAL'!AG360</f>
        <v>0</v>
      </c>
      <c r="AC354">
        <f>'RESUMEN TOTAL'!AH360</f>
        <v>0</v>
      </c>
      <c r="AD354">
        <f>'RESUMEN TOTAL'!AI360</f>
        <v>0</v>
      </c>
      <c r="AE354">
        <f>'RESUMEN TOTAL'!AJ360</f>
        <v>0</v>
      </c>
      <c r="AF354">
        <f>'RESUMEN TOTAL'!AK360</f>
        <v>0</v>
      </c>
      <c r="AG354">
        <f>'RESUMEN TOTAL'!AL360</f>
        <v>0</v>
      </c>
      <c r="AH354">
        <f>'RESUMEN TOTAL'!AM360</f>
        <v>0</v>
      </c>
      <c r="AI354">
        <f>'RESUMEN TOTAL'!AN360</f>
        <v>0</v>
      </c>
    </row>
    <row r="355" spans="1:35" x14ac:dyDescent="0.25">
      <c r="A355" t="str">
        <f>'RESUMEN TOTAL'!A361</f>
        <v>VILLA AURORA</v>
      </c>
      <c r="B355" t="str">
        <f>'RESUMEN TOTAL'!B361</f>
        <v>VAU 01</v>
      </c>
      <c r="C355" t="str">
        <f>'RESUMEN TOTAL'!D361</f>
        <v>San Martin y Monteverde</v>
      </c>
      <c r="D355" t="str">
        <f>'RESUMEN TOTAL'!E361</f>
        <v>Domo</v>
      </c>
      <c r="E355" t="str">
        <f>'RESUMEN TOTAL'!F361</f>
        <v>Fibra Optica</v>
      </c>
      <c r="F355">
        <f>'RESUMEN TOTAL'!K361</f>
        <v>0</v>
      </c>
      <c r="G355" t="str">
        <f>'RESUMEN TOTAL'!L361</f>
        <v>APAGADO</v>
      </c>
      <c r="H355" t="str">
        <f>'RESUMEN TOTAL'!M361</f>
        <v>APAGADO</v>
      </c>
      <c r="I355" t="str">
        <f>'RESUMEN TOTAL'!N361</f>
        <v>APAGADO</v>
      </c>
      <c r="J355">
        <f>'RESUMEN TOTAL'!O361</f>
        <v>0</v>
      </c>
      <c r="K355">
        <f>'RESUMEN TOTAL'!P361</f>
        <v>0</v>
      </c>
      <c r="L355">
        <f>'RESUMEN TOTAL'!Q361</f>
        <v>0</v>
      </c>
      <c r="M355">
        <f>'RESUMEN TOTAL'!R361</f>
        <v>0</v>
      </c>
      <c r="N355">
        <f>'RESUMEN TOTAL'!S361</f>
        <v>0</v>
      </c>
      <c r="O355">
        <f>'RESUMEN TOTAL'!T361</f>
        <v>0</v>
      </c>
      <c r="P355">
        <f>'RESUMEN TOTAL'!U361</f>
        <v>0</v>
      </c>
      <c r="Q355">
        <f>'RESUMEN TOTAL'!V361</f>
        <v>0</v>
      </c>
      <c r="R355">
        <f>'RESUMEN TOTAL'!W361</f>
        <v>0</v>
      </c>
      <c r="S355">
        <f>'RESUMEN TOTAL'!X361</f>
        <v>0</v>
      </c>
      <c r="T355">
        <f>'RESUMEN TOTAL'!Y361</f>
        <v>0</v>
      </c>
      <c r="U355">
        <f>'RESUMEN TOTAL'!Z361</f>
        <v>0</v>
      </c>
      <c r="V355">
        <f>'RESUMEN TOTAL'!AA361</f>
        <v>0</v>
      </c>
      <c r="W355">
        <f>'RESUMEN TOTAL'!AB361</f>
        <v>0</v>
      </c>
      <c r="X355">
        <f>'RESUMEN TOTAL'!AC361</f>
        <v>0</v>
      </c>
      <c r="Y355">
        <f>'RESUMEN TOTAL'!AD361</f>
        <v>0</v>
      </c>
      <c r="Z355">
        <f>'RESUMEN TOTAL'!AE361</f>
        <v>0</v>
      </c>
      <c r="AA355">
        <f>'RESUMEN TOTAL'!AF361</f>
        <v>0</v>
      </c>
      <c r="AB355">
        <f>'RESUMEN TOTAL'!AG361</f>
        <v>0</v>
      </c>
      <c r="AC355">
        <f>'RESUMEN TOTAL'!AH361</f>
        <v>0</v>
      </c>
      <c r="AD355">
        <f>'RESUMEN TOTAL'!AI361</f>
        <v>0</v>
      </c>
      <c r="AE355">
        <f>'RESUMEN TOTAL'!AJ361</f>
        <v>0</v>
      </c>
      <c r="AF355">
        <f>'RESUMEN TOTAL'!AK361</f>
        <v>0</v>
      </c>
      <c r="AG355">
        <f>'RESUMEN TOTAL'!AL361</f>
        <v>0</v>
      </c>
      <c r="AH355">
        <f>'RESUMEN TOTAL'!AM361</f>
        <v>0</v>
      </c>
      <c r="AI355">
        <f>'RESUMEN TOTAL'!AN361</f>
        <v>0</v>
      </c>
    </row>
    <row r="356" spans="1:35" x14ac:dyDescent="0.25">
      <c r="A356" t="str">
        <f>'RESUMEN TOTAL'!A362</f>
        <v>SAN EMILIO</v>
      </c>
      <c r="B356" t="str">
        <f>'RESUMEN TOTAL'!B362</f>
        <v>VAU 02</v>
      </c>
      <c r="C356" t="str">
        <f>'RESUMEN TOTAL'!D362</f>
        <v>San Martin y Lope de Vega</v>
      </c>
      <c r="D356" t="str">
        <f>'RESUMEN TOTAL'!E362</f>
        <v>Domo</v>
      </c>
      <c r="E356" t="str">
        <f>'RESUMEN TOTAL'!F362</f>
        <v>Fibra Optica</v>
      </c>
      <c r="F356">
        <f>'RESUMEN TOTAL'!K362</f>
        <v>0</v>
      </c>
      <c r="G356" t="str">
        <f>'RESUMEN TOTAL'!L362</f>
        <v>APAGADO</v>
      </c>
      <c r="H356">
        <f>'RESUMEN TOTAL'!M362</f>
        <v>0</v>
      </c>
      <c r="I356" t="str">
        <f>'RESUMEN TOTAL'!N362</f>
        <v>APAGADO</v>
      </c>
      <c r="J356">
        <f>'RESUMEN TOTAL'!O362</f>
        <v>0</v>
      </c>
      <c r="K356">
        <f>'RESUMEN TOTAL'!P362</f>
        <v>0</v>
      </c>
      <c r="L356">
        <f>'RESUMEN TOTAL'!Q362</f>
        <v>0</v>
      </c>
      <c r="M356">
        <f>'RESUMEN TOTAL'!R362</f>
        <v>0</v>
      </c>
      <c r="N356">
        <f>'RESUMEN TOTAL'!S362</f>
        <v>0</v>
      </c>
      <c r="O356">
        <f>'RESUMEN TOTAL'!T362</f>
        <v>0</v>
      </c>
      <c r="P356">
        <f>'RESUMEN TOTAL'!U362</f>
        <v>0</v>
      </c>
      <c r="Q356">
        <f>'RESUMEN TOTAL'!V362</f>
        <v>0</v>
      </c>
      <c r="R356">
        <f>'RESUMEN TOTAL'!W362</f>
        <v>0</v>
      </c>
      <c r="S356">
        <f>'RESUMEN TOTAL'!X362</f>
        <v>0</v>
      </c>
      <c r="T356">
        <f>'RESUMEN TOTAL'!Y362</f>
        <v>0</v>
      </c>
      <c r="U356">
        <f>'RESUMEN TOTAL'!Z362</f>
        <v>0</v>
      </c>
      <c r="V356">
        <f>'RESUMEN TOTAL'!AA362</f>
        <v>0</v>
      </c>
      <c r="W356">
        <f>'RESUMEN TOTAL'!AB362</f>
        <v>0</v>
      </c>
      <c r="X356">
        <f>'RESUMEN TOTAL'!AC362</f>
        <v>0</v>
      </c>
      <c r="Y356">
        <f>'RESUMEN TOTAL'!AD362</f>
        <v>0</v>
      </c>
      <c r="Z356">
        <f>'RESUMEN TOTAL'!AE362</f>
        <v>0</v>
      </c>
      <c r="AA356">
        <f>'RESUMEN TOTAL'!AF362</f>
        <v>0</v>
      </c>
      <c r="AB356">
        <f>'RESUMEN TOTAL'!AG362</f>
        <v>0</v>
      </c>
      <c r="AC356">
        <f>'RESUMEN TOTAL'!AH362</f>
        <v>0</v>
      </c>
      <c r="AD356">
        <f>'RESUMEN TOTAL'!AI362</f>
        <v>0</v>
      </c>
      <c r="AE356">
        <f>'RESUMEN TOTAL'!AJ362</f>
        <v>0</v>
      </c>
      <c r="AF356">
        <f>'RESUMEN TOTAL'!AK362</f>
        <v>0</v>
      </c>
      <c r="AG356">
        <f>'RESUMEN TOTAL'!AL362</f>
        <v>0</v>
      </c>
      <c r="AH356">
        <f>'RESUMEN TOTAL'!AM362</f>
        <v>0</v>
      </c>
      <c r="AI356">
        <f>'RESUMEN TOTAL'!AN362</f>
        <v>0</v>
      </c>
    </row>
    <row r="357" spans="1:35" x14ac:dyDescent="0.25">
      <c r="A357" t="str">
        <f>'RESUMEN TOTAL'!A363</f>
        <v>VILLA AURORA</v>
      </c>
      <c r="B357" t="str">
        <f>'RESUMEN TOTAL'!B363</f>
        <v>VAU 07</v>
      </c>
      <c r="C357" t="str">
        <f>'RESUMEN TOTAL'!D363</f>
        <v>VICTORINO DE LA PLAZA Y MONTEVERDE</v>
      </c>
      <c r="D357" t="str">
        <f>'RESUMEN TOTAL'!E363</f>
        <v>Domo</v>
      </c>
      <c r="E357" t="str">
        <f>'RESUMEN TOTAL'!F363</f>
        <v>Fibra Optica</v>
      </c>
      <c r="F357">
        <f>'RESUMEN TOTAL'!K363</f>
        <v>0</v>
      </c>
      <c r="G357" t="str">
        <f>'RESUMEN TOTAL'!L363</f>
        <v>APAGADO</v>
      </c>
      <c r="H357">
        <f>'RESUMEN TOTAL'!M363</f>
        <v>0</v>
      </c>
      <c r="I357">
        <f>'RESUMEN TOTAL'!N363</f>
        <v>0</v>
      </c>
      <c r="J357">
        <f>'RESUMEN TOTAL'!O363</f>
        <v>0</v>
      </c>
      <c r="K357">
        <f>'RESUMEN TOTAL'!P363</f>
        <v>0</v>
      </c>
      <c r="L357">
        <f>'RESUMEN TOTAL'!Q363</f>
        <v>0</v>
      </c>
      <c r="M357">
        <f>'RESUMEN TOTAL'!R363</f>
        <v>0</v>
      </c>
      <c r="N357">
        <f>'RESUMEN TOTAL'!S363</f>
        <v>0</v>
      </c>
      <c r="O357">
        <f>'RESUMEN TOTAL'!T363</f>
        <v>0</v>
      </c>
      <c r="P357">
        <f>'RESUMEN TOTAL'!U363</f>
        <v>0</v>
      </c>
      <c r="Q357">
        <f>'RESUMEN TOTAL'!V363</f>
        <v>0</v>
      </c>
      <c r="R357">
        <f>'RESUMEN TOTAL'!W363</f>
        <v>0</v>
      </c>
      <c r="S357">
        <f>'RESUMEN TOTAL'!X363</f>
        <v>0</v>
      </c>
      <c r="T357">
        <f>'RESUMEN TOTAL'!Y363</f>
        <v>0</v>
      </c>
      <c r="U357">
        <f>'RESUMEN TOTAL'!Z363</f>
        <v>0</v>
      </c>
      <c r="V357">
        <f>'RESUMEN TOTAL'!AA363</f>
        <v>0</v>
      </c>
      <c r="W357">
        <f>'RESUMEN TOTAL'!AB363</f>
        <v>0</v>
      </c>
      <c r="X357">
        <f>'RESUMEN TOTAL'!AC363</f>
        <v>0</v>
      </c>
      <c r="Y357">
        <f>'RESUMEN TOTAL'!AD363</f>
        <v>0</v>
      </c>
      <c r="Z357">
        <f>'RESUMEN TOTAL'!AE363</f>
        <v>0</v>
      </c>
      <c r="AA357">
        <f>'RESUMEN TOTAL'!AF363</f>
        <v>0</v>
      </c>
      <c r="AB357">
        <f>'RESUMEN TOTAL'!AG363</f>
        <v>0</v>
      </c>
      <c r="AC357">
        <f>'RESUMEN TOTAL'!AH363</f>
        <v>0</v>
      </c>
      <c r="AD357">
        <f>'RESUMEN TOTAL'!AI363</f>
        <v>0</v>
      </c>
      <c r="AE357">
        <f>'RESUMEN TOTAL'!AJ363</f>
        <v>0</v>
      </c>
      <c r="AF357">
        <f>'RESUMEN TOTAL'!AK363</f>
        <v>0</v>
      </c>
      <c r="AG357">
        <f>'RESUMEN TOTAL'!AL363</f>
        <v>0</v>
      </c>
      <c r="AH357">
        <f>'RESUMEN TOTAL'!AM363</f>
        <v>0</v>
      </c>
      <c r="AI357">
        <f>'RESUMEN TOTAL'!AN363</f>
        <v>0</v>
      </c>
    </row>
    <row r="358" spans="1:35" x14ac:dyDescent="0.25">
      <c r="A358" t="str">
        <f>'RESUMEN TOTAL'!A364</f>
        <v>VILLA AURORA</v>
      </c>
      <c r="B358" t="str">
        <f>'RESUMEN TOTAL'!B364</f>
        <v>VAU03 (fija 1)</v>
      </c>
      <c r="C358" t="str">
        <f>'RESUMEN TOTAL'!D364</f>
        <v>PIZZURNO Y NUESTRAS MALVINAS</v>
      </c>
      <c r="D358" t="str">
        <f>'RESUMEN TOTAL'!E364</f>
        <v>Fija</v>
      </c>
      <c r="E358" t="str">
        <f>'RESUMEN TOTAL'!F364</f>
        <v>Fibra Optica</v>
      </c>
      <c r="F358">
        <f>'RESUMEN TOTAL'!K364</f>
        <v>0</v>
      </c>
      <c r="G358" t="str">
        <f>'RESUMEN TOTAL'!L364</f>
        <v>APAGADO</v>
      </c>
      <c r="H358" t="str">
        <f>'RESUMEN TOTAL'!M364</f>
        <v>APAGADO</v>
      </c>
      <c r="I358" t="str">
        <f>'RESUMEN TOTAL'!N364</f>
        <v>APAGADO</v>
      </c>
      <c r="J358" t="str">
        <f>'RESUMEN TOTAL'!O364</f>
        <v>APAGADO</v>
      </c>
      <c r="K358" t="str">
        <f>'RESUMEN TOTAL'!P364</f>
        <v>APAGADO</v>
      </c>
      <c r="L358">
        <f>'RESUMEN TOTAL'!Q364</f>
        <v>0</v>
      </c>
      <c r="M358">
        <f>'RESUMEN TOTAL'!R364</f>
        <v>0</v>
      </c>
      <c r="N358">
        <f>'RESUMEN TOTAL'!S364</f>
        <v>0</v>
      </c>
      <c r="O358">
        <f>'RESUMEN TOTAL'!T364</f>
        <v>0</v>
      </c>
      <c r="P358">
        <f>'RESUMEN TOTAL'!U364</f>
        <v>0</v>
      </c>
      <c r="Q358">
        <f>'RESUMEN TOTAL'!V364</f>
        <v>0</v>
      </c>
      <c r="R358">
        <f>'RESUMEN TOTAL'!W364</f>
        <v>0</v>
      </c>
      <c r="S358">
        <f>'RESUMEN TOTAL'!X364</f>
        <v>0</v>
      </c>
      <c r="T358">
        <f>'RESUMEN TOTAL'!Y364</f>
        <v>0</v>
      </c>
      <c r="U358">
        <f>'RESUMEN TOTAL'!Z364</f>
        <v>0</v>
      </c>
      <c r="V358">
        <f>'RESUMEN TOTAL'!AA364</f>
        <v>0</v>
      </c>
      <c r="W358">
        <f>'RESUMEN TOTAL'!AB364</f>
        <v>0</v>
      </c>
      <c r="X358">
        <f>'RESUMEN TOTAL'!AC364</f>
        <v>0</v>
      </c>
      <c r="Y358">
        <f>'RESUMEN TOTAL'!AD364</f>
        <v>0</v>
      </c>
      <c r="Z358">
        <f>'RESUMEN TOTAL'!AE364</f>
        <v>0</v>
      </c>
      <c r="AA358">
        <f>'RESUMEN TOTAL'!AF364</f>
        <v>0</v>
      </c>
      <c r="AB358">
        <f>'RESUMEN TOTAL'!AG364</f>
        <v>0</v>
      </c>
      <c r="AC358">
        <f>'RESUMEN TOTAL'!AH364</f>
        <v>0</v>
      </c>
      <c r="AD358">
        <f>'RESUMEN TOTAL'!AI364</f>
        <v>0</v>
      </c>
      <c r="AE358">
        <f>'RESUMEN TOTAL'!AJ364</f>
        <v>0</v>
      </c>
      <c r="AF358">
        <f>'RESUMEN TOTAL'!AK364</f>
        <v>0</v>
      </c>
      <c r="AG358">
        <f>'RESUMEN TOTAL'!AL364</f>
        <v>0</v>
      </c>
      <c r="AH358">
        <f>'RESUMEN TOTAL'!AM364</f>
        <v>0</v>
      </c>
      <c r="AI358">
        <f>'RESUMEN TOTAL'!AN364</f>
        <v>0</v>
      </c>
    </row>
    <row r="359" spans="1:35" x14ac:dyDescent="0.25">
      <c r="A359" t="str">
        <f>'RESUMEN TOTAL'!A365</f>
        <v>VILLA AURORA</v>
      </c>
      <c r="B359" t="str">
        <f>'RESUMEN TOTAL'!B365</f>
        <v>VAU04 (fija 2)</v>
      </c>
      <c r="C359" t="str">
        <f>'RESUMEN TOTAL'!D365</f>
        <v>PIZZURNO Y NUESTRAS MALVINAS</v>
      </c>
      <c r="D359" t="str">
        <f>'RESUMEN TOTAL'!E365</f>
        <v>Fija</v>
      </c>
      <c r="E359" t="str">
        <f>'RESUMEN TOTAL'!F365</f>
        <v>Fibra Optica</v>
      </c>
      <c r="F359">
        <f>'RESUMEN TOTAL'!K365</f>
        <v>0</v>
      </c>
      <c r="G359" t="str">
        <f>'RESUMEN TOTAL'!L365</f>
        <v>APAGADO</v>
      </c>
      <c r="H359" t="str">
        <f>'RESUMEN TOTAL'!M365</f>
        <v>APAGADO</v>
      </c>
      <c r="I359" t="str">
        <f>'RESUMEN TOTAL'!N365</f>
        <v>APAGADO</v>
      </c>
      <c r="J359" t="str">
        <f>'RESUMEN TOTAL'!O365</f>
        <v>APAGADO</v>
      </c>
      <c r="K359" t="str">
        <f>'RESUMEN TOTAL'!P365</f>
        <v>APAGADO</v>
      </c>
      <c r="L359">
        <f>'RESUMEN TOTAL'!Q365</f>
        <v>0</v>
      </c>
      <c r="M359">
        <f>'RESUMEN TOTAL'!R365</f>
        <v>0</v>
      </c>
      <c r="N359">
        <f>'RESUMEN TOTAL'!S365</f>
        <v>0</v>
      </c>
      <c r="O359">
        <f>'RESUMEN TOTAL'!T365</f>
        <v>0</v>
      </c>
      <c r="P359">
        <f>'RESUMEN TOTAL'!U365</f>
        <v>0</v>
      </c>
      <c r="Q359">
        <f>'RESUMEN TOTAL'!V365</f>
        <v>0</v>
      </c>
      <c r="R359">
        <f>'RESUMEN TOTAL'!W365</f>
        <v>0</v>
      </c>
      <c r="S359">
        <f>'RESUMEN TOTAL'!X365</f>
        <v>0</v>
      </c>
      <c r="T359">
        <f>'RESUMEN TOTAL'!Y365</f>
        <v>0</v>
      </c>
      <c r="U359">
        <f>'RESUMEN TOTAL'!Z365</f>
        <v>0</v>
      </c>
      <c r="V359">
        <f>'RESUMEN TOTAL'!AA365</f>
        <v>0</v>
      </c>
      <c r="W359">
        <f>'RESUMEN TOTAL'!AB365</f>
        <v>0</v>
      </c>
      <c r="X359">
        <f>'RESUMEN TOTAL'!AC365</f>
        <v>0</v>
      </c>
      <c r="Y359">
        <f>'RESUMEN TOTAL'!AD365</f>
        <v>0</v>
      </c>
      <c r="Z359">
        <f>'RESUMEN TOTAL'!AE365</f>
        <v>0</v>
      </c>
      <c r="AA359">
        <f>'RESUMEN TOTAL'!AF365</f>
        <v>0</v>
      </c>
      <c r="AB359">
        <f>'RESUMEN TOTAL'!AG365</f>
        <v>0</v>
      </c>
      <c r="AC359">
        <f>'RESUMEN TOTAL'!AH365</f>
        <v>0</v>
      </c>
      <c r="AD359">
        <f>'RESUMEN TOTAL'!AI365</f>
        <v>0</v>
      </c>
      <c r="AE359">
        <f>'RESUMEN TOTAL'!AJ365</f>
        <v>0</v>
      </c>
      <c r="AF359">
        <f>'RESUMEN TOTAL'!AK365</f>
        <v>0</v>
      </c>
      <c r="AG359">
        <f>'RESUMEN TOTAL'!AL365</f>
        <v>0</v>
      </c>
      <c r="AH359">
        <f>'RESUMEN TOTAL'!AM365</f>
        <v>0</v>
      </c>
      <c r="AI359">
        <f>'RESUMEN TOTAL'!AN365</f>
        <v>0</v>
      </c>
    </row>
    <row r="360" spans="1:35" x14ac:dyDescent="0.25">
      <c r="A360" t="str">
        <f>'RESUMEN TOTAL'!A366</f>
        <v>VILLA AURORA</v>
      </c>
      <c r="B360" t="str">
        <f>'RESUMEN TOTAL'!B366</f>
        <v>VAU05 (fija 1)</v>
      </c>
      <c r="C360" t="str">
        <f>'RESUMEN TOTAL'!D366</f>
        <v>GUIDO SPANO Y VICTORINO DE LA PLAZA</v>
      </c>
      <c r="D360" t="str">
        <f>'RESUMEN TOTAL'!E366</f>
        <v>Fija</v>
      </c>
      <c r="E360" t="str">
        <f>'RESUMEN TOTAL'!F366</f>
        <v>Fibra Optica</v>
      </c>
      <c r="F360">
        <f>'RESUMEN TOTAL'!K366</f>
        <v>0</v>
      </c>
      <c r="G360" t="str">
        <f>'RESUMEN TOTAL'!L366</f>
        <v>APAGADO</v>
      </c>
      <c r="H360">
        <f>'RESUMEN TOTAL'!M366</f>
        <v>0</v>
      </c>
      <c r="I360">
        <f>'RESUMEN TOTAL'!N366</f>
        <v>0</v>
      </c>
      <c r="J360">
        <f>'RESUMEN TOTAL'!O366</f>
        <v>0</v>
      </c>
      <c r="K360">
        <f>'RESUMEN TOTAL'!P366</f>
        <v>0</v>
      </c>
      <c r="L360">
        <f>'RESUMEN TOTAL'!Q366</f>
        <v>0</v>
      </c>
      <c r="M360">
        <f>'RESUMEN TOTAL'!R366</f>
        <v>0</v>
      </c>
      <c r="N360">
        <f>'RESUMEN TOTAL'!S366</f>
        <v>0</v>
      </c>
      <c r="O360">
        <f>'RESUMEN TOTAL'!T366</f>
        <v>0</v>
      </c>
      <c r="P360">
        <f>'RESUMEN TOTAL'!U366</f>
        <v>0</v>
      </c>
      <c r="Q360">
        <f>'RESUMEN TOTAL'!V366</f>
        <v>0</v>
      </c>
      <c r="R360">
        <f>'RESUMEN TOTAL'!W366</f>
        <v>0</v>
      </c>
      <c r="S360">
        <f>'RESUMEN TOTAL'!X366</f>
        <v>0</v>
      </c>
      <c r="T360">
        <f>'RESUMEN TOTAL'!Y366</f>
        <v>0</v>
      </c>
      <c r="U360">
        <f>'RESUMEN TOTAL'!Z366</f>
        <v>0</v>
      </c>
      <c r="V360">
        <f>'RESUMEN TOTAL'!AA366</f>
        <v>0</v>
      </c>
      <c r="W360">
        <f>'RESUMEN TOTAL'!AB366</f>
        <v>0</v>
      </c>
      <c r="X360">
        <f>'RESUMEN TOTAL'!AC366</f>
        <v>0</v>
      </c>
      <c r="Y360">
        <f>'RESUMEN TOTAL'!AD366</f>
        <v>0</v>
      </c>
      <c r="Z360">
        <f>'RESUMEN TOTAL'!AE366</f>
        <v>0</v>
      </c>
      <c r="AA360">
        <f>'RESUMEN TOTAL'!AF366</f>
        <v>0</v>
      </c>
      <c r="AB360">
        <f>'RESUMEN TOTAL'!AG366</f>
        <v>0</v>
      </c>
      <c r="AC360">
        <f>'RESUMEN TOTAL'!AH366</f>
        <v>0</v>
      </c>
      <c r="AD360">
        <f>'RESUMEN TOTAL'!AI366</f>
        <v>0</v>
      </c>
      <c r="AE360">
        <f>'RESUMEN TOTAL'!AJ366</f>
        <v>0</v>
      </c>
      <c r="AF360">
        <f>'RESUMEN TOTAL'!AK366</f>
        <v>0</v>
      </c>
      <c r="AG360">
        <f>'RESUMEN TOTAL'!AL366</f>
        <v>0</v>
      </c>
      <c r="AH360">
        <f>'RESUMEN TOTAL'!AM366</f>
        <v>0</v>
      </c>
      <c r="AI360">
        <f>'RESUMEN TOTAL'!AN366</f>
        <v>0</v>
      </c>
    </row>
    <row r="361" spans="1:35" x14ac:dyDescent="0.25">
      <c r="A361" t="str">
        <f>'RESUMEN TOTAL'!A367</f>
        <v>VILLA AURORA</v>
      </c>
      <c r="B361" t="str">
        <f>'RESUMEN TOTAL'!B367</f>
        <v>VAU06 (fija 2)</v>
      </c>
      <c r="C361" t="str">
        <f>'RESUMEN TOTAL'!D367</f>
        <v>GUIDO SPANO Y VICTORINO DE LA PLAZA</v>
      </c>
      <c r="D361" t="str">
        <f>'RESUMEN TOTAL'!E367</f>
        <v>Fija</v>
      </c>
      <c r="E361" t="str">
        <f>'RESUMEN TOTAL'!F367</f>
        <v>Fibra Optica</v>
      </c>
      <c r="F361">
        <f>'RESUMEN TOTAL'!K367</f>
        <v>0</v>
      </c>
      <c r="G361" t="str">
        <f>'RESUMEN TOTAL'!L367</f>
        <v>APAGADO</v>
      </c>
      <c r="H361">
        <f>'RESUMEN TOTAL'!M367</f>
        <v>0</v>
      </c>
      <c r="I361">
        <f>'RESUMEN TOTAL'!N367</f>
        <v>0</v>
      </c>
      <c r="J361">
        <f>'RESUMEN TOTAL'!O367</f>
        <v>0</v>
      </c>
      <c r="K361">
        <f>'RESUMEN TOTAL'!P367</f>
        <v>0</v>
      </c>
      <c r="L361">
        <f>'RESUMEN TOTAL'!Q367</f>
        <v>0</v>
      </c>
      <c r="M361">
        <f>'RESUMEN TOTAL'!R367</f>
        <v>0</v>
      </c>
      <c r="N361">
        <f>'RESUMEN TOTAL'!S367</f>
        <v>0</v>
      </c>
      <c r="O361">
        <f>'RESUMEN TOTAL'!T367</f>
        <v>0</v>
      </c>
      <c r="P361">
        <f>'RESUMEN TOTAL'!U367</f>
        <v>0</v>
      </c>
      <c r="Q361">
        <f>'RESUMEN TOTAL'!V367</f>
        <v>0</v>
      </c>
      <c r="R361">
        <f>'RESUMEN TOTAL'!W367</f>
        <v>0</v>
      </c>
      <c r="S361">
        <f>'RESUMEN TOTAL'!X367</f>
        <v>0</v>
      </c>
      <c r="T361">
        <f>'RESUMEN TOTAL'!Y367</f>
        <v>0</v>
      </c>
      <c r="U361">
        <f>'RESUMEN TOTAL'!Z367</f>
        <v>0</v>
      </c>
      <c r="V361">
        <f>'RESUMEN TOTAL'!AA367</f>
        <v>0</v>
      </c>
      <c r="W361">
        <f>'RESUMEN TOTAL'!AB367</f>
        <v>0</v>
      </c>
      <c r="X361">
        <f>'RESUMEN TOTAL'!AC367</f>
        <v>0</v>
      </c>
      <c r="Y361">
        <f>'RESUMEN TOTAL'!AD367</f>
        <v>0</v>
      </c>
      <c r="Z361">
        <f>'RESUMEN TOTAL'!AE367</f>
        <v>0</v>
      </c>
      <c r="AA361">
        <f>'RESUMEN TOTAL'!AF367</f>
        <v>0</v>
      </c>
      <c r="AB361">
        <f>'RESUMEN TOTAL'!AG367</f>
        <v>0</v>
      </c>
      <c r="AC361">
        <f>'RESUMEN TOTAL'!AH367</f>
        <v>0</v>
      </c>
      <c r="AD361">
        <f>'RESUMEN TOTAL'!AI367</f>
        <v>0</v>
      </c>
      <c r="AE361">
        <f>'RESUMEN TOTAL'!AJ367</f>
        <v>0</v>
      </c>
      <c r="AF361">
        <f>'RESUMEN TOTAL'!AK367</f>
        <v>0</v>
      </c>
      <c r="AG361">
        <f>'RESUMEN TOTAL'!AL367</f>
        <v>0</v>
      </c>
      <c r="AH361">
        <f>'RESUMEN TOTAL'!AM367</f>
        <v>0</v>
      </c>
      <c r="AI361">
        <f>'RESUMEN TOTAL'!AN367</f>
        <v>0</v>
      </c>
    </row>
    <row r="362" spans="1:35" x14ac:dyDescent="0.25">
      <c r="A362" t="str">
        <f>'RESUMEN TOTAL'!A368</f>
        <v>VILLA AURORA</v>
      </c>
      <c r="B362" t="str">
        <f>'RESUMEN TOTAL'!B368</f>
        <v>VAU08</v>
      </c>
      <c r="C362" t="str">
        <f>'RESUMEN TOTAL'!D368</f>
        <v>MONTEVERDE Y WASHINGTON</v>
      </c>
      <c r="D362" t="str">
        <f>'RESUMEN TOTAL'!E368</f>
        <v>DOMO</v>
      </c>
      <c r="E362" t="str">
        <f>'RESUMEN TOTAL'!F368</f>
        <v>Fibra Optica</v>
      </c>
      <c r="F362">
        <f>'RESUMEN TOTAL'!K368</f>
        <v>0</v>
      </c>
      <c r="G362" t="str">
        <f>'RESUMEN TOTAL'!L368</f>
        <v>APAGADO</v>
      </c>
      <c r="H362">
        <f>'RESUMEN TOTAL'!M368</f>
        <v>0</v>
      </c>
      <c r="I362">
        <f>'RESUMEN TOTAL'!N368</f>
        <v>0</v>
      </c>
      <c r="J362">
        <f>'RESUMEN TOTAL'!O368</f>
        <v>0</v>
      </c>
      <c r="K362">
        <f>'RESUMEN TOTAL'!P368</f>
        <v>0</v>
      </c>
      <c r="L362">
        <f>'RESUMEN TOTAL'!Q368</f>
        <v>0</v>
      </c>
      <c r="M362">
        <f>'RESUMEN TOTAL'!R368</f>
        <v>0</v>
      </c>
      <c r="N362">
        <f>'RESUMEN TOTAL'!S368</f>
        <v>0</v>
      </c>
      <c r="O362">
        <f>'RESUMEN TOTAL'!T368</f>
        <v>0</v>
      </c>
      <c r="P362">
        <f>'RESUMEN TOTAL'!U368</f>
        <v>0</v>
      </c>
      <c r="Q362">
        <f>'RESUMEN TOTAL'!V368</f>
        <v>0</v>
      </c>
      <c r="R362">
        <f>'RESUMEN TOTAL'!W368</f>
        <v>0</v>
      </c>
      <c r="S362">
        <f>'RESUMEN TOTAL'!X368</f>
        <v>0</v>
      </c>
      <c r="T362">
        <f>'RESUMEN TOTAL'!Y368</f>
        <v>0</v>
      </c>
      <c r="U362">
        <f>'RESUMEN TOTAL'!Z368</f>
        <v>0</v>
      </c>
      <c r="V362">
        <f>'RESUMEN TOTAL'!AA368</f>
        <v>0</v>
      </c>
      <c r="W362">
        <f>'RESUMEN TOTAL'!AB368</f>
        <v>0</v>
      </c>
      <c r="X362">
        <f>'RESUMEN TOTAL'!AC368</f>
        <v>0</v>
      </c>
      <c r="Y362">
        <f>'RESUMEN TOTAL'!AD368</f>
        <v>0</v>
      </c>
      <c r="Z362">
        <f>'RESUMEN TOTAL'!AE368</f>
        <v>0</v>
      </c>
      <c r="AA362">
        <f>'RESUMEN TOTAL'!AF368</f>
        <v>0</v>
      </c>
      <c r="AB362">
        <f>'RESUMEN TOTAL'!AG368</f>
        <v>0</v>
      </c>
      <c r="AC362">
        <f>'RESUMEN TOTAL'!AH368</f>
        <v>0</v>
      </c>
      <c r="AD362">
        <f>'RESUMEN TOTAL'!AI368</f>
        <v>0</v>
      </c>
      <c r="AE362">
        <f>'RESUMEN TOTAL'!AJ368</f>
        <v>0</v>
      </c>
      <c r="AF362">
        <f>'RESUMEN TOTAL'!AK368</f>
        <v>0</v>
      </c>
      <c r="AG362">
        <f>'RESUMEN TOTAL'!AL368</f>
        <v>0</v>
      </c>
      <c r="AH362">
        <f>'RESUMEN TOTAL'!AM368</f>
        <v>0</v>
      </c>
      <c r="AI362">
        <f>'RESUMEN TOTAL'!AN368</f>
        <v>0</v>
      </c>
    </row>
    <row r="363" spans="1:35" x14ac:dyDescent="0.25">
      <c r="A363" t="str">
        <f>'RESUMEN TOTAL'!A369</f>
        <v>VILLA DEL PLATA</v>
      </c>
      <c r="B363" t="str">
        <f>'RESUMEN TOTAL'!B369</f>
        <v>VDPL02</v>
      </c>
      <c r="C363" t="str">
        <f>'RESUMEN TOTAL'!D369</f>
        <v>Thevenet y Berutti</v>
      </c>
      <c r="D363" t="str">
        <f>'RESUMEN TOTAL'!E369</f>
        <v>Domo</v>
      </c>
      <c r="E363" t="str">
        <f>'RESUMEN TOTAL'!F369</f>
        <v>Fibra Optica</v>
      </c>
      <c r="F363">
        <f>'RESUMEN TOTAL'!K369</f>
        <v>0</v>
      </c>
      <c r="G363">
        <f>'RESUMEN TOTAL'!L369</f>
        <v>0</v>
      </c>
      <c r="H363">
        <f>'RESUMEN TOTAL'!M369</f>
        <v>0</v>
      </c>
      <c r="I363">
        <f>'RESUMEN TOTAL'!N369</f>
        <v>0</v>
      </c>
      <c r="J363">
        <f>'RESUMEN TOTAL'!O369</f>
        <v>0</v>
      </c>
      <c r="K363">
        <f>'RESUMEN TOTAL'!P369</f>
        <v>0</v>
      </c>
      <c r="L363">
        <f>'RESUMEN TOTAL'!Q369</f>
        <v>0</v>
      </c>
      <c r="M363">
        <f>'RESUMEN TOTAL'!R369</f>
        <v>0</v>
      </c>
      <c r="N363">
        <f>'RESUMEN TOTAL'!S369</f>
        <v>0</v>
      </c>
      <c r="O363">
        <f>'RESUMEN TOTAL'!T369</f>
        <v>0</v>
      </c>
      <c r="P363">
        <f>'RESUMEN TOTAL'!U369</f>
        <v>0</v>
      </c>
      <c r="Q363">
        <f>'RESUMEN TOTAL'!V369</f>
        <v>0</v>
      </c>
      <c r="R363">
        <f>'RESUMEN TOTAL'!W369</f>
        <v>0</v>
      </c>
      <c r="S363">
        <f>'RESUMEN TOTAL'!X369</f>
        <v>0</v>
      </c>
      <c r="T363">
        <f>'RESUMEN TOTAL'!Y369</f>
        <v>0</v>
      </c>
      <c r="U363">
        <f>'RESUMEN TOTAL'!Z369</f>
        <v>0</v>
      </c>
      <c r="V363">
        <f>'RESUMEN TOTAL'!AA369</f>
        <v>0</v>
      </c>
      <c r="W363">
        <f>'RESUMEN TOTAL'!AB369</f>
        <v>0</v>
      </c>
      <c r="X363">
        <f>'RESUMEN TOTAL'!AC369</f>
        <v>0</v>
      </c>
      <c r="Y363">
        <f>'RESUMEN TOTAL'!AD369</f>
        <v>0</v>
      </c>
      <c r="Z363">
        <f>'RESUMEN TOTAL'!AE369</f>
        <v>0</v>
      </c>
      <c r="AA363">
        <f>'RESUMEN TOTAL'!AF369</f>
        <v>0</v>
      </c>
      <c r="AB363">
        <f>'RESUMEN TOTAL'!AG369</f>
        <v>0</v>
      </c>
      <c r="AC363">
        <f>'RESUMEN TOTAL'!AH369</f>
        <v>0</v>
      </c>
      <c r="AD363">
        <f>'RESUMEN TOTAL'!AI369</f>
        <v>0</v>
      </c>
      <c r="AE363">
        <f>'RESUMEN TOTAL'!AJ369</f>
        <v>0</v>
      </c>
      <c r="AF363">
        <f>'RESUMEN TOTAL'!AK369</f>
        <v>0</v>
      </c>
      <c r="AG363">
        <f>'RESUMEN TOTAL'!AL369</f>
        <v>0</v>
      </c>
      <c r="AH363">
        <f>'RESUMEN TOTAL'!AM369</f>
        <v>0</v>
      </c>
      <c r="AI363">
        <f>'RESUMEN TOTAL'!AN369</f>
        <v>0</v>
      </c>
    </row>
    <row r="364" spans="1:35" x14ac:dyDescent="0.25">
      <c r="A364" t="str">
        <f>'RESUMEN TOTAL'!A370</f>
        <v>VILLA DEL PLATA</v>
      </c>
      <c r="B364" t="str">
        <f>'RESUMEN TOTAL'!B370</f>
        <v>VDPL03</v>
      </c>
      <c r="C364" t="str">
        <f>'RESUMEN TOTAL'!D370</f>
        <v>Neuquen y Alvarado</v>
      </c>
      <c r="D364" t="str">
        <f>'RESUMEN TOTAL'!E370</f>
        <v>Domo</v>
      </c>
      <c r="E364" t="str">
        <f>'RESUMEN TOTAL'!F370</f>
        <v>Radio</v>
      </c>
      <c r="F364">
        <f>'RESUMEN TOTAL'!K370</f>
        <v>0</v>
      </c>
      <c r="G364">
        <f>'RESUMEN TOTAL'!L370</f>
        <v>0</v>
      </c>
      <c r="H364">
        <f>'RESUMEN TOTAL'!M370</f>
        <v>0</v>
      </c>
      <c r="I364">
        <f>'RESUMEN TOTAL'!N370</f>
        <v>0</v>
      </c>
      <c r="J364">
        <f>'RESUMEN TOTAL'!O370</f>
        <v>0</v>
      </c>
      <c r="K364">
        <f>'RESUMEN TOTAL'!P370</f>
        <v>0</v>
      </c>
      <c r="L364">
        <f>'RESUMEN TOTAL'!Q370</f>
        <v>0</v>
      </c>
      <c r="M364">
        <f>'RESUMEN TOTAL'!R370</f>
        <v>0</v>
      </c>
      <c r="N364">
        <f>'RESUMEN TOTAL'!S370</f>
        <v>0</v>
      </c>
      <c r="O364">
        <f>'RESUMEN TOTAL'!T370</f>
        <v>0</v>
      </c>
      <c r="P364">
        <f>'RESUMEN TOTAL'!U370</f>
        <v>0</v>
      </c>
      <c r="Q364">
        <f>'RESUMEN TOTAL'!V370</f>
        <v>0</v>
      </c>
      <c r="R364">
        <f>'RESUMEN TOTAL'!W370</f>
        <v>0</v>
      </c>
      <c r="S364">
        <f>'RESUMEN TOTAL'!X370</f>
        <v>0</v>
      </c>
      <c r="T364">
        <f>'RESUMEN TOTAL'!Y370</f>
        <v>0</v>
      </c>
      <c r="U364">
        <f>'RESUMEN TOTAL'!Z370</f>
        <v>0</v>
      </c>
      <c r="V364">
        <f>'RESUMEN TOTAL'!AA370</f>
        <v>0</v>
      </c>
      <c r="W364">
        <f>'RESUMEN TOTAL'!AB370</f>
        <v>0</v>
      </c>
      <c r="X364">
        <f>'RESUMEN TOTAL'!AC370</f>
        <v>0</v>
      </c>
      <c r="Y364">
        <f>'RESUMEN TOTAL'!AD370</f>
        <v>0</v>
      </c>
      <c r="Z364">
        <f>'RESUMEN TOTAL'!AE370</f>
        <v>0</v>
      </c>
      <c r="AA364">
        <f>'RESUMEN TOTAL'!AF370</f>
        <v>0</v>
      </c>
      <c r="AB364">
        <f>'RESUMEN TOTAL'!AG370</f>
        <v>0</v>
      </c>
      <c r="AC364">
        <f>'RESUMEN TOTAL'!AH370</f>
        <v>0</v>
      </c>
      <c r="AD364">
        <f>'RESUMEN TOTAL'!AI370</f>
        <v>0</v>
      </c>
      <c r="AE364">
        <f>'RESUMEN TOTAL'!AJ370</f>
        <v>0</v>
      </c>
      <c r="AF364">
        <f>'RESUMEN TOTAL'!AK370</f>
        <v>0</v>
      </c>
      <c r="AG364">
        <f>'RESUMEN TOTAL'!AL370</f>
        <v>0</v>
      </c>
      <c r="AH364">
        <f>'RESUMEN TOTAL'!AM370</f>
        <v>0</v>
      </c>
      <c r="AI364">
        <f>'RESUMEN TOTAL'!AN370</f>
        <v>0</v>
      </c>
    </row>
    <row r="365" spans="1:35" x14ac:dyDescent="0.25">
      <c r="A365" t="str">
        <f>'RESUMEN TOTAL'!A371</f>
        <v>VILLA DEL PLATA</v>
      </c>
      <c r="B365" t="str">
        <f>'RESUMEN TOTAL'!B371</f>
        <v>VDPL04</v>
      </c>
      <c r="C365" t="str">
        <f>'RESUMEN TOTAL'!D371</f>
        <v>Neuquen y Diagonal Guemes</v>
      </c>
      <c r="D365" t="str">
        <f>'RESUMEN TOTAL'!E371</f>
        <v>Domo</v>
      </c>
      <c r="E365" t="str">
        <f>'RESUMEN TOTAL'!F371</f>
        <v>Radio</v>
      </c>
      <c r="F365">
        <f>'RESUMEN TOTAL'!K371</f>
        <v>0</v>
      </c>
      <c r="G365">
        <f>'RESUMEN TOTAL'!L371</f>
        <v>0</v>
      </c>
      <c r="H365">
        <f>'RESUMEN TOTAL'!M371</f>
        <v>0</v>
      </c>
      <c r="I365">
        <f>'RESUMEN TOTAL'!N371</f>
        <v>0</v>
      </c>
      <c r="J365">
        <f>'RESUMEN TOTAL'!O371</f>
        <v>0</v>
      </c>
      <c r="K365">
        <f>'RESUMEN TOTAL'!P371</f>
        <v>0</v>
      </c>
      <c r="L365">
        <f>'RESUMEN TOTAL'!Q371</f>
        <v>0</v>
      </c>
      <c r="M365">
        <f>'RESUMEN TOTAL'!R371</f>
        <v>0</v>
      </c>
      <c r="N365">
        <f>'RESUMEN TOTAL'!S371</f>
        <v>0</v>
      </c>
      <c r="O365">
        <f>'RESUMEN TOTAL'!T371</f>
        <v>0</v>
      </c>
      <c r="P365">
        <f>'RESUMEN TOTAL'!U371</f>
        <v>0</v>
      </c>
      <c r="Q365">
        <f>'RESUMEN TOTAL'!V371</f>
        <v>0</v>
      </c>
      <c r="R365">
        <f>'RESUMEN TOTAL'!W371</f>
        <v>0</v>
      </c>
      <c r="S365">
        <f>'RESUMEN TOTAL'!X371</f>
        <v>0</v>
      </c>
      <c r="T365">
        <f>'RESUMEN TOTAL'!Y371</f>
        <v>0</v>
      </c>
      <c r="U365">
        <f>'RESUMEN TOTAL'!Z371</f>
        <v>0</v>
      </c>
      <c r="V365">
        <f>'RESUMEN TOTAL'!AA371</f>
        <v>0</v>
      </c>
      <c r="W365">
        <f>'RESUMEN TOTAL'!AB371</f>
        <v>0</v>
      </c>
      <c r="X365">
        <f>'RESUMEN TOTAL'!AC371</f>
        <v>0</v>
      </c>
      <c r="Y365">
        <f>'RESUMEN TOTAL'!AD371</f>
        <v>0</v>
      </c>
      <c r="Z365">
        <f>'RESUMEN TOTAL'!AE371</f>
        <v>0</v>
      </c>
      <c r="AA365">
        <f>'RESUMEN TOTAL'!AF371</f>
        <v>0</v>
      </c>
      <c r="AB365">
        <f>'RESUMEN TOTAL'!AG371</f>
        <v>0</v>
      </c>
      <c r="AC365">
        <f>'RESUMEN TOTAL'!AH371</f>
        <v>0</v>
      </c>
      <c r="AD365">
        <f>'RESUMEN TOTAL'!AI371</f>
        <v>0</v>
      </c>
      <c r="AE365">
        <f>'RESUMEN TOTAL'!AJ371</f>
        <v>0</v>
      </c>
      <c r="AF365">
        <f>'RESUMEN TOTAL'!AK371</f>
        <v>0</v>
      </c>
      <c r="AG365">
        <f>'RESUMEN TOTAL'!AL371</f>
        <v>0</v>
      </c>
      <c r="AH365">
        <f>'RESUMEN TOTAL'!AM371</f>
        <v>0</v>
      </c>
      <c r="AI365">
        <f>'RESUMEN TOTAL'!AN371</f>
        <v>0</v>
      </c>
    </row>
    <row r="366" spans="1:35" x14ac:dyDescent="0.25">
      <c r="A366" t="str">
        <f>'RESUMEN TOTAL'!A372</f>
        <v>VILLA DEL PLATA</v>
      </c>
      <c r="B366" t="str">
        <f>'RESUMEN TOTAL'!B372</f>
        <v>VDPL05</v>
      </c>
      <c r="C366" t="str">
        <f>'RESUMEN TOTAL'!D372</f>
        <v>Ruta 36 y Abraham</v>
      </c>
      <c r="D366" t="str">
        <f>'RESUMEN TOTAL'!E372</f>
        <v>Domo</v>
      </c>
      <c r="E366" t="str">
        <f>'RESUMEN TOTAL'!F372</f>
        <v>PTO A FO</v>
      </c>
      <c r="F366">
        <f>'RESUMEN TOTAL'!K372</f>
        <v>0</v>
      </c>
      <c r="G366">
        <f>'RESUMEN TOTAL'!L372</f>
        <v>0</v>
      </c>
      <c r="H366">
        <f>'RESUMEN TOTAL'!M372</f>
        <v>0</v>
      </c>
      <c r="I366">
        <f>'RESUMEN TOTAL'!N372</f>
        <v>0</v>
      </c>
      <c r="J366">
        <f>'RESUMEN TOTAL'!O372</f>
        <v>0</v>
      </c>
      <c r="K366">
        <f>'RESUMEN TOTAL'!P372</f>
        <v>0</v>
      </c>
      <c r="L366">
        <f>'RESUMEN TOTAL'!Q372</f>
        <v>0</v>
      </c>
      <c r="M366">
        <f>'RESUMEN TOTAL'!R372</f>
        <v>0</v>
      </c>
      <c r="N366">
        <f>'RESUMEN TOTAL'!S372</f>
        <v>0</v>
      </c>
      <c r="O366">
        <f>'RESUMEN TOTAL'!T372</f>
        <v>0</v>
      </c>
      <c r="P366">
        <f>'RESUMEN TOTAL'!U372</f>
        <v>0</v>
      </c>
      <c r="Q366">
        <f>'RESUMEN TOTAL'!V372</f>
        <v>0</v>
      </c>
      <c r="R366">
        <f>'RESUMEN TOTAL'!W372</f>
        <v>0</v>
      </c>
      <c r="S366">
        <f>'RESUMEN TOTAL'!X372</f>
        <v>0</v>
      </c>
      <c r="T366">
        <f>'RESUMEN TOTAL'!Y372</f>
        <v>0</v>
      </c>
      <c r="U366">
        <f>'RESUMEN TOTAL'!Z372</f>
        <v>0</v>
      </c>
      <c r="V366">
        <f>'RESUMEN TOTAL'!AA372</f>
        <v>0</v>
      </c>
      <c r="W366">
        <f>'RESUMEN TOTAL'!AB372</f>
        <v>0</v>
      </c>
      <c r="X366">
        <f>'RESUMEN TOTAL'!AC372</f>
        <v>0</v>
      </c>
      <c r="Y366">
        <f>'RESUMEN TOTAL'!AD372</f>
        <v>0</v>
      </c>
      <c r="Z366">
        <f>'RESUMEN TOTAL'!AE372</f>
        <v>0</v>
      </c>
      <c r="AA366">
        <f>'RESUMEN TOTAL'!AF372</f>
        <v>0</v>
      </c>
      <c r="AB366">
        <f>'RESUMEN TOTAL'!AG372</f>
        <v>0</v>
      </c>
      <c r="AC366">
        <f>'RESUMEN TOTAL'!AH372</f>
        <v>0</v>
      </c>
      <c r="AD366">
        <f>'RESUMEN TOTAL'!AI372</f>
        <v>0</v>
      </c>
      <c r="AE366">
        <f>'RESUMEN TOTAL'!AJ372</f>
        <v>0</v>
      </c>
      <c r="AF366">
        <f>'RESUMEN TOTAL'!AK372</f>
        <v>0</v>
      </c>
      <c r="AG366">
        <f>'RESUMEN TOTAL'!AL372</f>
        <v>0</v>
      </c>
      <c r="AH366">
        <f>'RESUMEN TOTAL'!AM372</f>
        <v>0</v>
      </c>
      <c r="AI366">
        <f>'RESUMEN TOTAL'!AN372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VDPL06</v>
      </c>
      <c r="C367" t="str">
        <f>'RESUMEN TOTAL'!D373</f>
        <v>Thevenet e/ Islas Orcadas y Gardel</v>
      </c>
      <c r="D367" t="str">
        <f>'RESUMEN TOTAL'!E373</f>
        <v>Domo</v>
      </c>
      <c r="E367" t="str">
        <f>'RESUMEN TOTAL'!F373</f>
        <v>Radio</v>
      </c>
      <c r="F367">
        <f>'RESUMEN TOTAL'!K373</f>
        <v>0</v>
      </c>
      <c r="G367">
        <f>'RESUMEN TOTAL'!L373</f>
        <v>0</v>
      </c>
      <c r="H367">
        <f>'RESUMEN TOTAL'!M373</f>
        <v>0</v>
      </c>
      <c r="I367">
        <f>'RESUMEN TOTAL'!N373</f>
        <v>0</v>
      </c>
      <c r="J367">
        <f>'RESUMEN TOTAL'!O373</f>
        <v>0</v>
      </c>
      <c r="K367">
        <f>'RESUMEN TOTAL'!P373</f>
        <v>0</v>
      </c>
      <c r="L367">
        <f>'RESUMEN TOTAL'!Q373</f>
        <v>0</v>
      </c>
      <c r="M367">
        <f>'RESUMEN TOTAL'!R373</f>
        <v>0</v>
      </c>
      <c r="N367">
        <f>'RESUMEN TOTAL'!S373</f>
        <v>0</v>
      </c>
      <c r="O367">
        <f>'RESUMEN TOTAL'!T373</f>
        <v>0</v>
      </c>
      <c r="P367">
        <f>'RESUMEN TOTAL'!U373</f>
        <v>0</v>
      </c>
      <c r="Q367">
        <f>'RESUMEN TOTAL'!V373</f>
        <v>0</v>
      </c>
      <c r="R367">
        <f>'RESUMEN TOTAL'!W373</f>
        <v>0</v>
      </c>
      <c r="S367">
        <f>'RESUMEN TOTAL'!X373</f>
        <v>0</v>
      </c>
      <c r="T367">
        <f>'RESUMEN TOTAL'!Y373</f>
        <v>0</v>
      </c>
      <c r="U367">
        <f>'RESUMEN TOTAL'!Z373</f>
        <v>0</v>
      </c>
      <c r="V367">
        <f>'RESUMEN TOTAL'!AA373</f>
        <v>0</v>
      </c>
      <c r="W367">
        <f>'RESUMEN TOTAL'!AB373</f>
        <v>0</v>
      </c>
      <c r="X367">
        <f>'RESUMEN TOTAL'!AC373</f>
        <v>0</v>
      </c>
      <c r="Y367">
        <f>'RESUMEN TOTAL'!AD373</f>
        <v>0</v>
      </c>
      <c r="Z367">
        <f>'RESUMEN TOTAL'!AE373</f>
        <v>0</v>
      </c>
      <c r="AA367">
        <f>'RESUMEN TOTAL'!AF373</f>
        <v>0</v>
      </c>
      <c r="AB367">
        <f>'RESUMEN TOTAL'!AG373</f>
        <v>0</v>
      </c>
      <c r="AC367">
        <f>'RESUMEN TOTAL'!AH373</f>
        <v>0</v>
      </c>
      <c r="AD367">
        <f>'RESUMEN TOTAL'!AI373</f>
        <v>0</v>
      </c>
      <c r="AE367">
        <f>'RESUMEN TOTAL'!AJ373</f>
        <v>0</v>
      </c>
      <c r="AF367">
        <f>'RESUMEN TOTAL'!AK373</f>
        <v>0</v>
      </c>
      <c r="AG367">
        <f>'RESUMEN TOTAL'!AL373</f>
        <v>0</v>
      </c>
      <c r="AH367">
        <f>'RESUMEN TOTAL'!AM373</f>
        <v>0</v>
      </c>
      <c r="AI367">
        <f>'RESUMEN TOTAL'!AN373</f>
        <v>0</v>
      </c>
    </row>
    <row r="368" spans="1:35" x14ac:dyDescent="0.25">
      <c r="A368" t="str">
        <f>'RESUMEN TOTAL'!A374</f>
        <v>VILLA HUDSON</v>
      </c>
      <c r="B368" t="str">
        <f>'RESUMEN TOTAL'!B374</f>
        <v>VHS 01</v>
      </c>
      <c r="C368" t="str">
        <f>'RESUMEN TOTAL'!D374</f>
        <v>AV. HUDSON Y AV. LUJAN</v>
      </c>
      <c r="D368" t="str">
        <f>'RESUMEN TOTAL'!E374</f>
        <v>DOMO</v>
      </c>
      <c r="E368" t="str">
        <f>'RESUMEN TOTAL'!F374</f>
        <v>Fibra Optica</v>
      </c>
      <c r="F368">
        <f>'RESUMEN TOTAL'!K374</f>
        <v>0</v>
      </c>
      <c r="G368">
        <f>'RESUMEN TOTAL'!L374</f>
        <v>0</v>
      </c>
      <c r="H368">
        <f>'RESUMEN TOTAL'!M374</f>
        <v>0</v>
      </c>
      <c r="I368">
        <f>'RESUMEN TOTAL'!N374</f>
        <v>0</v>
      </c>
      <c r="J368">
        <f>'RESUMEN TOTAL'!O374</f>
        <v>0</v>
      </c>
      <c r="K368">
        <f>'RESUMEN TOTAL'!P374</f>
        <v>0</v>
      </c>
      <c r="L368">
        <f>'RESUMEN TOTAL'!Q374</f>
        <v>0</v>
      </c>
      <c r="M368">
        <f>'RESUMEN TOTAL'!R374</f>
        <v>0</v>
      </c>
      <c r="N368">
        <f>'RESUMEN TOTAL'!S374</f>
        <v>0</v>
      </c>
      <c r="O368">
        <f>'RESUMEN TOTAL'!T374</f>
        <v>0</v>
      </c>
      <c r="P368">
        <f>'RESUMEN TOTAL'!U374</f>
        <v>0</v>
      </c>
      <c r="Q368">
        <f>'RESUMEN TOTAL'!V374</f>
        <v>0</v>
      </c>
      <c r="R368">
        <f>'RESUMEN TOTAL'!W374</f>
        <v>0</v>
      </c>
      <c r="S368">
        <f>'RESUMEN TOTAL'!X374</f>
        <v>0</v>
      </c>
      <c r="T368">
        <f>'RESUMEN TOTAL'!Y374</f>
        <v>0</v>
      </c>
      <c r="U368">
        <f>'RESUMEN TOTAL'!Z374</f>
        <v>0</v>
      </c>
      <c r="V368">
        <f>'RESUMEN TOTAL'!AA374</f>
        <v>0</v>
      </c>
      <c r="W368">
        <f>'RESUMEN TOTAL'!AB374</f>
        <v>0</v>
      </c>
      <c r="X368">
        <f>'RESUMEN TOTAL'!AC374</f>
        <v>0</v>
      </c>
      <c r="Y368">
        <f>'RESUMEN TOTAL'!AD374</f>
        <v>0</v>
      </c>
      <c r="Z368">
        <f>'RESUMEN TOTAL'!AE374</f>
        <v>0</v>
      </c>
      <c r="AA368">
        <f>'RESUMEN TOTAL'!AF374</f>
        <v>0</v>
      </c>
      <c r="AB368">
        <f>'RESUMEN TOTAL'!AG374</f>
        <v>0</v>
      </c>
      <c r="AC368">
        <f>'RESUMEN TOTAL'!AH374</f>
        <v>0</v>
      </c>
      <c r="AD368">
        <f>'RESUMEN TOTAL'!AI374</f>
        <v>0</v>
      </c>
      <c r="AE368">
        <f>'RESUMEN TOTAL'!AJ374</f>
        <v>0</v>
      </c>
      <c r="AF368">
        <f>'RESUMEN TOTAL'!AK374</f>
        <v>0</v>
      </c>
      <c r="AG368">
        <f>'RESUMEN TOTAL'!AL374</f>
        <v>0</v>
      </c>
      <c r="AH368">
        <f>'RESUMEN TOTAL'!AM374</f>
        <v>0</v>
      </c>
      <c r="AI368">
        <f>'RESUMEN TOTAL'!AN374</f>
        <v>0</v>
      </c>
    </row>
    <row r="369" spans="1:35" x14ac:dyDescent="0.25">
      <c r="A369" t="str">
        <f>'RESUMEN TOTAL'!A375</f>
        <v>VILLA HUDSON</v>
      </c>
      <c r="B369" t="str">
        <f>'RESUMEN TOTAL'!B375</f>
        <v>VHS 02</v>
      </c>
      <c r="C369" t="str">
        <f>'RESUMEN TOTAL'!D375</f>
        <v>AV. LUJAN Y CALLE 909 A</v>
      </c>
      <c r="D369" t="str">
        <f>'RESUMEN TOTAL'!E375</f>
        <v>DOMO</v>
      </c>
      <c r="E369" t="str">
        <f>'RESUMEN TOTAL'!F375</f>
        <v>Fibra Optica</v>
      </c>
      <c r="F369">
        <f>'RESUMEN TOTAL'!K375</f>
        <v>0</v>
      </c>
      <c r="G369">
        <f>'RESUMEN TOTAL'!L375</f>
        <v>0</v>
      </c>
      <c r="H369">
        <f>'RESUMEN TOTAL'!M375</f>
        <v>0</v>
      </c>
      <c r="I369">
        <f>'RESUMEN TOTAL'!N375</f>
        <v>0</v>
      </c>
      <c r="J369">
        <f>'RESUMEN TOTAL'!O375</f>
        <v>0</v>
      </c>
      <c r="K369">
        <f>'RESUMEN TOTAL'!P375</f>
        <v>0</v>
      </c>
      <c r="L369">
        <f>'RESUMEN TOTAL'!Q375</f>
        <v>0</v>
      </c>
      <c r="M369">
        <f>'RESUMEN TOTAL'!R375</f>
        <v>0</v>
      </c>
      <c r="N369">
        <f>'RESUMEN TOTAL'!S375</f>
        <v>0</v>
      </c>
      <c r="O369">
        <f>'RESUMEN TOTAL'!T375</f>
        <v>0</v>
      </c>
      <c r="P369">
        <f>'RESUMEN TOTAL'!U375</f>
        <v>0</v>
      </c>
      <c r="Q369">
        <f>'RESUMEN TOTAL'!V375</f>
        <v>0</v>
      </c>
      <c r="R369">
        <f>'RESUMEN TOTAL'!W375</f>
        <v>0</v>
      </c>
      <c r="S369">
        <f>'RESUMEN TOTAL'!X375</f>
        <v>0</v>
      </c>
      <c r="T369">
        <f>'RESUMEN TOTAL'!Y375</f>
        <v>0</v>
      </c>
      <c r="U369">
        <f>'RESUMEN TOTAL'!Z375</f>
        <v>0</v>
      </c>
      <c r="V369">
        <f>'RESUMEN TOTAL'!AA375</f>
        <v>0</v>
      </c>
      <c r="W369">
        <f>'RESUMEN TOTAL'!AB375</f>
        <v>0</v>
      </c>
      <c r="X369">
        <f>'RESUMEN TOTAL'!AC375</f>
        <v>0</v>
      </c>
      <c r="Y369">
        <f>'RESUMEN TOTAL'!AD375</f>
        <v>0</v>
      </c>
      <c r="Z369">
        <f>'RESUMEN TOTAL'!AE375</f>
        <v>0</v>
      </c>
      <c r="AA369">
        <f>'RESUMEN TOTAL'!AF375</f>
        <v>0</v>
      </c>
      <c r="AB369">
        <f>'RESUMEN TOTAL'!AG375</f>
        <v>0</v>
      </c>
      <c r="AC369">
        <f>'RESUMEN TOTAL'!AH375</f>
        <v>0</v>
      </c>
      <c r="AD369">
        <f>'RESUMEN TOTAL'!AI375</f>
        <v>0</v>
      </c>
      <c r="AE369">
        <f>'RESUMEN TOTAL'!AJ375</f>
        <v>0</v>
      </c>
      <c r="AF369">
        <f>'RESUMEN TOTAL'!AK375</f>
        <v>0</v>
      </c>
      <c r="AG369">
        <f>'RESUMEN TOTAL'!AL375</f>
        <v>0</v>
      </c>
      <c r="AH369">
        <f>'RESUMEN TOTAL'!AM375</f>
        <v>0</v>
      </c>
      <c r="AI369">
        <f>'RESUMEN TOTAL'!AN375</f>
        <v>0</v>
      </c>
    </row>
    <row r="370" spans="1:35" x14ac:dyDescent="0.25">
      <c r="A370" t="str">
        <f>'RESUMEN TOTAL'!A376</f>
        <v>VILLA HUDSON</v>
      </c>
      <c r="B370" t="str">
        <f>'RESUMEN TOTAL'!B376</f>
        <v>VHS 03 (fija 1)</v>
      </c>
      <c r="C370" t="str">
        <f>'RESUMEN TOTAL'!D376</f>
        <v>AV. HUDSON Y LOS INMIGRANTES</v>
      </c>
      <c r="D370" t="str">
        <f>'RESUMEN TOTAL'!E376</f>
        <v>Fija</v>
      </c>
      <c r="E370" t="str">
        <f>'RESUMEN TOTAL'!F376</f>
        <v>Fibra Optica</v>
      </c>
      <c r="F370">
        <f>'RESUMEN TOTAL'!K376</f>
        <v>0</v>
      </c>
      <c r="G370">
        <f>'RESUMEN TOTAL'!L376</f>
        <v>0</v>
      </c>
      <c r="H370">
        <f>'RESUMEN TOTAL'!M376</f>
        <v>0</v>
      </c>
      <c r="I370">
        <f>'RESUMEN TOTAL'!N376</f>
        <v>0</v>
      </c>
      <c r="J370">
        <f>'RESUMEN TOTAL'!O376</f>
        <v>0</v>
      </c>
      <c r="K370">
        <f>'RESUMEN TOTAL'!P376</f>
        <v>0</v>
      </c>
      <c r="L370">
        <f>'RESUMEN TOTAL'!Q376</f>
        <v>0</v>
      </c>
      <c r="M370">
        <f>'RESUMEN TOTAL'!R376</f>
        <v>0</v>
      </c>
      <c r="N370">
        <f>'RESUMEN TOTAL'!S376</f>
        <v>0</v>
      </c>
      <c r="O370">
        <f>'RESUMEN TOTAL'!T376</f>
        <v>0</v>
      </c>
      <c r="P370">
        <f>'RESUMEN TOTAL'!U376</f>
        <v>0</v>
      </c>
      <c r="Q370">
        <f>'RESUMEN TOTAL'!V376</f>
        <v>0</v>
      </c>
      <c r="R370">
        <f>'RESUMEN TOTAL'!W376</f>
        <v>0</v>
      </c>
      <c r="S370">
        <f>'RESUMEN TOTAL'!X376</f>
        <v>0</v>
      </c>
      <c r="T370">
        <f>'RESUMEN TOTAL'!Y376</f>
        <v>0</v>
      </c>
      <c r="U370">
        <f>'RESUMEN TOTAL'!Z376</f>
        <v>0</v>
      </c>
      <c r="V370">
        <f>'RESUMEN TOTAL'!AA376</f>
        <v>0</v>
      </c>
      <c r="W370">
        <f>'RESUMEN TOTAL'!AB376</f>
        <v>0</v>
      </c>
      <c r="X370">
        <f>'RESUMEN TOTAL'!AC376</f>
        <v>0</v>
      </c>
      <c r="Y370">
        <f>'RESUMEN TOTAL'!AD376</f>
        <v>0</v>
      </c>
      <c r="Z370">
        <f>'RESUMEN TOTAL'!AE376</f>
        <v>0</v>
      </c>
      <c r="AA370">
        <f>'RESUMEN TOTAL'!AF376</f>
        <v>0</v>
      </c>
      <c r="AB370">
        <f>'RESUMEN TOTAL'!AG376</f>
        <v>0</v>
      </c>
      <c r="AC370">
        <f>'RESUMEN TOTAL'!AH376</f>
        <v>0</v>
      </c>
      <c r="AD370">
        <f>'RESUMEN TOTAL'!AI376</f>
        <v>0</v>
      </c>
      <c r="AE370">
        <f>'RESUMEN TOTAL'!AJ376</f>
        <v>0</v>
      </c>
      <c r="AF370">
        <f>'RESUMEN TOTAL'!AK376</f>
        <v>0</v>
      </c>
      <c r="AG370">
        <f>'RESUMEN TOTAL'!AL376</f>
        <v>0</v>
      </c>
      <c r="AH370">
        <f>'RESUMEN TOTAL'!AM376</f>
        <v>0</v>
      </c>
      <c r="AI370">
        <f>'RESUMEN TOTAL'!AN376</f>
        <v>0</v>
      </c>
    </row>
    <row r="371" spans="1:35" x14ac:dyDescent="0.25">
      <c r="A371" t="str">
        <f>'RESUMEN TOTAL'!A377</f>
        <v>VILLA HUDSON</v>
      </c>
      <c r="B371" t="str">
        <f>'RESUMEN TOTAL'!B377</f>
        <v>VHS 04 (fija 2)</v>
      </c>
      <c r="C371" t="str">
        <f>'RESUMEN TOTAL'!D377</f>
        <v>AV. HUDSON Y LOS INMIGRANTES</v>
      </c>
      <c r="D371" t="str">
        <f>'RESUMEN TOTAL'!E377</f>
        <v>Fija</v>
      </c>
      <c r="E371" t="str">
        <f>'RESUMEN TOTAL'!F377</f>
        <v>Fibra Optica</v>
      </c>
      <c r="F371">
        <f>'RESUMEN TOTAL'!K377</f>
        <v>0</v>
      </c>
      <c r="G371">
        <f>'RESUMEN TOTAL'!L377</f>
        <v>0</v>
      </c>
      <c r="H371">
        <f>'RESUMEN TOTAL'!M377</f>
        <v>0</v>
      </c>
      <c r="I371">
        <f>'RESUMEN TOTAL'!N377</f>
        <v>0</v>
      </c>
      <c r="J371">
        <f>'RESUMEN TOTAL'!O377</f>
        <v>0</v>
      </c>
      <c r="K371">
        <f>'RESUMEN TOTAL'!P377</f>
        <v>0</v>
      </c>
      <c r="L371">
        <f>'RESUMEN TOTAL'!Q377</f>
        <v>0</v>
      </c>
      <c r="M371">
        <f>'RESUMEN TOTAL'!R377</f>
        <v>0</v>
      </c>
      <c r="N371">
        <f>'RESUMEN TOTAL'!S377</f>
        <v>0</v>
      </c>
      <c r="O371">
        <f>'RESUMEN TOTAL'!T377</f>
        <v>0</v>
      </c>
      <c r="P371">
        <f>'RESUMEN TOTAL'!U377</f>
        <v>0</v>
      </c>
      <c r="Q371">
        <f>'RESUMEN TOTAL'!V377</f>
        <v>0</v>
      </c>
      <c r="R371">
        <f>'RESUMEN TOTAL'!W377</f>
        <v>0</v>
      </c>
      <c r="S371">
        <f>'RESUMEN TOTAL'!X377</f>
        <v>0</v>
      </c>
      <c r="T371">
        <f>'RESUMEN TOTAL'!Y377</f>
        <v>0</v>
      </c>
      <c r="U371">
        <f>'RESUMEN TOTAL'!Z377</f>
        <v>0</v>
      </c>
      <c r="V371">
        <f>'RESUMEN TOTAL'!AA377</f>
        <v>0</v>
      </c>
      <c r="W371">
        <f>'RESUMEN TOTAL'!AB377</f>
        <v>0</v>
      </c>
      <c r="X371">
        <f>'RESUMEN TOTAL'!AC377</f>
        <v>0</v>
      </c>
      <c r="Y371">
        <f>'RESUMEN TOTAL'!AD377</f>
        <v>0</v>
      </c>
      <c r="Z371">
        <f>'RESUMEN TOTAL'!AE377</f>
        <v>0</v>
      </c>
      <c r="AA371">
        <f>'RESUMEN TOTAL'!AF377</f>
        <v>0</v>
      </c>
      <c r="AB371">
        <f>'RESUMEN TOTAL'!AG377</f>
        <v>0</v>
      </c>
      <c r="AC371">
        <f>'RESUMEN TOTAL'!AH377</f>
        <v>0</v>
      </c>
      <c r="AD371">
        <f>'RESUMEN TOTAL'!AI377</f>
        <v>0</v>
      </c>
      <c r="AE371">
        <f>'RESUMEN TOTAL'!AJ377</f>
        <v>0</v>
      </c>
      <c r="AF371">
        <f>'RESUMEN TOTAL'!AK377</f>
        <v>0</v>
      </c>
      <c r="AG371">
        <f>'RESUMEN TOTAL'!AL377</f>
        <v>0</v>
      </c>
      <c r="AH371">
        <f>'RESUMEN TOTAL'!AM377</f>
        <v>0</v>
      </c>
      <c r="AI371">
        <f>'RESUMEN TOTAL'!AN377</f>
        <v>0</v>
      </c>
    </row>
    <row r="372" spans="1:35" x14ac:dyDescent="0.25">
      <c r="A372" t="str">
        <f>'RESUMEN TOTAL'!A378</f>
        <v>VILLA ARIAS</v>
      </c>
      <c r="B372" t="str">
        <f>'RESUMEN TOTAL'!B378</f>
        <v>VLA 01 (fija 1)</v>
      </c>
      <c r="C372" t="str">
        <f>'RESUMEN TOTAL'!D378</f>
        <v>820 Y SOLER</v>
      </c>
      <c r="D372" t="str">
        <f>'RESUMEN TOTAL'!E378</f>
        <v>Fija</v>
      </c>
      <c r="E372" t="str">
        <f>'RESUMEN TOTAL'!F378</f>
        <v>Fibra Optica</v>
      </c>
      <c r="F372">
        <f>'RESUMEN TOTAL'!K378</f>
        <v>0</v>
      </c>
      <c r="G372">
        <f>'RESUMEN TOTAL'!L378</f>
        <v>0</v>
      </c>
      <c r="H372">
        <f>'RESUMEN TOTAL'!M378</f>
        <v>0</v>
      </c>
      <c r="I372">
        <f>'RESUMEN TOTAL'!N378</f>
        <v>0</v>
      </c>
      <c r="J372">
        <f>'RESUMEN TOTAL'!O378</f>
        <v>0</v>
      </c>
      <c r="K372">
        <f>'RESUMEN TOTAL'!P378</f>
        <v>0</v>
      </c>
      <c r="L372">
        <f>'RESUMEN TOTAL'!Q378</f>
        <v>0</v>
      </c>
      <c r="M372">
        <f>'RESUMEN TOTAL'!R378</f>
        <v>0</v>
      </c>
      <c r="N372">
        <f>'RESUMEN TOTAL'!S378</f>
        <v>0</v>
      </c>
      <c r="O372">
        <f>'RESUMEN TOTAL'!T378</f>
        <v>0</v>
      </c>
      <c r="P372">
        <f>'RESUMEN TOTAL'!U378</f>
        <v>0</v>
      </c>
      <c r="Q372">
        <f>'RESUMEN TOTAL'!V378</f>
        <v>0</v>
      </c>
      <c r="R372">
        <f>'RESUMEN TOTAL'!W378</f>
        <v>0</v>
      </c>
      <c r="S372">
        <f>'RESUMEN TOTAL'!X378</f>
        <v>0</v>
      </c>
      <c r="T372">
        <f>'RESUMEN TOTAL'!Y378</f>
        <v>0</v>
      </c>
      <c r="U372">
        <f>'RESUMEN TOTAL'!Z378</f>
        <v>0</v>
      </c>
      <c r="V372">
        <f>'RESUMEN TOTAL'!AA378</f>
        <v>0</v>
      </c>
      <c r="W372">
        <f>'RESUMEN TOTAL'!AB378</f>
        <v>0</v>
      </c>
      <c r="X372">
        <f>'RESUMEN TOTAL'!AC378</f>
        <v>0</v>
      </c>
      <c r="Y372">
        <f>'RESUMEN TOTAL'!AD378</f>
        <v>0</v>
      </c>
      <c r="Z372">
        <f>'RESUMEN TOTAL'!AE378</f>
        <v>0</v>
      </c>
      <c r="AA372">
        <f>'RESUMEN TOTAL'!AF378</f>
        <v>0</v>
      </c>
      <c r="AB372">
        <f>'RESUMEN TOTAL'!AG378</f>
        <v>0</v>
      </c>
      <c r="AC372">
        <f>'RESUMEN TOTAL'!AH378</f>
        <v>0</v>
      </c>
      <c r="AD372">
        <f>'RESUMEN TOTAL'!AI378</f>
        <v>0</v>
      </c>
      <c r="AE372">
        <f>'RESUMEN TOTAL'!AJ378</f>
        <v>0</v>
      </c>
      <c r="AF372">
        <f>'RESUMEN TOTAL'!AK378</f>
        <v>0</v>
      </c>
      <c r="AG372">
        <f>'RESUMEN TOTAL'!AL378</f>
        <v>0</v>
      </c>
      <c r="AH372">
        <f>'RESUMEN TOTAL'!AM378</f>
        <v>0</v>
      </c>
      <c r="AI372">
        <f>'RESUMEN TOTAL'!AN378</f>
        <v>0</v>
      </c>
    </row>
    <row r="373" spans="1:35" x14ac:dyDescent="0.25">
      <c r="A373" t="str">
        <f>'RESUMEN TOTAL'!A379</f>
        <v>VILLA ARIAS</v>
      </c>
      <c r="B373" t="str">
        <f>'RESUMEN TOTAL'!B379</f>
        <v>VLA 02</v>
      </c>
      <c r="C373" t="str">
        <f>'RESUMEN TOTAL'!D379</f>
        <v>ESPORA Y HUDSON</v>
      </c>
      <c r="D373" t="str">
        <f>'RESUMEN TOTAL'!E379</f>
        <v>DOMO</v>
      </c>
      <c r="E373" t="str">
        <f>'RESUMEN TOTAL'!F379</f>
        <v>Fibra Optica</v>
      </c>
      <c r="F373">
        <f>'RESUMEN TOTAL'!K379</f>
        <v>0</v>
      </c>
      <c r="G373">
        <f>'RESUMEN TOTAL'!L379</f>
        <v>0</v>
      </c>
      <c r="H373">
        <f>'RESUMEN TOTAL'!M379</f>
        <v>0</v>
      </c>
      <c r="I373">
        <f>'RESUMEN TOTAL'!N379</f>
        <v>0</v>
      </c>
      <c r="J373">
        <f>'RESUMEN TOTAL'!O379</f>
        <v>0</v>
      </c>
      <c r="K373">
        <f>'RESUMEN TOTAL'!P379</f>
        <v>0</v>
      </c>
      <c r="L373">
        <f>'RESUMEN TOTAL'!Q379</f>
        <v>0</v>
      </c>
      <c r="M373">
        <f>'RESUMEN TOTAL'!R379</f>
        <v>0</v>
      </c>
      <c r="N373">
        <f>'RESUMEN TOTAL'!S379</f>
        <v>0</v>
      </c>
      <c r="O373">
        <f>'RESUMEN TOTAL'!T379</f>
        <v>0</v>
      </c>
      <c r="P373">
        <f>'RESUMEN TOTAL'!U379</f>
        <v>0</v>
      </c>
      <c r="Q373">
        <f>'RESUMEN TOTAL'!V379</f>
        <v>0</v>
      </c>
      <c r="R373">
        <f>'RESUMEN TOTAL'!W379</f>
        <v>0</v>
      </c>
      <c r="S373">
        <f>'RESUMEN TOTAL'!X379</f>
        <v>0</v>
      </c>
      <c r="T373">
        <f>'RESUMEN TOTAL'!Y379</f>
        <v>0</v>
      </c>
      <c r="U373">
        <f>'RESUMEN TOTAL'!Z379</f>
        <v>0</v>
      </c>
      <c r="V373">
        <f>'RESUMEN TOTAL'!AA379</f>
        <v>0</v>
      </c>
      <c r="W373">
        <f>'RESUMEN TOTAL'!AB379</f>
        <v>0</v>
      </c>
      <c r="X373">
        <f>'RESUMEN TOTAL'!AC379</f>
        <v>0</v>
      </c>
      <c r="Y373">
        <f>'RESUMEN TOTAL'!AD379</f>
        <v>0</v>
      </c>
      <c r="Z373">
        <f>'RESUMEN TOTAL'!AE379</f>
        <v>0</v>
      </c>
      <c r="AA373">
        <f>'RESUMEN TOTAL'!AF379</f>
        <v>0</v>
      </c>
      <c r="AB373">
        <f>'RESUMEN TOTAL'!AG379</f>
        <v>0</v>
      </c>
      <c r="AC373">
        <f>'RESUMEN TOTAL'!AH379</f>
        <v>0</v>
      </c>
      <c r="AD373">
        <f>'RESUMEN TOTAL'!AI379</f>
        <v>0</v>
      </c>
      <c r="AE373">
        <f>'RESUMEN TOTAL'!AJ379</f>
        <v>0</v>
      </c>
      <c r="AF373">
        <f>'RESUMEN TOTAL'!AK379</f>
        <v>0</v>
      </c>
      <c r="AG373">
        <f>'RESUMEN TOTAL'!AL379</f>
        <v>0</v>
      </c>
      <c r="AH373">
        <f>'RESUMEN TOTAL'!AM379</f>
        <v>0</v>
      </c>
      <c r="AI373">
        <f>'RESUMEN TOTAL'!AN379</f>
        <v>0</v>
      </c>
    </row>
    <row r="374" spans="1:35" x14ac:dyDescent="0.25">
      <c r="A374" t="str">
        <f>'RESUMEN TOTAL'!A380</f>
        <v>VILLA ARIAS</v>
      </c>
      <c r="B374" t="str">
        <f>'RESUMEN TOTAL'!B380</f>
        <v>VLA03 (fija 2)</v>
      </c>
      <c r="C374" t="str">
        <f>'RESUMEN TOTAL'!D380</f>
        <v>820 y SOLER</v>
      </c>
      <c r="D374" t="str">
        <f>'RESUMEN TOTAL'!E380</f>
        <v>Fija</v>
      </c>
      <c r="E374" t="str">
        <f>'RESUMEN TOTAL'!F380</f>
        <v>Fibra Optica</v>
      </c>
      <c r="F374">
        <f>'RESUMEN TOTAL'!K380</f>
        <v>0</v>
      </c>
      <c r="G374">
        <f>'RESUMEN TOTAL'!L380</f>
        <v>0</v>
      </c>
      <c r="H374">
        <f>'RESUMEN TOTAL'!M380</f>
        <v>0</v>
      </c>
      <c r="I374">
        <f>'RESUMEN TOTAL'!N380</f>
        <v>0</v>
      </c>
      <c r="J374">
        <f>'RESUMEN TOTAL'!O380</f>
        <v>0</v>
      </c>
      <c r="K374">
        <f>'RESUMEN TOTAL'!P380</f>
        <v>0</v>
      </c>
      <c r="L374">
        <f>'RESUMEN TOTAL'!Q380</f>
        <v>0</v>
      </c>
      <c r="M374">
        <f>'RESUMEN TOTAL'!R380</f>
        <v>0</v>
      </c>
      <c r="N374">
        <f>'RESUMEN TOTAL'!S380</f>
        <v>0</v>
      </c>
      <c r="O374">
        <f>'RESUMEN TOTAL'!T380</f>
        <v>0</v>
      </c>
      <c r="P374">
        <f>'RESUMEN TOTAL'!U380</f>
        <v>0</v>
      </c>
      <c r="Q374">
        <f>'RESUMEN TOTAL'!V380</f>
        <v>0</v>
      </c>
      <c r="R374">
        <f>'RESUMEN TOTAL'!W380</f>
        <v>0</v>
      </c>
      <c r="S374">
        <f>'RESUMEN TOTAL'!X380</f>
        <v>0</v>
      </c>
      <c r="T374">
        <f>'RESUMEN TOTAL'!Y380</f>
        <v>0</v>
      </c>
      <c r="U374">
        <f>'RESUMEN TOTAL'!Z380</f>
        <v>0</v>
      </c>
      <c r="V374">
        <f>'RESUMEN TOTAL'!AA380</f>
        <v>0</v>
      </c>
      <c r="W374">
        <f>'RESUMEN TOTAL'!AB380</f>
        <v>0</v>
      </c>
      <c r="X374">
        <f>'RESUMEN TOTAL'!AC380</f>
        <v>0</v>
      </c>
      <c r="Y374">
        <f>'RESUMEN TOTAL'!AD380</f>
        <v>0</v>
      </c>
      <c r="Z374">
        <f>'RESUMEN TOTAL'!AE380</f>
        <v>0</v>
      </c>
      <c r="AA374">
        <f>'RESUMEN TOTAL'!AF380</f>
        <v>0</v>
      </c>
      <c r="AB374">
        <f>'RESUMEN TOTAL'!AG380</f>
        <v>0</v>
      </c>
      <c r="AC374">
        <f>'RESUMEN TOTAL'!AH380</f>
        <v>0</v>
      </c>
      <c r="AD374">
        <f>'RESUMEN TOTAL'!AI380</f>
        <v>0</v>
      </c>
      <c r="AE374">
        <f>'RESUMEN TOTAL'!AJ380</f>
        <v>0</v>
      </c>
      <c r="AF374">
        <f>'RESUMEN TOTAL'!AK380</f>
        <v>0</v>
      </c>
      <c r="AG374">
        <f>'RESUMEN TOTAL'!AL380</f>
        <v>0</v>
      </c>
      <c r="AH374">
        <f>'RESUMEN TOTAL'!AM380</f>
        <v>0</v>
      </c>
      <c r="AI374">
        <f>'RESUMEN TOTAL'!AN380</f>
        <v>0</v>
      </c>
    </row>
    <row r="375" spans="1:35" x14ac:dyDescent="0.25">
      <c r="A375" s="50" t="str">
        <f>'RESUMEN TOTAL'!A381</f>
        <v>VILLA ARIAS</v>
      </c>
      <c r="B375" s="50" t="str">
        <f>'RESUMEN TOTAL'!B381</f>
        <v>VLA04</v>
      </c>
      <c r="C375" s="50" t="str">
        <f>'RESUMEN TOTAL'!D381</f>
        <v>ESPORA Y MARTIN GRASS</v>
      </c>
      <c r="D375" s="50" t="str">
        <f>'RESUMEN TOTAL'!E381</f>
        <v>DOMO</v>
      </c>
      <c r="E375" s="50" t="str">
        <f>'RESUMEN TOTAL'!F381</f>
        <v>Fibra Optica</v>
      </c>
      <c r="F375" s="50">
        <f>'RESUMEN TOTAL'!K381</f>
        <v>0</v>
      </c>
      <c r="G375" s="50">
        <f>'RESUMEN TOTAL'!L381</f>
        <v>0</v>
      </c>
      <c r="H375" s="50">
        <f>'RESUMEN TOTAL'!M381</f>
        <v>0</v>
      </c>
      <c r="I375" s="50">
        <f>'RESUMEN TOTAL'!N381</f>
        <v>0</v>
      </c>
      <c r="J375" s="50">
        <f>'RESUMEN TOTAL'!O381</f>
        <v>0</v>
      </c>
      <c r="K375" s="50">
        <f>'RESUMEN TOTAL'!P381</f>
        <v>0</v>
      </c>
      <c r="L375" s="50">
        <f>'RESUMEN TOTAL'!Q381</f>
        <v>0</v>
      </c>
      <c r="M375" s="50">
        <f>'RESUMEN TOTAL'!R381</f>
        <v>0</v>
      </c>
      <c r="N375" s="50">
        <f>'RESUMEN TOTAL'!S381</f>
        <v>0</v>
      </c>
      <c r="O375" s="50">
        <f>'RESUMEN TOTAL'!T381</f>
        <v>0</v>
      </c>
      <c r="P375" s="50">
        <f>'RESUMEN TOTAL'!U381</f>
        <v>0</v>
      </c>
      <c r="Q375" s="50">
        <f>'RESUMEN TOTAL'!V381</f>
        <v>0</v>
      </c>
      <c r="R375" s="50">
        <f>'RESUMEN TOTAL'!W381</f>
        <v>0</v>
      </c>
      <c r="S375" s="50">
        <f>'RESUMEN TOTAL'!X381</f>
        <v>0</v>
      </c>
      <c r="T375" s="50">
        <f>'RESUMEN TOTAL'!Y381</f>
        <v>0</v>
      </c>
      <c r="U375" s="50">
        <f>'RESUMEN TOTAL'!Z381</f>
        <v>0</v>
      </c>
      <c r="V375" s="50">
        <f>'RESUMEN TOTAL'!AA381</f>
        <v>0</v>
      </c>
      <c r="W375" s="50">
        <f>'RESUMEN TOTAL'!AB381</f>
        <v>0</v>
      </c>
      <c r="X375" s="50">
        <f>'RESUMEN TOTAL'!AC381</f>
        <v>0</v>
      </c>
      <c r="Y375" s="50">
        <f>'RESUMEN TOTAL'!AD381</f>
        <v>0</v>
      </c>
      <c r="Z375" s="50">
        <f>'RESUMEN TOTAL'!AE381</f>
        <v>0</v>
      </c>
      <c r="AA375" s="50">
        <f>'RESUMEN TOTAL'!AF381</f>
        <v>0</v>
      </c>
      <c r="AB375" s="50">
        <f>'RESUMEN TOTAL'!AG381</f>
        <v>0</v>
      </c>
      <c r="AC375" s="50">
        <f>'RESUMEN TOTAL'!AH381</f>
        <v>0</v>
      </c>
      <c r="AD375" s="50">
        <f>'RESUMEN TOTAL'!AI381</f>
        <v>0</v>
      </c>
      <c r="AE375" s="50">
        <f>'RESUMEN TOTAL'!AJ381</f>
        <v>0</v>
      </c>
      <c r="AF375" s="50">
        <f>'RESUMEN TOTAL'!AK381</f>
        <v>0</v>
      </c>
      <c r="AG375" s="50">
        <f>'RESUMEN TOTAL'!AL381</f>
        <v>0</v>
      </c>
      <c r="AH375" s="50">
        <f>'RESUMEN TOTAL'!AM381</f>
        <v>0</v>
      </c>
      <c r="AI375" s="50">
        <f>'RESUMEN TOTAL'!AN381</f>
        <v>0</v>
      </c>
    </row>
    <row r="376" spans="1:35" x14ac:dyDescent="0.25">
      <c r="A376" s="50" t="str">
        <f>'RESUMEN TOTAL'!A382</f>
        <v>VILLA ARIAS</v>
      </c>
      <c r="B376" s="50" t="str">
        <f>'RESUMEN TOTAL'!B382</f>
        <v>VLA05</v>
      </c>
      <c r="C376" s="50" t="str">
        <f>'RESUMEN TOTAL'!D382</f>
        <v>ESPORA Y 802</v>
      </c>
      <c r="D376" s="50" t="str">
        <f>'RESUMEN TOTAL'!E382</f>
        <v>DOMO</v>
      </c>
      <c r="E376" s="50" t="str">
        <f>'RESUMEN TOTAL'!F382</f>
        <v>Fibra Optica</v>
      </c>
      <c r="F376" s="50">
        <f>'RESUMEN TOTAL'!K382</f>
        <v>0</v>
      </c>
      <c r="G376" s="50">
        <f>'RESUMEN TOTAL'!L382</f>
        <v>0</v>
      </c>
      <c r="H376" s="50">
        <f>'RESUMEN TOTAL'!M382</f>
        <v>0</v>
      </c>
      <c r="I376" s="50">
        <f>'RESUMEN TOTAL'!N382</f>
        <v>0</v>
      </c>
      <c r="J376" s="50">
        <f>'RESUMEN TOTAL'!O382</f>
        <v>0</v>
      </c>
      <c r="K376" s="50">
        <f>'RESUMEN TOTAL'!P382</f>
        <v>0</v>
      </c>
      <c r="L376" s="50">
        <f>'RESUMEN TOTAL'!Q382</f>
        <v>0</v>
      </c>
      <c r="M376" s="50">
        <f>'RESUMEN TOTAL'!R382</f>
        <v>0</v>
      </c>
      <c r="N376" s="50">
        <f>'RESUMEN TOTAL'!S382</f>
        <v>0</v>
      </c>
      <c r="O376" s="50">
        <f>'RESUMEN TOTAL'!T382</f>
        <v>0</v>
      </c>
      <c r="P376" s="50">
        <f>'RESUMEN TOTAL'!U382</f>
        <v>0</v>
      </c>
      <c r="Q376" s="50">
        <f>'RESUMEN TOTAL'!V382</f>
        <v>0</v>
      </c>
      <c r="R376" s="50">
        <f>'RESUMEN TOTAL'!W382</f>
        <v>0</v>
      </c>
      <c r="S376" s="50">
        <f>'RESUMEN TOTAL'!X382</f>
        <v>0</v>
      </c>
      <c r="T376" s="50">
        <f>'RESUMEN TOTAL'!Y382</f>
        <v>0</v>
      </c>
      <c r="U376" s="50">
        <f>'RESUMEN TOTAL'!Z382</f>
        <v>0</v>
      </c>
      <c r="V376" s="50">
        <f>'RESUMEN TOTAL'!AA382</f>
        <v>0</v>
      </c>
      <c r="W376" s="50">
        <f>'RESUMEN TOTAL'!AB382</f>
        <v>0</v>
      </c>
      <c r="X376" s="50">
        <f>'RESUMEN TOTAL'!AC382</f>
        <v>0</v>
      </c>
      <c r="Y376" s="50">
        <f>'RESUMEN TOTAL'!AD382</f>
        <v>0</v>
      </c>
      <c r="Z376" s="50">
        <f>'RESUMEN TOTAL'!AE382</f>
        <v>0</v>
      </c>
      <c r="AA376" s="50">
        <f>'RESUMEN TOTAL'!AF382</f>
        <v>0</v>
      </c>
      <c r="AB376" s="50">
        <f>'RESUMEN TOTAL'!AG382</f>
        <v>0</v>
      </c>
      <c r="AC376" s="50">
        <f>'RESUMEN TOTAL'!AH382</f>
        <v>0</v>
      </c>
      <c r="AD376" s="50">
        <f>'RESUMEN TOTAL'!AI382</f>
        <v>0</v>
      </c>
      <c r="AE376" s="50">
        <f>'RESUMEN TOTAL'!AJ382</f>
        <v>0</v>
      </c>
      <c r="AF376" s="50">
        <f>'RESUMEN TOTAL'!AK382</f>
        <v>0</v>
      </c>
      <c r="AG376" s="50">
        <f>'RESUMEN TOTAL'!AL382</f>
        <v>0</v>
      </c>
      <c r="AH376" s="50">
        <f>'RESUMEN TOTAL'!AM382</f>
        <v>0</v>
      </c>
      <c r="AI376" s="50">
        <f>'RESUMEN TOTAL'!AN382</f>
        <v>0</v>
      </c>
    </row>
    <row r="377" spans="1:35" x14ac:dyDescent="0.25">
      <c r="A377" s="50" t="str">
        <f>'RESUMEN TOTAL'!A383</f>
        <v>VILLA MONICA NUEVA</v>
      </c>
      <c r="B377" s="50" t="str">
        <f>'RESUMEN TOTAL'!B383</f>
        <v>VMO 02</v>
      </c>
      <c r="C377" s="50" t="str">
        <f>'RESUMEN TOTAL'!D383</f>
        <v>Rio Carapachay y Oroño</v>
      </c>
      <c r="D377" s="50" t="str">
        <f>'RESUMEN TOTAL'!E383</f>
        <v>Domo</v>
      </c>
      <c r="E377" s="50" t="str">
        <f>'RESUMEN TOTAL'!F383</f>
        <v>Radio</v>
      </c>
      <c r="F377" s="50">
        <f>'RESUMEN TOTAL'!K383</f>
        <v>0</v>
      </c>
      <c r="G377" s="50">
        <f>'RESUMEN TOTAL'!L383</f>
        <v>0</v>
      </c>
      <c r="H377" s="50">
        <f>'RESUMEN TOTAL'!M383</f>
        <v>0</v>
      </c>
      <c r="I377" s="50">
        <f>'RESUMEN TOTAL'!N383</f>
        <v>0</v>
      </c>
      <c r="J377" s="50">
        <f>'RESUMEN TOTAL'!O383</f>
        <v>0</v>
      </c>
      <c r="K377" s="50">
        <f>'RESUMEN TOTAL'!P383</f>
        <v>0</v>
      </c>
      <c r="L377" s="50">
        <f>'RESUMEN TOTAL'!Q383</f>
        <v>0</v>
      </c>
      <c r="M377" s="50">
        <f>'RESUMEN TOTAL'!R383</f>
        <v>0</v>
      </c>
      <c r="N377" s="50">
        <f>'RESUMEN TOTAL'!S383</f>
        <v>0</v>
      </c>
      <c r="O377" s="50">
        <f>'RESUMEN TOTAL'!T383</f>
        <v>0</v>
      </c>
      <c r="P377" s="50">
        <f>'RESUMEN TOTAL'!U383</f>
        <v>0</v>
      </c>
      <c r="Q377" s="50">
        <f>'RESUMEN TOTAL'!V383</f>
        <v>0</v>
      </c>
      <c r="R377" s="50">
        <f>'RESUMEN TOTAL'!W383</f>
        <v>0</v>
      </c>
      <c r="S377" s="50">
        <f>'RESUMEN TOTAL'!X383</f>
        <v>0</v>
      </c>
      <c r="T377" s="50">
        <f>'RESUMEN TOTAL'!Y383</f>
        <v>0</v>
      </c>
      <c r="U377" s="50">
        <f>'RESUMEN TOTAL'!Z383</f>
        <v>0</v>
      </c>
      <c r="V377" s="50">
        <f>'RESUMEN TOTAL'!AA383</f>
        <v>0</v>
      </c>
      <c r="W377" s="50">
        <f>'RESUMEN TOTAL'!AB383</f>
        <v>0</v>
      </c>
      <c r="X377" s="50">
        <f>'RESUMEN TOTAL'!AC383</f>
        <v>0</v>
      </c>
      <c r="Y377" s="50">
        <f>'RESUMEN TOTAL'!AD383</f>
        <v>0</v>
      </c>
      <c r="Z377" s="50">
        <f>'RESUMEN TOTAL'!AE383</f>
        <v>0</v>
      </c>
      <c r="AA377" s="50">
        <f>'RESUMEN TOTAL'!AF383</f>
        <v>0</v>
      </c>
      <c r="AB377" s="50">
        <f>'RESUMEN TOTAL'!AG383</f>
        <v>0</v>
      </c>
      <c r="AC377" s="50">
        <f>'RESUMEN TOTAL'!AH383</f>
        <v>0</v>
      </c>
      <c r="AD377" s="50">
        <f>'RESUMEN TOTAL'!AI383</f>
        <v>0</v>
      </c>
      <c r="AE377" s="50">
        <f>'RESUMEN TOTAL'!AJ383</f>
        <v>0</v>
      </c>
      <c r="AF377" s="50">
        <f>'RESUMEN TOTAL'!AK383</f>
        <v>0</v>
      </c>
      <c r="AG377" s="50">
        <f>'RESUMEN TOTAL'!AL383</f>
        <v>0</v>
      </c>
      <c r="AH377" s="50">
        <f>'RESUMEN TOTAL'!AM383</f>
        <v>0</v>
      </c>
      <c r="AI377" s="50">
        <f>'RESUMEN TOTAL'!AN383</f>
        <v>0</v>
      </c>
    </row>
    <row r="378" spans="1:35" x14ac:dyDescent="0.25">
      <c r="A378" s="50" t="str">
        <f>'RESUMEN TOTAL'!A384</f>
        <v>VILLA MONICA NUEVA</v>
      </c>
      <c r="B378" s="50" t="str">
        <f>'RESUMEN TOTAL'!B384</f>
        <v>VMO 03 (fija 1)</v>
      </c>
      <c r="C378" s="50" t="str">
        <f>'RESUMEN TOTAL'!D384</f>
        <v>EVA PERON E/ OROÑO Y 734 A</v>
      </c>
      <c r="D378" s="50" t="str">
        <f>'RESUMEN TOTAL'!E384</f>
        <v>Fija</v>
      </c>
      <c r="E378" s="50" t="str">
        <f>'RESUMEN TOTAL'!F384</f>
        <v>Fibra Optica</v>
      </c>
      <c r="F378" s="50">
        <f>'RESUMEN TOTAL'!K384</f>
        <v>0</v>
      </c>
      <c r="G378" s="50">
        <f>'RESUMEN TOTAL'!L384</f>
        <v>0</v>
      </c>
      <c r="H378" s="50">
        <f>'RESUMEN TOTAL'!M384</f>
        <v>0</v>
      </c>
      <c r="I378" s="50">
        <f>'RESUMEN TOTAL'!N384</f>
        <v>0</v>
      </c>
      <c r="J378" s="50">
        <f>'RESUMEN TOTAL'!O384</f>
        <v>0</v>
      </c>
      <c r="K378" s="50">
        <f>'RESUMEN TOTAL'!P384</f>
        <v>0</v>
      </c>
      <c r="L378" s="50">
        <f>'RESUMEN TOTAL'!Q384</f>
        <v>0</v>
      </c>
      <c r="M378" s="50">
        <f>'RESUMEN TOTAL'!R384</f>
        <v>0</v>
      </c>
      <c r="N378" s="50">
        <f>'RESUMEN TOTAL'!S384</f>
        <v>0</v>
      </c>
      <c r="O378" s="50">
        <f>'RESUMEN TOTAL'!T384</f>
        <v>0</v>
      </c>
      <c r="P378" s="50">
        <f>'RESUMEN TOTAL'!U384</f>
        <v>0</v>
      </c>
      <c r="Q378" s="50">
        <f>'RESUMEN TOTAL'!V384</f>
        <v>0</v>
      </c>
      <c r="R378" s="50">
        <f>'RESUMEN TOTAL'!W384</f>
        <v>0</v>
      </c>
      <c r="S378" s="50">
        <f>'RESUMEN TOTAL'!X384</f>
        <v>0</v>
      </c>
      <c r="T378" s="50">
        <f>'RESUMEN TOTAL'!Y384</f>
        <v>0</v>
      </c>
      <c r="U378" s="50">
        <f>'RESUMEN TOTAL'!Z384</f>
        <v>0</v>
      </c>
      <c r="V378" s="50">
        <f>'RESUMEN TOTAL'!AA384</f>
        <v>0</v>
      </c>
      <c r="W378" s="50">
        <f>'RESUMEN TOTAL'!AB384</f>
        <v>0</v>
      </c>
      <c r="X378" s="50">
        <f>'RESUMEN TOTAL'!AC384</f>
        <v>0</v>
      </c>
      <c r="Y378" s="50">
        <f>'RESUMEN TOTAL'!AD384</f>
        <v>0</v>
      </c>
      <c r="Z378" s="50">
        <f>'RESUMEN TOTAL'!AE384</f>
        <v>0</v>
      </c>
      <c r="AA378" s="50">
        <f>'RESUMEN TOTAL'!AF384</f>
        <v>0</v>
      </c>
      <c r="AB378" s="50">
        <f>'RESUMEN TOTAL'!AG384</f>
        <v>0</v>
      </c>
      <c r="AC378" s="50">
        <f>'RESUMEN TOTAL'!AH384</f>
        <v>0</v>
      </c>
      <c r="AD378" s="50">
        <f>'RESUMEN TOTAL'!AI384</f>
        <v>0</v>
      </c>
      <c r="AE378" s="50">
        <f>'RESUMEN TOTAL'!AJ384</f>
        <v>0</v>
      </c>
      <c r="AF378" s="50">
        <f>'RESUMEN TOTAL'!AK384</f>
        <v>0</v>
      </c>
      <c r="AG378" s="50">
        <f>'RESUMEN TOTAL'!AL384</f>
        <v>0</v>
      </c>
      <c r="AH378" s="50">
        <f>'RESUMEN TOTAL'!AM384</f>
        <v>0</v>
      </c>
      <c r="AI378" s="50">
        <f>'RESUMEN TOTAL'!AN384</f>
        <v>0</v>
      </c>
    </row>
    <row r="379" spans="1:35" x14ac:dyDescent="0.25">
      <c r="A379" s="50" t="str">
        <f>'RESUMEN TOTAL'!A385</f>
        <v>VILLA MONICA NUEVA</v>
      </c>
      <c r="B379" s="50" t="str">
        <f>'RESUMEN TOTAL'!B385</f>
        <v>VMO 04 (fija 2)</v>
      </c>
      <c r="C379" s="50" t="str">
        <f>'RESUMEN TOTAL'!D385</f>
        <v>EVA PERON E/ OROÑO Y 734 A</v>
      </c>
      <c r="D379" s="50" t="str">
        <f>'RESUMEN TOTAL'!E385</f>
        <v>Fija</v>
      </c>
      <c r="E379" s="50" t="str">
        <f>'RESUMEN TOTAL'!F385</f>
        <v>Fibra Optica</v>
      </c>
      <c r="F379" s="50">
        <f>'RESUMEN TOTAL'!K385</f>
        <v>0</v>
      </c>
      <c r="G379" s="50">
        <f>'RESUMEN TOTAL'!L385</f>
        <v>0</v>
      </c>
      <c r="H379" s="50">
        <f>'RESUMEN TOTAL'!M385</f>
        <v>0</v>
      </c>
      <c r="I379" s="50">
        <f>'RESUMEN TOTAL'!N385</f>
        <v>0</v>
      </c>
      <c r="J379" s="50">
        <f>'RESUMEN TOTAL'!O385</f>
        <v>0</v>
      </c>
      <c r="K379" s="50">
        <f>'RESUMEN TOTAL'!P385</f>
        <v>0</v>
      </c>
      <c r="L379" s="50">
        <f>'RESUMEN TOTAL'!Q385</f>
        <v>0</v>
      </c>
      <c r="M379" s="50">
        <f>'RESUMEN TOTAL'!R385</f>
        <v>0</v>
      </c>
      <c r="N379" s="50">
        <f>'RESUMEN TOTAL'!S385</f>
        <v>0</v>
      </c>
      <c r="O379" s="50">
        <f>'RESUMEN TOTAL'!T385</f>
        <v>0</v>
      </c>
      <c r="P379" s="50">
        <f>'RESUMEN TOTAL'!U385</f>
        <v>0</v>
      </c>
      <c r="Q379" s="50">
        <f>'RESUMEN TOTAL'!V385</f>
        <v>0</v>
      </c>
      <c r="R379" s="50">
        <f>'RESUMEN TOTAL'!W385</f>
        <v>0</v>
      </c>
      <c r="S379" s="50">
        <f>'RESUMEN TOTAL'!X385</f>
        <v>0</v>
      </c>
      <c r="T379" s="50">
        <f>'RESUMEN TOTAL'!Y385</f>
        <v>0</v>
      </c>
      <c r="U379" s="50">
        <f>'RESUMEN TOTAL'!Z385</f>
        <v>0</v>
      </c>
      <c r="V379" s="50">
        <f>'RESUMEN TOTAL'!AA385</f>
        <v>0</v>
      </c>
      <c r="W379" s="50">
        <f>'RESUMEN TOTAL'!AB385</f>
        <v>0</v>
      </c>
      <c r="X379" s="50">
        <f>'RESUMEN TOTAL'!AC385</f>
        <v>0</v>
      </c>
      <c r="Y379" s="50">
        <f>'RESUMEN TOTAL'!AD385</f>
        <v>0</v>
      </c>
      <c r="Z379" s="50">
        <f>'RESUMEN TOTAL'!AE385</f>
        <v>0</v>
      </c>
      <c r="AA379" s="50">
        <f>'RESUMEN TOTAL'!AF385</f>
        <v>0</v>
      </c>
      <c r="AB379" s="50">
        <f>'RESUMEN TOTAL'!AG385</f>
        <v>0</v>
      </c>
      <c r="AC379" s="50">
        <f>'RESUMEN TOTAL'!AH385</f>
        <v>0</v>
      </c>
      <c r="AD379" s="50">
        <f>'RESUMEN TOTAL'!AI385</f>
        <v>0</v>
      </c>
      <c r="AE379" s="50">
        <f>'RESUMEN TOTAL'!AJ385</f>
        <v>0</v>
      </c>
      <c r="AF379" s="50">
        <f>'RESUMEN TOTAL'!AK385</f>
        <v>0</v>
      </c>
      <c r="AG379" s="50">
        <f>'RESUMEN TOTAL'!AL385</f>
        <v>0</v>
      </c>
      <c r="AH379" s="50">
        <f>'RESUMEN TOTAL'!AM385</f>
        <v>0</v>
      </c>
      <c r="AI379" s="50">
        <f>'RESUMEN TOTAL'!AN385</f>
        <v>0</v>
      </c>
    </row>
    <row r="380" spans="1:35" x14ac:dyDescent="0.25">
      <c r="A380" s="50" t="str">
        <f>'RESUMEN TOTAL'!A386</f>
        <v>VILLA MONICA NUEVA</v>
      </c>
      <c r="B380" s="50" t="str">
        <f>'RESUMEN TOTAL'!B386</f>
        <v>VMO 05</v>
      </c>
      <c r="C380" s="50" t="str">
        <f>'RESUMEN TOTAL'!D386</f>
        <v>OROÃ‘O Y EVA PERON</v>
      </c>
      <c r="D380" s="50" t="str">
        <f>'RESUMEN TOTAL'!E386</f>
        <v>DOMO</v>
      </c>
      <c r="E380" s="50" t="str">
        <f>'RESUMEN TOTAL'!F386</f>
        <v>Fibra Optica</v>
      </c>
      <c r="F380" s="50">
        <f>'RESUMEN TOTAL'!K386</f>
        <v>0</v>
      </c>
      <c r="G380" s="50">
        <f>'RESUMEN TOTAL'!L386</f>
        <v>0</v>
      </c>
      <c r="H380" s="50">
        <f>'RESUMEN TOTAL'!M386</f>
        <v>0</v>
      </c>
      <c r="I380" s="50">
        <f>'RESUMEN TOTAL'!N386</f>
        <v>0</v>
      </c>
      <c r="J380" s="50">
        <f>'RESUMEN TOTAL'!O386</f>
        <v>0</v>
      </c>
      <c r="K380" s="50">
        <f>'RESUMEN TOTAL'!P386</f>
        <v>0</v>
      </c>
      <c r="L380" s="50">
        <f>'RESUMEN TOTAL'!Q386</f>
        <v>0</v>
      </c>
      <c r="M380" s="50">
        <f>'RESUMEN TOTAL'!R386</f>
        <v>0</v>
      </c>
      <c r="N380" s="50">
        <f>'RESUMEN TOTAL'!S386</f>
        <v>0</v>
      </c>
      <c r="O380" s="50">
        <f>'RESUMEN TOTAL'!T386</f>
        <v>0</v>
      </c>
      <c r="P380" s="50">
        <f>'RESUMEN TOTAL'!U386</f>
        <v>0</v>
      </c>
      <c r="Q380" s="50">
        <f>'RESUMEN TOTAL'!V386</f>
        <v>0</v>
      </c>
      <c r="R380" s="50">
        <f>'RESUMEN TOTAL'!W386</f>
        <v>0</v>
      </c>
      <c r="S380" s="50">
        <f>'RESUMEN TOTAL'!X386</f>
        <v>0</v>
      </c>
      <c r="T380" s="50">
        <f>'RESUMEN TOTAL'!Y386</f>
        <v>0</v>
      </c>
      <c r="U380" s="50">
        <f>'RESUMEN TOTAL'!Z386</f>
        <v>0</v>
      </c>
      <c r="V380" s="50">
        <f>'RESUMEN TOTAL'!AA386</f>
        <v>0</v>
      </c>
      <c r="W380" s="50">
        <f>'RESUMEN TOTAL'!AB386</f>
        <v>0</v>
      </c>
      <c r="X380" s="50">
        <f>'RESUMEN TOTAL'!AC386</f>
        <v>0</v>
      </c>
      <c r="Y380" s="50">
        <f>'RESUMEN TOTAL'!AD386</f>
        <v>0</v>
      </c>
      <c r="Z380" s="50">
        <f>'RESUMEN TOTAL'!AE386</f>
        <v>0</v>
      </c>
      <c r="AA380" s="50">
        <f>'RESUMEN TOTAL'!AF386</f>
        <v>0</v>
      </c>
      <c r="AB380" s="50">
        <f>'RESUMEN TOTAL'!AG386</f>
        <v>0</v>
      </c>
      <c r="AC380" s="50">
        <f>'RESUMEN TOTAL'!AH386</f>
        <v>0</v>
      </c>
      <c r="AD380" s="50">
        <f>'RESUMEN TOTAL'!AI386</f>
        <v>0</v>
      </c>
      <c r="AE380" s="50">
        <f>'RESUMEN TOTAL'!AJ386</f>
        <v>0</v>
      </c>
      <c r="AF380" s="50">
        <f>'RESUMEN TOTAL'!AK386</f>
        <v>0</v>
      </c>
      <c r="AG380" s="50">
        <f>'RESUMEN TOTAL'!AL386</f>
        <v>0</v>
      </c>
      <c r="AH380" s="50">
        <f>'RESUMEN TOTAL'!AM386</f>
        <v>0</v>
      </c>
      <c r="AI380" s="50">
        <f>'RESUMEN TOTAL'!AN386</f>
        <v>0</v>
      </c>
    </row>
    <row r="381" spans="1:35" x14ac:dyDescent="0.25">
      <c r="A381" s="50" t="str">
        <f>'RESUMEN TOTAL'!A387</f>
        <v>VILLA MONICA NUEVA</v>
      </c>
      <c r="B381" s="50" t="str">
        <f>'RESUMEN TOTAL'!B387</f>
        <v>VMO01</v>
      </c>
      <c r="C381" s="50" t="str">
        <f>'RESUMEN TOTAL'!D387</f>
        <v>Eva Peron y Monseñor de las Casas</v>
      </c>
      <c r="D381" s="50" t="str">
        <f>'RESUMEN TOTAL'!E387</f>
        <v>DOMO</v>
      </c>
      <c r="E381" s="50" t="str">
        <f>'RESUMEN TOTAL'!F387</f>
        <v>Fibra Optica</v>
      </c>
      <c r="F381" s="50">
        <f>'RESUMEN TOTAL'!K387</f>
        <v>0</v>
      </c>
      <c r="G381" s="50">
        <f>'RESUMEN TOTAL'!L387</f>
        <v>0</v>
      </c>
      <c r="H381" s="50">
        <f>'RESUMEN TOTAL'!M387</f>
        <v>0</v>
      </c>
      <c r="I381" s="50">
        <f>'RESUMEN TOTAL'!N387</f>
        <v>0</v>
      </c>
      <c r="J381" s="50">
        <f>'RESUMEN TOTAL'!O387</f>
        <v>0</v>
      </c>
      <c r="K381" s="50">
        <f>'RESUMEN TOTAL'!P387</f>
        <v>0</v>
      </c>
      <c r="L381" s="50">
        <f>'RESUMEN TOTAL'!Q387</f>
        <v>0</v>
      </c>
      <c r="M381" s="50">
        <f>'RESUMEN TOTAL'!R387</f>
        <v>0</v>
      </c>
      <c r="N381" s="50">
        <f>'RESUMEN TOTAL'!S387</f>
        <v>0</v>
      </c>
      <c r="O381" s="50">
        <f>'RESUMEN TOTAL'!T387</f>
        <v>0</v>
      </c>
      <c r="P381" s="50">
        <f>'RESUMEN TOTAL'!U387</f>
        <v>0</v>
      </c>
      <c r="Q381" s="50">
        <f>'RESUMEN TOTAL'!V387</f>
        <v>0</v>
      </c>
      <c r="R381" s="50">
        <f>'RESUMEN TOTAL'!W387</f>
        <v>0</v>
      </c>
      <c r="S381" s="50">
        <f>'RESUMEN TOTAL'!X387</f>
        <v>0</v>
      </c>
      <c r="T381" s="50">
        <f>'RESUMEN TOTAL'!Y387</f>
        <v>0</v>
      </c>
      <c r="U381" s="50">
        <f>'RESUMEN TOTAL'!Z387</f>
        <v>0</v>
      </c>
      <c r="V381" s="50">
        <f>'RESUMEN TOTAL'!AA387</f>
        <v>0</v>
      </c>
      <c r="W381" s="50">
        <f>'RESUMEN TOTAL'!AB387</f>
        <v>0</v>
      </c>
      <c r="X381" s="50">
        <f>'RESUMEN TOTAL'!AC387</f>
        <v>0</v>
      </c>
      <c r="Y381" s="50">
        <f>'RESUMEN TOTAL'!AD387</f>
        <v>0</v>
      </c>
      <c r="Z381" s="50">
        <f>'RESUMEN TOTAL'!AE387</f>
        <v>0</v>
      </c>
      <c r="AA381" s="50">
        <f>'RESUMEN TOTAL'!AF387</f>
        <v>0</v>
      </c>
      <c r="AB381" s="50">
        <f>'RESUMEN TOTAL'!AG387</f>
        <v>0</v>
      </c>
      <c r="AC381" s="50">
        <f>'RESUMEN TOTAL'!AH387</f>
        <v>0</v>
      </c>
      <c r="AD381" s="50">
        <f>'RESUMEN TOTAL'!AI387</f>
        <v>0</v>
      </c>
      <c r="AE381" s="50">
        <f>'RESUMEN TOTAL'!AJ387</f>
        <v>0</v>
      </c>
      <c r="AF381" s="50">
        <f>'RESUMEN TOTAL'!AK387</f>
        <v>0</v>
      </c>
      <c r="AG381" s="50">
        <f>'RESUMEN TOTAL'!AL387</f>
        <v>0</v>
      </c>
      <c r="AH381" s="50">
        <f>'RESUMEN TOTAL'!AM387</f>
        <v>0</v>
      </c>
      <c r="AI381" s="50">
        <f>'RESUMEN TOTAL'!AN387</f>
        <v>0</v>
      </c>
    </row>
    <row r="382" spans="1:35" x14ac:dyDescent="0.25">
      <c r="A382" s="50" t="str">
        <f>'RESUMEN TOTAL'!A388</f>
        <v>VILLA MONICA VIEJA</v>
      </c>
      <c r="B382" s="50" t="str">
        <f>'RESUMEN TOTAL'!B388</f>
        <v>VMOV 02 (fija 2)</v>
      </c>
      <c r="C382" s="50" t="str">
        <f>'RESUMEN TOTAL'!D388</f>
        <v>ATENAS E/ CAFFERATA Y ALEMANIA</v>
      </c>
      <c r="D382" s="50" t="str">
        <f>'RESUMEN TOTAL'!E388</f>
        <v>Fija</v>
      </c>
      <c r="E382" s="50" t="str">
        <f>'RESUMEN TOTAL'!F388</f>
        <v>Fibra Optica</v>
      </c>
      <c r="F382" s="50">
        <f>'RESUMEN TOTAL'!K388</f>
        <v>0</v>
      </c>
      <c r="G382" s="50">
        <f>'RESUMEN TOTAL'!L388</f>
        <v>0</v>
      </c>
      <c r="H382" s="50">
        <f>'RESUMEN TOTAL'!M388</f>
        <v>0</v>
      </c>
      <c r="I382" s="50">
        <f>'RESUMEN TOTAL'!N388</f>
        <v>0</v>
      </c>
      <c r="J382" s="50">
        <f>'RESUMEN TOTAL'!O388</f>
        <v>0</v>
      </c>
      <c r="K382" s="50">
        <f>'RESUMEN TOTAL'!P388</f>
        <v>0</v>
      </c>
      <c r="L382" s="50">
        <f>'RESUMEN TOTAL'!Q388</f>
        <v>0</v>
      </c>
      <c r="M382" s="50">
        <f>'RESUMEN TOTAL'!R388</f>
        <v>0</v>
      </c>
      <c r="N382" s="50">
        <f>'RESUMEN TOTAL'!S388</f>
        <v>0</v>
      </c>
      <c r="O382" s="50">
        <f>'RESUMEN TOTAL'!T388</f>
        <v>0</v>
      </c>
      <c r="P382" s="50">
        <f>'RESUMEN TOTAL'!U388</f>
        <v>0</v>
      </c>
      <c r="Q382" s="50">
        <f>'RESUMEN TOTAL'!V388</f>
        <v>0</v>
      </c>
      <c r="R382" s="50">
        <f>'RESUMEN TOTAL'!W388</f>
        <v>0</v>
      </c>
      <c r="S382" s="50">
        <f>'RESUMEN TOTAL'!X388</f>
        <v>0</v>
      </c>
      <c r="T382" s="50">
        <f>'RESUMEN TOTAL'!Y388</f>
        <v>0</v>
      </c>
      <c r="U382" s="50">
        <f>'RESUMEN TOTAL'!Z388</f>
        <v>0</v>
      </c>
      <c r="V382" s="50">
        <f>'RESUMEN TOTAL'!AA388</f>
        <v>0</v>
      </c>
      <c r="W382" s="50">
        <f>'RESUMEN TOTAL'!AB388</f>
        <v>0</v>
      </c>
      <c r="X382" s="50">
        <f>'RESUMEN TOTAL'!AC388</f>
        <v>0</v>
      </c>
      <c r="Y382" s="50">
        <f>'RESUMEN TOTAL'!AD388</f>
        <v>0</v>
      </c>
      <c r="Z382" s="50">
        <f>'RESUMEN TOTAL'!AE388</f>
        <v>0</v>
      </c>
      <c r="AA382" s="50">
        <f>'RESUMEN TOTAL'!AF388</f>
        <v>0</v>
      </c>
      <c r="AB382" s="50">
        <f>'RESUMEN TOTAL'!AG388</f>
        <v>0</v>
      </c>
      <c r="AC382" s="50">
        <f>'RESUMEN TOTAL'!AH388</f>
        <v>0</v>
      </c>
      <c r="AD382" s="50">
        <f>'RESUMEN TOTAL'!AI388</f>
        <v>0</v>
      </c>
      <c r="AE382" s="50">
        <f>'RESUMEN TOTAL'!AJ388</f>
        <v>0</v>
      </c>
      <c r="AF382" s="50">
        <f>'RESUMEN TOTAL'!AK388</f>
        <v>0</v>
      </c>
      <c r="AG382" s="50">
        <f>'RESUMEN TOTAL'!AL388</f>
        <v>0</v>
      </c>
      <c r="AH382" s="50">
        <f>'RESUMEN TOTAL'!AM388</f>
        <v>0</v>
      </c>
      <c r="AI382" s="50">
        <f>'RESUMEN TOTAL'!AN388</f>
        <v>0</v>
      </c>
    </row>
    <row r="383" spans="1:35" x14ac:dyDescent="0.25">
      <c r="A383" s="50" t="str">
        <f>'RESUMEN TOTAL'!A389</f>
        <v>VILLA MONICA VIEJA</v>
      </c>
      <c r="B383" s="50" t="str">
        <f>'RESUMEN TOTAL'!B389</f>
        <v>VMOV 03 (fija 1)</v>
      </c>
      <c r="C383" s="50" t="str">
        <f>'RESUMEN TOTAL'!D389</f>
        <v>ROMA E/ HOLANDA Y CAFFERATA</v>
      </c>
      <c r="D383" s="50" t="str">
        <f>'RESUMEN TOTAL'!E389</f>
        <v>Fija</v>
      </c>
      <c r="E383" s="50" t="str">
        <f>'RESUMEN TOTAL'!F389</f>
        <v>Fibra Optica</v>
      </c>
      <c r="F383" s="50">
        <f>'RESUMEN TOTAL'!K389</f>
        <v>0</v>
      </c>
      <c r="G383" s="50">
        <f>'RESUMEN TOTAL'!L389</f>
        <v>0</v>
      </c>
      <c r="H383" s="50">
        <f>'RESUMEN TOTAL'!M389</f>
        <v>0</v>
      </c>
      <c r="I383" s="50">
        <f>'RESUMEN TOTAL'!N389</f>
        <v>0</v>
      </c>
      <c r="J383" s="50">
        <f>'RESUMEN TOTAL'!O389</f>
        <v>0</v>
      </c>
      <c r="K383" s="50">
        <f>'RESUMEN TOTAL'!P389</f>
        <v>0</v>
      </c>
      <c r="L383" s="50">
        <f>'RESUMEN TOTAL'!Q389</f>
        <v>0</v>
      </c>
      <c r="M383" s="50">
        <f>'RESUMEN TOTAL'!R389</f>
        <v>0</v>
      </c>
      <c r="N383" s="50">
        <f>'RESUMEN TOTAL'!S389</f>
        <v>0</v>
      </c>
      <c r="O383" s="50">
        <f>'RESUMEN TOTAL'!T389</f>
        <v>0</v>
      </c>
      <c r="P383" s="50">
        <f>'RESUMEN TOTAL'!U389</f>
        <v>0</v>
      </c>
      <c r="Q383" s="50">
        <f>'RESUMEN TOTAL'!V389</f>
        <v>0</v>
      </c>
      <c r="R383" s="50">
        <f>'RESUMEN TOTAL'!W389</f>
        <v>0</v>
      </c>
      <c r="S383" s="50">
        <f>'RESUMEN TOTAL'!X389</f>
        <v>0</v>
      </c>
      <c r="T383" s="50">
        <f>'RESUMEN TOTAL'!Y389</f>
        <v>0</v>
      </c>
      <c r="U383" s="50">
        <f>'RESUMEN TOTAL'!Z389</f>
        <v>0</v>
      </c>
      <c r="V383" s="50">
        <f>'RESUMEN TOTAL'!AA389</f>
        <v>0</v>
      </c>
      <c r="W383" s="50">
        <f>'RESUMEN TOTAL'!AB389</f>
        <v>0</v>
      </c>
      <c r="X383" s="50">
        <f>'RESUMEN TOTAL'!AC389</f>
        <v>0</v>
      </c>
      <c r="Y383" s="50">
        <f>'RESUMEN TOTAL'!AD389</f>
        <v>0</v>
      </c>
      <c r="Z383" s="50">
        <f>'RESUMEN TOTAL'!AE389</f>
        <v>0</v>
      </c>
      <c r="AA383" s="50">
        <f>'RESUMEN TOTAL'!AF389</f>
        <v>0</v>
      </c>
      <c r="AB383" s="50">
        <f>'RESUMEN TOTAL'!AG389</f>
        <v>0</v>
      </c>
      <c r="AC383" s="50">
        <f>'RESUMEN TOTAL'!AH389</f>
        <v>0</v>
      </c>
      <c r="AD383" s="50">
        <f>'RESUMEN TOTAL'!AI389</f>
        <v>0</v>
      </c>
      <c r="AE383" s="50">
        <f>'RESUMEN TOTAL'!AJ389</f>
        <v>0</v>
      </c>
      <c r="AF383" s="50">
        <f>'RESUMEN TOTAL'!AK389</f>
        <v>0</v>
      </c>
      <c r="AG383" s="50">
        <f>'RESUMEN TOTAL'!AL389</f>
        <v>0</v>
      </c>
      <c r="AH383" s="50">
        <f>'RESUMEN TOTAL'!AM389</f>
        <v>0</v>
      </c>
      <c r="AI383" s="50">
        <f>'RESUMEN TOTAL'!AN389</f>
        <v>0</v>
      </c>
    </row>
    <row r="384" spans="1:35" x14ac:dyDescent="0.25">
      <c r="A384" s="50" t="str">
        <f>'RESUMEN TOTAL'!A390</f>
        <v>VILLA MONICA VIEJA</v>
      </c>
      <c r="B384" s="50" t="str">
        <f>'RESUMEN TOTAL'!B390</f>
        <v>VMOV01 (fija 1)</v>
      </c>
      <c r="C384" s="50" t="str">
        <f>'RESUMEN TOTAL'!D390</f>
        <v>ATENAS E/ CAFFERATA Y ALEMANIA</v>
      </c>
      <c r="D384" s="50" t="str">
        <f>'RESUMEN TOTAL'!E390</f>
        <v>Fija</v>
      </c>
      <c r="E384" s="50" t="str">
        <f>'RESUMEN TOTAL'!F390</f>
        <v>Fibra Optica</v>
      </c>
      <c r="F384" s="50">
        <f>'RESUMEN TOTAL'!K390</f>
        <v>0</v>
      </c>
      <c r="G384" s="50">
        <f>'RESUMEN TOTAL'!L390</f>
        <v>0</v>
      </c>
      <c r="H384" s="50">
        <f>'RESUMEN TOTAL'!M390</f>
        <v>0</v>
      </c>
      <c r="I384" s="50">
        <f>'RESUMEN TOTAL'!N390</f>
        <v>0</v>
      </c>
      <c r="J384" s="50">
        <f>'RESUMEN TOTAL'!O390</f>
        <v>0</v>
      </c>
      <c r="K384" s="50">
        <f>'RESUMEN TOTAL'!P390</f>
        <v>0</v>
      </c>
      <c r="L384" s="50">
        <f>'RESUMEN TOTAL'!Q390</f>
        <v>0</v>
      </c>
      <c r="M384" s="50">
        <f>'RESUMEN TOTAL'!R390</f>
        <v>0</v>
      </c>
      <c r="N384" s="50">
        <f>'RESUMEN TOTAL'!S390</f>
        <v>0</v>
      </c>
      <c r="O384" s="50">
        <f>'RESUMEN TOTAL'!T390</f>
        <v>0</v>
      </c>
      <c r="P384" s="50">
        <f>'RESUMEN TOTAL'!U390</f>
        <v>0</v>
      </c>
      <c r="Q384" s="50">
        <f>'RESUMEN TOTAL'!V390</f>
        <v>0</v>
      </c>
      <c r="R384" s="50">
        <f>'RESUMEN TOTAL'!W390</f>
        <v>0</v>
      </c>
      <c r="S384" s="50">
        <f>'RESUMEN TOTAL'!X390</f>
        <v>0</v>
      </c>
      <c r="T384" s="50">
        <f>'RESUMEN TOTAL'!Y390</f>
        <v>0</v>
      </c>
      <c r="U384" s="50">
        <f>'RESUMEN TOTAL'!Z390</f>
        <v>0</v>
      </c>
      <c r="V384" s="50">
        <f>'RESUMEN TOTAL'!AA390</f>
        <v>0</v>
      </c>
      <c r="W384" s="50">
        <f>'RESUMEN TOTAL'!AB390</f>
        <v>0</v>
      </c>
      <c r="X384" s="50">
        <f>'RESUMEN TOTAL'!AC390</f>
        <v>0</v>
      </c>
      <c r="Y384" s="50">
        <f>'RESUMEN TOTAL'!AD390</f>
        <v>0</v>
      </c>
      <c r="Z384" s="50">
        <f>'RESUMEN TOTAL'!AE390</f>
        <v>0</v>
      </c>
      <c r="AA384" s="50">
        <f>'RESUMEN TOTAL'!AF390</f>
        <v>0</v>
      </c>
      <c r="AB384" s="50">
        <f>'RESUMEN TOTAL'!AG390</f>
        <v>0</v>
      </c>
      <c r="AC384" s="50">
        <f>'RESUMEN TOTAL'!AH390</f>
        <v>0</v>
      </c>
      <c r="AD384" s="50">
        <f>'RESUMEN TOTAL'!AI390</f>
        <v>0</v>
      </c>
      <c r="AE384" s="50">
        <f>'RESUMEN TOTAL'!AJ390</f>
        <v>0</v>
      </c>
      <c r="AF384" s="50">
        <f>'RESUMEN TOTAL'!AK390</f>
        <v>0</v>
      </c>
      <c r="AG384" s="50">
        <f>'RESUMEN TOTAL'!AL390</f>
        <v>0</v>
      </c>
      <c r="AH384" s="50">
        <f>'RESUMEN TOTAL'!AM390</f>
        <v>0</v>
      </c>
      <c r="AI384" s="50">
        <f>'RESUMEN TOTAL'!AN390</f>
        <v>0</v>
      </c>
    </row>
    <row r="385" spans="1:35" x14ac:dyDescent="0.25">
      <c r="A385" s="50" t="str">
        <f>'RESUMEN TOTAL'!A391</f>
        <v>VILLA MONICA VIEJA</v>
      </c>
      <c r="B385" s="50" t="str">
        <f>'RESUMEN TOTAL'!B391</f>
        <v>VMOV04 (fija 2)</v>
      </c>
      <c r="C385" s="50" t="str">
        <f>'RESUMEN TOTAL'!D391</f>
        <v>ROMA E/ HOLANDA Y CAFFERATA</v>
      </c>
      <c r="D385" s="50" t="str">
        <f>'RESUMEN TOTAL'!E391</f>
        <v>Fija</v>
      </c>
      <c r="E385" s="50" t="str">
        <f>'RESUMEN TOTAL'!F391</f>
        <v>Fibra Optica</v>
      </c>
      <c r="F385" s="50">
        <f>'RESUMEN TOTAL'!K391</f>
        <v>0</v>
      </c>
      <c r="G385" s="50">
        <f>'RESUMEN TOTAL'!L391</f>
        <v>0</v>
      </c>
      <c r="H385" s="50">
        <f>'RESUMEN TOTAL'!M391</f>
        <v>0</v>
      </c>
      <c r="I385" s="50">
        <f>'RESUMEN TOTAL'!N391</f>
        <v>0</v>
      </c>
      <c r="J385" s="50">
        <f>'RESUMEN TOTAL'!O391</f>
        <v>0</v>
      </c>
      <c r="K385" s="50">
        <f>'RESUMEN TOTAL'!P391</f>
        <v>0</v>
      </c>
      <c r="L385" s="50">
        <f>'RESUMEN TOTAL'!Q391</f>
        <v>0</v>
      </c>
      <c r="M385" s="50">
        <f>'RESUMEN TOTAL'!R391</f>
        <v>0</v>
      </c>
      <c r="N385" s="50">
        <f>'RESUMEN TOTAL'!S391</f>
        <v>0</v>
      </c>
      <c r="O385" s="50">
        <f>'RESUMEN TOTAL'!T391</f>
        <v>0</v>
      </c>
      <c r="P385" s="50">
        <f>'RESUMEN TOTAL'!U391</f>
        <v>0</v>
      </c>
      <c r="Q385" s="50">
        <f>'RESUMEN TOTAL'!V391</f>
        <v>0</v>
      </c>
      <c r="R385" s="50">
        <f>'RESUMEN TOTAL'!W391</f>
        <v>0</v>
      </c>
      <c r="S385" s="50">
        <f>'RESUMEN TOTAL'!X391</f>
        <v>0</v>
      </c>
      <c r="T385" s="50">
        <f>'RESUMEN TOTAL'!Y391</f>
        <v>0</v>
      </c>
      <c r="U385" s="50">
        <f>'RESUMEN TOTAL'!Z391</f>
        <v>0</v>
      </c>
      <c r="V385" s="50">
        <f>'RESUMEN TOTAL'!AA391</f>
        <v>0</v>
      </c>
      <c r="W385" s="50">
        <f>'RESUMEN TOTAL'!AB391</f>
        <v>0</v>
      </c>
      <c r="X385" s="50">
        <f>'RESUMEN TOTAL'!AC391</f>
        <v>0</v>
      </c>
      <c r="Y385" s="50">
        <f>'RESUMEN TOTAL'!AD391</f>
        <v>0</v>
      </c>
      <c r="Z385" s="50">
        <f>'RESUMEN TOTAL'!AE391</f>
        <v>0</v>
      </c>
      <c r="AA385" s="50">
        <f>'RESUMEN TOTAL'!AF391</f>
        <v>0</v>
      </c>
      <c r="AB385" s="50">
        <f>'RESUMEN TOTAL'!AG391</f>
        <v>0</v>
      </c>
      <c r="AC385" s="50">
        <f>'RESUMEN TOTAL'!AH391</f>
        <v>0</v>
      </c>
      <c r="AD385" s="50">
        <f>'RESUMEN TOTAL'!AI391</f>
        <v>0</v>
      </c>
      <c r="AE385" s="50">
        <f>'RESUMEN TOTAL'!AJ391</f>
        <v>0</v>
      </c>
      <c r="AF385" s="50">
        <f>'RESUMEN TOTAL'!AK391</f>
        <v>0</v>
      </c>
      <c r="AG385" s="50">
        <f>'RESUMEN TOTAL'!AL391</f>
        <v>0</v>
      </c>
      <c r="AH385" s="50">
        <f>'RESUMEN TOTAL'!AM391</f>
        <v>0</v>
      </c>
      <c r="AI385" s="50">
        <f>'RESUMEN TOTAL'!AN391</f>
        <v>0</v>
      </c>
    </row>
    <row r="386" spans="1:35" x14ac:dyDescent="0.25">
      <c r="A386" s="50" t="str">
        <f>'RESUMEN TOTAL'!A392</f>
        <v>VILLA SAN LUIS</v>
      </c>
      <c r="B386" s="50" t="str">
        <f>'RESUMEN TOTAL'!B392</f>
        <v>VSL 01</v>
      </c>
      <c r="C386" s="50" t="str">
        <f>'RESUMEN TOTAL'!D392</f>
        <v>AV. HUDSON Y CACHEUTA</v>
      </c>
      <c r="D386" s="50" t="str">
        <f>'RESUMEN TOTAL'!E392</f>
        <v>DOMO</v>
      </c>
      <c r="E386" s="50" t="str">
        <f>'RESUMEN TOTAL'!F392</f>
        <v>Fibra Optica</v>
      </c>
      <c r="F386" s="50">
        <f>'RESUMEN TOTAL'!K392</f>
        <v>0</v>
      </c>
      <c r="G386" s="50">
        <f>'RESUMEN TOTAL'!L392</f>
        <v>0</v>
      </c>
      <c r="H386" s="50">
        <f>'RESUMEN TOTAL'!M392</f>
        <v>0</v>
      </c>
      <c r="I386" s="50">
        <f>'RESUMEN TOTAL'!N392</f>
        <v>0</v>
      </c>
      <c r="J386" s="50">
        <f>'RESUMEN TOTAL'!O392</f>
        <v>0</v>
      </c>
      <c r="K386" s="50">
        <f>'RESUMEN TOTAL'!P392</f>
        <v>0</v>
      </c>
      <c r="L386" s="50">
        <f>'RESUMEN TOTAL'!Q392</f>
        <v>0</v>
      </c>
      <c r="M386" s="50">
        <f>'RESUMEN TOTAL'!R392</f>
        <v>0</v>
      </c>
      <c r="N386" s="50">
        <f>'RESUMEN TOTAL'!S392</f>
        <v>0</v>
      </c>
      <c r="O386" s="50">
        <f>'RESUMEN TOTAL'!T392</f>
        <v>0</v>
      </c>
      <c r="P386" s="50">
        <f>'RESUMEN TOTAL'!U392</f>
        <v>0</v>
      </c>
      <c r="Q386" s="50">
        <f>'RESUMEN TOTAL'!V392</f>
        <v>0</v>
      </c>
      <c r="R386" s="50">
        <f>'RESUMEN TOTAL'!W392</f>
        <v>0</v>
      </c>
      <c r="S386" s="50">
        <f>'RESUMEN TOTAL'!X392</f>
        <v>0</v>
      </c>
      <c r="T386" s="50">
        <f>'RESUMEN TOTAL'!Y392</f>
        <v>0</v>
      </c>
      <c r="U386" s="50">
        <f>'RESUMEN TOTAL'!Z392</f>
        <v>0</v>
      </c>
      <c r="V386" s="50">
        <f>'RESUMEN TOTAL'!AA392</f>
        <v>0</v>
      </c>
      <c r="W386" s="50">
        <f>'RESUMEN TOTAL'!AB392</f>
        <v>0</v>
      </c>
      <c r="X386" s="50">
        <f>'RESUMEN TOTAL'!AC392</f>
        <v>0</v>
      </c>
      <c r="Y386" s="50">
        <f>'RESUMEN TOTAL'!AD392</f>
        <v>0</v>
      </c>
      <c r="Z386" s="50">
        <f>'RESUMEN TOTAL'!AE392</f>
        <v>0</v>
      </c>
      <c r="AA386" s="50">
        <f>'RESUMEN TOTAL'!AF392</f>
        <v>0</v>
      </c>
      <c r="AB386" s="50">
        <f>'RESUMEN TOTAL'!AG392</f>
        <v>0</v>
      </c>
      <c r="AC386" s="50">
        <f>'RESUMEN TOTAL'!AH392</f>
        <v>0</v>
      </c>
      <c r="AD386" s="50">
        <f>'RESUMEN TOTAL'!AI392</f>
        <v>0</v>
      </c>
      <c r="AE386" s="50">
        <f>'RESUMEN TOTAL'!AJ392</f>
        <v>0</v>
      </c>
      <c r="AF386" s="50">
        <f>'RESUMEN TOTAL'!AK392</f>
        <v>0</v>
      </c>
      <c r="AG386" s="50">
        <f>'RESUMEN TOTAL'!AL392</f>
        <v>0</v>
      </c>
      <c r="AH386" s="50">
        <f>'RESUMEN TOTAL'!AM392</f>
        <v>0</v>
      </c>
      <c r="AI386" s="50">
        <f>'RESUMEN TOTAL'!AN392</f>
        <v>0</v>
      </c>
    </row>
    <row r="387" spans="1:35" x14ac:dyDescent="0.25">
      <c r="A387" s="50" t="str">
        <f>'RESUMEN TOTAL'!A393</f>
        <v>VILLA SUSANA</v>
      </c>
      <c r="B387" s="50" t="str">
        <f>'RESUMEN TOTAL'!B393</f>
        <v>VSU 02</v>
      </c>
      <c r="C387" s="50" t="str">
        <f>'RESUMEN TOTAL'!D393</f>
        <v>CABELLO Y SANTA FE</v>
      </c>
      <c r="D387" s="50" t="str">
        <f>'RESUMEN TOTAL'!E393</f>
        <v>DOMO</v>
      </c>
      <c r="E387" s="50" t="str">
        <f>'RESUMEN TOTAL'!F393</f>
        <v>Radio</v>
      </c>
      <c r="F387" s="50">
        <f>'RESUMEN TOTAL'!K393</f>
        <v>0</v>
      </c>
      <c r="G387" s="50">
        <f>'RESUMEN TOTAL'!L393</f>
        <v>0</v>
      </c>
      <c r="H387" s="50">
        <f>'RESUMEN TOTAL'!M393</f>
        <v>0</v>
      </c>
      <c r="I387" s="50">
        <f>'RESUMEN TOTAL'!N393</f>
        <v>0</v>
      </c>
      <c r="J387" s="50">
        <f>'RESUMEN TOTAL'!O393</f>
        <v>0</v>
      </c>
      <c r="K387" s="50">
        <f>'RESUMEN TOTAL'!P393</f>
        <v>0</v>
      </c>
      <c r="L387" s="50">
        <f>'RESUMEN TOTAL'!Q393</f>
        <v>0</v>
      </c>
      <c r="M387" s="50">
        <f>'RESUMEN TOTAL'!R393</f>
        <v>0</v>
      </c>
      <c r="N387" s="50">
        <f>'RESUMEN TOTAL'!S393</f>
        <v>0</v>
      </c>
      <c r="O387" s="50">
        <f>'RESUMEN TOTAL'!T393</f>
        <v>0</v>
      </c>
      <c r="P387" s="50">
        <f>'RESUMEN TOTAL'!U393</f>
        <v>0</v>
      </c>
      <c r="Q387" s="50">
        <f>'RESUMEN TOTAL'!V393</f>
        <v>0</v>
      </c>
      <c r="R387" s="50">
        <f>'RESUMEN TOTAL'!W393</f>
        <v>0</v>
      </c>
      <c r="S387" s="50">
        <f>'RESUMEN TOTAL'!X393</f>
        <v>0</v>
      </c>
      <c r="T387" s="50">
        <f>'RESUMEN TOTAL'!Y393</f>
        <v>0</v>
      </c>
      <c r="U387" s="50">
        <f>'RESUMEN TOTAL'!Z393</f>
        <v>0</v>
      </c>
      <c r="V387" s="50">
        <f>'RESUMEN TOTAL'!AA393</f>
        <v>0</v>
      </c>
      <c r="W387" s="50">
        <f>'RESUMEN TOTAL'!AB393</f>
        <v>0</v>
      </c>
      <c r="X387" s="50">
        <f>'RESUMEN TOTAL'!AC393</f>
        <v>0</v>
      </c>
      <c r="Y387" s="50">
        <f>'RESUMEN TOTAL'!AD393</f>
        <v>0</v>
      </c>
      <c r="Z387" s="50">
        <f>'RESUMEN TOTAL'!AE393</f>
        <v>0</v>
      </c>
      <c r="AA387" s="50">
        <f>'RESUMEN TOTAL'!AF393</f>
        <v>0</v>
      </c>
      <c r="AB387" s="50">
        <f>'RESUMEN TOTAL'!AG393</f>
        <v>0</v>
      </c>
      <c r="AC387" s="50">
        <f>'RESUMEN TOTAL'!AH393</f>
        <v>0</v>
      </c>
      <c r="AD387" s="50">
        <f>'RESUMEN TOTAL'!AI393</f>
        <v>0</v>
      </c>
      <c r="AE387" s="50">
        <f>'RESUMEN TOTAL'!AJ393</f>
        <v>0</v>
      </c>
      <c r="AF387" s="50">
        <f>'RESUMEN TOTAL'!AK393</f>
        <v>0</v>
      </c>
      <c r="AG387" s="50">
        <f>'RESUMEN TOTAL'!AL393</f>
        <v>0</v>
      </c>
      <c r="AH387" s="50">
        <f>'RESUMEN TOTAL'!AM393</f>
        <v>0</v>
      </c>
      <c r="AI387" s="50">
        <f>'RESUMEN TOTAL'!AN393</f>
        <v>0</v>
      </c>
    </row>
    <row r="388" spans="1:35" x14ac:dyDescent="0.25">
      <c r="A388" s="50" t="str">
        <f>'RESUMEN TOTAL'!A394</f>
        <v>VILLA SUSANA</v>
      </c>
      <c r="B388" s="50" t="str">
        <f>'RESUMEN TOTAL'!B394</f>
        <v>VSU 03</v>
      </c>
      <c r="C388" s="50" t="str">
        <f>'RESUMEN TOTAL'!D394</f>
        <v>EE.UU Y SERRANO</v>
      </c>
      <c r="D388" s="50" t="str">
        <f>'RESUMEN TOTAL'!E394</f>
        <v>DOMO</v>
      </c>
      <c r="E388" s="50" t="str">
        <f>'RESUMEN TOTAL'!F394</f>
        <v>Radio</v>
      </c>
      <c r="F388" s="50">
        <f>'RESUMEN TOTAL'!K394</f>
        <v>0</v>
      </c>
      <c r="G388" s="50">
        <f>'RESUMEN TOTAL'!L394</f>
        <v>0</v>
      </c>
      <c r="H388" s="50">
        <f>'RESUMEN TOTAL'!M394</f>
        <v>0</v>
      </c>
      <c r="I388" s="50" t="str">
        <f>'RESUMEN TOTAL'!N394</f>
        <v>APAGADO</v>
      </c>
      <c r="J388" s="50">
        <f>'RESUMEN TOTAL'!O394</f>
        <v>0</v>
      </c>
      <c r="K388" s="50">
        <f>'RESUMEN TOTAL'!P394</f>
        <v>0</v>
      </c>
      <c r="L388" s="50">
        <f>'RESUMEN TOTAL'!Q394</f>
        <v>0</v>
      </c>
      <c r="M388" s="50">
        <f>'RESUMEN TOTAL'!R394</f>
        <v>0</v>
      </c>
      <c r="N388" s="50">
        <f>'RESUMEN TOTAL'!S394</f>
        <v>0</v>
      </c>
      <c r="O388" s="50">
        <f>'RESUMEN TOTAL'!T394</f>
        <v>0</v>
      </c>
      <c r="P388" s="50">
        <f>'RESUMEN TOTAL'!U394</f>
        <v>0</v>
      </c>
      <c r="Q388" s="50">
        <f>'RESUMEN TOTAL'!V394</f>
        <v>0</v>
      </c>
      <c r="R388" s="50">
        <f>'RESUMEN TOTAL'!W394</f>
        <v>0</v>
      </c>
      <c r="S388" s="50">
        <f>'RESUMEN TOTAL'!X394</f>
        <v>0</v>
      </c>
      <c r="T388" s="50">
        <f>'RESUMEN TOTAL'!Y394</f>
        <v>0</v>
      </c>
      <c r="U388" s="50">
        <f>'RESUMEN TOTAL'!Z394</f>
        <v>0</v>
      </c>
      <c r="V388" s="50">
        <f>'RESUMEN TOTAL'!AA394</f>
        <v>0</v>
      </c>
      <c r="W388" s="50">
        <f>'RESUMEN TOTAL'!AB394</f>
        <v>0</v>
      </c>
      <c r="X388" s="50">
        <f>'RESUMEN TOTAL'!AC394</f>
        <v>0</v>
      </c>
      <c r="Y388" s="50">
        <f>'RESUMEN TOTAL'!AD394</f>
        <v>0</v>
      </c>
      <c r="Z388" s="50">
        <f>'RESUMEN TOTAL'!AE394</f>
        <v>0</v>
      </c>
      <c r="AA388" s="50">
        <f>'RESUMEN TOTAL'!AF394</f>
        <v>0</v>
      </c>
      <c r="AB388" s="50">
        <f>'RESUMEN TOTAL'!AG394</f>
        <v>0</v>
      </c>
      <c r="AC388" s="50">
        <f>'RESUMEN TOTAL'!AH394</f>
        <v>0</v>
      </c>
      <c r="AD388" s="50">
        <f>'RESUMEN TOTAL'!AI394</f>
        <v>0</v>
      </c>
      <c r="AE388" s="50">
        <f>'RESUMEN TOTAL'!AJ394</f>
        <v>0</v>
      </c>
      <c r="AF388" s="50">
        <f>'RESUMEN TOTAL'!AK394</f>
        <v>0</v>
      </c>
      <c r="AG388" s="50">
        <f>'RESUMEN TOTAL'!AL394</f>
        <v>0</v>
      </c>
      <c r="AH388" s="50">
        <f>'RESUMEN TOTAL'!AM394</f>
        <v>0</v>
      </c>
      <c r="AI388" s="50">
        <f>'RESUMEN TOTAL'!AN394</f>
        <v>0</v>
      </c>
    </row>
    <row r="389" spans="1:35" x14ac:dyDescent="0.25">
      <c r="A389" s="50" t="str">
        <f>'RESUMEN TOTAL'!A395</f>
        <v>VILLA SUSANA</v>
      </c>
      <c r="B389" s="50" t="str">
        <f>'RESUMEN TOTAL'!B395</f>
        <v>VSU01</v>
      </c>
      <c r="C389" s="50" t="str">
        <f>'RESUMEN TOTAL'!D395</f>
        <v>CJAL. JUAN BROWN Y SANTA FE</v>
      </c>
      <c r="D389" s="50" t="str">
        <f>'RESUMEN TOTAL'!E395</f>
        <v>DOMO</v>
      </c>
      <c r="E389" s="50" t="str">
        <f>'RESUMEN TOTAL'!F395</f>
        <v>Radio</v>
      </c>
      <c r="F389" s="50">
        <f>'RESUMEN TOTAL'!K395</f>
        <v>0</v>
      </c>
      <c r="G389" s="50">
        <f>'RESUMEN TOTAL'!L395</f>
        <v>0</v>
      </c>
      <c r="H389" s="50">
        <f>'RESUMEN TOTAL'!M395</f>
        <v>0</v>
      </c>
      <c r="I389" s="50">
        <f>'RESUMEN TOTAL'!N395</f>
        <v>0</v>
      </c>
      <c r="J389" s="50">
        <f>'RESUMEN TOTAL'!O395</f>
        <v>0</v>
      </c>
      <c r="K389" s="50">
        <f>'RESUMEN TOTAL'!P395</f>
        <v>0</v>
      </c>
      <c r="L389" s="50">
        <f>'RESUMEN TOTAL'!Q395</f>
        <v>0</v>
      </c>
      <c r="M389" s="50">
        <f>'RESUMEN TOTAL'!R395</f>
        <v>0</v>
      </c>
      <c r="N389" s="50">
        <f>'RESUMEN TOTAL'!S395</f>
        <v>0</v>
      </c>
      <c r="O389" s="50">
        <f>'RESUMEN TOTAL'!T395</f>
        <v>0</v>
      </c>
      <c r="P389" s="50">
        <f>'RESUMEN TOTAL'!U395</f>
        <v>0</v>
      </c>
      <c r="Q389" s="50">
        <f>'RESUMEN TOTAL'!V395</f>
        <v>0</v>
      </c>
      <c r="R389" s="50">
        <f>'RESUMEN TOTAL'!W395</f>
        <v>0</v>
      </c>
      <c r="S389" s="50">
        <f>'RESUMEN TOTAL'!X395</f>
        <v>0</v>
      </c>
      <c r="T389" s="50">
        <f>'RESUMEN TOTAL'!Y395</f>
        <v>0</v>
      </c>
      <c r="U389" s="50">
        <f>'RESUMEN TOTAL'!Z395</f>
        <v>0</v>
      </c>
      <c r="V389" s="50">
        <f>'RESUMEN TOTAL'!AA395</f>
        <v>0</v>
      </c>
      <c r="W389" s="50">
        <f>'RESUMEN TOTAL'!AB395</f>
        <v>0</v>
      </c>
      <c r="X389" s="50">
        <f>'RESUMEN TOTAL'!AC395</f>
        <v>0</v>
      </c>
      <c r="Y389" s="50">
        <f>'RESUMEN TOTAL'!AD395</f>
        <v>0</v>
      </c>
      <c r="Z389" s="50">
        <f>'RESUMEN TOTAL'!AE395</f>
        <v>0</v>
      </c>
      <c r="AA389" s="50">
        <f>'RESUMEN TOTAL'!AF395</f>
        <v>0</v>
      </c>
      <c r="AB389" s="50">
        <f>'RESUMEN TOTAL'!AG395</f>
        <v>0</v>
      </c>
      <c r="AC389" s="50">
        <f>'RESUMEN TOTAL'!AH395</f>
        <v>0</v>
      </c>
      <c r="AD389" s="50">
        <f>'RESUMEN TOTAL'!AI395</f>
        <v>0</v>
      </c>
      <c r="AE389" s="50">
        <f>'RESUMEN TOTAL'!AJ395</f>
        <v>0</v>
      </c>
      <c r="AF389" s="50">
        <f>'RESUMEN TOTAL'!AK395</f>
        <v>0</v>
      </c>
      <c r="AG389" s="50">
        <f>'RESUMEN TOTAL'!AL395</f>
        <v>0</v>
      </c>
      <c r="AH389" s="50">
        <f>'RESUMEN TOTAL'!AM395</f>
        <v>0</v>
      </c>
      <c r="AI389" s="50">
        <f>'RESUMEN TOTAL'!AN395</f>
        <v>0</v>
      </c>
    </row>
    <row r="390" spans="1:35" x14ac:dyDescent="0.25">
      <c r="A390" s="50" t="str">
        <f>'RESUMEN TOTAL'!A396</f>
        <v>ZEBALLOS</v>
      </c>
      <c r="B390" s="50" t="str">
        <f>'RESUMEN TOTAL'!B396</f>
        <v>ZEB 05</v>
      </c>
      <c r="C390" s="50" t="str">
        <f>'RESUMEN TOTAL'!D396</f>
        <v>DIAG. GRANADEROS Y 214 BIS</v>
      </c>
      <c r="D390" s="50" t="str">
        <f>'RESUMEN TOTAL'!E396</f>
        <v>Domo</v>
      </c>
      <c r="E390" s="50" t="str">
        <f>'RESUMEN TOTAL'!F396</f>
        <v>Radio</v>
      </c>
      <c r="F390" s="50">
        <f>'RESUMEN TOTAL'!K396</f>
        <v>0</v>
      </c>
      <c r="G390" s="50">
        <f>'RESUMEN TOTAL'!L396</f>
        <v>0</v>
      </c>
      <c r="H390" s="50">
        <f>'RESUMEN TOTAL'!M396</f>
        <v>0</v>
      </c>
      <c r="I390" s="50">
        <f>'RESUMEN TOTAL'!N396</f>
        <v>0</v>
      </c>
      <c r="J390" s="50">
        <f>'RESUMEN TOTAL'!O396</f>
        <v>0</v>
      </c>
      <c r="K390" s="50">
        <f>'RESUMEN TOTAL'!P396</f>
        <v>0</v>
      </c>
      <c r="L390" s="50">
        <f>'RESUMEN TOTAL'!Q396</f>
        <v>0</v>
      </c>
      <c r="M390" s="50">
        <f>'RESUMEN TOTAL'!R396</f>
        <v>0</v>
      </c>
      <c r="N390" s="50">
        <f>'RESUMEN TOTAL'!S396</f>
        <v>0</v>
      </c>
      <c r="O390" s="50">
        <f>'RESUMEN TOTAL'!T396</f>
        <v>0</v>
      </c>
      <c r="P390" s="50">
        <f>'RESUMEN TOTAL'!U396</f>
        <v>0</v>
      </c>
      <c r="Q390" s="50">
        <f>'RESUMEN TOTAL'!V396</f>
        <v>0</v>
      </c>
      <c r="R390" s="50">
        <f>'RESUMEN TOTAL'!W396</f>
        <v>0</v>
      </c>
      <c r="S390" s="50">
        <f>'RESUMEN TOTAL'!X396</f>
        <v>0</v>
      </c>
      <c r="T390" s="50">
        <f>'RESUMEN TOTAL'!Y396</f>
        <v>0</v>
      </c>
      <c r="U390" s="50">
        <f>'RESUMEN TOTAL'!Z396</f>
        <v>0</v>
      </c>
      <c r="V390" s="50">
        <f>'RESUMEN TOTAL'!AA396</f>
        <v>0</v>
      </c>
      <c r="W390" s="50">
        <f>'RESUMEN TOTAL'!AB396</f>
        <v>0</v>
      </c>
      <c r="X390" s="50">
        <f>'RESUMEN TOTAL'!AC396</f>
        <v>0</v>
      </c>
      <c r="Y390" s="50">
        <f>'RESUMEN TOTAL'!AD396</f>
        <v>0</v>
      </c>
      <c r="Z390" s="50">
        <f>'RESUMEN TOTAL'!AE396</f>
        <v>0</v>
      </c>
      <c r="AA390" s="50">
        <f>'RESUMEN TOTAL'!AF396</f>
        <v>0</v>
      </c>
      <c r="AB390" s="50">
        <f>'RESUMEN TOTAL'!AG396</f>
        <v>0</v>
      </c>
      <c r="AC390" s="50">
        <f>'RESUMEN TOTAL'!AH396</f>
        <v>0</v>
      </c>
      <c r="AD390" s="50">
        <f>'RESUMEN TOTAL'!AI396</f>
        <v>0</v>
      </c>
      <c r="AE390" s="50">
        <f>'RESUMEN TOTAL'!AJ396</f>
        <v>0</v>
      </c>
      <c r="AF390" s="50">
        <f>'RESUMEN TOTAL'!AK396</f>
        <v>0</v>
      </c>
      <c r="AG390" s="50">
        <f>'RESUMEN TOTAL'!AL396</f>
        <v>0</v>
      </c>
      <c r="AH390" s="50">
        <f>'RESUMEN TOTAL'!AM396</f>
        <v>0</v>
      </c>
      <c r="AI390" s="50">
        <f>'RESUMEN TOTAL'!AN396</f>
        <v>0</v>
      </c>
    </row>
    <row r="391" spans="1:35" x14ac:dyDescent="0.25">
      <c r="A391" s="50" t="str">
        <f>'RESUMEN TOTAL'!A397</f>
        <v>ZEBALLOS</v>
      </c>
      <c r="B391" s="50" t="str">
        <f>'RESUMEN TOTAL'!B397</f>
        <v>ZEB02</v>
      </c>
      <c r="C391" s="50" t="str">
        <f>'RESUMEN TOTAL'!D397</f>
        <v>Quinquela Martin y Sgo. del Estero</v>
      </c>
      <c r="D391" s="50" t="str">
        <f>'RESUMEN TOTAL'!E397</f>
        <v>Domo</v>
      </c>
      <c r="E391" s="50" t="str">
        <f>'RESUMEN TOTAL'!F397</f>
        <v>Radio</v>
      </c>
      <c r="F391" s="50">
        <f>'RESUMEN TOTAL'!K397</f>
        <v>0</v>
      </c>
      <c r="G391" s="50">
        <f>'RESUMEN TOTAL'!L397</f>
        <v>0</v>
      </c>
      <c r="H391" s="50" t="str">
        <f>'RESUMEN TOTAL'!M397</f>
        <v>APAGADO</v>
      </c>
      <c r="I391" s="50" t="str">
        <f>'RESUMEN TOTAL'!N397</f>
        <v>APAGADO</v>
      </c>
      <c r="J391" s="50">
        <f>'RESUMEN TOTAL'!O397</f>
        <v>0</v>
      </c>
      <c r="K391" s="50">
        <f>'RESUMEN TOTAL'!P397</f>
        <v>0</v>
      </c>
      <c r="L391" s="50">
        <f>'RESUMEN TOTAL'!Q397</f>
        <v>0</v>
      </c>
      <c r="M391" s="50">
        <f>'RESUMEN TOTAL'!R397</f>
        <v>0</v>
      </c>
      <c r="N391" s="50">
        <f>'RESUMEN TOTAL'!S397</f>
        <v>0</v>
      </c>
      <c r="O391" s="50">
        <f>'RESUMEN TOTAL'!T397</f>
        <v>0</v>
      </c>
      <c r="P391" s="50">
        <f>'RESUMEN TOTAL'!U397</f>
        <v>0</v>
      </c>
      <c r="Q391" s="50">
        <f>'RESUMEN TOTAL'!V397</f>
        <v>0</v>
      </c>
      <c r="R391" s="50">
        <f>'RESUMEN TOTAL'!W397</f>
        <v>0</v>
      </c>
      <c r="S391" s="50">
        <f>'RESUMEN TOTAL'!X397</f>
        <v>0</v>
      </c>
      <c r="T391" s="50">
        <f>'RESUMEN TOTAL'!Y397</f>
        <v>0</v>
      </c>
      <c r="U391" s="50">
        <f>'RESUMEN TOTAL'!Z397</f>
        <v>0</v>
      </c>
      <c r="V391" s="50">
        <f>'RESUMEN TOTAL'!AA397</f>
        <v>0</v>
      </c>
      <c r="W391" s="50">
        <f>'RESUMEN TOTAL'!AB397</f>
        <v>0</v>
      </c>
      <c r="X391" s="50">
        <f>'RESUMEN TOTAL'!AC397</f>
        <v>0</v>
      </c>
      <c r="Y391" s="50">
        <f>'RESUMEN TOTAL'!AD397</f>
        <v>0</v>
      </c>
      <c r="Z391" s="50">
        <f>'RESUMEN TOTAL'!AE397</f>
        <v>0</v>
      </c>
      <c r="AA391" s="50">
        <f>'RESUMEN TOTAL'!AF397</f>
        <v>0</v>
      </c>
      <c r="AB391" s="50">
        <f>'RESUMEN TOTAL'!AG397</f>
        <v>0</v>
      </c>
      <c r="AC391" s="50">
        <f>'RESUMEN TOTAL'!AH397</f>
        <v>0</v>
      </c>
      <c r="AD391" s="50">
        <f>'RESUMEN TOTAL'!AI397</f>
        <v>0</v>
      </c>
      <c r="AE391" s="50">
        <f>'RESUMEN TOTAL'!AJ397</f>
        <v>0</v>
      </c>
      <c r="AF391" s="50">
        <f>'RESUMEN TOTAL'!AK397</f>
        <v>0</v>
      </c>
      <c r="AG391" s="50">
        <f>'RESUMEN TOTAL'!AL397</f>
        <v>0</v>
      </c>
      <c r="AH391" s="50">
        <f>'RESUMEN TOTAL'!AM397</f>
        <v>0</v>
      </c>
      <c r="AI391" s="50">
        <f>'RESUMEN TOTAL'!AN397</f>
        <v>0</v>
      </c>
    </row>
    <row r="392" spans="1:35" x14ac:dyDescent="0.25">
      <c r="A392" s="50" t="str">
        <f>'RESUMEN TOTAL'!A398</f>
        <v>9 DE JULIO</v>
      </c>
      <c r="B392" s="50" t="str">
        <f>'RESUMEN TOTAL'!B398</f>
        <v>ZEB03</v>
      </c>
      <c r="C392" s="50" t="str">
        <f>'RESUMEN TOTAL'!D398</f>
        <v>Quinquela Martin y Pte. Peron</v>
      </c>
      <c r="D392" s="50" t="str">
        <f>'RESUMEN TOTAL'!E398</f>
        <v>Domo</v>
      </c>
      <c r="E392" s="50" t="str">
        <f>'RESUMEN TOTAL'!F398</f>
        <v>Radio</v>
      </c>
      <c r="F392" s="50">
        <f>'RESUMEN TOTAL'!K398</f>
        <v>0</v>
      </c>
      <c r="G392" s="50">
        <f>'RESUMEN TOTAL'!L398</f>
        <v>0</v>
      </c>
      <c r="H392" s="50">
        <f>'RESUMEN TOTAL'!M398</f>
        <v>0</v>
      </c>
      <c r="I392" s="50">
        <f>'RESUMEN TOTAL'!N398</f>
        <v>0</v>
      </c>
      <c r="J392" s="50">
        <f>'RESUMEN TOTAL'!O398</f>
        <v>0</v>
      </c>
      <c r="K392" s="50">
        <f>'RESUMEN TOTAL'!P398</f>
        <v>0</v>
      </c>
      <c r="L392" s="50">
        <f>'RESUMEN TOTAL'!Q398</f>
        <v>0</v>
      </c>
      <c r="M392" s="50">
        <f>'RESUMEN TOTAL'!R398</f>
        <v>0</v>
      </c>
      <c r="N392" s="50">
        <f>'RESUMEN TOTAL'!S398</f>
        <v>0</v>
      </c>
      <c r="O392" s="50">
        <f>'RESUMEN TOTAL'!T398</f>
        <v>0</v>
      </c>
      <c r="P392" s="50">
        <f>'RESUMEN TOTAL'!U398</f>
        <v>0</v>
      </c>
      <c r="Q392" s="50">
        <f>'RESUMEN TOTAL'!V398</f>
        <v>0</v>
      </c>
      <c r="R392" s="50">
        <f>'RESUMEN TOTAL'!W398</f>
        <v>0</v>
      </c>
      <c r="S392" s="50">
        <f>'RESUMEN TOTAL'!X398</f>
        <v>0</v>
      </c>
      <c r="T392" s="50">
        <f>'RESUMEN TOTAL'!Y398</f>
        <v>0</v>
      </c>
      <c r="U392" s="50">
        <f>'RESUMEN TOTAL'!Z398</f>
        <v>0</v>
      </c>
      <c r="V392" s="50">
        <f>'RESUMEN TOTAL'!AA398</f>
        <v>0</v>
      </c>
      <c r="W392" s="50">
        <f>'RESUMEN TOTAL'!AB398</f>
        <v>0</v>
      </c>
      <c r="X392" s="50">
        <f>'RESUMEN TOTAL'!AC398</f>
        <v>0</v>
      </c>
      <c r="Y392" s="50">
        <f>'RESUMEN TOTAL'!AD398</f>
        <v>0</v>
      </c>
      <c r="Z392" s="50">
        <f>'RESUMEN TOTAL'!AE398</f>
        <v>0</v>
      </c>
      <c r="AA392" s="50">
        <f>'RESUMEN TOTAL'!AF398</f>
        <v>0</v>
      </c>
      <c r="AB392" s="50">
        <f>'RESUMEN TOTAL'!AG398</f>
        <v>0</v>
      </c>
      <c r="AC392" s="50">
        <f>'RESUMEN TOTAL'!AH398</f>
        <v>0</v>
      </c>
      <c r="AD392" s="50">
        <f>'RESUMEN TOTAL'!AI398</f>
        <v>0</v>
      </c>
      <c r="AE392" s="50">
        <f>'RESUMEN TOTAL'!AJ398</f>
        <v>0</v>
      </c>
      <c r="AF392" s="50">
        <f>'RESUMEN TOTAL'!AK398</f>
        <v>0</v>
      </c>
      <c r="AG392" s="50">
        <f>'RESUMEN TOTAL'!AL398</f>
        <v>0</v>
      </c>
      <c r="AH392" s="50">
        <f>'RESUMEN TOTAL'!AM398</f>
        <v>0</v>
      </c>
      <c r="AI392" s="50">
        <f>'RESUMEN TOTAL'!AN398</f>
        <v>0</v>
      </c>
    </row>
    <row r="393" spans="1:35" x14ac:dyDescent="0.25">
      <c r="A393" s="50" t="str">
        <f>'RESUMEN TOTAL'!A399</f>
        <v>ZEBALLOS</v>
      </c>
      <c r="B393" s="50" t="str">
        <f>'RESUMEN TOTAL'!B399</f>
        <v>ZEB04</v>
      </c>
      <c r="C393" s="50" t="str">
        <f>'RESUMEN TOTAL'!D399</f>
        <v>THEVENET Y DIAGONAL GRANADEROS</v>
      </c>
      <c r="D393" s="50" t="str">
        <f>'RESUMEN TOTAL'!E399</f>
        <v>DOMO</v>
      </c>
      <c r="E393" s="50" t="str">
        <f>'RESUMEN TOTAL'!F399</f>
        <v>Radio</v>
      </c>
      <c r="F393" s="50">
        <f>'RESUMEN TOTAL'!K399</f>
        <v>0</v>
      </c>
      <c r="G393" s="50">
        <f>'RESUMEN TOTAL'!L399</f>
        <v>0</v>
      </c>
      <c r="H393" s="50">
        <f>'RESUMEN TOTAL'!M399</f>
        <v>0</v>
      </c>
      <c r="I393" s="50">
        <f>'RESUMEN TOTAL'!N399</f>
        <v>0</v>
      </c>
      <c r="J393" s="50">
        <f>'RESUMEN TOTAL'!O399</f>
        <v>0</v>
      </c>
      <c r="K393" s="50">
        <f>'RESUMEN TOTAL'!P399</f>
        <v>0</v>
      </c>
      <c r="L393" s="50">
        <f>'RESUMEN TOTAL'!Q399</f>
        <v>0</v>
      </c>
      <c r="M393" s="50">
        <f>'RESUMEN TOTAL'!R399</f>
        <v>0</v>
      </c>
      <c r="N393" s="50">
        <f>'RESUMEN TOTAL'!S399</f>
        <v>0</v>
      </c>
      <c r="O393" s="50">
        <f>'RESUMEN TOTAL'!T399</f>
        <v>0</v>
      </c>
      <c r="P393" s="50">
        <f>'RESUMEN TOTAL'!U399</f>
        <v>0</v>
      </c>
      <c r="Q393" s="50">
        <f>'RESUMEN TOTAL'!V399</f>
        <v>0</v>
      </c>
      <c r="R393" s="50">
        <f>'RESUMEN TOTAL'!W399</f>
        <v>0</v>
      </c>
      <c r="S393" s="50">
        <f>'RESUMEN TOTAL'!X399</f>
        <v>0</v>
      </c>
      <c r="T393" s="50">
        <f>'RESUMEN TOTAL'!Y399</f>
        <v>0</v>
      </c>
      <c r="U393" s="50">
        <f>'RESUMEN TOTAL'!Z399</f>
        <v>0</v>
      </c>
      <c r="V393" s="50">
        <f>'RESUMEN TOTAL'!AA399</f>
        <v>0</v>
      </c>
      <c r="W393" s="50">
        <f>'RESUMEN TOTAL'!AB399</f>
        <v>0</v>
      </c>
      <c r="X393" s="50">
        <f>'RESUMEN TOTAL'!AC399</f>
        <v>0</v>
      </c>
      <c r="Y393" s="50">
        <f>'RESUMEN TOTAL'!AD399</f>
        <v>0</v>
      </c>
      <c r="Z393" s="50">
        <f>'RESUMEN TOTAL'!AE399</f>
        <v>0</v>
      </c>
      <c r="AA393" s="50">
        <f>'RESUMEN TOTAL'!AF399</f>
        <v>0</v>
      </c>
      <c r="AB393" s="50">
        <f>'RESUMEN TOTAL'!AG399</f>
        <v>0</v>
      </c>
      <c r="AC393" s="50">
        <f>'RESUMEN TOTAL'!AH399</f>
        <v>0</v>
      </c>
      <c r="AD393" s="50">
        <f>'RESUMEN TOTAL'!AI399</f>
        <v>0</v>
      </c>
      <c r="AE393" s="50">
        <f>'RESUMEN TOTAL'!AJ399</f>
        <v>0</v>
      </c>
      <c r="AF393" s="50">
        <f>'RESUMEN TOTAL'!AK399</f>
        <v>0</v>
      </c>
      <c r="AG393" s="50">
        <f>'RESUMEN TOTAL'!AL399</f>
        <v>0</v>
      </c>
      <c r="AH393" s="50">
        <f>'RESUMEN TOTAL'!AM399</f>
        <v>0</v>
      </c>
      <c r="AI393" s="50">
        <f>'RESUMEN TOTAL'!AN399</f>
        <v>0</v>
      </c>
    </row>
    <row r="394" spans="1:35" x14ac:dyDescent="0.25">
      <c r="A394" s="50" t="str">
        <f>'RESUMEN TOTAL'!A334</f>
        <v>VILLA ARGENTINA</v>
      </c>
      <c r="B394" s="50" t="str">
        <f>'RESUMEN TOTAL'!B334</f>
        <v>VAR12</v>
      </c>
      <c r="C394" s="50" t="str">
        <f>'RESUMEN TOTAL'!D334</f>
        <v>Calle 527 y Portela</v>
      </c>
      <c r="D394" s="50" t="str">
        <f>'RESUMEN TOTAL'!E334</f>
        <v>Domo</v>
      </c>
      <c r="E394" s="50" t="str">
        <f>'RESUMEN TOTAL'!F334</f>
        <v>Fibra Optica</v>
      </c>
      <c r="F394" s="50">
        <f>'RESUMEN TOTAL'!K334</f>
        <v>0</v>
      </c>
      <c r="G394" s="50">
        <f>'RESUMEN TOTAL'!L334</f>
        <v>0</v>
      </c>
      <c r="H394" s="50">
        <f>'RESUMEN TOTAL'!M334</f>
        <v>0</v>
      </c>
      <c r="I394" s="50">
        <f>'RESUMEN TOTAL'!N334</f>
        <v>0</v>
      </c>
      <c r="J394" s="50">
        <f>'RESUMEN TOTAL'!O334</f>
        <v>0</v>
      </c>
      <c r="K394" s="50">
        <f>'RESUMEN TOTAL'!P334</f>
        <v>0</v>
      </c>
      <c r="L394" s="50">
        <f>'RESUMEN TOTAL'!Q334</f>
        <v>0</v>
      </c>
      <c r="M394" s="50">
        <f>'RESUMEN TOTAL'!R334</f>
        <v>0</v>
      </c>
      <c r="N394" s="50">
        <f>'RESUMEN TOTAL'!S334</f>
        <v>0</v>
      </c>
      <c r="O394" s="50">
        <f>'RESUMEN TOTAL'!T334</f>
        <v>0</v>
      </c>
      <c r="P394" s="50">
        <f>'RESUMEN TOTAL'!U334</f>
        <v>0</v>
      </c>
      <c r="Q394" s="50">
        <f>'RESUMEN TOTAL'!V334</f>
        <v>0</v>
      </c>
      <c r="R394" s="50">
        <f>'RESUMEN TOTAL'!W334</f>
        <v>0</v>
      </c>
      <c r="S394" s="50">
        <f>'RESUMEN TOTAL'!X334</f>
        <v>0</v>
      </c>
      <c r="T394" s="50">
        <f>'RESUMEN TOTAL'!Y334</f>
        <v>0</v>
      </c>
      <c r="U394" s="50">
        <f>'RESUMEN TOTAL'!Z334</f>
        <v>0</v>
      </c>
      <c r="V394" s="50">
        <f>'RESUMEN TOTAL'!AA334</f>
        <v>0</v>
      </c>
      <c r="W394" s="50">
        <f>'RESUMEN TOTAL'!AB334</f>
        <v>0</v>
      </c>
      <c r="X394" s="50">
        <f>'RESUMEN TOTAL'!AC334</f>
        <v>0</v>
      </c>
      <c r="Y394" s="50">
        <f>'RESUMEN TOTAL'!AD334</f>
        <v>0</v>
      </c>
      <c r="Z394" s="50">
        <f>'RESUMEN TOTAL'!AE334</f>
        <v>0</v>
      </c>
      <c r="AA394" s="50">
        <f>'RESUMEN TOTAL'!AF334</f>
        <v>0</v>
      </c>
      <c r="AB394" s="50">
        <f>'RESUMEN TOTAL'!AG334</f>
        <v>0</v>
      </c>
      <c r="AC394" s="50">
        <f>'RESUMEN TOTAL'!AH334</f>
        <v>0</v>
      </c>
      <c r="AD394" s="50">
        <f>'RESUMEN TOTAL'!AI334</f>
        <v>0</v>
      </c>
      <c r="AE394" s="50">
        <f>'RESUMEN TOTAL'!AJ334</f>
        <v>0</v>
      </c>
      <c r="AF394" s="50">
        <f>'RESUMEN TOTAL'!AK334</f>
        <v>0</v>
      </c>
      <c r="AG394" s="50">
        <f>'RESUMEN TOTAL'!AL334</f>
        <v>0</v>
      </c>
      <c r="AH394" s="50">
        <f>'RESUMEN TOTAL'!AM334</f>
        <v>0</v>
      </c>
      <c r="AI394" s="50">
        <f>'RESUMEN TOTAL'!AN334</f>
        <v>0</v>
      </c>
    </row>
    <row r="395" spans="1:35" x14ac:dyDescent="0.25">
      <c r="A395" s="50" t="str">
        <f>'RESUMEN TOTAL'!A335</f>
        <v>VILLA ARGENTINA</v>
      </c>
      <c r="B395" s="50" t="str">
        <f>'RESUMEN TOTAL'!B335</f>
        <v>VAR13</v>
      </c>
      <c r="C395" s="50" t="str">
        <f>'RESUMEN TOTAL'!D335</f>
        <v>Calle 527 y 532</v>
      </c>
      <c r="D395" s="50" t="str">
        <f>'RESUMEN TOTAL'!E335</f>
        <v>Domo</v>
      </c>
      <c r="E395" s="50" t="str">
        <f>'RESUMEN TOTAL'!F335</f>
        <v>Fibra Optica</v>
      </c>
      <c r="F395" s="50">
        <f>'RESUMEN TOTAL'!K335</f>
        <v>0</v>
      </c>
      <c r="G395" s="50">
        <f>'RESUMEN TOTAL'!L335</f>
        <v>0</v>
      </c>
      <c r="H395" s="50">
        <f>'RESUMEN TOTAL'!M335</f>
        <v>0</v>
      </c>
      <c r="I395" s="50">
        <f>'RESUMEN TOTAL'!N335</f>
        <v>0</v>
      </c>
      <c r="J395" s="50">
        <f>'RESUMEN TOTAL'!O335</f>
        <v>0</v>
      </c>
      <c r="K395" s="50">
        <f>'RESUMEN TOTAL'!P335</f>
        <v>0</v>
      </c>
      <c r="L395" s="50">
        <f>'RESUMEN TOTAL'!Q335</f>
        <v>0</v>
      </c>
      <c r="M395" s="50">
        <f>'RESUMEN TOTAL'!R335</f>
        <v>0</v>
      </c>
      <c r="N395" s="50">
        <f>'RESUMEN TOTAL'!S335</f>
        <v>0</v>
      </c>
      <c r="O395" s="50">
        <f>'RESUMEN TOTAL'!T335</f>
        <v>0</v>
      </c>
      <c r="P395" s="50">
        <f>'RESUMEN TOTAL'!U335</f>
        <v>0</v>
      </c>
      <c r="Q395" s="50">
        <f>'RESUMEN TOTAL'!V335</f>
        <v>0</v>
      </c>
      <c r="R395" s="50">
        <f>'RESUMEN TOTAL'!W335</f>
        <v>0</v>
      </c>
      <c r="S395" s="50">
        <f>'RESUMEN TOTAL'!X335</f>
        <v>0</v>
      </c>
      <c r="T395" s="50">
        <f>'RESUMEN TOTAL'!Y335</f>
        <v>0</v>
      </c>
      <c r="U395" s="50">
        <f>'RESUMEN TOTAL'!Z335</f>
        <v>0</v>
      </c>
      <c r="V395" s="50">
        <f>'RESUMEN TOTAL'!AA335</f>
        <v>0</v>
      </c>
      <c r="W395" s="50">
        <f>'RESUMEN TOTAL'!AB335</f>
        <v>0</v>
      </c>
      <c r="X395" s="50">
        <f>'RESUMEN TOTAL'!AC335</f>
        <v>0</v>
      </c>
      <c r="Y395" s="50">
        <f>'RESUMEN TOTAL'!AD335</f>
        <v>0</v>
      </c>
      <c r="Z395" s="50">
        <f>'RESUMEN TOTAL'!AE335</f>
        <v>0</v>
      </c>
      <c r="AA395" s="50">
        <f>'RESUMEN TOTAL'!AF335</f>
        <v>0</v>
      </c>
      <c r="AB395" s="50">
        <f>'RESUMEN TOTAL'!AG335</f>
        <v>0</v>
      </c>
      <c r="AC395" s="50">
        <f>'RESUMEN TOTAL'!AH335</f>
        <v>0</v>
      </c>
      <c r="AD395" s="50">
        <f>'RESUMEN TOTAL'!AI335</f>
        <v>0</v>
      </c>
      <c r="AE395" s="50">
        <f>'RESUMEN TOTAL'!AJ335</f>
        <v>0</v>
      </c>
      <c r="AF395" s="50">
        <f>'RESUMEN TOTAL'!AK335</f>
        <v>0</v>
      </c>
      <c r="AG395" s="50">
        <f>'RESUMEN TOTAL'!AL335</f>
        <v>0</v>
      </c>
      <c r="AH395" s="50">
        <f>'RESUMEN TOTAL'!AM335</f>
        <v>0</v>
      </c>
      <c r="AI395" s="50">
        <f>'RESUMEN TOTAL'!AN335</f>
        <v>0</v>
      </c>
    </row>
    <row r="396" spans="1:35" x14ac:dyDescent="0.25">
      <c r="A396" s="50" t="str">
        <f>'RESUMEN TOTAL'!A336</f>
        <v>VILLA ARGENTINA</v>
      </c>
      <c r="B396" s="50" t="str">
        <f>'RESUMEN TOTAL'!B336</f>
        <v>VAR14</v>
      </c>
      <c r="C396" s="50" t="str">
        <f>'RESUMEN TOTAL'!D336</f>
        <v>Pportela y 517</v>
      </c>
      <c r="D396" s="50" t="str">
        <f>'RESUMEN TOTAL'!E336</f>
        <v>Domo</v>
      </c>
      <c r="E396" s="50" t="str">
        <f>'RESUMEN TOTAL'!F336</f>
        <v>Fibra Optica</v>
      </c>
      <c r="F396" s="50">
        <f>'RESUMEN TOTAL'!K336</f>
        <v>0</v>
      </c>
      <c r="G396" s="50">
        <f>'RESUMEN TOTAL'!L336</f>
        <v>0</v>
      </c>
      <c r="H396" s="50">
        <f>'RESUMEN TOTAL'!M336</f>
        <v>0</v>
      </c>
      <c r="I396" s="50">
        <f>'RESUMEN TOTAL'!N336</f>
        <v>0</v>
      </c>
      <c r="J396" s="50">
        <f>'RESUMEN TOTAL'!O336</f>
        <v>0</v>
      </c>
      <c r="K396" s="50">
        <f>'RESUMEN TOTAL'!P336</f>
        <v>0</v>
      </c>
      <c r="L396" s="50">
        <f>'RESUMEN TOTAL'!Q336</f>
        <v>0</v>
      </c>
      <c r="M396" s="50">
        <f>'RESUMEN TOTAL'!R336</f>
        <v>0</v>
      </c>
      <c r="N396" s="50">
        <f>'RESUMEN TOTAL'!S336</f>
        <v>0</v>
      </c>
      <c r="O396" s="50">
        <f>'RESUMEN TOTAL'!T336</f>
        <v>0</v>
      </c>
      <c r="P396" s="50">
        <f>'RESUMEN TOTAL'!U336</f>
        <v>0</v>
      </c>
      <c r="Q396" s="50">
        <f>'RESUMEN TOTAL'!V336</f>
        <v>0</v>
      </c>
      <c r="R396" s="50">
        <f>'RESUMEN TOTAL'!W336</f>
        <v>0</v>
      </c>
      <c r="S396" s="50">
        <f>'RESUMEN TOTAL'!X336</f>
        <v>0</v>
      </c>
      <c r="T396" s="50">
        <f>'RESUMEN TOTAL'!Y336</f>
        <v>0</v>
      </c>
      <c r="U396" s="50">
        <f>'RESUMEN TOTAL'!Z336</f>
        <v>0</v>
      </c>
      <c r="V396" s="50">
        <f>'RESUMEN TOTAL'!AA336</f>
        <v>0</v>
      </c>
      <c r="W396" s="50">
        <f>'RESUMEN TOTAL'!AB336</f>
        <v>0</v>
      </c>
      <c r="X396" s="50">
        <f>'RESUMEN TOTAL'!AC336</f>
        <v>0</v>
      </c>
      <c r="Y396" s="50">
        <f>'RESUMEN TOTAL'!AD336</f>
        <v>0</v>
      </c>
      <c r="Z396" s="50">
        <f>'RESUMEN TOTAL'!AE336</f>
        <v>0</v>
      </c>
      <c r="AA396" s="50">
        <f>'RESUMEN TOTAL'!AF336</f>
        <v>0</v>
      </c>
      <c r="AB396" s="50">
        <f>'RESUMEN TOTAL'!AG336</f>
        <v>0</v>
      </c>
      <c r="AC396" s="50">
        <f>'RESUMEN TOTAL'!AH336</f>
        <v>0</v>
      </c>
      <c r="AD396" s="50">
        <f>'RESUMEN TOTAL'!AI336</f>
        <v>0</v>
      </c>
      <c r="AE396" s="50">
        <f>'RESUMEN TOTAL'!AJ336</f>
        <v>0</v>
      </c>
      <c r="AF396" s="50">
        <f>'RESUMEN TOTAL'!AK336</f>
        <v>0</v>
      </c>
      <c r="AG396" s="50">
        <f>'RESUMEN TOTAL'!AL336</f>
        <v>0</v>
      </c>
      <c r="AH396" s="50">
        <f>'RESUMEN TOTAL'!AM336</f>
        <v>0</v>
      </c>
      <c r="AI396" s="50">
        <f>'RESUMEN TOTAL'!AN336</f>
        <v>0</v>
      </c>
    </row>
    <row r="397" spans="1:35" x14ac:dyDescent="0.25">
      <c r="A397" s="50">
        <f>'RESUMEN TOTAL'!A400</f>
        <v>0</v>
      </c>
      <c r="B397" s="50">
        <f>'RESUMEN TOTAL'!B400</f>
        <v>0</v>
      </c>
      <c r="C397" s="50">
        <f>'RESUMEN TOTAL'!D400</f>
        <v>0</v>
      </c>
      <c r="D397" s="50">
        <f>'RESUMEN TOTAL'!E400</f>
        <v>0</v>
      </c>
      <c r="E397" s="50">
        <f>'RESUMEN TOTAL'!F400</f>
        <v>0</v>
      </c>
      <c r="F397" s="50">
        <f>'RESUMEN TOTAL'!K400</f>
        <v>0</v>
      </c>
      <c r="G397" s="50">
        <f>'RESUMEN TOTAL'!L400</f>
        <v>0</v>
      </c>
      <c r="H397" s="50">
        <f>'RESUMEN TOTAL'!M400</f>
        <v>0</v>
      </c>
      <c r="I397" s="50">
        <f>'RESUMEN TOTAL'!N400</f>
        <v>0</v>
      </c>
      <c r="J397" s="50">
        <f>'RESUMEN TOTAL'!O400</f>
        <v>0</v>
      </c>
      <c r="K397" s="50">
        <f>'RESUMEN TOTAL'!P400</f>
        <v>0</v>
      </c>
      <c r="L397" s="50">
        <f>'RESUMEN TOTAL'!Q400</f>
        <v>0</v>
      </c>
      <c r="M397" s="50">
        <f>'RESUMEN TOTAL'!R400</f>
        <v>0</v>
      </c>
      <c r="N397" s="50">
        <f>'RESUMEN TOTAL'!S400</f>
        <v>0</v>
      </c>
      <c r="O397" s="50">
        <f>'RESUMEN TOTAL'!T400</f>
        <v>0</v>
      </c>
      <c r="P397" s="50">
        <f>'RESUMEN TOTAL'!U400</f>
        <v>0</v>
      </c>
      <c r="Q397" s="50">
        <f>'RESUMEN TOTAL'!V400</f>
        <v>0</v>
      </c>
      <c r="R397" s="50">
        <f>'RESUMEN TOTAL'!W400</f>
        <v>0</v>
      </c>
      <c r="S397" s="50">
        <f>'RESUMEN TOTAL'!X400</f>
        <v>0</v>
      </c>
      <c r="T397" s="50">
        <f>'RESUMEN TOTAL'!Y400</f>
        <v>0</v>
      </c>
      <c r="U397" s="50">
        <f>'RESUMEN TOTAL'!Z400</f>
        <v>0</v>
      </c>
      <c r="V397" s="50">
        <f>'RESUMEN TOTAL'!AA400</f>
        <v>0</v>
      </c>
      <c r="W397" s="50">
        <f>'RESUMEN TOTAL'!AB400</f>
        <v>0</v>
      </c>
      <c r="X397" s="50">
        <f>'RESUMEN TOTAL'!AC400</f>
        <v>0</v>
      </c>
      <c r="Y397" s="50">
        <f>'RESUMEN TOTAL'!AD400</f>
        <v>0</v>
      </c>
      <c r="Z397" s="50">
        <f>'RESUMEN TOTAL'!AE400</f>
        <v>0</v>
      </c>
      <c r="AA397" s="50">
        <f>'RESUMEN TOTAL'!AF400</f>
        <v>0</v>
      </c>
      <c r="AB397" s="50">
        <f>'RESUMEN TOTAL'!AG400</f>
        <v>0</v>
      </c>
      <c r="AC397" s="50">
        <f>'RESUMEN TOTAL'!AH400</f>
        <v>0</v>
      </c>
      <c r="AD397" s="50">
        <f>'RESUMEN TOTAL'!AI400</f>
        <v>0</v>
      </c>
      <c r="AE397" s="50">
        <f>'RESUMEN TOTAL'!AJ400</f>
        <v>0</v>
      </c>
      <c r="AF397" s="50">
        <f>'RESUMEN TOTAL'!AK400</f>
        <v>0</v>
      </c>
      <c r="AG397" s="50">
        <f>'RESUMEN TOTAL'!AL400</f>
        <v>0</v>
      </c>
      <c r="AH397" s="50">
        <f>'RESUMEN TOTAL'!AM400</f>
        <v>0</v>
      </c>
      <c r="AI397" s="50">
        <f>'RESUMEN TOTAL'!AN400</f>
        <v>0</v>
      </c>
    </row>
    <row r="398" spans="1:35" x14ac:dyDescent="0.25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25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0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>
        <f>ESTADISTICA!A397</f>
        <v>0</v>
      </c>
      <c r="B398" s="50">
        <f>ESTADISTICA!B397</f>
        <v>0</v>
      </c>
      <c r="C398" s="50">
        <f>ESTADISTICA!C397</f>
        <v>0</v>
      </c>
      <c r="D398" s="50">
        <f>ESTADISTICA!D397</f>
        <v>0</v>
      </c>
      <c r="E398" s="50">
        <f>ESTADISTICA!E397</f>
        <v>0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264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1162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0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25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94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0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A7" sqref="A7:E11"/>
    </sheetView>
  </sheetViews>
  <sheetFormatPr baseColWidth="10" defaultColWidth="11.5703125" defaultRowHeight="15" x14ac:dyDescent="0.25"/>
  <cols>
    <col min="1" max="1" width="20.28515625" style="84" bestFit="1" customWidth="1"/>
    <col min="2" max="2" width="11.5703125" style="137"/>
    <col min="3" max="3" width="11.5703125" style="85"/>
    <col min="4" max="4" width="11.5703125" style="86"/>
    <col min="5" max="6" width="11.5703125" style="84"/>
    <col min="7" max="7" width="30.7109375" style="84" bestFit="1" customWidth="1"/>
    <col min="8" max="8" width="33.7109375" style="84" bestFit="1" customWidth="1"/>
    <col min="9" max="10" width="11.5703125" style="84"/>
    <col min="11" max="12" width="13.7109375" style="84" bestFit="1" customWidth="1"/>
    <col min="13" max="16384" width="11.5703125" style="84"/>
  </cols>
  <sheetData>
    <row r="1" spans="1:13" ht="15.75" thickBot="1" x14ac:dyDescent="0.3">
      <c r="B1" s="85" t="s">
        <v>1002</v>
      </c>
      <c r="D1" s="86" t="s">
        <v>1003</v>
      </c>
    </row>
    <row r="2" spans="1:13" ht="16.5" thickTop="1" thickBot="1" x14ac:dyDescent="0.3">
      <c r="A2" s="87" t="s">
        <v>999</v>
      </c>
      <c r="B2" s="88">
        <v>395</v>
      </c>
      <c r="C2" s="89"/>
      <c r="D2" s="90"/>
      <c r="E2" s="142">
        <v>44805</v>
      </c>
    </row>
    <row r="3" spans="1:13" ht="15" customHeight="1" thickTop="1" x14ac:dyDescent="0.25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43"/>
      <c r="G3" s="95"/>
      <c r="H3" s="96"/>
      <c r="I3" s="96"/>
      <c r="J3" s="96"/>
      <c r="K3" s="97"/>
      <c r="L3" s="98"/>
      <c r="M3" s="138"/>
    </row>
    <row r="4" spans="1:13" x14ac:dyDescent="0.25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43"/>
      <c r="G4" s="99"/>
      <c r="H4" s="100"/>
      <c r="I4" s="100"/>
      <c r="J4" s="100"/>
      <c r="K4" s="101"/>
      <c r="L4" s="102"/>
      <c r="M4" s="139"/>
    </row>
    <row r="5" spans="1:13" x14ac:dyDescent="0.25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43"/>
      <c r="G5" s="99"/>
      <c r="H5" s="100"/>
      <c r="I5" s="100"/>
      <c r="J5" s="100"/>
      <c r="K5" s="101"/>
      <c r="L5" s="102"/>
      <c r="M5" s="139"/>
    </row>
    <row r="6" spans="1:13" ht="15.75" thickBot="1" x14ac:dyDescent="0.3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4"/>
      <c r="G6" s="99"/>
      <c r="H6" s="100"/>
      <c r="I6" s="100"/>
      <c r="J6" s="100"/>
      <c r="K6" s="101"/>
      <c r="L6" s="102"/>
      <c r="M6" s="139"/>
    </row>
    <row r="7" spans="1:13" ht="15" customHeight="1" thickTop="1" x14ac:dyDescent="0.25">
      <c r="A7" s="87" t="s">
        <v>999</v>
      </c>
      <c r="B7" s="88">
        <v>395</v>
      </c>
      <c r="C7" s="89"/>
      <c r="D7" s="90"/>
      <c r="E7" s="142">
        <v>44809</v>
      </c>
      <c r="G7" s="99"/>
      <c r="H7" s="100"/>
      <c r="I7" s="100"/>
      <c r="J7" s="100"/>
      <c r="K7" s="101"/>
      <c r="L7" s="102"/>
      <c r="M7" s="139"/>
    </row>
    <row r="8" spans="1:13" ht="15.75" thickBot="1" x14ac:dyDescent="0.3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43"/>
      <c r="G8" s="107"/>
      <c r="H8" s="108"/>
      <c r="I8" s="108"/>
      <c r="J8" s="108"/>
      <c r="K8" s="109"/>
      <c r="L8" s="110"/>
      <c r="M8" s="140"/>
    </row>
    <row r="9" spans="1:13" ht="16.5" thickTop="1" thickBot="1" x14ac:dyDescent="0.3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43"/>
      <c r="G9" s="111"/>
      <c r="H9" s="112"/>
      <c r="I9" s="112"/>
      <c r="J9" s="112"/>
      <c r="K9" s="113"/>
      <c r="L9" s="112"/>
      <c r="M9" s="114"/>
    </row>
    <row r="10" spans="1:13" ht="15.75" thickTop="1" x14ac:dyDescent="0.25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43"/>
      <c r="G10" s="115"/>
      <c r="H10" s="116"/>
      <c r="I10" s="116"/>
      <c r="J10" s="116"/>
      <c r="K10" s="117"/>
      <c r="L10" s="118"/>
      <c r="M10" s="138"/>
    </row>
    <row r="11" spans="1:13" ht="15.75" thickBot="1" x14ac:dyDescent="0.3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4"/>
      <c r="G11" s="119"/>
      <c r="H11" s="112"/>
      <c r="I11" s="112"/>
      <c r="J11" s="112"/>
      <c r="K11" s="113"/>
      <c r="L11" s="120"/>
      <c r="M11" s="139"/>
    </row>
    <row r="12" spans="1:13" ht="15.75" thickTop="1" x14ac:dyDescent="0.25">
      <c r="A12" s="87"/>
      <c r="B12" s="88"/>
      <c r="C12" s="89"/>
      <c r="D12" s="90"/>
      <c r="E12" s="142"/>
      <c r="G12" s="119"/>
      <c r="H12" s="112"/>
      <c r="I12" s="112"/>
      <c r="J12" s="112"/>
      <c r="K12" s="113"/>
      <c r="L12" s="120"/>
      <c r="M12" s="139"/>
    </row>
    <row r="13" spans="1:13" x14ac:dyDescent="0.25">
      <c r="A13" s="91"/>
      <c r="B13" s="92"/>
      <c r="C13" s="93"/>
      <c r="D13" s="94"/>
      <c r="E13" s="143"/>
      <c r="G13" s="119"/>
      <c r="H13" s="112"/>
      <c r="I13" s="112"/>
      <c r="J13" s="112"/>
      <c r="K13" s="113"/>
      <c r="L13" s="120"/>
      <c r="M13" s="139"/>
    </row>
    <row r="14" spans="1:13" x14ac:dyDescent="0.25">
      <c r="A14" s="91"/>
      <c r="B14" s="92"/>
      <c r="C14" s="93"/>
      <c r="D14" s="94"/>
      <c r="E14" s="143"/>
      <c r="G14" s="119"/>
      <c r="H14" s="112"/>
      <c r="I14" s="112"/>
      <c r="J14" s="112"/>
      <c r="K14" s="113"/>
      <c r="L14" s="120"/>
      <c r="M14" s="139"/>
    </row>
    <row r="15" spans="1:13" ht="15" customHeight="1" thickBot="1" x14ac:dyDescent="0.3">
      <c r="A15" s="91"/>
      <c r="B15" s="92"/>
      <c r="C15" s="93"/>
      <c r="D15" s="94"/>
      <c r="E15" s="143"/>
      <c r="G15" s="121"/>
      <c r="H15" s="122"/>
      <c r="I15" s="122"/>
      <c r="J15" s="122"/>
      <c r="K15" s="122"/>
      <c r="L15" s="123"/>
      <c r="M15" s="141"/>
    </row>
    <row r="16" spans="1:13" ht="16.5" thickTop="1" thickBot="1" x14ac:dyDescent="0.3">
      <c r="A16" s="103"/>
      <c r="B16" s="104"/>
      <c r="C16" s="105"/>
      <c r="D16" s="106"/>
      <c r="E16" s="144"/>
      <c r="G16" s="124"/>
      <c r="H16" s="125"/>
      <c r="I16" s="125"/>
      <c r="J16" s="125"/>
      <c r="K16" s="126"/>
      <c r="L16" s="127"/>
      <c r="M16" s="138"/>
    </row>
    <row r="17" spans="1:14" ht="15.75" thickTop="1" x14ac:dyDescent="0.25">
      <c r="A17" s="87"/>
      <c r="B17" s="88"/>
      <c r="C17" s="89"/>
      <c r="D17" s="90"/>
      <c r="E17" s="142"/>
      <c r="G17" s="128"/>
      <c r="H17" s="112"/>
      <c r="I17" s="112"/>
      <c r="J17" s="112"/>
      <c r="K17" s="113"/>
      <c r="L17" s="129"/>
      <c r="M17" s="139"/>
    </row>
    <row r="18" spans="1:14" x14ac:dyDescent="0.25">
      <c r="A18" s="91"/>
      <c r="B18" s="92"/>
      <c r="C18" s="93"/>
      <c r="D18" s="94"/>
      <c r="E18" s="143"/>
      <c r="G18" s="128"/>
      <c r="H18" s="112"/>
      <c r="I18" s="112"/>
      <c r="J18" s="112"/>
      <c r="K18" s="113"/>
      <c r="L18" s="129"/>
      <c r="M18" s="139"/>
    </row>
    <row r="19" spans="1:14" x14ac:dyDescent="0.25">
      <c r="A19" s="91"/>
      <c r="B19" s="92"/>
      <c r="C19" s="93"/>
      <c r="D19" s="94"/>
      <c r="E19" s="143"/>
      <c r="G19" s="128"/>
      <c r="H19" s="112"/>
      <c r="I19" s="112"/>
      <c r="J19" s="112"/>
      <c r="K19" s="113"/>
      <c r="L19" s="129"/>
      <c r="M19" s="139"/>
    </row>
    <row r="20" spans="1:14" x14ac:dyDescent="0.25">
      <c r="A20" s="91"/>
      <c r="B20" s="92"/>
      <c r="C20" s="93"/>
      <c r="D20" s="94"/>
      <c r="E20" s="143"/>
      <c r="G20" s="128"/>
      <c r="H20" s="112"/>
      <c r="I20" s="112"/>
      <c r="J20" s="112"/>
      <c r="K20" s="113"/>
      <c r="L20" s="129"/>
      <c r="M20" s="139"/>
    </row>
    <row r="21" spans="1:14" ht="15.75" thickBot="1" x14ac:dyDescent="0.3">
      <c r="A21" s="103"/>
      <c r="B21" s="104"/>
      <c r="C21" s="105"/>
      <c r="D21" s="106"/>
      <c r="E21" s="144"/>
      <c r="G21" s="121"/>
      <c r="H21" s="122"/>
      <c r="I21" s="122"/>
      <c r="J21" s="122"/>
      <c r="K21" s="122"/>
      <c r="L21" s="123"/>
      <c r="M21" s="141"/>
    </row>
    <row r="22" spans="1:14" ht="15.75" thickTop="1" x14ac:dyDescent="0.25">
      <c r="A22" s="87"/>
      <c r="B22" s="88"/>
      <c r="C22" s="89"/>
      <c r="D22" s="90"/>
      <c r="E22" s="142"/>
    </row>
    <row r="23" spans="1:14" ht="15.75" thickBot="1" x14ac:dyDescent="0.3">
      <c r="A23" s="91"/>
      <c r="B23" s="92"/>
      <c r="C23" s="93"/>
      <c r="D23" s="94"/>
      <c r="E23" s="143"/>
    </row>
    <row r="24" spans="1:14" ht="15.75" thickTop="1" x14ac:dyDescent="0.25">
      <c r="A24" s="91"/>
      <c r="B24" s="92"/>
      <c r="C24" s="93"/>
      <c r="D24" s="94"/>
      <c r="E24" s="143"/>
      <c r="G24" s="115"/>
      <c r="H24" s="116"/>
      <c r="I24" s="116"/>
      <c r="J24" s="116"/>
      <c r="K24" s="117"/>
      <c r="L24" s="118"/>
      <c r="M24" s="138"/>
    </row>
    <row r="25" spans="1:14" x14ac:dyDescent="0.25">
      <c r="A25" s="91"/>
      <c r="B25" s="92"/>
      <c r="C25" s="93"/>
      <c r="D25" s="94"/>
      <c r="E25" s="143"/>
      <c r="G25" s="119"/>
      <c r="H25" s="112"/>
      <c r="I25" s="112"/>
      <c r="J25" s="112"/>
      <c r="K25" s="113"/>
      <c r="L25" s="120"/>
      <c r="M25" s="139"/>
    </row>
    <row r="26" spans="1:14" ht="15.75" thickBot="1" x14ac:dyDescent="0.3">
      <c r="A26" s="103"/>
      <c r="B26" s="104"/>
      <c r="C26" s="105"/>
      <c r="D26" s="106"/>
      <c r="E26" s="144"/>
      <c r="G26" s="119"/>
      <c r="H26" s="112"/>
      <c r="I26" s="112"/>
      <c r="J26" s="112"/>
      <c r="K26" s="113"/>
      <c r="L26" s="120"/>
      <c r="M26" s="139"/>
    </row>
    <row r="27" spans="1:14" ht="15.75" thickTop="1" x14ac:dyDescent="0.25">
      <c r="A27" s="87"/>
      <c r="B27" s="88"/>
      <c r="C27" s="89"/>
      <c r="D27" s="90"/>
      <c r="E27" s="142"/>
      <c r="G27" s="119"/>
      <c r="H27" s="112"/>
      <c r="I27" s="112"/>
      <c r="J27" s="112"/>
      <c r="K27" s="113"/>
      <c r="L27" s="120"/>
      <c r="M27" s="139"/>
    </row>
    <row r="28" spans="1:14" x14ac:dyDescent="0.25">
      <c r="A28" s="91"/>
      <c r="B28" s="92"/>
      <c r="C28" s="93"/>
      <c r="D28" s="94"/>
      <c r="E28" s="143"/>
      <c r="G28" s="119"/>
      <c r="H28" s="112"/>
      <c r="I28" s="112"/>
      <c r="J28" s="112"/>
      <c r="K28" s="113"/>
      <c r="L28" s="120"/>
      <c r="M28" s="139"/>
    </row>
    <row r="29" spans="1:14" ht="15.75" thickBot="1" x14ac:dyDescent="0.3">
      <c r="A29" s="91"/>
      <c r="B29" s="92"/>
      <c r="C29" s="93"/>
      <c r="D29" s="94"/>
      <c r="E29" s="143"/>
      <c r="G29" s="121"/>
      <c r="H29" s="122"/>
      <c r="I29" s="122"/>
      <c r="J29" s="122"/>
      <c r="K29" s="122"/>
      <c r="L29" s="123"/>
      <c r="M29" s="141"/>
    </row>
    <row r="30" spans="1:14" ht="16.5" thickTop="1" thickBot="1" x14ac:dyDescent="0.3">
      <c r="A30" s="91"/>
      <c r="B30" s="92"/>
      <c r="C30" s="93"/>
      <c r="D30" s="94"/>
      <c r="E30" s="143"/>
    </row>
    <row r="31" spans="1:14" ht="16.5" thickTop="1" thickBot="1" x14ac:dyDescent="0.3">
      <c r="A31" s="103"/>
      <c r="B31" s="104"/>
      <c r="C31" s="105"/>
      <c r="D31" s="106"/>
      <c r="E31" s="144"/>
      <c r="G31" s="124"/>
      <c r="H31" s="130"/>
      <c r="I31" s="125"/>
      <c r="J31" s="125"/>
      <c r="K31" s="125"/>
      <c r="L31" s="126"/>
      <c r="M31" s="127"/>
      <c r="N31" s="145"/>
    </row>
    <row r="32" spans="1:14" ht="15.75" thickTop="1" x14ac:dyDescent="0.25">
      <c r="A32" s="87"/>
      <c r="B32" s="88"/>
      <c r="C32" s="89"/>
      <c r="D32" s="90"/>
      <c r="E32" s="142"/>
      <c r="G32" s="128"/>
      <c r="H32" s="111"/>
      <c r="I32" s="112"/>
      <c r="J32" s="112"/>
      <c r="K32" s="112"/>
      <c r="L32" s="113"/>
      <c r="M32" s="129"/>
      <c r="N32" s="146"/>
    </row>
    <row r="33" spans="1:14" ht="15.75" thickBot="1" x14ac:dyDescent="0.3">
      <c r="A33" s="91"/>
      <c r="B33" s="92"/>
      <c r="C33" s="93"/>
      <c r="D33" s="94"/>
      <c r="E33" s="143"/>
      <c r="G33" s="131"/>
      <c r="H33" s="132"/>
      <c r="I33" s="122"/>
      <c r="J33" s="122"/>
      <c r="K33" s="122"/>
      <c r="L33" s="133"/>
      <c r="M33" s="123"/>
      <c r="N33" s="146"/>
    </row>
    <row r="34" spans="1:14" ht="15.75" thickTop="1" x14ac:dyDescent="0.25">
      <c r="A34" s="91"/>
      <c r="B34" s="92"/>
      <c r="C34" s="93"/>
      <c r="D34" s="94"/>
      <c r="E34" s="143"/>
      <c r="G34" s="134"/>
      <c r="K34" s="135"/>
    </row>
    <row r="35" spans="1:14" x14ac:dyDescent="0.25">
      <c r="A35" s="91"/>
      <c r="B35" s="92"/>
      <c r="C35" s="93"/>
      <c r="D35" s="94"/>
      <c r="E35" s="143"/>
      <c r="G35" s="134"/>
      <c r="K35" s="135"/>
    </row>
    <row r="36" spans="1:14" ht="15.75" thickBot="1" x14ac:dyDescent="0.3">
      <c r="A36" s="103"/>
      <c r="B36" s="104"/>
      <c r="C36" s="105"/>
      <c r="D36" s="106"/>
      <c r="E36" s="144"/>
      <c r="G36" s="134"/>
      <c r="K36" s="135"/>
    </row>
    <row r="37" spans="1:14" ht="15.75" thickTop="1" x14ac:dyDescent="0.25">
      <c r="A37" s="87"/>
      <c r="B37" s="88"/>
      <c r="C37" s="89"/>
      <c r="D37" s="90"/>
      <c r="E37" s="142"/>
      <c r="G37" s="134"/>
      <c r="K37" s="135"/>
    </row>
    <row r="38" spans="1:14" x14ac:dyDescent="0.25">
      <c r="A38" s="91"/>
      <c r="B38" s="92"/>
      <c r="C38" s="93"/>
      <c r="D38" s="94"/>
      <c r="E38" s="143"/>
      <c r="G38" s="134"/>
      <c r="K38" s="135"/>
      <c r="L38" s="136"/>
    </row>
    <row r="39" spans="1:14" ht="15.75" thickBot="1" x14ac:dyDescent="0.3">
      <c r="A39" s="91"/>
      <c r="B39" s="92"/>
      <c r="C39" s="93"/>
      <c r="D39" s="94"/>
      <c r="E39" s="143"/>
    </row>
    <row r="40" spans="1:14" ht="15.75" thickTop="1" x14ac:dyDescent="0.25">
      <c r="A40" s="91"/>
      <c r="B40" s="92"/>
      <c r="C40" s="93"/>
      <c r="D40" s="94"/>
      <c r="E40" s="143"/>
      <c r="G40" s="115"/>
      <c r="H40" s="116"/>
      <c r="I40" s="116"/>
      <c r="J40" s="116"/>
      <c r="K40" s="117"/>
      <c r="L40" s="118"/>
      <c r="M40" s="138"/>
    </row>
    <row r="41" spans="1:14" ht="15.75" thickBot="1" x14ac:dyDescent="0.3">
      <c r="A41" s="103"/>
      <c r="B41" s="104"/>
      <c r="C41" s="105"/>
      <c r="D41" s="106"/>
      <c r="E41" s="144"/>
      <c r="G41" s="119"/>
      <c r="H41" s="112"/>
      <c r="I41" s="112"/>
      <c r="J41" s="112"/>
      <c r="K41" s="113"/>
      <c r="L41" s="120"/>
      <c r="M41" s="139"/>
    </row>
    <row r="42" spans="1:14" ht="15" customHeight="1" thickTop="1" x14ac:dyDescent="0.25">
      <c r="A42" s="87"/>
      <c r="B42" s="88"/>
      <c r="C42" s="89"/>
      <c r="D42" s="90"/>
      <c r="E42" s="142"/>
      <c r="G42" s="119"/>
      <c r="H42" s="112"/>
      <c r="I42" s="112"/>
      <c r="J42" s="112"/>
      <c r="K42" s="113"/>
      <c r="L42" s="120"/>
      <c r="M42" s="139"/>
    </row>
    <row r="43" spans="1:14" x14ac:dyDescent="0.25">
      <c r="A43" s="91"/>
      <c r="B43" s="92"/>
      <c r="C43" s="93"/>
      <c r="D43" s="94"/>
      <c r="E43" s="143"/>
      <c r="G43" s="119"/>
      <c r="H43" s="112"/>
      <c r="I43" s="112"/>
      <c r="J43" s="112"/>
      <c r="K43" s="113"/>
      <c r="L43" s="120"/>
      <c r="M43" s="139"/>
    </row>
    <row r="44" spans="1:14" x14ac:dyDescent="0.25">
      <c r="A44" s="91"/>
      <c r="B44" s="92"/>
      <c r="C44" s="93"/>
      <c r="D44" s="94"/>
      <c r="E44" s="143"/>
      <c r="G44" s="119"/>
      <c r="H44" s="112"/>
      <c r="I44" s="112"/>
      <c r="J44" s="112"/>
      <c r="K44" s="113"/>
      <c r="L44" s="120"/>
      <c r="M44" s="139"/>
    </row>
    <row r="45" spans="1:14" ht="15.75" thickBot="1" x14ac:dyDescent="0.3">
      <c r="A45" s="91"/>
      <c r="B45" s="92"/>
      <c r="C45" s="93"/>
      <c r="D45" s="94"/>
      <c r="E45" s="143"/>
      <c r="G45" s="121"/>
      <c r="H45" s="122"/>
      <c r="I45" s="122"/>
      <c r="J45" s="122"/>
      <c r="K45" s="122"/>
      <c r="L45" s="123"/>
      <c r="M45" s="141"/>
    </row>
    <row r="46" spans="1:14" ht="16.5" thickTop="1" thickBot="1" x14ac:dyDescent="0.3">
      <c r="A46" s="103"/>
      <c r="B46" s="104"/>
      <c r="C46" s="105"/>
      <c r="D46" s="106"/>
      <c r="E46" s="144"/>
    </row>
    <row r="47" spans="1:14" ht="15.75" thickTop="1" x14ac:dyDescent="0.25">
      <c r="A47" s="87"/>
      <c r="B47" s="88"/>
      <c r="C47" s="89"/>
      <c r="D47" s="90"/>
      <c r="E47" s="142"/>
      <c r="G47" s="134"/>
      <c r="K47" s="135"/>
    </row>
    <row r="48" spans="1:14" x14ac:dyDescent="0.25">
      <c r="A48" s="91"/>
      <c r="B48" s="92"/>
      <c r="C48" s="93"/>
      <c r="D48" s="94"/>
      <c r="E48" s="143"/>
      <c r="G48" s="134"/>
      <c r="K48" s="135"/>
    </row>
    <row r="49" spans="1:11" x14ac:dyDescent="0.25">
      <c r="A49" s="91"/>
      <c r="B49" s="92"/>
      <c r="C49" s="93"/>
      <c r="D49" s="94"/>
      <c r="E49" s="143"/>
      <c r="G49" s="134"/>
      <c r="K49" s="135"/>
    </row>
    <row r="50" spans="1:11" x14ac:dyDescent="0.25">
      <c r="A50" s="91"/>
      <c r="B50" s="92"/>
      <c r="C50" s="93"/>
      <c r="D50" s="94"/>
      <c r="E50" s="143"/>
      <c r="G50" s="134"/>
      <c r="K50" s="135"/>
    </row>
    <row r="51" spans="1:11" ht="15.75" thickBot="1" x14ac:dyDescent="0.3">
      <c r="A51" s="103"/>
      <c r="B51" s="104"/>
      <c r="C51" s="93"/>
      <c r="D51" s="106"/>
      <c r="E51" s="144"/>
      <c r="G51" s="134"/>
      <c r="K51" s="135"/>
    </row>
    <row r="52" spans="1:11" ht="15.75" thickTop="1" x14ac:dyDescent="0.25">
      <c r="A52" s="87"/>
      <c r="B52" s="88"/>
      <c r="C52" s="89"/>
      <c r="D52" s="90"/>
      <c r="E52" s="142"/>
      <c r="G52" s="134"/>
      <c r="K52" s="135"/>
    </row>
    <row r="53" spans="1:11" x14ac:dyDescent="0.25">
      <c r="A53" s="91"/>
      <c r="B53" s="92"/>
      <c r="C53" s="93"/>
      <c r="D53" s="94"/>
      <c r="E53" s="143"/>
      <c r="G53" s="134"/>
      <c r="K53" s="135"/>
    </row>
    <row r="54" spans="1:11" x14ac:dyDescent="0.25">
      <c r="A54" s="91"/>
      <c r="B54" s="92"/>
      <c r="C54" s="93"/>
      <c r="D54" s="94"/>
      <c r="E54" s="143"/>
    </row>
    <row r="55" spans="1:11" x14ac:dyDescent="0.25">
      <c r="A55" s="91"/>
      <c r="B55" s="92"/>
      <c r="C55" s="93"/>
      <c r="D55" s="94"/>
      <c r="E55" s="143"/>
    </row>
    <row r="56" spans="1:11" ht="15.75" thickBot="1" x14ac:dyDescent="0.3">
      <c r="A56" s="103"/>
      <c r="B56" s="104"/>
      <c r="C56" s="93"/>
      <c r="D56" s="106"/>
      <c r="E56" s="144"/>
    </row>
    <row r="57" spans="1:11" ht="15.75" thickTop="1" x14ac:dyDescent="0.25">
      <c r="A57" s="87"/>
      <c r="B57" s="88"/>
      <c r="C57" s="89"/>
      <c r="D57" s="90"/>
      <c r="E57" s="142"/>
    </row>
    <row r="58" spans="1:11" x14ac:dyDescent="0.25">
      <c r="A58" s="91"/>
      <c r="B58" s="92"/>
      <c r="C58" s="93"/>
      <c r="D58" s="94"/>
      <c r="E58" s="143"/>
    </row>
    <row r="59" spans="1:11" x14ac:dyDescent="0.25">
      <c r="A59" s="91"/>
      <c r="B59" s="92"/>
      <c r="C59" s="93"/>
      <c r="D59" s="94"/>
      <c r="E59" s="143"/>
    </row>
    <row r="60" spans="1:11" x14ac:dyDescent="0.25">
      <c r="A60" s="91"/>
      <c r="B60" s="92"/>
      <c r="C60" s="93"/>
      <c r="D60" s="94"/>
      <c r="E60" s="143"/>
    </row>
    <row r="61" spans="1:11" ht="15.75" thickBot="1" x14ac:dyDescent="0.3">
      <c r="A61" s="103"/>
      <c r="B61" s="104"/>
      <c r="C61" s="93"/>
      <c r="D61" s="106"/>
      <c r="E61" s="144"/>
    </row>
    <row r="62" spans="1:11" ht="15.75" thickTop="1" x14ac:dyDescent="0.25"/>
  </sheetData>
  <mergeCells count="18">
    <mergeCell ref="E47:E51"/>
    <mergeCell ref="E52:E56"/>
    <mergeCell ref="E57:E61"/>
    <mergeCell ref="N31:N33"/>
    <mergeCell ref="M40:M45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6" sqref="F26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395</v>
      </c>
      <c r="G2" s="54">
        <f t="shared" ref="G2" si="1">E2/F2</f>
        <v>7.0886075949367092E-2</v>
      </c>
    </row>
    <row r="3" spans="1:7" x14ac:dyDescent="0.25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395</v>
      </c>
      <c r="G3" s="54">
        <f t="shared" ref="G3:G6" si="3">E3/F3</f>
        <v>0.13417721518987341</v>
      </c>
    </row>
    <row r="4" spans="1:7" x14ac:dyDescent="0.25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395</v>
      </c>
      <c r="G4" s="54">
        <f t="shared" si="3"/>
        <v>0.21772151898734177</v>
      </c>
    </row>
    <row r="5" spans="1:7" x14ac:dyDescent="0.25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395</v>
      </c>
      <c r="G5" s="54">
        <f t="shared" si="3"/>
        <v>0.21772151898734177</v>
      </c>
    </row>
    <row r="6" spans="1:7" x14ac:dyDescent="0.25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395</v>
      </c>
      <c r="G6" s="54">
        <f t="shared" si="3"/>
        <v>9.6202531645569619E-2</v>
      </c>
    </row>
    <row r="7" spans="1:7" x14ac:dyDescent="0.25">
      <c r="A7" s="24">
        <f>'APAGADOS RADIO'!K3</f>
        <v>44810</v>
      </c>
      <c r="B7" s="50"/>
      <c r="C7" s="50"/>
      <c r="D7" s="50"/>
      <c r="E7" s="50"/>
      <c r="F7" s="50"/>
    </row>
    <row r="8" spans="1:7" x14ac:dyDescent="0.25">
      <c r="A8" s="24">
        <f>'APAGADOS RADIO'!L3</f>
        <v>44811</v>
      </c>
      <c r="B8" s="50"/>
      <c r="C8" s="50"/>
      <c r="D8" s="50"/>
      <c r="E8" s="50"/>
      <c r="F8" s="50"/>
    </row>
    <row r="9" spans="1:7" x14ac:dyDescent="0.25">
      <c r="A9" s="24">
        <f>'APAGADOS RADIO'!M3</f>
        <v>44812</v>
      </c>
      <c r="B9" s="50"/>
      <c r="C9" s="50"/>
      <c r="D9" s="50"/>
      <c r="E9" s="50"/>
      <c r="F9" s="50"/>
    </row>
    <row r="10" spans="1:7" x14ac:dyDescent="0.25">
      <c r="A10" s="24">
        <f>'APAGADOS RADIO'!N3</f>
        <v>44813</v>
      </c>
      <c r="B10" s="50"/>
      <c r="C10" s="50"/>
      <c r="D10" s="50"/>
      <c r="E10" s="50"/>
      <c r="F10" s="50"/>
    </row>
    <row r="11" spans="1:7" x14ac:dyDescent="0.25">
      <c r="A11" s="24">
        <f>'APAGADOS RADIO'!O3</f>
        <v>44814</v>
      </c>
      <c r="B11" s="50"/>
      <c r="C11" s="50"/>
      <c r="D11" s="50"/>
      <c r="E11" s="50"/>
      <c r="F11" s="50"/>
    </row>
    <row r="12" spans="1:7" x14ac:dyDescent="0.25">
      <c r="A12" s="24">
        <f>'APAGADOS RADIO'!P3</f>
        <v>44815</v>
      </c>
      <c r="B12" s="50"/>
      <c r="C12" s="50"/>
      <c r="D12" s="50"/>
      <c r="E12" s="50"/>
      <c r="F12" s="50"/>
    </row>
    <row r="13" spans="1:7" x14ac:dyDescent="0.25">
      <c r="A13" s="24">
        <f>'APAGADOS RADIO'!Q3</f>
        <v>44816</v>
      </c>
      <c r="B13" s="50"/>
      <c r="C13" s="50"/>
      <c r="D13" s="50"/>
      <c r="E13" s="50"/>
      <c r="F13" s="50"/>
    </row>
    <row r="14" spans="1:7" x14ac:dyDescent="0.25">
      <c r="A14" s="24">
        <f>'APAGADOS RADIO'!R3</f>
        <v>44817</v>
      </c>
      <c r="B14" s="50"/>
      <c r="C14" s="50"/>
      <c r="D14" s="50"/>
      <c r="E14" s="50"/>
      <c r="F14" s="50"/>
    </row>
    <row r="15" spans="1:7" x14ac:dyDescent="0.25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25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25">
      <c r="A31" s="24">
        <v>44803</v>
      </c>
      <c r="B31" s="50"/>
      <c r="C31" s="50"/>
      <c r="D31" s="50"/>
      <c r="E31" s="50"/>
      <c r="F31" s="50"/>
    </row>
    <row r="32" spans="1:6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80" t="s">
        <v>1160</v>
      </c>
      <c r="B2" s="69">
        <f>COUNTIFS('RESUMEN TOTAL'!C5:C399,"=BONOMO")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6.5" thickTop="1" thickBot="1" x14ac:dyDescent="0.3">
      <c r="A3" s="70"/>
      <c r="B3" s="71"/>
      <c r="D3" s="66" t="s">
        <v>1160</v>
      </c>
      <c r="E3" s="73" t="s">
        <v>1170</v>
      </c>
      <c r="F3" s="74">
        <f>COUNTIFS('RESUMEN TOTAL'!C5:C399, "=BONOMO",'RESUMEN TOTAL'!K5:K399,"=APAGADO")</f>
        <v>22</v>
      </c>
      <c r="G3" s="75">
        <f>COUNTIFS('RESUMEN TOTAL'!C5:C399, "=BONOMO",'RESUMEN TOTAL'!L5:L399,"=APAGADO")</f>
        <v>50</v>
      </c>
      <c r="H3" s="75">
        <f>COUNTIFS('RESUMEN TOTAL'!C5:C399, "=BONOMO",'RESUMEN TOTAL'!M5:M399,"=APAGADO")</f>
        <v>60</v>
      </c>
      <c r="I3" s="75">
        <f>COUNTIFS('RESUMEN TOTAL'!C5:C399, "=BONOMO",'RESUMEN TOTAL'!N5:N399,"=APAGADO")</f>
        <v>55</v>
      </c>
      <c r="J3" s="75">
        <f>COUNTIFS('RESUMEN TOTAL'!C5:C399, "=BONOMO",'RESUMEN TOTAL'!O5:O399,"=APAGADO")</f>
        <v>27</v>
      </c>
      <c r="K3" s="75">
        <f>COUNTIFS('RESUMEN TOTAL'!C5:C399, "=BONOMO",'RESUMEN TOTAL'!P5:P399,"=APAGADO")</f>
        <v>29</v>
      </c>
      <c r="L3" s="75">
        <f>COUNTIFS('RESUMEN TOTAL'!C5:C399, "=BONOMO",'RESUMEN TOTAL'!Q5:Q399,"=APAGADO")</f>
        <v>0</v>
      </c>
      <c r="M3" s="75">
        <f>COUNTIFS('RESUMEN TOTAL'!C5:C399, "=BONOMO",'RESUMEN TOTAL'!R5:R399,"=APAGADO")</f>
        <v>0</v>
      </c>
      <c r="N3" s="75">
        <f>COUNTIFS('RESUMEN TOTAL'!C5:C399, "=BONOMO",'RESUMEN TOTAL'!S5:S399,"=APAGADO")</f>
        <v>0</v>
      </c>
      <c r="O3" s="75">
        <f>COUNTIFS('RESUMEN TOTAL'!C5:C399, "=BONOMO",'RESUMEN TOTAL'!T5:T399,"=APAGADO")</f>
        <v>0</v>
      </c>
      <c r="P3" s="76">
        <f>COUNTIFS('RESUMEN TOTAL'!C5:C399, "=BONOMO",'RESUMEN TOTAL'!U5:U399,"=APAGADO")</f>
        <v>0</v>
      </c>
      <c r="Q3" s="76">
        <f>COUNTIFS('RESUMEN TOTAL'!C5:C399, "=BONOMO",'RESUMEN TOTAL'!V5:V399,"=APAGADO")</f>
        <v>0</v>
      </c>
      <c r="R3" s="76">
        <f>COUNTIFS('RESUMEN TOTAL'!C5:C399, "=BONOMO",'RESUMEN TOTAL'!W5:W399,"=APAGADO")</f>
        <v>0</v>
      </c>
      <c r="S3" s="76">
        <f>COUNTIFS('RESUMEN TOTAL'!C5:C399, "=BONOMO",'RESUMEN TOTAL'!X5:X399,"=APAGADO")</f>
        <v>0</v>
      </c>
      <c r="T3" s="76">
        <f>COUNTIFS('RESUMEN TOTAL'!C5:C399, "=BONOMO",'RESUMEN TOTAL'!Y5:Y399,"=APAGADO")</f>
        <v>0</v>
      </c>
      <c r="U3" s="76">
        <f>COUNTIFS('RESUMEN TOTAL'!C5:C399, "=BONOMO",'RESUMEN TOTAL'!Z5:Z399,"=APAGADO")</f>
        <v>0</v>
      </c>
      <c r="V3" s="76">
        <f>COUNTIFS('RESUMEN TOTAL'!C5:C399, "=BONOMO",'RESUMEN TOTAL'!AA5:AA399,"=APAGADO")</f>
        <v>0</v>
      </c>
      <c r="W3" s="76">
        <f>COUNTIFS('RESUMEN TOTAL'!C5:C399, "=BONOMO",'RESUMEN TOTAL'!AB5:AB399,"=APAGADO")</f>
        <v>0</v>
      </c>
      <c r="X3" s="76">
        <f>COUNTIFS('RESUMEN TOTAL'!C5:C399, "=BONOMO",'RESUMEN TOTAL'!AC5:AC399,"=APAGADO")</f>
        <v>0</v>
      </c>
      <c r="Y3" s="76">
        <f>COUNTIFS('RESUMEN TOTAL'!C5:C399, "=BONOMO",'RESUMEN TOTAL'!AD5:AD399,"=APAGADO")</f>
        <v>0</v>
      </c>
      <c r="Z3" s="76">
        <f>COUNTIFS('RESUMEN TOTAL'!C5:C399, "=BONOMO",'RESUMEN TOTAL'!AE5:AE399,"=APAGADO")</f>
        <v>0</v>
      </c>
      <c r="AA3" s="76">
        <f>COUNTIFS('RESUMEN TOTAL'!C5:C399, "=BONOMO",'RESUMEN TOTAL'!AF5:AF399,"=APAGADO")</f>
        <v>0</v>
      </c>
      <c r="AB3" s="76">
        <f>COUNTIFS('RESUMEN TOTAL'!C5:C399, "=BONOMO",'RESUMEN TOTAL'!AG5:AG399,"=APAGADO")</f>
        <v>0</v>
      </c>
      <c r="AC3" s="76">
        <f>COUNTIFS('RESUMEN TOTAL'!C5:C399, "=BONOMO",'RESUMEN TOTAL'!AH5:AH399,"=APAGADO")</f>
        <v>0</v>
      </c>
      <c r="AD3" s="76">
        <f>COUNTIFS('RESUMEN TOTAL'!C5:C399, "=BONOMO",'RESUMEN TOTAL'!AI5:AI399,"=APAGADO")</f>
        <v>0</v>
      </c>
      <c r="AE3" s="76">
        <f>COUNTIFS('RESUMEN TOTAL'!C5:C399, "=BONOMO",'RESUMEN TOTAL'!AJ5:AJ399,"=APAGADO")</f>
        <v>0</v>
      </c>
      <c r="AF3" s="76">
        <f>COUNTIFS('RESUMEN TOTAL'!C5:C399, "=BONOMO",'RESUMEN TOTAL'!AK5:AK399,"=APAGADO")</f>
        <v>0</v>
      </c>
      <c r="AG3" s="76">
        <f>COUNTIFS('RESUMEN TOTAL'!C5:C399, "=BONOMO",'RESUMEN TOTAL'!AL5:AL399,"=APAGADO")</f>
        <v>0</v>
      </c>
      <c r="AH3" s="76">
        <f>COUNTIFS('RESUMEN TOTAL'!C5:C399, "=BONOMO",'RESUMEN TOTAL'!AM5:AM399,"=APAGADO")</f>
        <v>0</v>
      </c>
      <c r="AI3" s="76">
        <f>COUNTIFS('RESUMEN TOTAL'!C5:C399, "=BONOMO",'RESUMEN TOTAL'!AN5:AN399,"=APAGADO")</f>
        <v>0</v>
      </c>
      <c r="AJ3" s="76" t="e">
        <f>COUNTIFS('RESUMEN TOTAL'!C5:C399, "=BONOMO",'RESUMEN TOTAL'!#REF!,"=APAGADO")</f>
        <v>#REF!</v>
      </c>
    </row>
    <row r="4" spans="1:36" s="50" customFormat="1" ht="16.5" thickTop="1" thickBot="1" x14ac:dyDescent="0.3">
      <c r="A4" s="79" t="s">
        <v>1161</v>
      </c>
      <c r="B4" s="69">
        <f>COUNTIFS('RESUMEN TOTAL'!C5:C399,"=COSEIDI")</f>
        <v>183</v>
      </c>
      <c r="D4" s="67"/>
      <c r="E4" s="65" t="s">
        <v>1172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0.28301886792452829</v>
      </c>
      <c r="I4" s="82">
        <f t="shared" si="0"/>
        <v>0.25943396226415094</v>
      </c>
      <c r="J4" s="82">
        <f t="shared" si="0"/>
        <v>0.12735849056603774</v>
      </c>
      <c r="K4" s="82">
        <f t="shared" si="0"/>
        <v>0.13679245283018868</v>
      </c>
      <c r="L4" s="82">
        <f t="shared" si="0"/>
        <v>0</v>
      </c>
      <c r="M4" s="82">
        <f t="shared" si="0"/>
        <v>0</v>
      </c>
      <c r="N4" s="82">
        <f t="shared" si="0"/>
        <v>0</v>
      </c>
      <c r="O4" s="82">
        <f t="shared" si="0"/>
        <v>0</v>
      </c>
      <c r="P4" s="83">
        <f t="shared" si="0"/>
        <v>0</v>
      </c>
      <c r="Q4" s="83">
        <f t="shared" ref="Q4" si="1">Q3/BONOMOcam</f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6.5" thickTop="1" thickBot="1" x14ac:dyDescent="0.3">
      <c r="A5" s="70"/>
      <c r="B5" s="71"/>
      <c r="D5" s="66" t="s">
        <v>1161</v>
      </c>
      <c r="E5" s="77" t="s">
        <v>1171</v>
      </c>
      <c r="F5" s="78">
        <f>COUNTIFS('RESUMEN TOTAL'!C7:C399, "=COSEIDI",'RESUMEN TOTAL'!K7:K399,"=APAGADO")</f>
        <v>6</v>
      </c>
      <c r="G5" s="78">
        <f>COUNTIFS('RESUMEN TOTAL'!C7:C399, "=COSEIDI",'RESUMEN TOTAL'!L7:L399,"=APAGADO")</f>
        <v>3</v>
      </c>
      <c r="H5" s="78">
        <f>COUNTIFS('RESUMEN TOTAL'!C7:C399, "=COSEIDI",'RESUMEN TOTAL'!M7:M399,"=APAGADO")</f>
        <v>26</v>
      </c>
      <c r="I5" s="78">
        <f>COUNTIFS('RESUMEN TOTAL'!C7:C399, "=COSEIDI",'RESUMEN TOTAL'!N7:N399,"=APAGADO")</f>
        <v>33</v>
      </c>
      <c r="J5" s="78">
        <f>COUNTIFS('RESUMEN TOTAL'!C7:C399, "=COSEIDI",'RESUMEN TOTAL'!O7:O399,"=APAGADO")</f>
        <v>11</v>
      </c>
      <c r="K5" s="78">
        <f>COUNTIFS('RESUMEN TOTAL'!C7:C399, "=COSEIDI",'RESUMEN TOTAL'!P7:P399,"=APAGADO")</f>
        <v>3</v>
      </c>
      <c r="L5" s="78">
        <f>COUNTIFS('RESUMEN TOTAL'!C7:C399, "=COSEIDI",'RESUMEN TOTAL'!Q7:Q399,"=APAGADO")</f>
        <v>0</v>
      </c>
      <c r="M5" s="78">
        <f>COUNTIFS('RESUMEN TOTAL'!C7:C399, "=COSEIDI",'RESUMEN TOTAL'!R7:R399,"=APAGADO")</f>
        <v>0</v>
      </c>
      <c r="N5" s="78">
        <f>COUNTIFS('RESUMEN TOTAL'!C7:C399, "=COSEIDI",'RESUMEN TOTAL'!S7:S399,"=APAGADO")</f>
        <v>0</v>
      </c>
      <c r="O5" s="78">
        <f>COUNTIFS('RESUMEN TOTAL'!C7:C399, "=COSEIDI",'RESUMEN TOTAL'!T7:T399,"=APAGADO")</f>
        <v>0</v>
      </c>
      <c r="P5" s="78">
        <f>COUNTIFS('RESUMEN TOTAL'!C7:C399, "=COSEIDI",'RESUMEN TOTAL'!U7:U399,"=APAGADO")</f>
        <v>0</v>
      </c>
      <c r="Q5" s="78">
        <f>COUNTIFS('RESUMEN TOTAL'!C7:C399, "=COSEIDI",'RESUMEN TOTAL'!V7:V399,"=APAGADO")</f>
        <v>0</v>
      </c>
      <c r="R5" s="78">
        <f>COUNTIFS('RESUMEN TOTAL'!C7:C399, "=COSEIDI",'RESUMEN TOTAL'!W7:W399,"=APAGADO")</f>
        <v>0</v>
      </c>
      <c r="S5" s="78">
        <f>COUNTIFS('RESUMEN TOTAL'!C7:C399, "=COSEIDI",'RESUMEN TOTAL'!X7:X399,"=APAGADO")</f>
        <v>0</v>
      </c>
      <c r="T5" s="78">
        <f>COUNTIFS('RESUMEN TOTAL'!C7:C399, "=COSEIDI",'RESUMEN TOTAL'!Y7:Y399,"=APAGADO")</f>
        <v>0</v>
      </c>
      <c r="U5" s="78">
        <f>COUNTIFS('RESUMEN TOTAL'!C7:C399, "=COSEIDI",'RESUMEN TOTAL'!Z7:Z399,"=APAGADO")</f>
        <v>0</v>
      </c>
      <c r="V5" s="78">
        <f>COUNTIFS('RESUMEN TOTAL'!C7:C399, "=COSEIDI",'RESUMEN TOTAL'!AA7:AA399,"=APAGADO")</f>
        <v>0</v>
      </c>
      <c r="W5" s="78">
        <f>COUNTIFS('RESUMEN TOTAL'!C7:C399, "=COSEIDI",'RESUMEN TOTAL'!AB7:AB399,"=APAGADO")</f>
        <v>0</v>
      </c>
      <c r="X5" s="78">
        <f>COUNTIFS('RESUMEN TOTAL'!C7:C399, "=COSEIDI",'RESUMEN TOTAL'!AC7:AC399,"=APAGADO")</f>
        <v>0</v>
      </c>
      <c r="Y5" s="78">
        <f>COUNTIFS('RESUMEN TOTAL'!C7:C399, "=COSEIDI",'RESUMEN TOTAL'!AD7:AD399,"=APAGADO")</f>
        <v>0</v>
      </c>
      <c r="Z5" s="78">
        <f>COUNTIFS('RESUMEN TOTAL'!C7:C399, "=COSEIDI",'RESUMEN TOTAL'!AE7:AE399,"=APAGADO")</f>
        <v>0</v>
      </c>
      <c r="AA5" s="78">
        <f>COUNTIFS('RESUMEN TOTAL'!C7:C399, "=COSEIDI",'RESUMEN TOTAL'!AF7:AF399,"=APAGADO")</f>
        <v>0</v>
      </c>
      <c r="AB5" s="78">
        <f>COUNTIFS('RESUMEN TOTAL'!C7:C399, "=COSEIDI",'RESUMEN TOTAL'!AG7:AG399,"=APAGADO")</f>
        <v>0</v>
      </c>
      <c r="AC5" s="78">
        <f>COUNTIFS('RESUMEN TOTAL'!C7:C399, "=COSEIDI",'RESUMEN TOTAL'!AH7:AH399,"=APAGADO")</f>
        <v>0</v>
      </c>
      <c r="AD5" s="78">
        <f>COUNTIFS('RESUMEN TOTAL'!C7:C399, "=COSEIDI",'RESUMEN TOTAL'!AI7:AI399,"=APAGADO")</f>
        <v>0</v>
      </c>
      <c r="AE5" s="78">
        <f>COUNTIFS('RESUMEN TOTAL'!C7:C399, "=COSEIDI",'RESUMEN TOTAL'!AJ7:AJ399,"=APAGADO")</f>
        <v>0</v>
      </c>
      <c r="AF5" s="78">
        <f>COUNTIFS('RESUMEN TOTAL'!C7:C399, "=COSEIDI",'RESUMEN TOTAL'!AK7:AK399,"=APAGADO")</f>
        <v>0</v>
      </c>
      <c r="AG5" s="78">
        <f>COUNTIFS('RESUMEN TOTAL'!C7:C399, "=COSEIDI",'RESUMEN TOTAL'!AL7:AL399,"=APAGADO")</f>
        <v>0</v>
      </c>
      <c r="AH5" s="78">
        <f>COUNTIFS('RESUMEN TOTAL'!C7:C399, "=COSEIDI",'RESUMEN TOTAL'!AM7:AM399,"=APAGADO")</f>
        <v>0</v>
      </c>
      <c r="AI5" s="78">
        <f>COUNTIFS('RESUMEN TOTAL'!C7:C399, "=COSEIDI",'RESUMEN TOTAL'!AN7:AN399,"=APAGADO")</f>
        <v>0</v>
      </c>
      <c r="AJ5" s="78" t="e">
        <f>COUNTIFS('RESUMEN TOTAL'!C7:C399, "=COSEIDI",'RESUMEN TOTAL'!#REF!,"=APAGADO")</f>
        <v>#REF!</v>
      </c>
    </row>
    <row r="6" spans="1:36" ht="16.5" thickTop="1" thickBot="1" x14ac:dyDescent="0.3">
      <c r="D6" s="67"/>
      <c r="E6" s="65" t="s">
        <v>1173</v>
      </c>
      <c r="F6" s="82">
        <f t="shared" ref="F6:AJ6" si="2">F5/COSEIDIcam</f>
        <v>3.2786885245901641E-2</v>
      </c>
      <c r="G6" s="82">
        <f t="shared" si="2"/>
        <v>1.6393442622950821E-2</v>
      </c>
      <c r="H6" s="82">
        <f t="shared" si="2"/>
        <v>0.14207650273224043</v>
      </c>
      <c r="I6" s="82">
        <f t="shared" si="2"/>
        <v>0.18032786885245902</v>
      </c>
      <c r="J6" s="82">
        <f t="shared" si="2"/>
        <v>6.0109289617486336E-2</v>
      </c>
      <c r="K6" s="82">
        <f t="shared" si="2"/>
        <v>1.6393442622950821E-2</v>
      </c>
      <c r="L6" s="82">
        <f t="shared" si="2"/>
        <v>0</v>
      </c>
      <c r="M6" s="82">
        <f t="shared" si="2"/>
        <v>0</v>
      </c>
      <c r="N6" s="82">
        <f t="shared" si="2"/>
        <v>0</v>
      </c>
      <c r="O6" s="82">
        <f t="shared" si="2"/>
        <v>0</v>
      </c>
      <c r="P6" s="82">
        <f t="shared" si="2"/>
        <v>0</v>
      </c>
      <c r="Q6" s="82">
        <f t="shared" ref="Q6" si="3">Q5/COSEIDIcam</f>
        <v>0</v>
      </c>
      <c r="R6" s="82">
        <f t="shared" si="2"/>
        <v>0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2022-09-06T10:32:22Z</dcterms:modified>
</cp:coreProperties>
</file>