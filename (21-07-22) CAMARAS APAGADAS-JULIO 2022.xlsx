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24206251-ACC1-40D1-8152-C2EA607992F3}" xr6:coauthVersionLast="47" xr6:coauthVersionMax="47" xr10:uidLastSave="{00000000-0000-0000-0000-000000000000}"/>
  <bookViews>
    <workbookView xWindow="-108" yWindow="-108" windowWidth="23256" windowHeight="13176" firstSheet="4" activeTab="1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F22" i="14"/>
  <c r="D22" i="14"/>
  <c r="C22" i="14"/>
  <c r="A375" i="8"/>
  <c r="B375" i="8"/>
  <c r="C375" i="8"/>
  <c r="C377" i="10" s="1"/>
  <c r="D375" i="8"/>
  <c r="E375" i="8"/>
  <c r="F375" i="8"/>
  <c r="F377" i="21" s="1"/>
  <c r="G375" i="8"/>
  <c r="G377" i="10" s="1"/>
  <c r="H375" i="8"/>
  <c r="I375" i="8"/>
  <c r="J375" i="8"/>
  <c r="K375" i="8"/>
  <c r="L375" i="8"/>
  <c r="M375" i="8"/>
  <c r="N375" i="8"/>
  <c r="N377" i="21" s="1"/>
  <c r="O375" i="8"/>
  <c r="P375" i="8"/>
  <c r="Q375" i="8"/>
  <c r="R375" i="8"/>
  <c r="S375" i="8"/>
  <c r="A376" i="8"/>
  <c r="B376" i="8"/>
  <c r="C376" i="8"/>
  <c r="C378" i="10" s="1"/>
  <c r="D376" i="8"/>
  <c r="D378" i="21" s="1"/>
  <c r="E376" i="8"/>
  <c r="E378" i="21" s="1"/>
  <c r="F376" i="8"/>
  <c r="G376" i="8"/>
  <c r="H376" i="8"/>
  <c r="H378" i="10" s="1"/>
  <c r="I376" i="8"/>
  <c r="J376" i="8"/>
  <c r="K376" i="8"/>
  <c r="K378" i="21" s="1"/>
  <c r="L376" i="8"/>
  <c r="M376" i="8"/>
  <c r="M378" i="21" s="1"/>
  <c r="N376" i="8"/>
  <c r="O376" i="8"/>
  <c r="P376" i="8"/>
  <c r="Q376" i="8"/>
  <c r="R376" i="8"/>
  <c r="S376" i="8"/>
  <c r="A377" i="8"/>
  <c r="A379" i="11" s="1"/>
  <c r="B377" i="8"/>
  <c r="C377" i="8"/>
  <c r="D377" i="8"/>
  <c r="E377" i="8"/>
  <c r="F377" i="8"/>
  <c r="G377" i="8"/>
  <c r="H377" i="8"/>
  <c r="H379" i="21" s="1"/>
  <c r="I377" i="8"/>
  <c r="I379" i="11" s="1"/>
  <c r="J377" i="8"/>
  <c r="K377" i="8"/>
  <c r="L377" i="8"/>
  <c r="M377" i="8"/>
  <c r="M379" i="10" s="1"/>
  <c r="N377" i="8"/>
  <c r="O377" i="8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D378" i="8"/>
  <c r="E378" i="8"/>
  <c r="E380" i="10" s="1"/>
  <c r="F378" i="8"/>
  <c r="F380" i="11" s="1"/>
  <c r="G378" i="8"/>
  <c r="H378" i="8"/>
  <c r="I378" i="8"/>
  <c r="I380" i="21" s="1"/>
  <c r="J378" i="8"/>
  <c r="K378" i="8"/>
  <c r="L378" i="8"/>
  <c r="M378" i="8"/>
  <c r="M380" i="10" s="1"/>
  <c r="N378" i="8"/>
  <c r="N380" i="11" s="1"/>
  <c r="O378" i="8"/>
  <c r="P378" i="8"/>
  <c r="Q378" i="8"/>
  <c r="Q380" i="21" s="1"/>
  <c r="R378" i="8"/>
  <c r="R380" i="10" s="1"/>
  <c r="S378" i="8"/>
  <c r="A379" i="8"/>
  <c r="B379" i="8"/>
  <c r="B381" i="11" s="1"/>
  <c r="C379" i="8"/>
  <c r="D379" i="8"/>
  <c r="D381" i="11" s="1"/>
  <c r="E379" i="8"/>
  <c r="F379" i="8"/>
  <c r="G379" i="8"/>
  <c r="G381" i="10" s="1"/>
  <c r="H379" i="8"/>
  <c r="I379" i="8"/>
  <c r="J379" i="8"/>
  <c r="J380" i="9" s="1"/>
  <c r="K379" i="8"/>
  <c r="L379" i="8"/>
  <c r="L381" i="11" s="1"/>
  <c r="M379" i="8"/>
  <c r="N379" i="8"/>
  <c r="O379" i="8"/>
  <c r="P379" i="8"/>
  <c r="Q379" i="8"/>
  <c r="R379" i="8"/>
  <c r="R381" i="10" s="1"/>
  <c r="S379" i="8"/>
  <c r="A380" i="8"/>
  <c r="B380" i="8"/>
  <c r="C380" i="8"/>
  <c r="C382" i="10" s="1"/>
  <c r="D380" i="8"/>
  <c r="D382" i="21" s="1"/>
  <c r="E380" i="8"/>
  <c r="F380" i="8"/>
  <c r="G380" i="8"/>
  <c r="G381" i="9" s="1"/>
  <c r="H380" i="8"/>
  <c r="H382" i="10" s="1"/>
  <c r="I380" i="8"/>
  <c r="J380" i="8"/>
  <c r="K380" i="8"/>
  <c r="K382" i="10" s="1"/>
  <c r="L380" i="8"/>
  <c r="L382" i="10" s="1"/>
  <c r="M380" i="8"/>
  <c r="N380" i="8"/>
  <c r="O380" i="8"/>
  <c r="O381" i="9" s="1"/>
  <c r="P380" i="8"/>
  <c r="P382" i="10" s="1"/>
  <c r="Q380" i="8"/>
  <c r="R380" i="8"/>
  <c r="S380" i="8"/>
  <c r="A381" i="8"/>
  <c r="A383" i="21" s="1"/>
  <c r="B381" i="8"/>
  <c r="C381" i="8"/>
  <c r="D381" i="8"/>
  <c r="D383" i="21" s="1"/>
  <c r="E381" i="8"/>
  <c r="E383" i="21" s="1"/>
  <c r="F381" i="8"/>
  <c r="G381" i="8"/>
  <c r="H381" i="8"/>
  <c r="H383" i="21" s="1"/>
  <c r="I381" i="8"/>
  <c r="I382" i="9" s="1"/>
  <c r="J381" i="8"/>
  <c r="K381" i="8"/>
  <c r="L381" i="8"/>
  <c r="L383" i="21" s="1"/>
  <c r="M381" i="8"/>
  <c r="M383" i="21" s="1"/>
  <c r="N381" i="8"/>
  <c r="O381" i="8"/>
  <c r="P381" i="8"/>
  <c r="P383" i="21" s="1"/>
  <c r="Q381" i="8"/>
  <c r="Q383" i="21" s="1"/>
  <c r="R381" i="8"/>
  <c r="S381" i="8"/>
  <c r="A382" i="8"/>
  <c r="A384" i="10" s="1"/>
  <c r="B382" i="8"/>
  <c r="B384" i="21" s="1"/>
  <c r="C382" i="8"/>
  <c r="D382" i="8"/>
  <c r="E382" i="8"/>
  <c r="F382" i="8"/>
  <c r="F384" i="21" s="1"/>
  <c r="G382" i="8"/>
  <c r="H382" i="8"/>
  <c r="I382" i="8"/>
  <c r="I384" i="11" s="1"/>
  <c r="J382" i="8"/>
  <c r="J384" i="21" s="1"/>
  <c r="K382" i="8"/>
  <c r="L382" i="8"/>
  <c r="M382" i="8"/>
  <c r="N382" i="8"/>
  <c r="N384" i="10" s="1"/>
  <c r="O382" i="8"/>
  <c r="P382" i="8"/>
  <c r="Q382" i="8"/>
  <c r="Q384" i="10" s="1"/>
  <c r="R382" i="8"/>
  <c r="S382" i="8"/>
  <c r="S384" i="11" s="1"/>
  <c r="A383" i="8"/>
  <c r="B383" i="8"/>
  <c r="B384" i="9" s="1"/>
  <c r="C383" i="8"/>
  <c r="C385" i="10" s="1"/>
  <c r="D383" i="8"/>
  <c r="E383" i="8"/>
  <c r="F383" i="8"/>
  <c r="F385" i="10" s="1"/>
  <c r="G383" i="8"/>
  <c r="G385" i="10" s="1"/>
  <c r="H383" i="8"/>
  <c r="I383" i="8"/>
  <c r="J383" i="8"/>
  <c r="J384" i="9" s="1"/>
  <c r="K383" i="8"/>
  <c r="L383" i="8"/>
  <c r="M383" i="8"/>
  <c r="N383" i="8"/>
  <c r="N385" i="21" s="1"/>
  <c r="O383" i="8"/>
  <c r="O385" i="11" s="1"/>
  <c r="P383" i="8"/>
  <c r="Q383" i="8"/>
  <c r="R383" i="8"/>
  <c r="R384" i="9" s="1"/>
  <c r="S383" i="8"/>
  <c r="A384" i="8"/>
  <c r="B384" i="8"/>
  <c r="C384" i="8"/>
  <c r="C385" i="9" s="1"/>
  <c r="D384" i="8"/>
  <c r="D386" i="21" s="1"/>
  <c r="E384" i="8"/>
  <c r="F384" i="8"/>
  <c r="G384" i="8"/>
  <c r="H384" i="8"/>
  <c r="H386" i="10" s="1"/>
  <c r="I384" i="8"/>
  <c r="J384" i="8"/>
  <c r="K384" i="8"/>
  <c r="K386" i="11" s="1"/>
  <c r="L384" i="8"/>
  <c r="M384" i="8"/>
  <c r="N384" i="8"/>
  <c r="O384" i="8"/>
  <c r="O385" i="9" s="1"/>
  <c r="P384" i="8"/>
  <c r="P385" i="9" s="1"/>
  <c r="Q384" i="8"/>
  <c r="R384" i="8"/>
  <c r="S384" i="8"/>
  <c r="A385" i="8"/>
  <c r="A387" i="21" s="1"/>
  <c r="B385" i="8"/>
  <c r="C385" i="8"/>
  <c r="D385" i="8"/>
  <c r="E385" i="8"/>
  <c r="E386" i="9" s="1"/>
  <c r="F385" i="8"/>
  <c r="G385" i="8"/>
  <c r="H385" i="8"/>
  <c r="H387" i="10" s="1"/>
  <c r="I385" i="8"/>
  <c r="J385" i="8"/>
  <c r="K385" i="8"/>
  <c r="L385" i="8"/>
  <c r="M385" i="8"/>
  <c r="M387" i="21" s="1"/>
  <c r="N385" i="8"/>
  <c r="O385" i="8"/>
  <c r="P385" i="8"/>
  <c r="P387" i="11" s="1"/>
  <c r="Q385" i="8"/>
  <c r="Q387" i="21" s="1"/>
  <c r="R385" i="8"/>
  <c r="S385" i="8"/>
  <c r="A386" i="8"/>
  <c r="A388" i="10" s="1"/>
  <c r="B386" i="8"/>
  <c r="B388" i="10" s="1"/>
  <c r="C386" i="8"/>
  <c r="D386" i="8"/>
  <c r="E386" i="8"/>
  <c r="E387" i="9" s="1"/>
  <c r="F386" i="8"/>
  <c r="F388" i="21" s="1"/>
  <c r="G386" i="8"/>
  <c r="H386" i="8"/>
  <c r="I386" i="8"/>
  <c r="I388" i="10" s="1"/>
  <c r="J386" i="8"/>
  <c r="J388" i="10" s="1"/>
  <c r="K386" i="8"/>
  <c r="L386" i="8"/>
  <c r="M386" i="8"/>
  <c r="M388" i="11" s="1"/>
  <c r="N386" i="8"/>
  <c r="N388" i="21" s="1"/>
  <c r="O386" i="8"/>
  <c r="P386" i="8"/>
  <c r="Q386" i="8"/>
  <c r="Q388" i="10" s="1"/>
  <c r="R386" i="8"/>
  <c r="R388" i="10" s="1"/>
  <c r="S386" i="8"/>
  <c r="A387" i="8"/>
  <c r="B387" i="8"/>
  <c r="B389" i="21" s="1"/>
  <c r="C387" i="8"/>
  <c r="D387" i="8"/>
  <c r="E387" i="8"/>
  <c r="F387" i="8"/>
  <c r="G387" i="8"/>
  <c r="G389" i="21" s="1"/>
  <c r="H387" i="8"/>
  <c r="I387" i="8"/>
  <c r="J387" i="8"/>
  <c r="J389" i="21" s="1"/>
  <c r="K387" i="8"/>
  <c r="L387" i="8"/>
  <c r="L389" i="10" s="1"/>
  <c r="M387" i="8"/>
  <c r="N387" i="8"/>
  <c r="N389" i="21" s="1"/>
  <c r="O387" i="8"/>
  <c r="P387" i="8"/>
  <c r="Q387" i="8"/>
  <c r="R387" i="8"/>
  <c r="R389" i="10" s="1"/>
  <c r="S387" i="8"/>
  <c r="A388" i="8"/>
  <c r="B388" i="8"/>
  <c r="C388" i="8"/>
  <c r="C389" i="9" s="1"/>
  <c r="D388" i="8"/>
  <c r="E388" i="8"/>
  <c r="F388" i="8"/>
  <c r="G388" i="8"/>
  <c r="G390" i="10" s="1"/>
  <c r="H388" i="8"/>
  <c r="I388" i="8"/>
  <c r="J388" i="8"/>
  <c r="K388" i="8"/>
  <c r="K389" i="9" s="1"/>
  <c r="L388" i="8"/>
  <c r="L390" i="10" s="1"/>
  <c r="M388" i="8"/>
  <c r="N388" i="8"/>
  <c r="O388" i="8"/>
  <c r="O390" i="11" s="1"/>
  <c r="P388" i="8"/>
  <c r="P389" i="9" s="1"/>
  <c r="Q388" i="8"/>
  <c r="R388" i="8"/>
  <c r="S388" i="8"/>
  <c r="S390" i="11" s="1"/>
  <c r="A389" i="8"/>
  <c r="A391" i="10" s="1"/>
  <c r="B389" i="8"/>
  <c r="C389" i="8"/>
  <c r="D389" i="8"/>
  <c r="D391" i="10" s="1"/>
  <c r="E389" i="8"/>
  <c r="F389" i="8"/>
  <c r="G389" i="8"/>
  <c r="H389" i="8"/>
  <c r="H391" i="11" s="1"/>
  <c r="I389" i="8"/>
  <c r="I390" i="9" s="1"/>
  <c r="J389" i="8"/>
  <c r="K389" i="8"/>
  <c r="L389" i="8"/>
  <c r="L391" i="10" s="1"/>
  <c r="M389" i="8"/>
  <c r="M390" i="9" s="1"/>
  <c r="N389" i="8"/>
  <c r="O389" i="8"/>
  <c r="P389" i="8"/>
  <c r="P391" i="11" s="1"/>
  <c r="Q389" i="8"/>
  <c r="Q391" i="10" s="1"/>
  <c r="R389" i="8"/>
  <c r="S389" i="8"/>
  <c r="A390" i="8"/>
  <c r="A392" i="11" s="1"/>
  <c r="B390" i="8"/>
  <c r="C390" i="8"/>
  <c r="C391" i="9" s="1"/>
  <c r="D390" i="8"/>
  <c r="E390" i="8"/>
  <c r="E392" i="21" s="1"/>
  <c r="F390" i="8"/>
  <c r="F392" i="21" s="1"/>
  <c r="G390" i="8"/>
  <c r="H390" i="8"/>
  <c r="I390" i="8"/>
  <c r="I392" i="10" s="1"/>
  <c r="J390" i="8"/>
  <c r="K390" i="8"/>
  <c r="L390" i="8"/>
  <c r="M390" i="8"/>
  <c r="M392" i="21" s="1"/>
  <c r="N390" i="8"/>
  <c r="N392" i="10" s="1"/>
  <c r="O390" i="8"/>
  <c r="P390" i="8"/>
  <c r="Q390" i="8"/>
  <c r="Q391" i="9" s="1"/>
  <c r="R390" i="8"/>
  <c r="S390" i="8"/>
  <c r="S392" i="11" s="1"/>
  <c r="A391" i="8"/>
  <c r="B391" i="8"/>
  <c r="B393" i="21" s="1"/>
  <c r="C391" i="8"/>
  <c r="C392" i="9" s="1"/>
  <c r="D391" i="8"/>
  <c r="E391" i="8"/>
  <c r="F391" i="8"/>
  <c r="F393" i="21" s="1"/>
  <c r="G391" i="8"/>
  <c r="G393" i="11" s="1"/>
  <c r="H391" i="8"/>
  <c r="I391" i="8"/>
  <c r="J391" i="8"/>
  <c r="J393" i="10" s="1"/>
  <c r="K391" i="8"/>
  <c r="L391" i="8"/>
  <c r="M391" i="8"/>
  <c r="N391" i="8"/>
  <c r="N393" i="21" s="1"/>
  <c r="O391" i="8"/>
  <c r="O393" i="11" s="1"/>
  <c r="P391" i="8"/>
  <c r="Q391" i="8"/>
  <c r="R391" i="8"/>
  <c r="R393" i="10" s="1"/>
  <c r="S391" i="8"/>
  <c r="A392" i="8"/>
  <c r="B392" i="8"/>
  <c r="C392" i="8"/>
  <c r="C393" i="9" s="1"/>
  <c r="D392" i="8"/>
  <c r="D394" i="11" s="1"/>
  <c r="E392" i="8"/>
  <c r="E393" i="9" s="1"/>
  <c r="F392" i="8"/>
  <c r="G392" i="8"/>
  <c r="G393" i="9" s="1"/>
  <c r="H392" i="8"/>
  <c r="H394" i="10" s="1"/>
  <c r="I392" i="8"/>
  <c r="J392" i="8"/>
  <c r="K392" i="8"/>
  <c r="K394" i="11" s="1"/>
  <c r="L392" i="8"/>
  <c r="M392" i="8"/>
  <c r="M393" i="9" s="1"/>
  <c r="N392" i="8"/>
  <c r="O392" i="8"/>
  <c r="O393" i="9" s="1"/>
  <c r="P392" i="8"/>
  <c r="P393" i="9" s="1"/>
  <c r="Q392" i="8"/>
  <c r="R392" i="8"/>
  <c r="S392" i="8"/>
  <c r="A393" i="8"/>
  <c r="A395" i="11" s="1"/>
  <c r="B393" i="8"/>
  <c r="C393" i="8"/>
  <c r="D393" i="8"/>
  <c r="E393" i="8"/>
  <c r="E394" i="9" s="1"/>
  <c r="F393" i="8"/>
  <c r="G393" i="8"/>
  <c r="H393" i="8"/>
  <c r="H395" i="11" s="1"/>
  <c r="I393" i="8"/>
  <c r="I395" i="11" s="1"/>
  <c r="J393" i="8"/>
  <c r="K393" i="8"/>
  <c r="L393" i="8"/>
  <c r="L395" i="21" s="1"/>
  <c r="M393" i="8"/>
  <c r="M395" i="10" s="1"/>
  <c r="N393" i="8"/>
  <c r="O393" i="8"/>
  <c r="P393" i="8"/>
  <c r="P395" i="21" s="1"/>
  <c r="Q393" i="8"/>
  <c r="Q395" i="10" s="1"/>
  <c r="R393" i="8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77" i="10"/>
  <c r="D377" i="10"/>
  <c r="E377" i="10"/>
  <c r="I377" i="10"/>
  <c r="K377" i="10"/>
  <c r="L377" i="10"/>
  <c r="M377" i="10"/>
  <c r="N377" i="10"/>
  <c r="O377" i="10"/>
  <c r="Q377" i="10"/>
  <c r="A378" i="10"/>
  <c r="B378" i="10"/>
  <c r="F378" i="10"/>
  <c r="I378" i="10"/>
  <c r="J378" i="10"/>
  <c r="N378" i="10"/>
  <c r="P378" i="10"/>
  <c r="Q378" i="10"/>
  <c r="R378" i="10"/>
  <c r="C379" i="10"/>
  <c r="E379" i="10"/>
  <c r="F379" i="10"/>
  <c r="G379" i="10"/>
  <c r="K379" i="10"/>
  <c r="N379" i="10"/>
  <c r="O379" i="10"/>
  <c r="C380" i="10"/>
  <c r="D380" i="10"/>
  <c r="H380" i="10"/>
  <c r="J380" i="10"/>
  <c r="K380" i="10"/>
  <c r="L380" i="10"/>
  <c r="N380" i="10"/>
  <c r="P380" i="10"/>
  <c r="A381" i="10"/>
  <c r="B381" i="10"/>
  <c r="D381" i="10"/>
  <c r="E381" i="10"/>
  <c r="H381" i="10"/>
  <c r="I381" i="10"/>
  <c r="M381" i="10"/>
  <c r="O381" i="10"/>
  <c r="P381" i="10"/>
  <c r="Q381" i="10"/>
  <c r="B382" i="10"/>
  <c r="D382" i="10"/>
  <c r="E382" i="10"/>
  <c r="F382" i="10"/>
  <c r="G382" i="10"/>
  <c r="J382" i="10"/>
  <c r="M382" i="10"/>
  <c r="N382" i="10"/>
  <c r="R382" i="10"/>
  <c r="B383" i="10"/>
  <c r="C383" i="10"/>
  <c r="G383" i="10"/>
  <c r="I383" i="10"/>
  <c r="J383" i="10"/>
  <c r="K383" i="10"/>
  <c r="O383" i="10"/>
  <c r="Q383" i="10"/>
  <c r="R383" i="10"/>
  <c r="D384" i="10"/>
  <c r="F384" i="10"/>
  <c r="G384" i="10"/>
  <c r="H384" i="10"/>
  <c r="I384" i="10"/>
  <c r="L384" i="10"/>
  <c r="O384" i="10"/>
  <c r="P384" i="10"/>
  <c r="A385" i="10"/>
  <c r="D385" i="10"/>
  <c r="E385" i="10"/>
  <c r="I385" i="10"/>
  <c r="K385" i="10"/>
  <c r="L385" i="10"/>
  <c r="M385" i="10"/>
  <c r="N385" i="10"/>
  <c r="Q385" i="10"/>
  <c r="A386" i="10"/>
  <c r="B386" i="10"/>
  <c r="F386" i="10"/>
  <c r="I386" i="10"/>
  <c r="J386" i="10"/>
  <c r="M386" i="10"/>
  <c r="N386" i="10"/>
  <c r="P386" i="10"/>
  <c r="Q386" i="10"/>
  <c r="R386" i="10"/>
  <c r="C387" i="10"/>
  <c r="E387" i="10"/>
  <c r="F387" i="10"/>
  <c r="G387" i="10"/>
  <c r="K387" i="10"/>
  <c r="M387" i="10"/>
  <c r="N387" i="10"/>
  <c r="O387" i="10"/>
  <c r="P387" i="10"/>
  <c r="Q387" i="10"/>
  <c r="C388" i="10"/>
  <c r="D388" i="10"/>
  <c r="G388" i="10"/>
  <c r="H388" i="10"/>
  <c r="K388" i="10"/>
  <c r="L388" i="10"/>
  <c r="O388" i="10"/>
  <c r="P388" i="10"/>
  <c r="A389" i="10"/>
  <c r="E389" i="10"/>
  <c r="H389" i="10"/>
  <c r="I389" i="10"/>
  <c r="M389" i="10"/>
  <c r="O389" i="10"/>
  <c r="P389" i="10"/>
  <c r="Q389" i="10"/>
  <c r="B390" i="10"/>
  <c r="D390" i="10"/>
  <c r="E390" i="10"/>
  <c r="F390" i="10"/>
  <c r="J390" i="10"/>
  <c r="M390" i="10"/>
  <c r="N390" i="10"/>
  <c r="R390" i="10"/>
  <c r="B391" i="10"/>
  <c r="C391" i="10"/>
  <c r="G391" i="10"/>
  <c r="I391" i="10"/>
  <c r="J391" i="10"/>
  <c r="K391" i="10"/>
  <c r="O391" i="10"/>
  <c r="P391" i="10"/>
  <c r="R391" i="10"/>
  <c r="A392" i="10"/>
  <c r="D392" i="10"/>
  <c r="G392" i="10"/>
  <c r="H392" i="10"/>
  <c r="L392" i="10"/>
  <c r="O392" i="10"/>
  <c r="P392" i="10"/>
  <c r="A393" i="10"/>
  <c r="C393" i="10"/>
  <c r="D393" i="10"/>
  <c r="E393" i="10"/>
  <c r="I393" i="10"/>
  <c r="K393" i="10"/>
  <c r="L393" i="10"/>
  <c r="M393" i="10"/>
  <c r="Q393" i="10"/>
  <c r="A394" i="10"/>
  <c r="B394" i="10"/>
  <c r="C394" i="10"/>
  <c r="E394" i="10"/>
  <c r="F394" i="10"/>
  <c r="I394" i="10"/>
  <c r="J394" i="10"/>
  <c r="N394" i="10"/>
  <c r="P394" i="10"/>
  <c r="Q394" i="10"/>
  <c r="R394" i="10"/>
  <c r="C395" i="10"/>
  <c r="E395" i="10"/>
  <c r="F395" i="10"/>
  <c r="G395" i="10"/>
  <c r="I395" i="10"/>
  <c r="K395" i="10"/>
  <c r="N395" i="10"/>
  <c r="O395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380" i="9"/>
  <c r="E380" i="9"/>
  <c r="G380" i="9"/>
  <c r="H380" i="9"/>
  <c r="I380" i="9"/>
  <c r="M380" i="9"/>
  <c r="O380" i="9"/>
  <c r="P380" i="9"/>
  <c r="Q380" i="9"/>
  <c r="R380" i="9"/>
  <c r="B381" i="9"/>
  <c r="E381" i="9"/>
  <c r="F381" i="9"/>
  <c r="J381" i="9"/>
  <c r="L381" i="9"/>
  <c r="M381" i="9"/>
  <c r="N381" i="9"/>
  <c r="P381" i="9"/>
  <c r="R381" i="9"/>
  <c r="B382" i="9"/>
  <c r="C382" i="9"/>
  <c r="G382" i="9"/>
  <c r="J382" i="9"/>
  <c r="K382" i="9"/>
  <c r="O382" i="9"/>
  <c r="Q382" i="9"/>
  <c r="R382" i="9"/>
  <c r="D383" i="9"/>
  <c r="F383" i="9"/>
  <c r="G383" i="9"/>
  <c r="H383" i="9"/>
  <c r="K383" i="9"/>
  <c r="L383" i="9"/>
  <c r="O383" i="9"/>
  <c r="P383" i="9"/>
  <c r="A384" i="9"/>
  <c r="D384" i="9"/>
  <c r="E384" i="9"/>
  <c r="I384" i="9"/>
  <c r="K384" i="9"/>
  <c r="L384" i="9"/>
  <c r="M384" i="9"/>
  <c r="Q384" i="9"/>
  <c r="A385" i="9"/>
  <c r="B385" i="9"/>
  <c r="F385" i="9"/>
  <c r="G385" i="9"/>
  <c r="I385" i="9"/>
  <c r="J385" i="9"/>
  <c r="N385" i="9"/>
  <c r="Q385" i="9"/>
  <c r="R385" i="9"/>
  <c r="C386" i="9"/>
  <c r="F386" i="9"/>
  <c r="G386" i="9"/>
  <c r="K386" i="9"/>
  <c r="M386" i="9"/>
  <c r="N386" i="9"/>
  <c r="O386" i="9"/>
  <c r="B387" i="9"/>
  <c r="C387" i="9"/>
  <c r="D387" i="9"/>
  <c r="H387" i="9"/>
  <c r="K387" i="9"/>
  <c r="L387" i="9"/>
  <c r="P387" i="9"/>
  <c r="A388" i="9"/>
  <c r="E388" i="9"/>
  <c r="H388" i="9"/>
  <c r="I388" i="9"/>
  <c r="M388" i="9"/>
  <c r="O388" i="9"/>
  <c r="P388" i="9"/>
  <c r="Q388" i="9"/>
  <c r="B389" i="9"/>
  <c r="D389" i="9"/>
  <c r="E389" i="9"/>
  <c r="F389" i="9"/>
  <c r="J389" i="9"/>
  <c r="M389" i="9"/>
  <c r="N389" i="9"/>
  <c r="R389" i="9"/>
  <c r="A390" i="9"/>
  <c r="B390" i="9"/>
  <c r="C390" i="9"/>
  <c r="E390" i="9"/>
  <c r="G390" i="9"/>
  <c r="J390" i="9"/>
  <c r="K390" i="9"/>
  <c r="O390" i="9"/>
  <c r="Q390" i="9"/>
  <c r="R390" i="9"/>
  <c r="D391" i="9"/>
  <c r="F391" i="9"/>
  <c r="G391" i="9"/>
  <c r="H391" i="9"/>
  <c r="L391" i="9"/>
  <c r="N391" i="9"/>
  <c r="O391" i="9"/>
  <c r="P391" i="9"/>
  <c r="A392" i="9"/>
  <c r="D392" i="9"/>
  <c r="E392" i="9"/>
  <c r="I392" i="9"/>
  <c r="K392" i="9"/>
  <c r="L392" i="9"/>
  <c r="M392" i="9"/>
  <c r="Q392" i="9"/>
  <c r="R392" i="9"/>
  <c r="A393" i="9"/>
  <c r="B393" i="9"/>
  <c r="F393" i="9"/>
  <c r="I393" i="9"/>
  <c r="J393" i="9"/>
  <c r="N393" i="9"/>
  <c r="Q393" i="9"/>
  <c r="R393" i="9"/>
  <c r="C394" i="9"/>
  <c r="F394" i="9"/>
  <c r="G394" i="9"/>
  <c r="K394" i="9"/>
  <c r="M394" i="9"/>
  <c r="N394" i="9"/>
  <c r="O394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377" i="21"/>
  <c r="C377" i="21"/>
  <c r="D377" i="21"/>
  <c r="E377" i="21"/>
  <c r="I377" i="21"/>
  <c r="K377" i="21"/>
  <c r="L377" i="21"/>
  <c r="M377" i="21"/>
  <c r="O377" i="21"/>
  <c r="Q377" i="21"/>
  <c r="A378" i="21"/>
  <c r="B378" i="21"/>
  <c r="F378" i="21"/>
  <c r="H378" i="21"/>
  <c r="I378" i="21"/>
  <c r="J378" i="21"/>
  <c r="L378" i="21"/>
  <c r="N378" i="21"/>
  <c r="P378" i="21"/>
  <c r="Q378" i="21"/>
  <c r="R378" i="21"/>
  <c r="C379" i="21"/>
  <c r="E379" i="21"/>
  <c r="F379" i="21"/>
  <c r="G379" i="21"/>
  <c r="I379" i="21"/>
  <c r="K379" i="21"/>
  <c r="N379" i="21"/>
  <c r="O379" i="21"/>
  <c r="B380" i="21"/>
  <c r="C380" i="21"/>
  <c r="D380" i="21"/>
  <c r="F380" i="21"/>
  <c r="H380" i="21"/>
  <c r="J380" i="21"/>
  <c r="K380" i="21"/>
  <c r="L380" i="21"/>
  <c r="P380" i="21"/>
  <c r="R380" i="21"/>
  <c r="A381" i="21"/>
  <c r="E381" i="21"/>
  <c r="G381" i="21"/>
  <c r="H381" i="21"/>
  <c r="I381" i="21"/>
  <c r="M381" i="21"/>
  <c r="O381" i="21"/>
  <c r="P381" i="21"/>
  <c r="Q381" i="21"/>
  <c r="B382" i="21"/>
  <c r="E382" i="21"/>
  <c r="F382" i="21"/>
  <c r="J382" i="21"/>
  <c r="L382" i="21"/>
  <c r="M382" i="21"/>
  <c r="N382" i="21"/>
  <c r="P382" i="21"/>
  <c r="R382" i="21"/>
  <c r="B383" i="21"/>
  <c r="C383" i="21"/>
  <c r="G383" i="21"/>
  <c r="I383" i="21"/>
  <c r="J383" i="21"/>
  <c r="K383" i="21"/>
  <c r="O383" i="21"/>
  <c r="R383" i="21"/>
  <c r="D384" i="21"/>
  <c r="G384" i="21"/>
  <c r="H384" i="21"/>
  <c r="L384" i="21"/>
  <c r="N384" i="21"/>
  <c r="O384" i="21"/>
  <c r="P384" i="21"/>
  <c r="Q384" i="21"/>
  <c r="R384" i="21"/>
  <c r="A385" i="21"/>
  <c r="C385" i="21"/>
  <c r="D385" i="21"/>
  <c r="E385" i="21"/>
  <c r="F385" i="21"/>
  <c r="I385" i="21"/>
  <c r="K385" i="21"/>
  <c r="L385" i="21"/>
  <c r="M385" i="21"/>
  <c r="Q385" i="21"/>
  <c r="A386" i="21"/>
  <c r="B386" i="21"/>
  <c r="F386" i="21"/>
  <c r="H386" i="21"/>
  <c r="I386" i="21"/>
  <c r="J386" i="21"/>
  <c r="L386" i="21"/>
  <c r="N386" i="21"/>
  <c r="P386" i="21"/>
  <c r="Q386" i="21"/>
  <c r="R386" i="21"/>
  <c r="C387" i="21"/>
  <c r="E387" i="21"/>
  <c r="F387" i="21"/>
  <c r="G387" i="21"/>
  <c r="I387" i="21"/>
  <c r="K387" i="21"/>
  <c r="N387" i="21"/>
  <c r="O387" i="21"/>
  <c r="B388" i="21"/>
  <c r="C388" i="21"/>
  <c r="D388" i="21"/>
  <c r="E388" i="21"/>
  <c r="H388" i="21"/>
  <c r="J388" i="21"/>
  <c r="K388" i="21"/>
  <c r="L388" i="21"/>
  <c r="P388" i="21"/>
  <c r="X388" i="21"/>
  <c r="Y388" i="21"/>
  <c r="A389" i="21"/>
  <c r="E389" i="21"/>
  <c r="F389" i="21"/>
  <c r="H389" i="21"/>
  <c r="I389" i="21"/>
  <c r="M389" i="21"/>
  <c r="O389" i="21"/>
  <c r="P389" i="21"/>
  <c r="Q389" i="21"/>
  <c r="Z389" i="21"/>
  <c r="B390" i="21"/>
  <c r="D390" i="21"/>
  <c r="E390" i="21"/>
  <c r="F390" i="21"/>
  <c r="J390" i="21"/>
  <c r="M390" i="21"/>
  <c r="N390" i="21"/>
  <c r="R390" i="21"/>
  <c r="V390" i="21"/>
  <c r="B391" i="21"/>
  <c r="C391" i="21"/>
  <c r="G391" i="21"/>
  <c r="I391" i="21"/>
  <c r="J391" i="21"/>
  <c r="K391" i="21"/>
  <c r="O391" i="21"/>
  <c r="P391" i="21"/>
  <c r="Q391" i="21"/>
  <c r="R391" i="21"/>
  <c r="D392" i="21"/>
  <c r="G392" i="21"/>
  <c r="H392" i="21"/>
  <c r="L392" i="21"/>
  <c r="N392" i="21"/>
  <c r="O392" i="21"/>
  <c r="P392" i="21"/>
  <c r="AG392" i="21"/>
  <c r="A393" i="21"/>
  <c r="C393" i="21"/>
  <c r="D393" i="21"/>
  <c r="E393" i="21"/>
  <c r="I393" i="21"/>
  <c r="K393" i="21"/>
  <c r="L393" i="21"/>
  <c r="M393" i="21"/>
  <c r="Q393" i="21"/>
  <c r="A394" i="21"/>
  <c r="B394" i="21"/>
  <c r="F394" i="21"/>
  <c r="I394" i="21"/>
  <c r="J394" i="21"/>
  <c r="N394" i="21"/>
  <c r="P394" i="21"/>
  <c r="Q394" i="21"/>
  <c r="R394" i="21"/>
  <c r="C395" i="21"/>
  <c r="E395" i="21"/>
  <c r="F395" i="21"/>
  <c r="G395" i="21"/>
  <c r="K395" i="21"/>
  <c r="M395" i="21"/>
  <c r="N395" i="21"/>
  <c r="O395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377" i="11"/>
  <c r="C377" i="11"/>
  <c r="D377" i="11"/>
  <c r="E377" i="11"/>
  <c r="I377" i="11"/>
  <c r="K377" i="11"/>
  <c r="L377" i="11"/>
  <c r="M377" i="11"/>
  <c r="O377" i="11"/>
  <c r="Q377" i="11"/>
  <c r="A378" i="11"/>
  <c r="B378" i="11"/>
  <c r="F378" i="11"/>
  <c r="H378" i="11"/>
  <c r="I378" i="11"/>
  <c r="J378" i="11"/>
  <c r="M378" i="11"/>
  <c r="N378" i="11"/>
  <c r="P378" i="11"/>
  <c r="Q378" i="11"/>
  <c r="R378" i="11"/>
  <c r="C379" i="11"/>
  <c r="E379" i="11"/>
  <c r="F379" i="11"/>
  <c r="G379" i="11"/>
  <c r="K379" i="11"/>
  <c r="M379" i="11"/>
  <c r="N379" i="11"/>
  <c r="O379" i="11"/>
  <c r="P379" i="11"/>
  <c r="B380" i="11"/>
  <c r="C380" i="11"/>
  <c r="D380" i="11"/>
  <c r="H380" i="11"/>
  <c r="J380" i="11"/>
  <c r="K380" i="11"/>
  <c r="L380" i="11"/>
  <c r="P380" i="11"/>
  <c r="Q380" i="11"/>
  <c r="R380" i="11"/>
  <c r="AA380" i="11"/>
  <c r="A381" i="11"/>
  <c r="E381" i="11"/>
  <c r="F381" i="11"/>
  <c r="G381" i="11"/>
  <c r="H381" i="11"/>
  <c r="I381" i="11"/>
  <c r="J381" i="11"/>
  <c r="M381" i="11"/>
  <c r="N381" i="11"/>
  <c r="O381" i="11"/>
  <c r="P381" i="11"/>
  <c r="Q381" i="11"/>
  <c r="T381" i="11"/>
  <c r="AB381" i="11"/>
  <c r="B382" i="11"/>
  <c r="D382" i="11"/>
  <c r="E382" i="11"/>
  <c r="F382" i="11"/>
  <c r="G382" i="11"/>
  <c r="H382" i="11"/>
  <c r="J382" i="11"/>
  <c r="L382" i="11"/>
  <c r="M382" i="11"/>
  <c r="N382" i="11"/>
  <c r="R382" i="11"/>
  <c r="AF382" i="11"/>
  <c r="A383" i="11"/>
  <c r="B383" i="11"/>
  <c r="C383" i="11"/>
  <c r="D383" i="11"/>
  <c r="G383" i="11"/>
  <c r="H383" i="11"/>
  <c r="I383" i="11"/>
  <c r="J383" i="11"/>
  <c r="K383" i="11"/>
  <c r="O383" i="11"/>
  <c r="Q383" i="11"/>
  <c r="R383" i="11"/>
  <c r="D384" i="11"/>
  <c r="F384" i="11"/>
  <c r="G384" i="11"/>
  <c r="H384" i="11"/>
  <c r="L384" i="11"/>
  <c r="N384" i="11"/>
  <c r="O384" i="11"/>
  <c r="P384" i="11"/>
  <c r="Q384" i="11"/>
  <c r="Y384" i="11"/>
  <c r="A385" i="11"/>
  <c r="C385" i="11"/>
  <c r="D385" i="11"/>
  <c r="E385" i="11"/>
  <c r="F385" i="11"/>
  <c r="G385" i="11"/>
  <c r="I385" i="11"/>
  <c r="K385" i="11"/>
  <c r="L385" i="11"/>
  <c r="M385" i="11"/>
  <c r="Q385" i="11"/>
  <c r="AD385" i="11"/>
  <c r="A386" i="11"/>
  <c r="B386" i="11"/>
  <c r="F386" i="11"/>
  <c r="H386" i="11"/>
  <c r="I386" i="11"/>
  <c r="J386" i="11"/>
  <c r="N386" i="11"/>
  <c r="P386" i="11"/>
  <c r="Q386" i="11"/>
  <c r="R386" i="11"/>
  <c r="AE386" i="11"/>
  <c r="C387" i="11"/>
  <c r="E387" i="11"/>
  <c r="F387" i="11"/>
  <c r="G387" i="11"/>
  <c r="H387" i="11"/>
  <c r="K387" i="11"/>
  <c r="M387" i="11"/>
  <c r="N387" i="11"/>
  <c r="O387" i="11"/>
  <c r="R387" i="11"/>
  <c r="AG387" i="11"/>
  <c r="B388" i="11"/>
  <c r="C388" i="11"/>
  <c r="D388" i="11"/>
  <c r="H388" i="11"/>
  <c r="J388" i="11"/>
  <c r="K388" i="11"/>
  <c r="L388" i="11"/>
  <c r="N388" i="11"/>
  <c r="P388" i="11"/>
  <c r="R388" i="11"/>
  <c r="U388" i="11"/>
  <c r="Y388" i="11"/>
  <c r="A389" i="11"/>
  <c r="E389" i="11"/>
  <c r="G389" i="11"/>
  <c r="H389" i="11"/>
  <c r="I389" i="11"/>
  <c r="M389" i="11"/>
  <c r="O389" i="11"/>
  <c r="P389" i="11"/>
  <c r="Q389" i="11"/>
  <c r="X389" i="11"/>
  <c r="Z389" i="11"/>
  <c r="B390" i="11"/>
  <c r="D390" i="11"/>
  <c r="E390" i="11"/>
  <c r="F390" i="11"/>
  <c r="J390" i="11"/>
  <c r="L390" i="11"/>
  <c r="M390" i="11"/>
  <c r="N390" i="11"/>
  <c r="R390" i="11"/>
  <c r="AF390" i="11"/>
  <c r="A391" i="11"/>
  <c r="B391" i="11"/>
  <c r="C391" i="11"/>
  <c r="G391" i="11"/>
  <c r="I391" i="11"/>
  <c r="J391" i="11"/>
  <c r="K391" i="11"/>
  <c r="N391" i="11"/>
  <c r="O391" i="11"/>
  <c r="Q391" i="11"/>
  <c r="R391" i="11"/>
  <c r="V391" i="11"/>
  <c r="Z391" i="11"/>
  <c r="D392" i="11"/>
  <c r="E392" i="11"/>
  <c r="F392" i="11"/>
  <c r="G392" i="11"/>
  <c r="H392" i="11"/>
  <c r="L392" i="11"/>
  <c r="M392" i="11"/>
  <c r="N392" i="11"/>
  <c r="O392" i="11"/>
  <c r="P392" i="11"/>
  <c r="Q392" i="11"/>
  <c r="V392" i="11"/>
  <c r="AG392" i="11"/>
  <c r="A393" i="11"/>
  <c r="C393" i="11"/>
  <c r="D393" i="11"/>
  <c r="E393" i="11"/>
  <c r="I393" i="11"/>
  <c r="J393" i="11"/>
  <c r="K393" i="11"/>
  <c r="L393" i="11"/>
  <c r="M393" i="11"/>
  <c r="N393" i="11"/>
  <c r="Q393" i="11"/>
  <c r="R393" i="11"/>
  <c r="T393" i="11"/>
  <c r="AC393" i="11"/>
  <c r="A394" i="11"/>
  <c r="B394" i="11"/>
  <c r="F394" i="11"/>
  <c r="H394" i="11"/>
  <c r="I394" i="11"/>
  <c r="J394" i="11"/>
  <c r="L394" i="11"/>
  <c r="N394" i="11"/>
  <c r="P394" i="11"/>
  <c r="Q394" i="11"/>
  <c r="R394" i="11"/>
  <c r="S394" i="11"/>
  <c r="AB394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R395" i="11"/>
  <c r="U395" i="11"/>
  <c r="V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H390" i="8"/>
  <c r="AI390" i="8"/>
  <c r="AI392" i="21" s="1"/>
  <c r="S393" i="11"/>
  <c r="T391" i="8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B378" i="8"/>
  <c r="AC378" i="8"/>
  <c r="AC380" i="11" s="1"/>
  <c r="AD378" i="8"/>
  <c r="AD380" i="10" s="1"/>
  <c r="AE378" i="8"/>
  <c r="AE380" i="11" s="1"/>
  <c r="AF378" i="8"/>
  <c r="AG378" i="8"/>
  <c r="AH378" i="8"/>
  <c r="AI378" i="8"/>
  <c r="AI380" i="21" s="1"/>
  <c r="T379" i="8"/>
  <c r="U379" i="8"/>
  <c r="V379" i="8"/>
  <c r="V381" i="21" s="1"/>
  <c r="W379" i="8"/>
  <c r="W381" i="21" s="1"/>
  <c r="X379" i="8"/>
  <c r="Y379" i="8"/>
  <c r="Z379" i="8"/>
  <c r="AA379" i="8"/>
  <c r="AB379" i="8"/>
  <c r="AC379" i="8"/>
  <c r="AD379" i="8"/>
  <c r="AE379" i="8"/>
  <c r="AF379" i="8"/>
  <c r="AF381" i="21" s="1"/>
  <c r="AG379" i="8"/>
  <c r="AG381" i="11" s="1"/>
  <c r="AH379" i="8"/>
  <c r="AH381" i="21" s="1"/>
  <c r="AI379" i="8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G380" i="8"/>
  <c r="AH380" i="8"/>
  <c r="AI380" i="8"/>
  <c r="AI382" i="21" s="1"/>
  <c r="S383" i="1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F384" i="8"/>
  <c r="AG384" i="8"/>
  <c r="AH384" i="8"/>
  <c r="AH386" i="21" s="1"/>
  <c r="AI384" i="8"/>
  <c r="AI386" i="21" s="1"/>
  <c r="S387" i="2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H385" i="8"/>
  <c r="AH387" i="21" s="1"/>
  <c r="AI385" i="8"/>
  <c r="T386" i="8"/>
  <c r="U386" i="8"/>
  <c r="V386" i="8"/>
  <c r="W386" i="8"/>
  <c r="X386" i="8"/>
  <c r="Y386" i="8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Y387" i="8"/>
  <c r="Z387" i="8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G388" i="8"/>
  <c r="AH388" i="8"/>
  <c r="AI388" i="8"/>
  <c r="AI390" i="21" s="1"/>
  <c r="T389" i="8"/>
  <c r="T391" i="11" s="1"/>
  <c r="U389" i="8"/>
  <c r="U391" i="11" s="1"/>
  <c r="V389" i="8"/>
  <c r="W389" i="8"/>
  <c r="X389" i="8"/>
  <c r="X391" i="21" s="1"/>
  <c r="Y389" i="8"/>
  <c r="Z389" i="8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D18" i="24"/>
  <c r="C19" i="24"/>
  <c r="C20" i="24" s="1"/>
  <c r="L380" i="2"/>
  <c r="M380" i="2"/>
  <c r="L381" i="2"/>
  <c r="N381" i="2" s="1"/>
  <c r="M381" i="2"/>
  <c r="L382" i="2"/>
  <c r="M382" i="2"/>
  <c r="L383" i="2"/>
  <c r="M383" i="2"/>
  <c r="L384" i="2"/>
  <c r="M384" i="2"/>
  <c r="L385" i="2"/>
  <c r="N385" i="2" s="1"/>
  <c r="M385" i="2"/>
  <c r="L386" i="2"/>
  <c r="M386" i="2"/>
  <c r="L387" i="2"/>
  <c r="M387" i="2"/>
  <c r="L388" i="2"/>
  <c r="M388" i="2"/>
  <c r="L389" i="2"/>
  <c r="N389" i="2" s="1"/>
  <c r="M389" i="2"/>
  <c r="L390" i="2"/>
  <c r="M390" i="2"/>
  <c r="L391" i="2"/>
  <c r="M391" i="2"/>
  <c r="L392" i="2"/>
  <c r="M392" i="2"/>
  <c r="L393" i="2"/>
  <c r="N393" i="2" s="1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24" i="24" l="1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S367" i="9"/>
  <c r="AD373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8" i="10"/>
  <c r="AH1" i="8"/>
  <c r="AI1" i="8"/>
  <c r="AQ3" i="2"/>
  <c r="AR3" i="2"/>
  <c r="O367" i="9" l="1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AI1" i="9" s="1"/>
  <c r="N369" i="2"/>
  <c r="N353" i="2"/>
  <c r="H369" i="11"/>
  <c r="Y368" i="10"/>
  <c r="AH305" i="21"/>
  <c r="AH304" i="9"/>
  <c r="AH90" i="10"/>
  <c r="AH89" i="9"/>
  <c r="AH1" i="9" s="1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2" i="21" l="1"/>
  <c r="AH2" i="10"/>
  <c r="AI2" i="2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7" i="14" l="1"/>
  <c r="F21" i="14"/>
  <c r="F20" i="14"/>
  <c r="F19" i="14"/>
  <c r="F18" i="14"/>
  <c r="F16" i="14"/>
  <c r="AC2" i="21"/>
  <c r="U2" i="21"/>
  <c r="D17" i="14" s="1"/>
  <c r="M2" i="21"/>
  <c r="D1" i="21"/>
  <c r="S2" i="21"/>
  <c r="AB2" i="21"/>
  <c r="T2" i="21"/>
  <c r="L2" i="21"/>
  <c r="D8" i="14" s="1"/>
  <c r="Z2" i="21"/>
  <c r="R2" i="21"/>
  <c r="D14" i="14" s="1"/>
  <c r="J2" i="21"/>
  <c r="AA2" i="21"/>
  <c r="Y2" i="21"/>
  <c r="D21" i="14" s="1"/>
  <c r="Q2" i="21"/>
  <c r="I2" i="21"/>
  <c r="K2" i="21"/>
  <c r="X2" i="21"/>
  <c r="P2" i="21"/>
  <c r="D12" i="14" s="1"/>
  <c r="H2" i="21"/>
  <c r="W2" i="21"/>
  <c r="D19" i="14" s="1"/>
  <c r="O2" i="21"/>
  <c r="D11" i="14" s="1"/>
  <c r="G2" i="21"/>
  <c r="AD2" i="2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D16" i="14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D15" i="14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D5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D20" i="14"/>
  <c r="D4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D3" i="14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P1" i="9" l="1"/>
  <c r="Z1" i="9"/>
  <c r="AE2" i="21"/>
  <c r="AE2" i="10"/>
  <c r="I1" i="9"/>
  <c r="J2" i="10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Q1" i="9"/>
  <c r="R2" i="10"/>
  <c r="C14" i="14" s="1"/>
  <c r="K2" i="10"/>
  <c r="L2" i="10"/>
  <c r="AC2" i="10"/>
  <c r="F1" i="9"/>
  <c r="X2" i="10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B11" i="14" s="1"/>
  <c r="AG2" i="11"/>
  <c r="C20" i="14"/>
  <c r="C19" i="14"/>
  <c r="C18" i="14"/>
  <c r="C17" i="14"/>
  <c r="R2" i="11"/>
  <c r="B14" i="14" s="1"/>
  <c r="C13" i="14"/>
  <c r="C15" i="14"/>
  <c r="C12" i="14"/>
  <c r="C6" i="14"/>
  <c r="C8" i="14"/>
  <c r="P2" i="11"/>
  <c r="B12" i="14" s="1"/>
  <c r="AB2" i="11"/>
  <c r="V2" i="11"/>
  <c r="B18" i="14" s="1"/>
  <c r="G2" i="11"/>
  <c r="B3" i="14" s="1"/>
  <c r="Q2" i="11"/>
  <c r="B13" i="14" s="1"/>
  <c r="K2" i="11"/>
  <c r="AA2" i="11"/>
  <c r="L2" i="11"/>
  <c r="B8" i="14" s="1"/>
  <c r="AC2" i="11"/>
  <c r="F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E22" i="14" s="1"/>
  <c r="G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3" i="14"/>
  <c r="B2" i="14" l="1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<sst xmlns="http://schemas.openxmlformats.org/spreadsheetml/2006/main" count="3820" uniqueCount="1403">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</sst>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</cellXfs>
  <cellStyles count="2">
    <cellStyle name="Normal" xfId="0" builtinId="0"/>
    <cellStyle name="Porcentaje" xfId="1" builtinId="5"/>
  </cellStyles>
  <dxfs count="91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H5" activePane="bottomRight" state="frozen"/>
      <selection pane="topRight" activeCell="M1" sqref="M1"/>
      <selection pane="bottomLeft" activeCell="A5" sqref="A5"/>
      <selection pane="bottomRight" activeCell="AK10" sqref="AK10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.6" thickTop="1" thickBot="1" x14ac:dyDescent="0.4">
      <c r="A4" t="s">
        <v>7</v>
      </c>
      <c r="B4" s="45" t="s">
        <v>8</v>
      </c>
      <c r="C4" s="102" t="s">
        <v>1397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thickTop="1" thickBot="1" x14ac:dyDescent="0.35">
      <c r="A5" s="51" t="s">
        <v>34</v>
      </c>
      <c r="B5" s="51" t="s">
        <v>1215</v>
      </c>
      <c r="C5" s="51" t="s">
        <v>1398</v>
      </c>
      <c r="D5" s="51" t="s">
        <v>44</v>
      </c>
      <c r="E5" s="51" t="s">
        <v>24</v>
      </c>
      <c r="F5" s="51" t="s">
        <v>1389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1210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s="51" t="s">
        <v>34</v>
      </c>
      <c r="B6" s="51" t="s">
        <v>1216</v>
      </c>
      <c r="C6" s="51" t="s">
        <v>1398</v>
      </c>
      <c r="D6" s="51" t="s">
        <v>46</v>
      </c>
      <c r="E6" s="51" t="s">
        <v>24</v>
      </c>
      <c r="F6" s="51" t="s">
        <v>1389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A7" s="51" t="s">
        <v>34</v>
      </c>
      <c r="B7" s="51" t="s">
        <v>1217</v>
      </c>
      <c r="C7" s="51" t="s">
        <v>1398</v>
      </c>
      <c r="D7" s="51" t="s">
        <v>35</v>
      </c>
      <c r="E7" s="51" t="s">
        <v>24</v>
      </c>
      <c r="F7" s="51" t="s">
        <v>1390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1210</v>
      </c>
      <c r="P7" s="8" t="s">
        <v>1210</v>
      </c>
      <c r="Q7" s="8" t="s">
        <v>1210</v>
      </c>
      <c r="R7" s="8" t="s">
        <v>1210</v>
      </c>
      <c r="S7" s="27" t="s">
        <v>1210</v>
      </c>
      <c r="T7" s="27"/>
      <c r="U7" s="8" t="s">
        <v>1210</v>
      </c>
      <c r="V7" s="8" t="s">
        <v>1210</v>
      </c>
      <c r="W7" s="8" t="s">
        <v>1210</v>
      </c>
      <c r="X7" s="27" t="s">
        <v>1210</v>
      </c>
      <c r="Y7" s="27" t="s">
        <v>1210</v>
      </c>
      <c r="Z7" s="27" t="s">
        <v>1210</v>
      </c>
      <c r="AA7" s="27" t="s">
        <v>1210</v>
      </c>
      <c r="AB7" s="27" t="s">
        <v>1210</v>
      </c>
      <c r="AC7" s="27" t="s">
        <v>1210</v>
      </c>
      <c r="AD7" s="27" t="s">
        <v>1210</v>
      </c>
      <c r="AE7" s="27" t="s">
        <v>1210</v>
      </c>
      <c r="AF7" s="27" t="s">
        <v>1210</v>
      </c>
      <c r="AG7" s="27" t="s">
        <v>1210</v>
      </c>
      <c r="AH7" s="27" t="s">
        <v>1210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s="51" t="s">
        <v>34</v>
      </c>
      <c r="B8" s="51" t="s">
        <v>1218</v>
      </c>
      <c r="C8" s="51" t="s">
        <v>1398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1210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A9" s="51" t="s">
        <v>34</v>
      </c>
      <c r="B9" s="51" t="s">
        <v>1219</v>
      </c>
      <c r="C9" s="51" t="s">
        <v>1398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s="51" t="s">
        <v>34</v>
      </c>
      <c r="B10" s="51" t="s">
        <v>1220</v>
      </c>
      <c r="C10" s="51" t="s">
        <v>1398</v>
      </c>
      <c r="D10" s="51" t="s">
        <v>1221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1210</v>
      </c>
      <c r="V10" s="8" t="s">
        <v>1210</v>
      </c>
      <c r="W10" s="8"/>
      <c r="X10" s="27"/>
      <c r="Y10" s="27"/>
      <c r="Z10" s="27" t="s">
        <v>1210</v>
      </c>
      <c r="AA10" s="27" t="s">
        <v>1210</v>
      </c>
      <c r="AB10" s="27" t="s">
        <v>1210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s="51" t="s">
        <v>34</v>
      </c>
      <c r="B11" s="51" t="s">
        <v>38</v>
      </c>
      <c r="C11" s="51" t="s">
        <v>1398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s="51" t="s">
        <v>34</v>
      </c>
      <c r="B12" s="51" t="s">
        <v>41</v>
      </c>
      <c r="C12" s="51" t="s">
        <v>1398</v>
      </c>
      <c r="D12" s="51" t="s">
        <v>42</v>
      </c>
      <c r="E12" s="51" t="s">
        <v>24</v>
      </c>
      <c r="F12" s="51" t="s">
        <v>1390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s="51" t="s">
        <v>34</v>
      </c>
      <c r="B13" s="51" t="s">
        <v>48</v>
      </c>
      <c r="C13" s="51" t="s">
        <v>1398</v>
      </c>
      <c r="D13" s="51" t="s">
        <v>49</v>
      </c>
      <c r="E13" s="51" t="s">
        <v>24</v>
      </c>
      <c r="F13" s="51" t="s">
        <v>1390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1210</v>
      </c>
      <c r="V13" s="8" t="s">
        <v>1210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A14" s="51" t="s">
        <v>34</v>
      </c>
      <c r="B14" s="51" t="s">
        <v>51</v>
      </c>
      <c r="C14" s="51" t="s">
        <v>1398</v>
      </c>
      <c r="D14" s="51" t="s">
        <v>52</v>
      </c>
      <c r="E14" s="51" t="s">
        <v>19</v>
      </c>
      <c r="F14" s="51" t="s">
        <v>1390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1210</v>
      </c>
      <c r="V14" s="8" t="s">
        <v>1210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s="51" t="s">
        <v>58</v>
      </c>
      <c r="B15" s="51" t="s">
        <v>1222</v>
      </c>
      <c r="C15" s="51"/>
      <c r="D15" s="51" t="s">
        <v>59</v>
      </c>
      <c r="E15" s="51" t="s">
        <v>24</v>
      </c>
      <c r="F15" s="51" t="s">
        <v>1389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s="51" t="s">
        <v>61</v>
      </c>
      <c r="B16" s="51" t="s">
        <v>1223</v>
      </c>
      <c r="C16" s="51" t="s">
        <v>1398</v>
      </c>
      <c r="D16" s="51" t="s">
        <v>62</v>
      </c>
      <c r="E16" s="51" t="s">
        <v>19</v>
      </c>
      <c r="F16" s="51" t="s">
        <v>1389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s="51" t="s">
        <v>72</v>
      </c>
      <c r="B17" s="51" t="s">
        <v>1224</v>
      </c>
      <c r="C17" s="51"/>
      <c r="D17" s="51" t="s">
        <v>1225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1210</v>
      </c>
      <c r="V17" s="8" t="s">
        <v>1210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s="51" t="s">
        <v>72</v>
      </c>
      <c r="B18" s="51" t="s">
        <v>1226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1210</v>
      </c>
      <c r="V18" s="8" t="s">
        <v>1210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s="51" t="s">
        <v>72</v>
      </c>
      <c r="B19" s="51" t="s">
        <v>1227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s="51" t="s">
        <v>72</v>
      </c>
      <c r="B20" s="51" t="s">
        <v>1228</v>
      </c>
      <c r="C20" s="51" t="s">
        <v>1398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s="51" t="s">
        <v>72</v>
      </c>
      <c r="B21" s="51" t="s">
        <v>1229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1210</v>
      </c>
      <c r="X21" s="27" t="s">
        <v>1210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A22" s="51" t="s">
        <v>72</v>
      </c>
      <c r="B22" s="51" t="s">
        <v>1230</v>
      </c>
      <c r="C22" s="51" t="s">
        <v>1398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A23" s="51" t="s">
        <v>72</v>
      </c>
      <c r="B23" s="51" t="s">
        <v>1231</v>
      </c>
      <c r="C23" s="51" t="s">
        <v>1398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A24" s="51" t="s">
        <v>72</v>
      </c>
      <c r="B24" s="51" t="s">
        <v>68</v>
      </c>
      <c r="C24" s="51" t="s">
        <v>1398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A27" s="51" t="s">
        <v>72</v>
      </c>
      <c r="B27" s="51" t="s">
        <v>76</v>
      </c>
      <c r="C27" s="51" t="s">
        <v>1398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1389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A29" s="51" t="s">
        <v>72</v>
      </c>
      <c r="B29" s="51" t="s">
        <v>83</v>
      </c>
      <c r="C29" s="51" t="s">
        <v>1398</v>
      </c>
      <c r="D29" s="51" t="s">
        <v>84</v>
      </c>
      <c r="E29" s="51" t="s">
        <v>19</v>
      </c>
      <c r="F29" s="51" t="s">
        <v>1390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s="51" t="s">
        <v>72</v>
      </c>
      <c r="B31" s="51" t="s">
        <v>1232</v>
      </c>
      <c r="C31" s="51" t="s">
        <v>1398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1394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s="51" t="s">
        <v>72</v>
      </c>
      <c r="B33" s="51" t="s">
        <v>95</v>
      </c>
      <c r="C33" s="51" t="s">
        <v>1398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s="51" t="s">
        <v>72</v>
      </c>
      <c r="B34" s="51" t="s">
        <v>97</v>
      </c>
      <c r="C34" s="51" t="s">
        <v>1398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28</v>
      </c>
      <c r="M34" s="17">
        <f t="shared" si="8"/>
        <v>2</v>
      </c>
      <c r="N34" s="18">
        <f t="shared" si="9"/>
        <v>0.93333333333333335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1210</v>
      </c>
      <c r="AI34" s="27" t="s">
        <v>1210</v>
      </c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s="51" t="s">
        <v>72</v>
      </c>
      <c r="B35" s="51" t="s">
        <v>1233</v>
      </c>
      <c r="C35" s="51" t="s">
        <v>1398</v>
      </c>
      <c r="D35" s="51" t="s">
        <v>1234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s="51" t="s">
        <v>72</v>
      </c>
      <c r="B36" s="51" t="s">
        <v>1235</v>
      </c>
      <c r="C36" s="51"/>
      <c r="D36" s="51" t="s">
        <v>1236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1210</v>
      </c>
      <c r="Q36" s="8" t="s">
        <v>1210</v>
      </c>
      <c r="R36" s="8" t="s">
        <v>1210</v>
      </c>
      <c r="S36" s="27" t="s">
        <v>1210</v>
      </c>
      <c r="T36" s="27"/>
      <c r="U36" s="8" t="s">
        <v>1210</v>
      </c>
      <c r="V36" s="8" t="s">
        <v>1210</v>
      </c>
      <c r="W36" s="8" t="s">
        <v>1210</v>
      </c>
      <c r="X36" s="27" t="s">
        <v>1210</v>
      </c>
      <c r="Y36" s="27" t="s">
        <v>1210</v>
      </c>
      <c r="Z36" s="27" t="s">
        <v>1210</v>
      </c>
      <c r="AA36" s="27" t="s">
        <v>1210</v>
      </c>
      <c r="AB36" s="27" t="s">
        <v>1210</v>
      </c>
      <c r="AC36" s="27" t="s">
        <v>1210</v>
      </c>
      <c r="AD36" s="27" t="s">
        <v>1210</v>
      </c>
      <c r="AE36" s="27" t="s">
        <v>1210</v>
      </c>
      <c r="AF36" s="27" t="s">
        <v>1210</v>
      </c>
      <c r="AG36" s="27" t="s">
        <v>1210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s="51" t="s">
        <v>72</v>
      </c>
      <c r="B37" s="51" t="s">
        <v>100</v>
      </c>
      <c r="C37" s="51" t="s">
        <v>1398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s="51" t="s">
        <v>72</v>
      </c>
      <c r="B38" s="51" t="s">
        <v>104</v>
      </c>
      <c r="C38" s="51" t="s">
        <v>1398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s="51" t="s">
        <v>72</v>
      </c>
      <c r="B42" s="51" t="s">
        <v>118</v>
      </c>
      <c r="C42" s="51"/>
      <c r="D42" s="51" t="s">
        <v>1237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s="51" t="s">
        <v>72</v>
      </c>
      <c r="B43" s="51" t="s">
        <v>121</v>
      </c>
      <c r="C43" s="51"/>
      <c r="D43" s="51" t="s">
        <v>1238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s="51" t="s">
        <v>72</v>
      </c>
      <c r="B45" s="51" t="s">
        <v>126</v>
      </c>
      <c r="C45" s="51"/>
      <c r="D45" s="51" t="s">
        <v>1239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s="51" t="s">
        <v>72</v>
      </c>
      <c r="B47" s="51" t="s">
        <v>135</v>
      </c>
      <c r="C47" s="51"/>
      <c r="D47" s="51" t="s">
        <v>1240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s="51" t="s">
        <v>72</v>
      </c>
      <c r="B48" s="51" t="s">
        <v>137</v>
      </c>
      <c r="C48" s="51" t="s">
        <v>1398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s="51" t="s">
        <v>72</v>
      </c>
      <c r="B49" s="51" t="s">
        <v>140</v>
      </c>
      <c r="C49" s="51" t="s">
        <v>1398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1390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1210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s="51" t="s">
        <v>72</v>
      </c>
      <c r="B51" s="51" t="s">
        <v>148</v>
      </c>
      <c r="C51" s="51" t="s">
        <v>1398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A53" s="51" t="s">
        <v>152</v>
      </c>
      <c r="B53" s="51" t="s">
        <v>153</v>
      </c>
      <c r="C53" s="51" t="s">
        <v>1398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s="51" t="s">
        <v>72</v>
      </c>
      <c r="B57" s="51" t="s">
        <v>164</v>
      </c>
      <c r="C57" s="51"/>
      <c r="D57" s="51" t="s">
        <v>1241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s="51" t="s">
        <v>72</v>
      </c>
      <c r="B58" s="51" t="s">
        <v>166</v>
      </c>
      <c r="C58" s="51" t="s">
        <v>1398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s="51" t="s">
        <v>72</v>
      </c>
      <c r="B59" s="51" t="s">
        <v>169</v>
      </c>
      <c r="C59" s="51"/>
      <c r="D59" s="51" t="s">
        <v>1242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s="51" t="s">
        <v>72</v>
      </c>
      <c r="B60" s="51" t="s">
        <v>171</v>
      </c>
      <c r="C60" s="51"/>
      <c r="D60" s="51" t="s">
        <v>1243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s="51" t="s">
        <v>72</v>
      </c>
      <c r="B65" s="51" t="s">
        <v>182</v>
      </c>
      <c r="C65" s="51"/>
      <c r="D65" s="51" t="s">
        <v>1244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s="51" t="s">
        <v>72</v>
      </c>
      <c r="B67" s="51" t="s">
        <v>185</v>
      </c>
      <c r="C67" s="51"/>
      <c r="D67" s="51" t="s">
        <v>1245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s="51" t="s">
        <v>72</v>
      </c>
      <c r="B68" s="51" t="s">
        <v>186</v>
      </c>
      <c r="C68" s="51" t="s">
        <v>1398</v>
      </c>
      <c r="D68" s="51" t="s">
        <v>1246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s="51" t="s">
        <v>72</v>
      </c>
      <c r="B69" s="51" t="s">
        <v>187</v>
      </c>
      <c r="C69" s="51" t="s">
        <v>1398</v>
      </c>
      <c r="D69" s="51" t="s">
        <v>1247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s="51" t="s">
        <v>72</v>
      </c>
      <c r="B70" s="51" t="s">
        <v>189</v>
      </c>
      <c r="C70" s="51" t="s">
        <v>1398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1210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s="51" t="s">
        <v>72</v>
      </c>
      <c r="B73" s="51" t="s">
        <v>196</v>
      </c>
      <c r="C73" s="51" t="s">
        <v>1398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s="51" t="s">
        <v>72</v>
      </c>
      <c r="B74" s="51" t="s">
        <v>199</v>
      </c>
      <c r="C74" s="51" t="s">
        <v>1398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1210</v>
      </c>
      <c r="P74" s="8" t="s">
        <v>1210</v>
      </c>
      <c r="Q74" s="8" t="s">
        <v>1210</v>
      </c>
      <c r="R74" s="8" t="s">
        <v>1210</v>
      </c>
      <c r="S74" s="27" t="s">
        <v>1210</v>
      </c>
      <c r="T74" s="27"/>
      <c r="U74" s="8" t="s">
        <v>1210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s="51" t="s">
        <v>72</v>
      </c>
      <c r="B76" s="51" t="s">
        <v>204</v>
      </c>
      <c r="C76" s="51" t="s">
        <v>1398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s="51" t="s">
        <v>72</v>
      </c>
      <c r="B79" s="51" t="s">
        <v>209</v>
      </c>
      <c r="C79" s="51" t="s">
        <v>1398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1210</v>
      </c>
      <c r="R80" s="8" t="s">
        <v>1210</v>
      </c>
      <c r="S80" s="27" t="s">
        <v>1210</v>
      </c>
      <c r="T80" s="27"/>
      <c r="U80" s="8"/>
      <c r="V80" s="8"/>
      <c r="W80" s="8"/>
      <c r="X80" s="27"/>
      <c r="Y80" s="27"/>
      <c r="Z80" s="27" t="s">
        <v>1210</v>
      </c>
      <c r="AA80" s="27" t="s">
        <v>1210</v>
      </c>
      <c r="AB80" s="27" t="s">
        <v>1210</v>
      </c>
      <c r="AC80" s="27" t="s">
        <v>1210</v>
      </c>
      <c r="AD80" s="27" t="s">
        <v>1210</v>
      </c>
      <c r="AE80" s="27" t="s">
        <v>1210</v>
      </c>
      <c r="AF80" s="27" t="s">
        <v>1210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s="51" t="s">
        <v>72</v>
      </c>
      <c r="B82" s="51" t="s">
        <v>221</v>
      </c>
      <c r="C82" s="51" t="s">
        <v>1398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s="51" t="s">
        <v>72</v>
      </c>
      <c r="B83" s="51" t="s">
        <v>1248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1210</v>
      </c>
      <c r="R83" s="8" t="s">
        <v>1210</v>
      </c>
      <c r="S83" s="27" t="s">
        <v>1210</v>
      </c>
      <c r="T83" s="27"/>
      <c r="U83" s="8"/>
      <c r="V83" s="8"/>
      <c r="W83" s="8"/>
      <c r="X83" s="27"/>
      <c r="Y83" s="27"/>
      <c r="Z83" s="27" t="s">
        <v>1210</v>
      </c>
      <c r="AA83" s="27" t="s">
        <v>1210</v>
      </c>
      <c r="AB83" s="27" t="s">
        <v>1210</v>
      </c>
      <c r="AC83" s="27" t="s">
        <v>1210</v>
      </c>
      <c r="AD83" s="27" t="s">
        <v>1210</v>
      </c>
      <c r="AE83" s="27" t="s">
        <v>1210</v>
      </c>
      <c r="AF83" s="27" t="s">
        <v>1210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s="51" t="s">
        <v>72</v>
      </c>
      <c r="B84" s="51" t="s">
        <v>1249</v>
      </c>
      <c r="C84" s="51" t="s">
        <v>1398</v>
      </c>
      <c r="D84" s="51" t="s">
        <v>1250</v>
      </c>
      <c r="E84" s="51" t="s">
        <v>19</v>
      </c>
      <c r="F84" s="51" t="s">
        <v>1390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s="51" t="s">
        <v>72</v>
      </c>
      <c r="B85" s="51" t="s">
        <v>1251</v>
      </c>
      <c r="C85" s="51" t="s">
        <v>1398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A87" s="51" t="s">
        <v>72</v>
      </c>
      <c r="B87" s="51" t="s">
        <v>227</v>
      </c>
      <c r="C87" s="51" t="s">
        <v>1398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s="51" t="s">
        <v>72</v>
      </c>
      <c r="B89" s="51" t="s">
        <v>231</v>
      </c>
      <c r="C89" s="51" t="s">
        <v>1398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s="51" t="s">
        <v>72</v>
      </c>
      <c r="B91" s="51" t="s">
        <v>235</v>
      </c>
      <c r="C91" s="51" t="s">
        <v>1398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1389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s="51" t="s">
        <v>240</v>
      </c>
      <c r="B93" s="51" t="s">
        <v>241</v>
      </c>
      <c r="C93" s="51" t="s">
        <v>1398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s="51" t="s">
        <v>243</v>
      </c>
      <c r="B96" s="51" t="s">
        <v>250</v>
      </c>
      <c r="C96" s="51" t="s">
        <v>1398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s="51" t="s">
        <v>256</v>
      </c>
      <c r="B97" s="51" t="s">
        <v>1252</v>
      </c>
      <c r="C97" s="51" t="s">
        <v>1399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s="51" t="s">
        <v>253</v>
      </c>
      <c r="B98" s="51" t="s">
        <v>254</v>
      </c>
      <c r="C98" s="51" t="s">
        <v>1399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s="51" t="s">
        <v>256</v>
      </c>
      <c r="B99" s="51" t="s">
        <v>257</v>
      </c>
      <c r="C99" s="51" t="s">
        <v>1399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s="51" t="s">
        <v>264</v>
      </c>
      <c r="B100" s="51" t="s">
        <v>1253</v>
      </c>
      <c r="C100" s="51"/>
      <c r="D100" s="51" t="s">
        <v>265</v>
      </c>
      <c r="E100" s="51" t="s">
        <v>102</v>
      </c>
      <c r="F100" s="51" t="s">
        <v>1390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s="51" t="s">
        <v>264</v>
      </c>
      <c r="B101" s="51" t="s">
        <v>1254</v>
      </c>
      <c r="C101" s="51"/>
      <c r="D101" s="51" t="s">
        <v>265</v>
      </c>
      <c r="E101" s="51" t="s">
        <v>102</v>
      </c>
      <c r="F101" s="51" t="s">
        <v>1390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s="51" t="s">
        <v>264</v>
      </c>
      <c r="B102" s="51" t="s">
        <v>1255</v>
      </c>
      <c r="C102" s="51"/>
      <c r="D102" s="51" t="s">
        <v>1256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1210</v>
      </c>
      <c r="S102" s="27"/>
      <c r="T102" s="27"/>
      <c r="U102" s="8"/>
      <c r="V102" s="8" t="s">
        <v>1210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A103" s="51" t="s">
        <v>264</v>
      </c>
      <c r="B103" s="51" t="s">
        <v>1257</v>
      </c>
      <c r="C103" s="51"/>
      <c r="D103" s="51" t="s">
        <v>1256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1210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s="51" t="s">
        <v>268</v>
      </c>
      <c r="B105" s="51" t="s">
        <v>1258</v>
      </c>
      <c r="C105" s="51" t="s">
        <v>1399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1210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s="51" t="s">
        <v>268</v>
      </c>
      <c r="B106" s="51" t="s">
        <v>1259</v>
      </c>
      <c r="C106" s="51" t="s">
        <v>1399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1210</v>
      </c>
      <c r="V106" s="8" t="s">
        <v>1210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s="51" t="s">
        <v>268</v>
      </c>
      <c r="B107" s="51" t="s">
        <v>1260</v>
      </c>
      <c r="C107" s="51" t="s">
        <v>1399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1210</v>
      </c>
      <c r="V107" s="8" t="s">
        <v>1210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s="51" t="s">
        <v>268</v>
      </c>
      <c r="B108" s="51" t="s">
        <v>1261</v>
      </c>
      <c r="C108" s="51" t="s">
        <v>1399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1210</v>
      </c>
      <c r="V108" s="8" t="s">
        <v>1210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s="51" t="s">
        <v>276</v>
      </c>
      <c r="B109" s="51" t="s">
        <v>279</v>
      </c>
      <c r="C109" s="51"/>
      <c r="D109" s="51" t="s">
        <v>1262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1210</v>
      </c>
      <c r="V109" s="8" t="s">
        <v>1210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1390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1210</v>
      </c>
      <c r="P111" s="8" t="s">
        <v>1210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s="51" t="s">
        <v>286</v>
      </c>
      <c r="B112" s="51" t="s">
        <v>287</v>
      </c>
      <c r="C112" s="51" t="s">
        <v>1399</v>
      </c>
      <c r="D112" s="51" t="s">
        <v>288</v>
      </c>
      <c r="E112" s="51" t="s">
        <v>19</v>
      </c>
      <c r="F112" s="51" t="s">
        <v>1390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s="51" t="s">
        <v>276</v>
      </c>
      <c r="B113" s="51" t="s">
        <v>290</v>
      </c>
      <c r="C113" s="51" t="s">
        <v>1399</v>
      </c>
      <c r="D113" s="51" t="s">
        <v>291</v>
      </c>
      <c r="E113" s="51" t="s">
        <v>24</v>
      </c>
      <c r="F113" s="51" t="s">
        <v>1389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1210</v>
      </c>
      <c r="P113" s="8" t="s">
        <v>1210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1210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s="51" t="s">
        <v>276</v>
      </c>
      <c r="B114" s="51" t="s">
        <v>292</v>
      </c>
      <c r="C114" s="51" t="s">
        <v>1399</v>
      </c>
      <c r="D114" s="51" t="s">
        <v>293</v>
      </c>
      <c r="E114" s="51" t="s">
        <v>24</v>
      </c>
      <c r="F114" s="51" t="s">
        <v>1389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1210</v>
      </c>
      <c r="AA115" s="27" t="s">
        <v>1210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s="51" t="s">
        <v>276</v>
      </c>
      <c r="B116" s="51" t="s">
        <v>1263</v>
      </c>
      <c r="C116" s="51" t="s">
        <v>1399</v>
      </c>
      <c r="D116" s="51" t="s">
        <v>277</v>
      </c>
      <c r="E116" s="51" t="s">
        <v>19</v>
      </c>
      <c r="F116" s="51" t="s">
        <v>1390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s="51" t="s">
        <v>276</v>
      </c>
      <c r="B119" s="51" t="s">
        <v>303</v>
      </c>
      <c r="C119" s="51" t="s">
        <v>1399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s="51" t="s">
        <v>276</v>
      </c>
      <c r="B120" s="51" t="s">
        <v>305</v>
      </c>
      <c r="C120" s="51" t="s">
        <v>1399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1210</v>
      </c>
      <c r="P120" s="8" t="s">
        <v>1210</v>
      </c>
      <c r="Q120" s="8" t="s">
        <v>1210</v>
      </c>
      <c r="R120" s="8" t="s">
        <v>1210</v>
      </c>
      <c r="S120" s="27" t="s">
        <v>1210</v>
      </c>
      <c r="T120" s="27"/>
      <c r="U120" s="8" t="s">
        <v>1210</v>
      </c>
      <c r="V120" s="8" t="s">
        <v>1210</v>
      </c>
      <c r="W120" s="8" t="s">
        <v>1210</v>
      </c>
      <c r="X120" s="27" t="s">
        <v>1210</v>
      </c>
      <c r="Y120" s="27" t="s">
        <v>1210</v>
      </c>
      <c r="Z120" s="27" t="s">
        <v>1210</v>
      </c>
      <c r="AA120" s="27" t="s">
        <v>1210</v>
      </c>
      <c r="AB120" s="27" t="s">
        <v>1210</v>
      </c>
      <c r="AC120" s="27" t="s">
        <v>1210</v>
      </c>
      <c r="AD120" s="27" t="s">
        <v>1210</v>
      </c>
      <c r="AE120" s="27" t="s">
        <v>1210</v>
      </c>
      <c r="AF120" s="27" t="s">
        <v>1210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s="51" t="s">
        <v>306</v>
      </c>
      <c r="B121" s="51" t="s">
        <v>1264</v>
      </c>
      <c r="C121" s="51" t="s">
        <v>1399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1210</v>
      </c>
      <c r="P121" s="8" t="s">
        <v>1210</v>
      </c>
      <c r="Q121" s="8" t="s">
        <v>1210</v>
      </c>
      <c r="R121" s="8" t="s">
        <v>1210</v>
      </c>
      <c r="S121" s="27" t="s">
        <v>1210</v>
      </c>
      <c r="T121" s="27"/>
      <c r="U121" s="8" t="s">
        <v>1210</v>
      </c>
      <c r="V121" s="8" t="s">
        <v>1210</v>
      </c>
      <c r="W121" s="8" t="s">
        <v>1210</v>
      </c>
      <c r="X121" s="27" t="s">
        <v>1210</v>
      </c>
      <c r="Y121" s="27" t="s">
        <v>1210</v>
      </c>
      <c r="Z121" s="27" t="s">
        <v>1210</v>
      </c>
      <c r="AA121" s="27" t="s">
        <v>1210</v>
      </c>
      <c r="AB121" s="27" t="s">
        <v>1210</v>
      </c>
      <c r="AC121" s="27" t="s">
        <v>1210</v>
      </c>
      <c r="AD121" s="27" t="s">
        <v>1210</v>
      </c>
      <c r="AE121" s="27" t="s">
        <v>1210</v>
      </c>
      <c r="AF121" s="27" t="s">
        <v>1210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s="51" t="s">
        <v>306</v>
      </c>
      <c r="B122" s="51" t="s">
        <v>1265</v>
      </c>
      <c r="C122" s="51" t="s">
        <v>1399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1210</v>
      </c>
      <c r="V122" s="8" t="s">
        <v>1210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s="51" t="s">
        <v>309</v>
      </c>
      <c r="B123" s="51" t="s">
        <v>1266</v>
      </c>
      <c r="C123" s="51" t="s">
        <v>1399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1210</v>
      </c>
      <c r="V123" s="8" t="s">
        <v>1210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s="51" t="s">
        <v>312</v>
      </c>
      <c r="B124" s="51" t="s">
        <v>313</v>
      </c>
      <c r="C124" s="51" t="s">
        <v>1398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s="51" t="s">
        <v>312</v>
      </c>
      <c r="B125" s="51" t="s">
        <v>320</v>
      </c>
      <c r="C125" s="51" t="s">
        <v>1398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1390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1390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s="51" t="s">
        <v>312</v>
      </c>
      <c r="B128" s="51" t="s">
        <v>1267</v>
      </c>
      <c r="C128" s="51"/>
      <c r="D128" s="51" t="s">
        <v>346</v>
      </c>
      <c r="E128" s="51" t="s">
        <v>102</v>
      </c>
      <c r="F128" s="51" t="s">
        <v>1390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28</v>
      </c>
      <c r="M128" s="17">
        <f t="shared" si="11"/>
        <v>2</v>
      </c>
      <c r="N128" s="18">
        <f t="shared" si="12"/>
        <v>0.93333333333333335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1210</v>
      </c>
      <c r="AI128" s="27" t="s">
        <v>1210</v>
      </c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s="51" t="s">
        <v>312</v>
      </c>
      <c r="B129" s="51" t="s">
        <v>1268</v>
      </c>
      <c r="C129" s="51"/>
      <c r="D129" s="51" t="s">
        <v>346</v>
      </c>
      <c r="E129" s="51" t="s">
        <v>102</v>
      </c>
      <c r="F129" s="51" t="s">
        <v>1390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27</v>
      </c>
      <c r="M129" s="17">
        <f t="shared" si="11"/>
        <v>3</v>
      </c>
      <c r="N129" s="18">
        <f t="shared" si="12"/>
        <v>0.9</v>
      </c>
      <c r="O129" s="27"/>
      <c r="P129" s="8"/>
      <c r="Q129" s="8"/>
      <c r="R129" s="8"/>
      <c r="S129" s="27"/>
      <c r="T129" s="27"/>
      <c r="U129" s="8" t="s">
        <v>1210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1210</v>
      </c>
      <c r="AI129" s="27" t="s">
        <v>1210</v>
      </c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s="51" t="s">
        <v>312</v>
      </c>
      <c r="B130" s="51" t="s">
        <v>1269</v>
      </c>
      <c r="C130" s="51"/>
      <c r="D130" s="51" t="s">
        <v>349</v>
      </c>
      <c r="E130" s="51" t="s">
        <v>102</v>
      </c>
      <c r="F130" s="51" t="s">
        <v>1390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1210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s="51" t="s">
        <v>312</v>
      </c>
      <c r="B131" s="51" t="s">
        <v>1270</v>
      </c>
      <c r="C131" s="51"/>
      <c r="D131" s="51" t="s">
        <v>349</v>
      </c>
      <c r="E131" s="51" t="s">
        <v>102</v>
      </c>
      <c r="F131" s="51" t="s">
        <v>1390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s="51" t="s">
        <v>326</v>
      </c>
      <c r="B132" s="51" t="s">
        <v>327</v>
      </c>
      <c r="C132" s="51" t="s">
        <v>1398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s="51" t="s">
        <v>243</v>
      </c>
      <c r="B133" s="51" t="s">
        <v>330</v>
      </c>
      <c r="C133" s="51" t="s">
        <v>1398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1210</v>
      </c>
      <c r="P133" s="8" t="s">
        <v>1210</v>
      </c>
      <c r="Q133" s="8" t="s">
        <v>1210</v>
      </c>
      <c r="R133" s="8" t="s">
        <v>1210</v>
      </c>
      <c r="S133" s="27" t="s">
        <v>1210</v>
      </c>
      <c r="T133" s="27"/>
      <c r="U133" s="8" t="s">
        <v>1210</v>
      </c>
      <c r="V133" s="8" t="s">
        <v>1210</v>
      </c>
      <c r="W133" s="8" t="s">
        <v>1210</v>
      </c>
      <c r="X133" s="27" t="s">
        <v>1210</v>
      </c>
      <c r="Y133" s="27" t="s">
        <v>1210</v>
      </c>
      <c r="Z133" s="27" t="s">
        <v>1210</v>
      </c>
      <c r="AA133" s="27" t="s">
        <v>1210</v>
      </c>
      <c r="AB133" s="27" t="s">
        <v>1210</v>
      </c>
      <c r="AC133" s="27" t="s">
        <v>1210</v>
      </c>
      <c r="AD133" s="27" t="s">
        <v>1210</v>
      </c>
      <c r="AE133" s="27" t="s">
        <v>1210</v>
      </c>
      <c r="AF133" s="27" t="s">
        <v>1210</v>
      </c>
      <c r="AG133" s="27" t="s">
        <v>1210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s="51" t="s">
        <v>312</v>
      </c>
      <c r="B134" s="51" t="s">
        <v>333</v>
      </c>
      <c r="C134" s="51" t="s">
        <v>1398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27</v>
      </c>
      <c r="M134" s="17">
        <f t="shared" si="14"/>
        <v>3</v>
      </c>
      <c r="N134" s="18">
        <f t="shared" si="15"/>
        <v>0.9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1210</v>
      </c>
      <c r="AH134" s="27" t="s">
        <v>1210</v>
      </c>
      <c r="AI134" s="27" t="s">
        <v>1210</v>
      </c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s="51" t="s">
        <v>312</v>
      </c>
      <c r="B136" s="51" t="s">
        <v>339</v>
      </c>
      <c r="C136" s="51" t="s">
        <v>1398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1210</v>
      </c>
      <c r="P136" s="8" t="s">
        <v>1210</v>
      </c>
      <c r="Q136" s="8" t="s">
        <v>1210</v>
      </c>
      <c r="R136" s="8" t="s">
        <v>1210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1210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s="51" t="s">
        <v>312</v>
      </c>
      <c r="B137" s="51" t="s">
        <v>341</v>
      </c>
      <c r="C137" s="51" t="s">
        <v>1398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s="51" t="s">
        <v>312</v>
      </c>
      <c r="B138" s="51" t="s">
        <v>1271</v>
      </c>
      <c r="C138" s="51" t="s">
        <v>1398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1210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1210</v>
      </c>
      <c r="AF138" s="27" t="s">
        <v>1210</v>
      </c>
      <c r="AG138" s="27" t="s">
        <v>1210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s="51" t="s">
        <v>312</v>
      </c>
      <c r="B139" s="51" t="s">
        <v>1272</v>
      </c>
      <c r="C139" s="51" t="s">
        <v>1398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1210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1210</v>
      </c>
      <c r="AF139" s="27" t="s">
        <v>1210</v>
      </c>
      <c r="AG139" s="27" t="s">
        <v>1210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s="51" t="s">
        <v>312</v>
      </c>
      <c r="B140" s="51" t="s">
        <v>344</v>
      </c>
      <c r="C140" s="51" t="s">
        <v>1398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1210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s="51" t="s">
        <v>152</v>
      </c>
      <c r="B141" s="51" t="s">
        <v>351</v>
      </c>
      <c r="C141" s="51" t="s">
        <v>1398</v>
      </c>
      <c r="D141" s="51" t="s">
        <v>352</v>
      </c>
      <c r="E141" s="51" t="s">
        <v>19</v>
      </c>
      <c r="F141" s="51" t="s">
        <v>1390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1210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s="51" t="s">
        <v>152</v>
      </c>
      <c r="B142" s="51" t="s">
        <v>354</v>
      </c>
      <c r="C142" s="51" t="s">
        <v>1398</v>
      </c>
      <c r="D142" s="51" t="s">
        <v>355</v>
      </c>
      <c r="E142" s="51" t="s">
        <v>19</v>
      </c>
      <c r="F142" s="51" t="s">
        <v>1390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s="51" t="s">
        <v>152</v>
      </c>
      <c r="B143" s="51" t="s">
        <v>356</v>
      </c>
      <c r="C143" s="51" t="s">
        <v>1398</v>
      </c>
      <c r="D143" s="51" t="s">
        <v>357</v>
      </c>
      <c r="E143" s="51" t="s">
        <v>19</v>
      </c>
      <c r="F143" s="51" t="s">
        <v>1390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1210</v>
      </c>
      <c r="AC143" s="27" t="s">
        <v>1210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s="51" t="s">
        <v>243</v>
      </c>
      <c r="B144" s="51" t="s">
        <v>1273</v>
      </c>
      <c r="C144" s="51" t="s">
        <v>1398</v>
      </c>
      <c r="D144" s="51" t="s">
        <v>1274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1210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A146" s="51" t="s">
        <v>362</v>
      </c>
      <c r="B146" s="51" t="s">
        <v>363</v>
      </c>
      <c r="C146" s="51" t="s">
        <v>1398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s="51" t="s">
        <v>362</v>
      </c>
      <c r="B147" s="51" t="s">
        <v>365</v>
      </c>
      <c r="C147" s="51" t="s">
        <v>1398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1210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s="51" t="s">
        <v>366</v>
      </c>
      <c r="B148" s="51" t="s">
        <v>1275</v>
      </c>
      <c r="C148" s="51" t="s">
        <v>1399</v>
      </c>
      <c r="D148" s="51" t="s">
        <v>367</v>
      </c>
      <c r="E148" s="51" t="s">
        <v>19</v>
      </c>
      <c r="F148" s="51" t="s">
        <v>1389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1210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s="51" t="s">
        <v>366</v>
      </c>
      <c r="B150" s="51" t="s">
        <v>370</v>
      </c>
      <c r="C150" s="51" t="s">
        <v>1399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s="51" t="s">
        <v>377</v>
      </c>
      <c r="B151" s="51" t="s">
        <v>1276</v>
      </c>
      <c r="C151" s="51" t="s">
        <v>1398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A152" s="51" t="s">
        <v>377</v>
      </c>
      <c r="B152" s="51" t="s">
        <v>1277</v>
      </c>
      <c r="C152" s="51" t="s">
        <v>1398</v>
      </c>
      <c r="D152" s="51" t="s">
        <v>1278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1210</v>
      </c>
      <c r="AA152" s="27" t="s">
        <v>1210</v>
      </c>
      <c r="AB152" s="27" t="s">
        <v>1210</v>
      </c>
      <c r="AC152" s="27" t="s">
        <v>1210</v>
      </c>
      <c r="AD152" s="27" t="s">
        <v>1210</v>
      </c>
      <c r="AE152" s="27" t="s">
        <v>1210</v>
      </c>
      <c r="AF152" s="27" t="s">
        <v>1210</v>
      </c>
      <c r="AG152" s="27" t="s">
        <v>1210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s="51" t="s">
        <v>377</v>
      </c>
      <c r="B153" s="51" t="s">
        <v>1279</v>
      </c>
      <c r="C153" s="51" t="s">
        <v>1398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s="51" t="s">
        <v>377</v>
      </c>
      <c r="B154" s="51" t="s">
        <v>1280</v>
      </c>
      <c r="C154" s="51" t="s">
        <v>1398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s="51" t="s">
        <v>377</v>
      </c>
      <c r="B155" s="51" t="s">
        <v>1281</v>
      </c>
      <c r="C155" s="51" t="s">
        <v>1398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s="51" t="s">
        <v>377</v>
      </c>
      <c r="B156" s="51" t="s">
        <v>1282</v>
      </c>
      <c r="C156" s="51" t="s">
        <v>1398</v>
      </c>
      <c r="D156" s="51" t="s">
        <v>372</v>
      </c>
      <c r="E156" s="51" t="s">
        <v>65</v>
      </c>
      <c r="F156" s="51" t="s">
        <v>1389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s="51" t="s">
        <v>374</v>
      </c>
      <c r="B157" s="51" t="s">
        <v>375</v>
      </c>
      <c r="C157" s="51" t="s">
        <v>1398</v>
      </c>
      <c r="D157" s="51" t="s">
        <v>376</v>
      </c>
      <c r="E157" s="51" t="s">
        <v>24</v>
      </c>
      <c r="F157" s="51" t="s">
        <v>1389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s="51" t="s">
        <v>377</v>
      </c>
      <c r="B158" s="51" t="s">
        <v>378</v>
      </c>
      <c r="C158" s="51" t="s">
        <v>1398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s="51" t="s">
        <v>377</v>
      </c>
      <c r="B159" s="51" t="s">
        <v>380</v>
      </c>
      <c r="C159" s="51" t="s">
        <v>1398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s="51" t="s">
        <v>374</v>
      </c>
      <c r="B160" s="51" t="s">
        <v>384</v>
      </c>
      <c r="C160" s="51" t="s">
        <v>1398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s="51" t="s">
        <v>377</v>
      </c>
      <c r="B161" s="51" t="s">
        <v>387</v>
      </c>
      <c r="C161" s="51" t="s">
        <v>1398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s="51" t="s">
        <v>377</v>
      </c>
      <c r="B162" s="51" t="s">
        <v>389</v>
      </c>
      <c r="C162" s="51" t="s">
        <v>1398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s="51" t="s">
        <v>377</v>
      </c>
      <c r="B163" s="51" t="s">
        <v>392</v>
      </c>
      <c r="C163" s="51" t="s">
        <v>1398</v>
      </c>
      <c r="D163" s="51" t="s">
        <v>393</v>
      </c>
      <c r="E163" s="51" t="s">
        <v>24</v>
      </c>
      <c r="F163" s="51" t="s">
        <v>1389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s="51" t="s">
        <v>377</v>
      </c>
      <c r="B164" s="51" t="s">
        <v>397</v>
      </c>
      <c r="C164" s="51" t="s">
        <v>1398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s="51" t="s">
        <v>402</v>
      </c>
      <c r="B165" s="51" t="s">
        <v>1283</v>
      </c>
      <c r="C165" s="51" t="s">
        <v>1398</v>
      </c>
      <c r="D165" s="51" t="s">
        <v>1284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s="51" t="s">
        <v>326</v>
      </c>
      <c r="B166" s="51" t="s">
        <v>399</v>
      </c>
      <c r="C166" s="51" t="s">
        <v>1399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27</v>
      </c>
      <c r="M166" s="17">
        <f t="shared" si="14"/>
        <v>3</v>
      </c>
      <c r="N166" s="18">
        <f t="shared" si="15"/>
        <v>0.9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1210</v>
      </c>
      <c r="AH166" s="27" t="s">
        <v>1210</v>
      </c>
      <c r="AI166" s="27" t="s">
        <v>1210</v>
      </c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s="51" t="s">
        <v>402</v>
      </c>
      <c r="B167" s="51" t="s">
        <v>403</v>
      </c>
      <c r="C167" s="51" t="s">
        <v>1399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s="51" t="s">
        <v>16</v>
      </c>
      <c r="B168" s="99" t="s">
        <v>17</v>
      </c>
      <c r="C168" s="51" t="s">
        <v>1399</v>
      </c>
      <c r="D168" s="51" t="s">
        <v>18</v>
      </c>
      <c r="E168" s="51" t="s">
        <v>19</v>
      </c>
      <c r="F168" s="51" t="s">
        <v>1389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1210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s="51" t="s">
        <v>518</v>
      </c>
      <c r="B169" s="51" t="s">
        <v>1285</v>
      </c>
      <c r="C169" s="51" t="s">
        <v>1399</v>
      </c>
      <c r="D169" s="51" t="s">
        <v>1286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1210</v>
      </c>
      <c r="V169" s="8" t="s">
        <v>1210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s="51" t="s">
        <v>1287</v>
      </c>
      <c r="B170" s="51" t="s">
        <v>1288</v>
      </c>
      <c r="C170" s="51" t="s">
        <v>1399</v>
      </c>
      <c r="D170" s="51" t="s">
        <v>1286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s="51" t="s">
        <v>22</v>
      </c>
      <c r="B171" s="99" t="s">
        <v>23</v>
      </c>
      <c r="C171" s="51" t="s">
        <v>1399</v>
      </c>
      <c r="D171" s="51" t="s">
        <v>1289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1210</v>
      </c>
      <c r="V171" s="8" t="s">
        <v>1210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s="51" t="s">
        <v>22</v>
      </c>
      <c r="B172" s="99" t="s">
        <v>27</v>
      </c>
      <c r="C172" s="51" t="s">
        <v>1399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A173" s="51" t="s">
        <v>22</v>
      </c>
      <c r="B173" s="99" t="s">
        <v>29</v>
      </c>
      <c r="C173" s="51" t="s">
        <v>1399</v>
      </c>
      <c r="D173" s="51" t="s">
        <v>1290</v>
      </c>
      <c r="E173" s="51" t="s">
        <v>19</v>
      </c>
      <c r="F173" s="51" t="s">
        <v>1390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1210</v>
      </c>
      <c r="V173" s="8" t="s">
        <v>1210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s="51" t="s">
        <v>22</v>
      </c>
      <c r="B174" s="99" t="s">
        <v>31</v>
      </c>
      <c r="C174" s="51" t="s">
        <v>1399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1210</v>
      </c>
      <c r="V174" s="8" t="s">
        <v>1210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s="51" t="s">
        <v>406</v>
      </c>
      <c r="B175" s="51" t="s">
        <v>1291</v>
      </c>
      <c r="C175" s="51" t="s">
        <v>1398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s="51" t="s">
        <v>411</v>
      </c>
      <c r="B176" s="51" t="s">
        <v>1292</v>
      </c>
      <c r="C176" s="51" t="s">
        <v>1398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s="51" t="s">
        <v>411</v>
      </c>
      <c r="B177" s="51" t="s">
        <v>1293</v>
      </c>
      <c r="C177" s="51" t="s">
        <v>1398</v>
      </c>
      <c r="D177" s="51" t="s">
        <v>417</v>
      </c>
      <c r="E177" s="51" t="s">
        <v>24</v>
      </c>
      <c r="F177" s="51" t="s">
        <v>1389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1210</v>
      </c>
      <c r="P177" s="8" t="s">
        <v>1210</v>
      </c>
      <c r="Q177" s="8" t="s">
        <v>1210</v>
      </c>
      <c r="R177" s="8" t="s">
        <v>1210</v>
      </c>
      <c r="S177" s="27" t="s">
        <v>1210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s="51" t="s">
        <v>377</v>
      </c>
      <c r="B178" s="51" t="s">
        <v>409</v>
      </c>
      <c r="C178" s="51" t="s">
        <v>1398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1395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s="51" t="s">
        <v>406</v>
      </c>
      <c r="B179" s="51" t="s">
        <v>414</v>
      </c>
      <c r="C179" s="51" t="s">
        <v>1398</v>
      </c>
      <c r="D179" s="51" t="s">
        <v>415</v>
      </c>
      <c r="E179" s="51" t="s">
        <v>24</v>
      </c>
      <c r="F179" s="51" t="s">
        <v>1389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s="51" t="s">
        <v>411</v>
      </c>
      <c r="B180" s="51" t="s">
        <v>419</v>
      </c>
      <c r="C180" s="51" t="s">
        <v>1398</v>
      </c>
      <c r="D180" s="51" t="s">
        <v>420</v>
      </c>
      <c r="E180" s="51" t="s">
        <v>19</v>
      </c>
      <c r="F180" s="51" t="s">
        <v>1389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A181" s="51" t="s">
        <v>422</v>
      </c>
      <c r="B181" s="51" t="s">
        <v>423</v>
      </c>
      <c r="C181" s="51" t="s">
        <v>1398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s="51" t="s">
        <v>422</v>
      </c>
      <c r="B182" s="51" t="s">
        <v>425</v>
      </c>
      <c r="C182" s="51" t="s">
        <v>1398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1210</v>
      </c>
      <c r="Q182" s="8" t="s">
        <v>1210</v>
      </c>
      <c r="R182" s="8" t="s">
        <v>1210</v>
      </c>
      <c r="S182" s="27" t="s">
        <v>1210</v>
      </c>
      <c r="T182" s="27"/>
      <c r="U182" s="8" t="s">
        <v>1210</v>
      </c>
      <c r="V182" s="8" t="s">
        <v>1210</v>
      </c>
      <c r="W182" s="8" t="s">
        <v>1210</v>
      </c>
      <c r="X182" s="27" t="s">
        <v>1210</v>
      </c>
      <c r="Y182" s="27" t="s">
        <v>1210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s="51" t="s">
        <v>422</v>
      </c>
      <c r="B183" s="51" t="s">
        <v>428</v>
      </c>
      <c r="C183" s="51" t="s">
        <v>1398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s="51" t="s">
        <v>422</v>
      </c>
      <c r="B184" s="51" t="s">
        <v>430</v>
      </c>
      <c r="C184" s="51" t="s">
        <v>1398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s="51" t="s">
        <v>433</v>
      </c>
      <c r="B185" s="51" t="s">
        <v>1294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1210</v>
      </c>
      <c r="R185" s="8" t="s">
        <v>1210</v>
      </c>
      <c r="S185" s="27" t="s">
        <v>1210</v>
      </c>
      <c r="T185" s="27"/>
      <c r="U185" s="8"/>
      <c r="V185" s="8"/>
      <c r="W185" s="8"/>
      <c r="X185" s="27"/>
      <c r="Y185" s="27"/>
      <c r="Z185" s="27" t="s">
        <v>1210</v>
      </c>
      <c r="AA185" s="27" t="s">
        <v>1210</v>
      </c>
      <c r="AB185" s="27" t="s">
        <v>1210</v>
      </c>
      <c r="AC185" s="27" t="s">
        <v>1210</v>
      </c>
      <c r="AD185" s="27" t="s">
        <v>1210</v>
      </c>
      <c r="AE185" s="27" t="s">
        <v>1210</v>
      </c>
      <c r="AF185" s="27" t="s">
        <v>1210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1210</v>
      </c>
      <c r="R186" s="8" t="s">
        <v>1210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1210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1210</v>
      </c>
      <c r="P187" s="8" t="s">
        <v>1210</v>
      </c>
      <c r="Q187" s="8" t="s">
        <v>1210</v>
      </c>
      <c r="R187" s="8" t="s">
        <v>1210</v>
      </c>
      <c r="S187" s="27" t="s">
        <v>1210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1390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1210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1396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s="51" t="s">
        <v>72</v>
      </c>
      <c r="B191" s="51" t="s">
        <v>450</v>
      </c>
      <c r="C191" s="51" t="s">
        <v>1398</v>
      </c>
      <c r="D191" s="51" t="s">
        <v>451</v>
      </c>
      <c r="E191" s="51" t="s">
        <v>24</v>
      </c>
      <c r="F191" s="51" t="s">
        <v>1389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12</v>
      </c>
      <c r="M191" s="17">
        <f t="shared" si="14"/>
        <v>18</v>
      </c>
      <c r="N191" s="18">
        <f t="shared" si="15"/>
        <v>0.4</v>
      </c>
      <c r="O191" s="27" t="s">
        <v>1210</v>
      </c>
      <c r="P191" s="8" t="s">
        <v>1210</v>
      </c>
      <c r="Q191" s="8" t="s">
        <v>1210</v>
      </c>
      <c r="R191" s="8" t="s">
        <v>1210</v>
      </c>
      <c r="S191" s="27" t="s">
        <v>1210</v>
      </c>
      <c r="T191" s="27"/>
      <c r="U191" s="8" t="s">
        <v>1210</v>
      </c>
      <c r="V191" s="8" t="s">
        <v>1210</v>
      </c>
      <c r="W191" s="8" t="s">
        <v>1210</v>
      </c>
      <c r="X191" s="27" t="s">
        <v>1210</v>
      </c>
      <c r="Y191" s="27" t="s">
        <v>1210</v>
      </c>
      <c r="Z191" s="27" t="s">
        <v>1210</v>
      </c>
      <c r="AA191" s="27" t="s">
        <v>1210</v>
      </c>
      <c r="AB191" s="27" t="s">
        <v>1210</v>
      </c>
      <c r="AC191" s="27" t="s">
        <v>1210</v>
      </c>
      <c r="AD191" s="27" t="s">
        <v>1210</v>
      </c>
      <c r="AE191" s="27" t="s">
        <v>1210</v>
      </c>
      <c r="AF191" s="27" t="s">
        <v>1210</v>
      </c>
      <c r="AG191" s="27" t="s">
        <v>1210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1389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1210</v>
      </c>
      <c r="P192" s="8" t="s">
        <v>1210</v>
      </c>
      <c r="Q192" s="8" t="s">
        <v>1210</v>
      </c>
      <c r="R192" s="8" t="s">
        <v>1210</v>
      </c>
      <c r="S192" s="27" t="s">
        <v>1210</v>
      </c>
      <c r="T192" s="27"/>
      <c r="U192" s="8" t="s">
        <v>1210</v>
      </c>
      <c r="V192" s="8" t="s">
        <v>1210</v>
      </c>
      <c r="W192" s="8" t="s">
        <v>1210</v>
      </c>
      <c r="X192" s="27" t="s">
        <v>1210</v>
      </c>
      <c r="Y192" s="27" t="s">
        <v>1210</v>
      </c>
      <c r="Z192" s="27" t="s">
        <v>1210</v>
      </c>
      <c r="AA192" s="27" t="s">
        <v>1210</v>
      </c>
      <c r="AB192" s="27" t="s">
        <v>1210</v>
      </c>
      <c r="AC192" s="27" t="s">
        <v>1210</v>
      </c>
      <c r="AD192" s="27" t="s">
        <v>1210</v>
      </c>
      <c r="AE192" s="27" t="s">
        <v>1210</v>
      </c>
      <c r="AF192" s="27" t="s">
        <v>1210</v>
      </c>
      <c r="AG192" s="27" t="s">
        <v>1210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1210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s="51" t="s">
        <v>433</v>
      </c>
      <c r="B194" s="51" t="s">
        <v>458</v>
      </c>
      <c r="C194" s="51" t="s">
        <v>1399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1210</v>
      </c>
      <c r="X194" s="27" t="s">
        <v>1210</v>
      </c>
      <c r="Y194" s="27" t="s">
        <v>1210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s="51" t="s">
        <v>460</v>
      </c>
      <c r="B195" s="51" t="s">
        <v>461</v>
      </c>
      <c r="C195" s="51" t="s">
        <v>1399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s="51" t="s">
        <v>460</v>
      </c>
      <c r="B197" s="51" t="s">
        <v>465</v>
      </c>
      <c r="C197" s="51" t="s">
        <v>1399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26</v>
      </c>
      <c r="M197" s="17">
        <f t="shared" ref="M197:M262" si="17">COUNTIF(O197:AP197,"APAGADO")</f>
        <v>4</v>
      </c>
      <c r="N197" s="18">
        <f t="shared" ref="N197:N262" si="18">(L197)/(M197+L197)</f>
        <v>0.8666666666666667</v>
      </c>
      <c r="O197" s="27"/>
      <c r="P197" s="8"/>
      <c r="Q197" s="8"/>
      <c r="R197" s="8"/>
      <c r="S197" s="27"/>
      <c r="T197" s="27"/>
      <c r="U197" s="8" t="s">
        <v>1210</v>
      </c>
      <c r="V197" s="8" t="s">
        <v>1210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1210</v>
      </c>
      <c r="AI197" s="27" t="s">
        <v>1210</v>
      </c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s="51" t="s">
        <v>460</v>
      </c>
      <c r="B198" s="51" t="s">
        <v>468</v>
      </c>
      <c r="C198" s="51" t="s">
        <v>1399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26</v>
      </c>
      <c r="M198" s="17">
        <f t="shared" si="17"/>
        <v>4</v>
      </c>
      <c r="N198" s="18">
        <f t="shared" si="18"/>
        <v>0.8666666666666667</v>
      </c>
      <c r="O198" s="27"/>
      <c r="P198" s="8"/>
      <c r="Q198" s="8"/>
      <c r="R198" s="8"/>
      <c r="S198" s="27"/>
      <c r="T198" s="27"/>
      <c r="U198" s="8" t="s">
        <v>1210</v>
      </c>
      <c r="V198" s="8" t="s">
        <v>1210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1210</v>
      </c>
      <c r="AI198" s="27" t="s">
        <v>1210</v>
      </c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1210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1210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1210</v>
      </c>
      <c r="S201" s="27"/>
      <c r="T201" s="27"/>
      <c r="U201" s="8"/>
      <c r="V201" s="8" t="s">
        <v>1210</v>
      </c>
      <c r="W201" s="8" t="s">
        <v>1210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s="51" t="s">
        <v>268</v>
      </c>
      <c r="B202" s="51" t="s">
        <v>477</v>
      </c>
      <c r="C202" s="51" t="s">
        <v>1399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1210</v>
      </c>
      <c r="S202" s="27"/>
      <c r="T202" s="27"/>
      <c r="U202" s="8"/>
      <c r="V202" s="8"/>
      <c r="W202" s="8" t="s">
        <v>1210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1210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s="51" t="s">
        <v>306</v>
      </c>
      <c r="B204" s="51" t="s">
        <v>481</v>
      </c>
      <c r="C204" s="51" t="s">
        <v>1399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s="51" t="s">
        <v>326</v>
      </c>
      <c r="B205" s="51" t="s">
        <v>1295</v>
      </c>
      <c r="C205" s="51" t="s">
        <v>1399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s="51" t="s">
        <v>326</v>
      </c>
      <c r="B206" s="51" t="s">
        <v>483</v>
      </c>
      <c r="C206" s="51" t="s">
        <v>1399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1210</v>
      </c>
      <c r="P206" s="8" t="s">
        <v>1210</v>
      </c>
      <c r="Q206" s="8" t="s">
        <v>1210</v>
      </c>
      <c r="R206" s="8" t="s">
        <v>1210</v>
      </c>
      <c r="S206" s="27" t="s">
        <v>1210</v>
      </c>
      <c r="T206" s="27"/>
      <c r="U206" s="8" t="s">
        <v>1210</v>
      </c>
      <c r="V206" s="8" t="s">
        <v>1210</v>
      </c>
      <c r="W206" s="8" t="s">
        <v>1210</v>
      </c>
      <c r="X206" s="27" t="s">
        <v>1210</v>
      </c>
      <c r="Y206" s="27" t="s">
        <v>1210</v>
      </c>
      <c r="Z206" s="27" t="s">
        <v>1210</v>
      </c>
      <c r="AA206" s="27" t="s">
        <v>1210</v>
      </c>
      <c r="AB206" s="27" t="s">
        <v>1210</v>
      </c>
      <c r="AC206" s="27" t="s">
        <v>1210</v>
      </c>
      <c r="AD206" s="27" t="s">
        <v>1210</v>
      </c>
      <c r="AE206" s="27" t="s">
        <v>1210</v>
      </c>
      <c r="AF206" s="27" t="s">
        <v>1210</v>
      </c>
      <c r="AG206" s="27" t="s">
        <v>1210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s="51" t="s">
        <v>402</v>
      </c>
      <c r="B207" s="51" t="s">
        <v>485</v>
      </c>
      <c r="C207" s="51" t="s">
        <v>1398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1210</v>
      </c>
      <c r="P207" s="8" t="s">
        <v>1210</v>
      </c>
      <c r="Q207" s="8" t="s">
        <v>1210</v>
      </c>
      <c r="R207" s="8" t="s">
        <v>1210</v>
      </c>
      <c r="S207" s="27" t="s">
        <v>1210</v>
      </c>
      <c r="T207" s="27"/>
      <c r="U207" s="8" t="s">
        <v>1210</v>
      </c>
      <c r="V207" s="8" t="s">
        <v>1210</v>
      </c>
      <c r="W207" s="8" t="s">
        <v>1210</v>
      </c>
      <c r="X207" s="27" t="s">
        <v>1210</v>
      </c>
      <c r="Y207" s="27" t="s">
        <v>1210</v>
      </c>
      <c r="Z207" s="27" t="s">
        <v>1210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s="51" t="s">
        <v>488</v>
      </c>
      <c r="B208" s="51" t="s">
        <v>489</v>
      </c>
      <c r="C208" s="51" t="s">
        <v>1399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1210</v>
      </c>
      <c r="AB208" s="27" t="s">
        <v>1210</v>
      </c>
      <c r="AC208" s="27" t="s">
        <v>1210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s="51" t="s">
        <v>488</v>
      </c>
      <c r="B209" s="51" t="s">
        <v>491</v>
      </c>
      <c r="C209" s="51" t="s">
        <v>1399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s="51" t="s">
        <v>492</v>
      </c>
      <c r="B210" s="51" t="s">
        <v>1296</v>
      </c>
      <c r="C210" s="51" t="s">
        <v>1399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28</v>
      </c>
      <c r="M210" s="17">
        <f t="shared" si="17"/>
        <v>2</v>
      </c>
      <c r="N210" s="18">
        <f t="shared" si="18"/>
        <v>0.93333333333333335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1210</v>
      </c>
      <c r="AI210" s="27" t="s">
        <v>1210</v>
      </c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s="51" t="s">
        <v>283</v>
      </c>
      <c r="B211" s="51" t="s">
        <v>494</v>
      </c>
      <c r="C211" s="51" t="s">
        <v>1399</v>
      </c>
      <c r="D211" s="51" t="s">
        <v>495</v>
      </c>
      <c r="E211" s="51" t="s">
        <v>19</v>
      </c>
      <c r="F211" s="51" t="s">
        <v>1390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1210</v>
      </c>
      <c r="P211" s="8" t="s">
        <v>1210</v>
      </c>
      <c r="Q211" s="8" t="s">
        <v>1210</v>
      </c>
      <c r="R211" s="8" t="s">
        <v>1210</v>
      </c>
      <c r="S211" s="27" t="s">
        <v>1210</v>
      </c>
      <c r="T211" s="27"/>
      <c r="U211" s="8" t="s">
        <v>1210</v>
      </c>
      <c r="V211" s="8" t="s">
        <v>1210</v>
      </c>
      <c r="W211" s="8" t="s">
        <v>1210</v>
      </c>
      <c r="X211" s="27" t="s">
        <v>1210</v>
      </c>
      <c r="Y211" s="27" t="s">
        <v>1210</v>
      </c>
      <c r="Z211" s="27" t="s">
        <v>1210</v>
      </c>
      <c r="AA211" s="27" t="s">
        <v>1210</v>
      </c>
      <c r="AB211" s="27" t="s">
        <v>1210</v>
      </c>
      <c r="AC211" s="27" t="s">
        <v>1210</v>
      </c>
      <c r="AD211" s="27" t="s">
        <v>1210</v>
      </c>
      <c r="AE211" s="27" t="s">
        <v>1210</v>
      </c>
      <c r="AF211" s="27" t="s">
        <v>1210</v>
      </c>
      <c r="AG211" s="27" t="s">
        <v>1210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1390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1210</v>
      </c>
      <c r="P212" s="8" t="s">
        <v>1210</v>
      </c>
      <c r="Q212" s="8" t="s">
        <v>1210</v>
      </c>
      <c r="R212" s="8" t="s">
        <v>1210</v>
      </c>
      <c r="S212" s="27" t="s">
        <v>1210</v>
      </c>
      <c r="T212" s="27"/>
      <c r="U212" s="8" t="s">
        <v>1210</v>
      </c>
      <c r="V212" s="8" t="s">
        <v>1210</v>
      </c>
      <c r="W212" s="8" t="s">
        <v>1210</v>
      </c>
      <c r="X212" s="27" t="s">
        <v>1210</v>
      </c>
      <c r="Y212" s="27" t="s">
        <v>1210</v>
      </c>
      <c r="Z212" s="27" t="s">
        <v>1210</v>
      </c>
      <c r="AA212" s="27" t="s">
        <v>1210</v>
      </c>
      <c r="AB212" s="27" t="s">
        <v>1210</v>
      </c>
      <c r="AC212" s="27" t="s">
        <v>1210</v>
      </c>
      <c r="AD212" s="27" t="s">
        <v>1210</v>
      </c>
      <c r="AE212" s="27" t="s">
        <v>1210</v>
      </c>
      <c r="AF212" s="27" t="s">
        <v>1210</v>
      </c>
      <c r="AG212" s="27" t="s">
        <v>1210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s="51" t="s">
        <v>498</v>
      </c>
      <c r="B213" s="51" t="s">
        <v>499</v>
      </c>
      <c r="C213" s="51" t="s">
        <v>1399</v>
      </c>
      <c r="D213" s="51" t="s">
        <v>1297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1210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s="51" t="s">
        <v>498</v>
      </c>
      <c r="B214" s="51" t="s">
        <v>500</v>
      </c>
      <c r="C214" s="51" t="s">
        <v>1399</v>
      </c>
      <c r="D214" s="51" t="s">
        <v>1297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1210</v>
      </c>
      <c r="X214" s="27" t="s">
        <v>1210</v>
      </c>
      <c r="Y214" s="27" t="s">
        <v>1210</v>
      </c>
      <c r="Z214" s="27" t="s">
        <v>1210</v>
      </c>
      <c r="AA214" s="27"/>
      <c r="AB214" s="27"/>
      <c r="AC214" s="27"/>
      <c r="AD214" s="27"/>
      <c r="AE214" s="27" t="s">
        <v>1210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s="51" t="s">
        <v>488</v>
      </c>
      <c r="B215" s="51" t="s">
        <v>501</v>
      </c>
      <c r="C215" s="51" t="s">
        <v>1399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1210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s="51" t="s">
        <v>488</v>
      </c>
      <c r="B216" s="51" t="s">
        <v>503</v>
      </c>
      <c r="C216" s="51" t="s">
        <v>1399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27</v>
      </c>
      <c r="M216" s="17">
        <f t="shared" si="17"/>
        <v>3</v>
      </c>
      <c r="N216" s="18">
        <f t="shared" si="18"/>
        <v>0.9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1210</v>
      </c>
      <c r="AF216" s="27"/>
      <c r="AG216" s="27"/>
      <c r="AH216" s="27" t="s">
        <v>1210</v>
      </c>
      <c r="AI216" s="27" t="s">
        <v>1210</v>
      </c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s="51" t="s">
        <v>264</v>
      </c>
      <c r="B217" s="51" t="s">
        <v>1298</v>
      </c>
      <c r="C217" s="51"/>
      <c r="D217" s="51" t="s">
        <v>1299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27</v>
      </c>
      <c r="M217" s="17">
        <f t="shared" si="17"/>
        <v>3</v>
      </c>
      <c r="N217" s="18">
        <f t="shared" si="18"/>
        <v>0.9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1210</v>
      </c>
      <c r="AF217" s="27"/>
      <c r="AG217" s="27"/>
      <c r="AH217" s="27" t="s">
        <v>1210</v>
      </c>
      <c r="AI217" s="27" t="s">
        <v>1210</v>
      </c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s="51" t="s">
        <v>268</v>
      </c>
      <c r="B218" s="51" t="s">
        <v>1300</v>
      </c>
      <c r="C218" s="51" t="s">
        <v>1399</v>
      </c>
      <c r="D218" s="51" t="s">
        <v>1301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1210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s="51" t="s">
        <v>306</v>
      </c>
      <c r="B219" s="51" t="s">
        <v>1302</v>
      </c>
      <c r="C219" s="51"/>
      <c r="D219" s="51" t="s">
        <v>1303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1210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s="51" t="s">
        <v>402</v>
      </c>
      <c r="B220" s="51" t="s">
        <v>504</v>
      </c>
      <c r="C220" s="51" t="s">
        <v>1399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1210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s="51" t="s">
        <v>402</v>
      </c>
      <c r="B221" s="51" t="s">
        <v>1304</v>
      </c>
      <c r="C221" s="51" t="s">
        <v>1399</v>
      </c>
      <c r="D221" s="51" t="s">
        <v>1305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1210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s="51" t="s">
        <v>488</v>
      </c>
      <c r="B222" s="51" t="s">
        <v>1306</v>
      </c>
      <c r="C222" s="51" t="s">
        <v>1399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1210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s="51" t="s">
        <v>283</v>
      </c>
      <c r="B223" s="51" t="s">
        <v>1307</v>
      </c>
      <c r="C223" s="51"/>
      <c r="D223" s="51" t="s">
        <v>1308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1210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s="51" t="s">
        <v>498</v>
      </c>
      <c r="B224" s="51" t="s">
        <v>1309</v>
      </c>
      <c r="C224" s="51" t="s">
        <v>1399</v>
      </c>
      <c r="D224" s="51" t="s">
        <v>1310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1210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s="51" t="s">
        <v>488</v>
      </c>
      <c r="B225" s="51" t="s">
        <v>1311</v>
      </c>
      <c r="C225" s="51" t="s">
        <v>1399</v>
      </c>
      <c r="D225" s="51" t="s">
        <v>1312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s="51" t="s">
        <v>326</v>
      </c>
      <c r="B226" s="51" t="s">
        <v>1313</v>
      </c>
      <c r="C226" s="51" t="s">
        <v>1399</v>
      </c>
      <c r="D226" s="51" t="s">
        <v>1314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s="51" t="s">
        <v>505</v>
      </c>
      <c r="B227" s="51" t="s">
        <v>506</v>
      </c>
      <c r="C227" s="51" t="s">
        <v>1399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s="51" t="s">
        <v>505</v>
      </c>
      <c r="B228" s="51" t="s">
        <v>1315</v>
      </c>
      <c r="C228" s="51" t="s">
        <v>1399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s="51" t="s">
        <v>505</v>
      </c>
      <c r="B229" s="51" t="s">
        <v>510</v>
      </c>
      <c r="C229" s="51" t="s">
        <v>1399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s="51" t="s">
        <v>505</v>
      </c>
      <c r="B230" s="51" t="s">
        <v>513</v>
      </c>
      <c r="C230" s="51" t="s">
        <v>1399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1210</v>
      </c>
      <c r="V230" s="8" t="s">
        <v>1210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s="51" t="s">
        <v>505</v>
      </c>
      <c r="B231" s="51" t="s">
        <v>514</v>
      </c>
      <c r="C231" s="51" t="s">
        <v>1399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1210</v>
      </c>
      <c r="P231" s="8" t="s">
        <v>1210</v>
      </c>
      <c r="Q231" s="8" t="s">
        <v>1210</v>
      </c>
      <c r="R231" s="8" t="s">
        <v>1210</v>
      </c>
      <c r="S231" s="27" t="s">
        <v>1210</v>
      </c>
      <c r="T231" s="27"/>
      <c r="U231" s="8" t="s">
        <v>1210</v>
      </c>
      <c r="V231" s="8" t="s">
        <v>1210</v>
      </c>
      <c r="W231" s="8" t="s">
        <v>1210</v>
      </c>
      <c r="X231" s="27" t="s">
        <v>1210</v>
      </c>
      <c r="Y231" s="27" t="s">
        <v>1210</v>
      </c>
      <c r="Z231" s="27" t="s">
        <v>1210</v>
      </c>
      <c r="AA231" s="27" t="s">
        <v>1210</v>
      </c>
      <c r="AB231" s="27" t="s">
        <v>1210</v>
      </c>
      <c r="AC231" s="27" t="s">
        <v>1210</v>
      </c>
      <c r="AD231" s="27" t="s">
        <v>1210</v>
      </c>
      <c r="AE231" s="27" t="s">
        <v>1210</v>
      </c>
      <c r="AF231" s="27" t="s">
        <v>1210</v>
      </c>
      <c r="AG231" s="27" t="s">
        <v>1210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s="51" t="s">
        <v>505</v>
      </c>
      <c r="B232" s="51" t="s">
        <v>516</v>
      </c>
      <c r="C232" s="51" t="s">
        <v>1399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1210</v>
      </c>
      <c r="P232" s="8" t="s">
        <v>1210</v>
      </c>
      <c r="Q232" s="8" t="s">
        <v>1210</v>
      </c>
      <c r="R232" s="8" t="s">
        <v>1210</v>
      </c>
      <c r="S232" s="27" t="s">
        <v>1210</v>
      </c>
      <c r="T232" s="27"/>
      <c r="U232" s="8" t="s">
        <v>1210</v>
      </c>
      <c r="V232" s="8" t="s">
        <v>1210</v>
      </c>
      <c r="W232" s="8" t="s">
        <v>1210</v>
      </c>
      <c r="X232" s="27" t="s">
        <v>1210</v>
      </c>
      <c r="Y232" s="27" t="s">
        <v>1210</v>
      </c>
      <c r="Z232" s="27" t="s">
        <v>1210</v>
      </c>
      <c r="AA232" s="27" t="s">
        <v>1210</v>
      </c>
      <c r="AB232" s="27" t="s">
        <v>1210</v>
      </c>
      <c r="AC232" s="27" t="s">
        <v>1210</v>
      </c>
      <c r="AD232" s="27" t="s">
        <v>1210</v>
      </c>
      <c r="AE232" s="27" t="s">
        <v>1210</v>
      </c>
      <c r="AF232" s="27" t="s">
        <v>1210</v>
      </c>
      <c r="AG232" s="27" t="s">
        <v>1210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s="51" t="s">
        <v>518</v>
      </c>
      <c r="B233" s="51" t="s">
        <v>1316</v>
      </c>
      <c r="C233" s="51" t="s">
        <v>1399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A234" s="51" t="s">
        <v>518</v>
      </c>
      <c r="B234" s="51" t="s">
        <v>1317</v>
      </c>
      <c r="C234" s="51" t="s">
        <v>1399</v>
      </c>
      <c r="D234" s="51" t="s">
        <v>1318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1197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s="51" t="s">
        <v>518</v>
      </c>
      <c r="B235" s="51" t="s">
        <v>1319</v>
      </c>
      <c r="C235" s="51" t="s">
        <v>1399</v>
      </c>
      <c r="D235" s="51" t="s">
        <v>1320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1198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s="51" t="s">
        <v>518</v>
      </c>
      <c r="B236" s="51" t="s">
        <v>1321</v>
      </c>
      <c r="C236" s="51" t="s">
        <v>1399</v>
      </c>
      <c r="D236" s="51" t="s">
        <v>1322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1199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s="51" t="s">
        <v>518</v>
      </c>
      <c r="B237" s="51" t="s">
        <v>1323</v>
      </c>
      <c r="C237" s="51" t="s">
        <v>1399</v>
      </c>
      <c r="D237" s="51" t="s">
        <v>1324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1200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s="51" t="s">
        <v>518</v>
      </c>
      <c r="B238" s="51" t="s">
        <v>1325</v>
      </c>
      <c r="C238" s="51" t="s">
        <v>1399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s="51" t="s">
        <v>518</v>
      </c>
      <c r="B239" s="51" t="s">
        <v>1326</v>
      </c>
      <c r="C239" s="51" t="s">
        <v>1399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1210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s="51" t="s">
        <v>518</v>
      </c>
      <c r="B240" s="51" t="s">
        <v>521</v>
      </c>
      <c r="C240" s="51" t="s">
        <v>1399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1210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s="51" t="s">
        <v>518</v>
      </c>
      <c r="B241" s="51" t="s">
        <v>523</v>
      </c>
      <c r="C241" s="51" t="s">
        <v>1399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s="51" t="s">
        <v>1188</v>
      </c>
      <c r="B242" s="51" t="s">
        <v>1327</v>
      </c>
      <c r="C242" s="51" t="s">
        <v>1399</v>
      </c>
      <c r="D242" s="51" t="s">
        <v>1328</v>
      </c>
      <c r="E242" s="51" t="s">
        <v>1391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s="51" t="s">
        <v>1188</v>
      </c>
      <c r="B243" s="51" t="s">
        <v>1187</v>
      </c>
      <c r="C243" s="51" t="s">
        <v>1399</v>
      </c>
      <c r="D243" s="51" t="s">
        <v>1328</v>
      </c>
      <c r="E243" s="51" t="s">
        <v>1392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s="51" t="s">
        <v>374</v>
      </c>
      <c r="B244" s="51" t="s">
        <v>1329</v>
      </c>
      <c r="C244" s="51" t="s">
        <v>1398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s="51" t="s">
        <v>374</v>
      </c>
      <c r="B245" s="51" t="s">
        <v>1330</v>
      </c>
      <c r="C245" s="51" t="s">
        <v>1398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1210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s="51" t="s">
        <v>374</v>
      </c>
      <c r="B246" s="51" t="s">
        <v>1331</v>
      </c>
      <c r="C246" s="51"/>
      <c r="D246" s="51" t="s">
        <v>1332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s="51" t="s">
        <v>374</v>
      </c>
      <c r="B247" s="51" t="s">
        <v>1333</v>
      </c>
      <c r="C247" s="51"/>
      <c r="D247" s="51" t="s">
        <v>1334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1210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s="51" t="s">
        <v>374</v>
      </c>
      <c r="B248" s="51" t="s">
        <v>527</v>
      </c>
      <c r="C248" s="51" t="s">
        <v>1398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1210</v>
      </c>
      <c r="X248" s="27" t="s">
        <v>1210</v>
      </c>
      <c r="Y248" s="27" t="s">
        <v>1210</v>
      </c>
      <c r="Z248" s="27" t="s">
        <v>1210</v>
      </c>
      <c r="AA248" s="27" t="s">
        <v>1210</v>
      </c>
      <c r="AB248" s="27" t="s">
        <v>1210</v>
      </c>
      <c r="AC248" s="27" t="s">
        <v>1210</v>
      </c>
      <c r="AD248" s="27" t="s">
        <v>1210</v>
      </c>
      <c r="AE248" s="27" t="s">
        <v>1210</v>
      </c>
      <c r="AF248" s="27" t="s">
        <v>1210</v>
      </c>
      <c r="AG248" s="27" t="s">
        <v>1210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s="51" t="s">
        <v>530</v>
      </c>
      <c r="B249" s="51" t="s">
        <v>531</v>
      </c>
      <c r="C249" s="51" t="s">
        <v>1398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s="51" t="s">
        <v>530</v>
      </c>
      <c r="B250" s="51" t="s">
        <v>534</v>
      </c>
      <c r="C250" s="51" t="s">
        <v>1398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1210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s="51" t="s">
        <v>537</v>
      </c>
      <c r="B251" s="51" t="s">
        <v>538</v>
      </c>
      <c r="C251" s="51" t="s">
        <v>1398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s="51" t="s">
        <v>411</v>
      </c>
      <c r="B252" s="51" t="s">
        <v>1335</v>
      </c>
      <c r="C252" s="51" t="s">
        <v>1398</v>
      </c>
      <c r="D252" s="51" t="s">
        <v>543</v>
      </c>
      <c r="E252" s="51" t="s">
        <v>24</v>
      </c>
      <c r="F252" s="51" t="s">
        <v>1389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s="51" t="s">
        <v>411</v>
      </c>
      <c r="B253" s="51" t="s">
        <v>540</v>
      </c>
      <c r="C253" s="51" t="s">
        <v>1398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s="51" t="s">
        <v>411</v>
      </c>
      <c r="B254" s="51" t="s">
        <v>545</v>
      </c>
      <c r="C254" s="51" t="s">
        <v>1398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28</v>
      </c>
      <c r="M254" s="17">
        <f t="shared" si="17"/>
        <v>2</v>
      </c>
      <c r="N254" s="18">
        <f t="shared" si="18"/>
        <v>0.93333333333333335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1210</v>
      </c>
      <c r="AI254" s="27" t="s">
        <v>1210</v>
      </c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s="51" t="s">
        <v>411</v>
      </c>
      <c r="B255" s="51" t="s">
        <v>547</v>
      </c>
      <c r="C255" s="51" t="s">
        <v>1398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28</v>
      </c>
      <c r="M255" s="17">
        <f t="shared" si="17"/>
        <v>2</v>
      </c>
      <c r="N255" s="18">
        <f t="shared" si="18"/>
        <v>0.93333333333333335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1210</v>
      </c>
      <c r="AI255" s="27" t="s">
        <v>1210</v>
      </c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A256" s="51" t="s">
        <v>530</v>
      </c>
      <c r="B256" s="51" t="s">
        <v>548</v>
      </c>
      <c r="C256" s="51" t="s">
        <v>1398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s="51" t="s">
        <v>530</v>
      </c>
      <c r="B257" s="51" t="s">
        <v>550</v>
      </c>
      <c r="C257" s="51" t="s">
        <v>1398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s="51" t="s">
        <v>552</v>
      </c>
      <c r="B260" s="51" t="s">
        <v>558</v>
      </c>
      <c r="C260" s="51" t="s">
        <v>1398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s="51" t="s">
        <v>562</v>
      </c>
      <c r="B261" s="51" t="s">
        <v>1193</v>
      </c>
      <c r="C261" s="51" t="s">
        <v>1398</v>
      </c>
      <c r="D261" s="51" t="s">
        <v>1194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1201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s="51" t="s">
        <v>552</v>
      </c>
      <c r="B262" s="51" t="s">
        <v>1195</v>
      </c>
      <c r="C262" s="51" t="s">
        <v>1398</v>
      </c>
      <c r="D262" s="51" t="s">
        <v>1196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1202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s="51" t="s">
        <v>552</v>
      </c>
      <c r="B263" s="51" t="s">
        <v>1336</v>
      </c>
      <c r="C263" s="51"/>
      <c r="D263" s="51" t="s">
        <v>1337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s="51" t="s">
        <v>552</v>
      </c>
      <c r="B264" s="51" t="s">
        <v>559</v>
      </c>
      <c r="C264" s="51" t="s">
        <v>1398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s="51" t="s">
        <v>562</v>
      </c>
      <c r="B265" s="51" t="s">
        <v>563</v>
      </c>
      <c r="C265" s="51" t="s">
        <v>1398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s="51" t="s">
        <v>562</v>
      </c>
      <c r="B266" s="51" t="s">
        <v>565</v>
      </c>
      <c r="C266" s="51" t="s">
        <v>1398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s="51" t="s">
        <v>552</v>
      </c>
      <c r="B267" s="51" t="s">
        <v>566</v>
      </c>
      <c r="C267" s="51" t="s">
        <v>1398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s="51" t="s">
        <v>552</v>
      </c>
      <c r="B268" s="51" t="s">
        <v>569</v>
      </c>
      <c r="C268" s="51" t="s">
        <v>1398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s="51" t="s">
        <v>552</v>
      </c>
      <c r="B269" s="51" t="s">
        <v>570</v>
      </c>
      <c r="C269" s="51" t="s">
        <v>1398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s="51" t="s">
        <v>552</v>
      </c>
      <c r="B270" s="51" t="s">
        <v>573</v>
      </c>
      <c r="C270" s="51" t="s">
        <v>1398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s="51" t="s">
        <v>283</v>
      </c>
      <c r="B271" s="51" t="s">
        <v>574</v>
      </c>
      <c r="C271" s="51" t="s">
        <v>1399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28</v>
      </c>
      <c r="M272" s="17">
        <f t="shared" si="21"/>
        <v>2</v>
      </c>
      <c r="N272" s="18">
        <f t="shared" si="22"/>
        <v>0.93333333333333335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1210</v>
      </c>
      <c r="AI272" s="27" t="s">
        <v>1210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s="51" t="s">
        <v>283</v>
      </c>
      <c r="B273" s="51" t="s">
        <v>1338</v>
      </c>
      <c r="C273" s="51"/>
      <c r="D273" s="51" t="s">
        <v>1339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s="51" t="s">
        <v>283</v>
      </c>
      <c r="B274" s="51" t="s">
        <v>1340</v>
      </c>
      <c r="C274" s="51"/>
      <c r="D274" s="51" t="s">
        <v>1339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1210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29</v>
      </c>
      <c r="M281" s="17">
        <f t="shared" si="21"/>
        <v>1</v>
      </c>
      <c r="N281" s="18">
        <f t="shared" si="22"/>
        <v>0.96666666666666667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1210</v>
      </c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s="51" t="s">
        <v>597</v>
      </c>
      <c r="B282" s="51" t="s">
        <v>595</v>
      </c>
      <c r="C282" s="51" t="s">
        <v>1399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s="51" t="s">
        <v>597</v>
      </c>
      <c r="B283" s="51" t="s">
        <v>598</v>
      </c>
      <c r="C283" s="51" t="s">
        <v>1399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1210</v>
      </c>
      <c r="P283" s="8" t="s">
        <v>1210</v>
      </c>
      <c r="Q283" s="8" t="s">
        <v>1210</v>
      </c>
      <c r="R283" s="8" t="s">
        <v>1210</v>
      </c>
      <c r="S283" s="27" t="s">
        <v>1210</v>
      </c>
      <c r="T283" s="27"/>
      <c r="U283" s="8" t="s">
        <v>1210</v>
      </c>
      <c r="V283" s="8" t="s">
        <v>1210</v>
      </c>
      <c r="W283" s="8" t="s">
        <v>1210</v>
      </c>
      <c r="X283" s="27" t="s">
        <v>1210</v>
      </c>
      <c r="Y283" s="27" t="s">
        <v>1210</v>
      </c>
      <c r="Z283" s="27" t="s">
        <v>1210</v>
      </c>
      <c r="AA283" s="27" t="s">
        <v>1210</v>
      </c>
      <c r="AB283" s="27" t="s">
        <v>1210</v>
      </c>
      <c r="AC283" s="27" t="s">
        <v>1210</v>
      </c>
      <c r="AD283" s="27" t="s">
        <v>1210</v>
      </c>
      <c r="AE283" s="27" t="s">
        <v>1210</v>
      </c>
      <c r="AF283" s="27" t="s">
        <v>1210</v>
      </c>
      <c r="AG283" s="27" t="s">
        <v>1210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s="51" t="s">
        <v>597</v>
      </c>
      <c r="B284" s="51" t="s">
        <v>602</v>
      </c>
      <c r="C284" s="51" t="s">
        <v>1399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s="51" t="s">
        <v>597</v>
      </c>
      <c r="B285" s="51" t="s">
        <v>604</v>
      </c>
      <c r="C285" s="51" t="s">
        <v>1399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s="51" t="s">
        <v>597</v>
      </c>
      <c r="B286" s="51" t="s">
        <v>606</v>
      </c>
      <c r="C286" s="51" t="s">
        <v>1399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1210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s="51" t="s">
        <v>597</v>
      </c>
      <c r="B287" s="51" t="s">
        <v>608</v>
      </c>
      <c r="C287" s="51" t="s">
        <v>1399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1210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1390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s="51" t="s">
        <v>240</v>
      </c>
      <c r="B289" s="51" t="s">
        <v>1341</v>
      </c>
      <c r="C289" s="51" t="s">
        <v>1398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s="51" t="s">
        <v>240</v>
      </c>
      <c r="B290" s="51" t="s">
        <v>1342</v>
      </c>
      <c r="C290" s="51" t="s">
        <v>1398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s="51" t="s">
        <v>240</v>
      </c>
      <c r="B291" s="51" t="s">
        <v>613</v>
      </c>
      <c r="C291" s="51" t="s">
        <v>1398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s="51" t="s">
        <v>240</v>
      </c>
      <c r="B292" s="51" t="s">
        <v>616</v>
      </c>
      <c r="C292" s="51" t="s">
        <v>1398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s="51" t="s">
        <v>618</v>
      </c>
      <c r="B293" s="51" t="s">
        <v>1343</v>
      </c>
      <c r="C293" s="51" t="s">
        <v>1399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s="51" t="s">
        <v>618</v>
      </c>
      <c r="B294" s="51" t="s">
        <v>623</v>
      </c>
      <c r="C294" s="51" t="s">
        <v>1399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s="51" t="s">
        <v>618</v>
      </c>
      <c r="B295" s="51" t="s">
        <v>1344</v>
      </c>
      <c r="C295" s="51" t="s">
        <v>1399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s="51" t="s">
        <v>488</v>
      </c>
      <c r="B296" s="51" t="s">
        <v>1345</v>
      </c>
      <c r="C296" s="51" t="s">
        <v>1399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s="51" t="s">
        <v>488</v>
      </c>
      <c r="B297" s="51" t="s">
        <v>1346</v>
      </c>
      <c r="C297" s="51" t="s">
        <v>1399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s="51" t="s">
        <v>618</v>
      </c>
      <c r="B298" s="51" t="s">
        <v>1347</v>
      </c>
      <c r="C298" s="51" t="s">
        <v>1399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s="51" t="s">
        <v>618</v>
      </c>
      <c r="B299" s="51" t="s">
        <v>1348</v>
      </c>
      <c r="C299" s="51" t="s">
        <v>1399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1210</v>
      </c>
      <c r="Q299" s="8" t="s">
        <v>1210</v>
      </c>
      <c r="R299" s="8" t="s">
        <v>1210</v>
      </c>
      <c r="S299" s="27" t="s">
        <v>1210</v>
      </c>
      <c r="T299" s="27"/>
      <c r="U299" s="8" t="s">
        <v>1210</v>
      </c>
      <c r="V299" s="8" t="s">
        <v>1210</v>
      </c>
      <c r="W299" s="8" t="s">
        <v>1210</v>
      </c>
      <c r="X299" s="27" t="s">
        <v>1210</v>
      </c>
      <c r="Y299" s="27" t="s">
        <v>1210</v>
      </c>
      <c r="Z299" s="27" t="s">
        <v>1210</v>
      </c>
      <c r="AA299" s="27" t="s">
        <v>1210</v>
      </c>
      <c r="AB299" s="27" t="s">
        <v>1210</v>
      </c>
      <c r="AC299" s="27" t="s">
        <v>1210</v>
      </c>
      <c r="AD299" s="27" t="s">
        <v>1210</v>
      </c>
      <c r="AE299" s="27" t="s">
        <v>1210</v>
      </c>
      <c r="AF299" s="27" t="s">
        <v>1210</v>
      </c>
      <c r="AG299" s="27" t="s">
        <v>1210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s="51" t="s">
        <v>618</v>
      </c>
      <c r="B300" s="51" t="s">
        <v>631</v>
      </c>
      <c r="C300" s="51" t="s">
        <v>1399</v>
      </c>
      <c r="D300" s="51" t="s">
        <v>1349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1210</v>
      </c>
      <c r="Q300" s="8" t="s">
        <v>1210</v>
      </c>
      <c r="R300" s="8" t="s">
        <v>1210</v>
      </c>
      <c r="S300" s="27" t="s">
        <v>1210</v>
      </c>
      <c r="T300" s="27"/>
      <c r="U300" s="8" t="s">
        <v>1210</v>
      </c>
      <c r="V300" s="8" t="s">
        <v>1210</v>
      </c>
      <c r="W300" s="8" t="s">
        <v>1210</v>
      </c>
      <c r="X300" s="27" t="s">
        <v>1210</v>
      </c>
      <c r="Y300" s="27" t="s">
        <v>1210</v>
      </c>
      <c r="Z300" s="27" t="s">
        <v>1210</v>
      </c>
      <c r="AA300" s="27" t="s">
        <v>1210</v>
      </c>
      <c r="AB300" s="27" t="s">
        <v>1210</v>
      </c>
      <c r="AC300" s="27" t="s">
        <v>1210</v>
      </c>
      <c r="AD300" s="27" t="s">
        <v>1210</v>
      </c>
      <c r="AE300" s="27" t="s">
        <v>1210</v>
      </c>
      <c r="AF300" s="27" t="s">
        <v>1210</v>
      </c>
      <c r="AG300" s="27" t="s">
        <v>1210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s="51" t="s">
        <v>488</v>
      </c>
      <c r="B301" s="51" t="s">
        <v>632</v>
      </c>
      <c r="C301" s="51" t="s">
        <v>1399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1210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s="51" t="s">
        <v>618</v>
      </c>
      <c r="B302" s="51" t="s">
        <v>634</v>
      </c>
      <c r="C302" s="51" t="s">
        <v>1399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1210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s="51" t="s">
        <v>618</v>
      </c>
      <c r="B303" s="51" t="s">
        <v>1350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1210</v>
      </c>
      <c r="P303" s="8" t="s">
        <v>1210</v>
      </c>
      <c r="Q303" s="8" t="s">
        <v>1210</v>
      </c>
      <c r="R303" s="8" t="s">
        <v>1210</v>
      </c>
      <c r="S303" s="27" t="s">
        <v>1210</v>
      </c>
      <c r="T303" s="27"/>
      <c r="U303" s="8" t="s">
        <v>1210</v>
      </c>
      <c r="V303" s="8"/>
      <c r="W303" s="8" t="s">
        <v>1210</v>
      </c>
      <c r="X303" s="27"/>
      <c r="Y303" s="27"/>
      <c r="Z303" s="27"/>
      <c r="AA303" s="27" t="s">
        <v>1210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s="51" t="s">
        <v>618</v>
      </c>
      <c r="B304" s="51" t="s">
        <v>1351</v>
      </c>
      <c r="C304" s="51" t="s">
        <v>1399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1210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s="51" t="s">
        <v>618</v>
      </c>
      <c r="B305" s="51" t="s">
        <v>1352</v>
      </c>
      <c r="C305" s="51" t="s">
        <v>1399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1210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s="51" t="s">
        <v>618</v>
      </c>
      <c r="B306" s="51" t="s">
        <v>1353</v>
      </c>
      <c r="C306" s="51" t="s">
        <v>1399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1210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s="51" t="s">
        <v>618</v>
      </c>
      <c r="B307" s="51" t="s">
        <v>1354</v>
      </c>
      <c r="C307" s="51" t="s">
        <v>1399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1210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A308" s="51" t="s">
        <v>618</v>
      </c>
      <c r="B308" s="51" t="s">
        <v>641</v>
      </c>
      <c r="C308" s="51" t="s">
        <v>1399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1210</v>
      </c>
      <c r="P308" s="8" t="s">
        <v>1210</v>
      </c>
      <c r="Q308" s="8" t="s">
        <v>1210</v>
      </c>
      <c r="R308" s="8" t="s">
        <v>1210</v>
      </c>
      <c r="S308" s="27" t="s">
        <v>1210</v>
      </c>
      <c r="T308" s="27"/>
      <c r="U308" s="8" t="s">
        <v>1210</v>
      </c>
      <c r="V308" s="8" t="s">
        <v>1210</v>
      </c>
      <c r="W308" s="8" t="s">
        <v>1210</v>
      </c>
      <c r="X308" s="27"/>
      <c r="Y308" s="27" t="s">
        <v>1210</v>
      </c>
      <c r="Z308" s="27" t="s">
        <v>1210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s="51" t="s">
        <v>618</v>
      </c>
      <c r="B309" s="51" t="s">
        <v>644</v>
      </c>
      <c r="C309" s="51" t="s">
        <v>1399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1210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A310" s="51" t="s">
        <v>618</v>
      </c>
      <c r="B310" s="51" t="s">
        <v>1355</v>
      </c>
      <c r="C310" s="51" t="s">
        <v>1399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s="51" t="s">
        <v>618</v>
      </c>
      <c r="B311" s="51" t="s">
        <v>1356</v>
      </c>
      <c r="C311" s="51" t="s">
        <v>1399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s="51" t="s">
        <v>498</v>
      </c>
      <c r="B313" s="51" t="s">
        <v>651</v>
      </c>
      <c r="C313" s="51" t="s">
        <v>1399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s="51" t="s">
        <v>374</v>
      </c>
      <c r="B314" s="51" t="s">
        <v>1357</v>
      </c>
      <c r="C314" s="51" t="s">
        <v>1398</v>
      </c>
      <c r="D314" s="51" t="s">
        <v>674</v>
      </c>
      <c r="E314" s="51" t="s">
        <v>24</v>
      </c>
      <c r="F314" s="51" t="s">
        <v>1390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s="51" t="s">
        <v>652</v>
      </c>
      <c r="B315" s="51" t="s">
        <v>653</v>
      </c>
      <c r="C315" s="51" t="s">
        <v>1398</v>
      </c>
      <c r="D315" s="51" t="s">
        <v>654</v>
      </c>
      <c r="E315" s="51" t="s">
        <v>24</v>
      </c>
      <c r="F315" s="51" t="s">
        <v>1390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1390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s="51" t="s">
        <v>326</v>
      </c>
      <c r="B324" s="51" t="s">
        <v>678</v>
      </c>
      <c r="C324" s="51" t="s">
        <v>1399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s="51" t="s">
        <v>326</v>
      </c>
      <c r="B325" s="51" t="s">
        <v>1358</v>
      </c>
      <c r="C325" s="51"/>
      <c r="D325" s="51" t="s">
        <v>688</v>
      </c>
      <c r="E325" s="51" t="s">
        <v>102</v>
      </c>
      <c r="F325" s="51" t="s">
        <v>1389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s="51" t="s">
        <v>326</v>
      </c>
      <c r="B326" s="51" t="s">
        <v>1359</v>
      </c>
      <c r="C326" s="51"/>
      <c r="D326" s="51" t="s">
        <v>688</v>
      </c>
      <c r="E326" s="51" t="s">
        <v>102</v>
      </c>
      <c r="F326" s="51" t="s">
        <v>1389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28</v>
      </c>
      <c r="M327" s="17">
        <f t="shared" ref="M327:M372" si="24">COUNTIF(O327:AP327,"APAGADO")</f>
        <v>2</v>
      </c>
      <c r="N327" s="18">
        <f t="shared" ref="N327:N372" si="25">(L327)/(M327+L327)</f>
        <v>0.93333333333333335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1210</v>
      </c>
      <c r="AI327" s="27" t="s">
        <v>1210</v>
      </c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s="51" t="s">
        <v>326</v>
      </c>
      <c r="B328" s="51" t="s">
        <v>682</v>
      </c>
      <c r="C328" s="51" t="s">
        <v>1399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28</v>
      </c>
      <c r="M328" s="17">
        <f t="shared" si="24"/>
        <v>2</v>
      </c>
      <c r="N328" s="18">
        <f t="shared" si="25"/>
        <v>0.93333333333333335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1210</v>
      </c>
      <c r="AI328" s="27" t="s">
        <v>1210</v>
      </c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s="51" t="s">
        <v>326</v>
      </c>
      <c r="B331" s="51" t="s">
        <v>686</v>
      </c>
      <c r="C331" s="51" t="s">
        <v>1399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1389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1389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1210</v>
      </c>
      <c r="AA333" s="27" t="s">
        <v>1210</v>
      </c>
      <c r="AB333" s="27" t="s">
        <v>1210</v>
      </c>
      <c r="AC333" s="27" t="s">
        <v>1210</v>
      </c>
      <c r="AD333" s="27" t="s">
        <v>1210</v>
      </c>
      <c r="AE333" s="27" t="s">
        <v>1210</v>
      </c>
      <c r="AF333" s="27" t="s">
        <v>1210</v>
      </c>
      <c r="AG333" s="27" t="s">
        <v>1210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s="51" t="s">
        <v>697</v>
      </c>
      <c r="B334" s="51" t="s">
        <v>1360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s="51" t="s">
        <v>703</v>
      </c>
      <c r="B335" s="51" t="s">
        <v>1361</v>
      </c>
      <c r="C335" s="51"/>
      <c r="D335" s="51" t="s">
        <v>735</v>
      </c>
      <c r="E335" s="51" t="s">
        <v>19</v>
      </c>
      <c r="F335" s="51" t="s">
        <v>1389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1210</v>
      </c>
      <c r="P335" s="8" t="s">
        <v>1210</v>
      </c>
      <c r="Q335" s="8" t="s">
        <v>1210</v>
      </c>
      <c r="R335" s="8" t="s">
        <v>1210</v>
      </c>
      <c r="S335" s="27" t="s">
        <v>1210</v>
      </c>
      <c r="T335" s="27"/>
      <c r="U335" s="8" t="s">
        <v>1210</v>
      </c>
      <c r="V335" s="8" t="s">
        <v>1210</v>
      </c>
      <c r="W335" s="8" t="s">
        <v>1210</v>
      </c>
      <c r="X335" s="27" t="s">
        <v>1210</v>
      </c>
      <c r="Y335" s="27" t="s">
        <v>1210</v>
      </c>
      <c r="Z335" s="27" t="s">
        <v>1210</v>
      </c>
      <c r="AA335" s="27" t="s">
        <v>1210</v>
      </c>
      <c r="AB335" s="27" t="s">
        <v>1210</v>
      </c>
      <c r="AC335" s="27" t="s">
        <v>1210</v>
      </c>
      <c r="AD335" s="27" t="s">
        <v>1210</v>
      </c>
      <c r="AE335" s="27" t="s">
        <v>1210</v>
      </c>
      <c r="AF335" s="27" t="s">
        <v>1210</v>
      </c>
      <c r="AG335" s="27" t="s">
        <v>1210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1390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1210</v>
      </c>
      <c r="P336" s="8" t="s">
        <v>1210</v>
      </c>
      <c r="Q336" s="8" t="s">
        <v>1210</v>
      </c>
      <c r="R336" s="8" t="s">
        <v>1210</v>
      </c>
      <c r="S336" s="27" t="s">
        <v>1210</v>
      </c>
      <c r="T336" s="27"/>
      <c r="U336" s="8" t="s">
        <v>1210</v>
      </c>
      <c r="V336" s="8" t="s">
        <v>1210</v>
      </c>
      <c r="W336" s="8" t="s">
        <v>1210</v>
      </c>
      <c r="X336" s="27" t="s">
        <v>1210</v>
      </c>
      <c r="Y336" s="27" t="s">
        <v>1210</v>
      </c>
      <c r="Z336" s="27" t="s">
        <v>1210</v>
      </c>
      <c r="AA336" s="27" t="s">
        <v>1210</v>
      </c>
      <c r="AB336" s="27" t="s">
        <v>1210</v>
      </c>
      <c r="AC336" s="27" t="s">
        <v>1210</v>
      </c>
      <c r="AD336" s="27" t="s">
        <v>1210</v>
      </c>
      <c r="AE336" s="27" t="s">
        <v>1210</v>
      </c>
      <c r="AF336" s="27" t="s">
        <v>1210</v>
      </c>
      <c r="AG336" s="27" t="s">
        <v>1210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s="51" t="s">
        <v>703</v>
      </c>
      <c r="B337" s="51" t="s">
        <v>704</v>
      </c>
      <c r="C337" s="51" t="s">
        <v>1399</v>
      </c>
      <c r="D337" s="51" t="s">
        <v>705</v>
      </c>
      <c r="E337" s="51" t="s">
        <v>19</v>
      </c>
      <c r="F337" s="51" t="s">
        <v>1390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1210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s="51" t="s">
        <v>703</v>
      </c>
      <c r="B338" s="51" t="s">
        <v>707</v>
      </c>
      <c r="C338" s="51"/>
      <c r="D338" s="51" t="s">
        <v>1362</v>
      </c>
      <c r="E338" s="51" t="s">
        <v>19</v>
      </c>
      <c r="F338" s="51" t="s">
        <v>1390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1210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s="51" t="s">
        <v>703</v>
      </c>
      <c r="B339" s="51" t="s">
        <v>710</v>
      </c>
      <c r="C339" s="51" t="s">
        <v>1399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s="51" t="s">
        <v>697</v>
      </c>
      <c r="B340" s="51" t="s">
        <v>1363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s="51" t="s">
        <v>697</v>
      </c>
      <c r="B341" s="51" t="s">
        <v>1364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s="51" t="s">
        <v>703</v>
      </c>
      <c r="B342" s="51" t="s">
        <v>712</v>
      </c>
      <c r="C342" s="51"/>
      <c r="D342" s="51" t="s">
        <v>1365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s="51" t="s">
        <v>697</v>
      </c>
      <c r="B343" s="51" t="s">
        <v>714</v>
      </c>
      <c r="C343" s="51" t="s">
        <v>1399</v>
      </c>
      <c r="D343" s="51" t="s">
        <v>1366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1210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1210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s="51" t="s">
        <v>697</v>
      </c>
      <c r="B347" s="51" t="s">
        <v>724</v>
      </c>
      <c r="C347" s="51"/>
      <c r="D347" s="51" t="s">
        <v>1367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1210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s="51" t="s">
        <v>697</v>
      </c>
      <c r="B348" s="51" t="s">
        <v>725</v>
      </c>
      <c r="C348" s="51" t="s">
        <v>1398</v>
      </c>
      <c r="D348" s="51" t="s">
        <v>1368</v>
      </c>
      <c r="E348" s="51" t="s">
        <v>1393</v>
      </c>
      <c r="F348" s="51" t="s">
        <v>1390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1210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1389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s="51" t="s">
        <v>703</v>
      </c>
      <c r="B352" s="51" t="s">
        <v>1369</v>
      </c>
      <c r="C352" s="51"/>
      <c r="D352" s="51" t="s">
        <v>695</v>
      </c>
      <c r="E352" s="51" t="s">
        <v>19</v>
      </c>
      <c r="F352" s="51" t="s">
        <v>1390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1210</v>
      </c>
      <c r="P352" s="8" t="s">
        <v>1210</v>
      </c>
      <c r="Q352" s="8" t="s">
        <v>1210</v>
      </c>
      <c r="R352" s="8" t="s">
        <v>1210</v>
      </c>
      <c r="S352" s="27" t="s">
        <v>1210</v>
      </c>
      <c r="T352" s="27"/>
      <c r="U352" s="8" t="s">
        <v>1210</v>
      </c>
      <c r="V352" s="8" t="s">
        <v>1210</v>
      </c>
      <c r="W352" s="8" t="s">
        <v>1210</v>
      </c>
      <c r="X352" s="27" t="s">
        <v>1210</v>
      </c>
      <c r="Y352" s="27" t="s">
        <v>1210</v>
      </c>
      <c r="Z352" s="27" t="s">
        <v>1210</v>
      </c>
      <c r="AA352" s="27" t="s">
        <v>1210</v>
      </c>
      <c r="AB352" s="27" t="s">
        <v>1210</v>
      </c>
      <c r="AC352" s="27" t="s">
        <v>1210</v>
      </c>
      <c r="AD352" s="27" t="s">
        <v>1210</v>
      </c>
      <c r="AE352" s="27" t="s">
        <v>1210</v>
      </c>
      <c r="AF352" s="27" t="s">
        <v>1210</v>
      </c>
      <c r="AG352" s="27" t="s">
        <v>1210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s="51" t="s">
        <v>697</v>
      </c>
      <c r="B353" s="51" t="s">
        <v>1370</v>
      </c>
      <c r="C353" s="51"/>
      <c r="D353" s="51" t="s">
        <v>698</v>
      </c>
      <c r="E353" s="51" t="s">
        <v>24</v>
      </c>
      <c r="F353" s="51" t="s">
        <v>1390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s="51" t="s">
        <v>697</v>
      </c>
      <c r="B354" s="51" t="s">
        <v>1371</v>
      </c>
      <c r="C354" s="51"/>
      <c r="D354" s="51" t="s">
        <v>708</v>
      </c>
      <c r="E354" s="51" t="s">
        <v>19</v>
      </c>
      <c r="F354" s="51" t="s">
        <v>1390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1" t="s">
        <v>697</v>
      </c>
      <c r="B355" s="51" t="s">
        <v>1372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s="51" t="s">
        <v>697</v>
      </c>
      <c r="B356" s="51" t="s">
        <v>739</v>
      </c>
      <c r="C356" s="51" t="s">
        <v>1398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s="51" t="s">
        <v>697</v>
      </c>
      <c r="B357" s="51" t="s">
        <v>741</v>
      </c>
      <c r="C357" s="51" t="s">
        <v>1398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s="51" t="s">
        <v>562</v>
      </c>
      <c r="B358" s="51" t="s">
        <v>1373</v>
      </c>
      <c r="C358" s="51" t="s">
        <v>1398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s="51" t="s">
        <v>411</v>
      </c>
      <c r="B359" s="51" t="s">
        <v>1374</v>
      </c>
      <c r="C359" s="51" t="s">
        <v>1398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1210</v>
      </c>
      <c r="P359" s="8" t="s">
        <v>1210</v>
      </c>
      <c r="Q359" s="8" t="s">
        <v>1210</v>
      </c>
      <c r="R359" s="8" t="s">
        <v>1210</v>
      </c>
      <c r="S359" s="27" t="s">
        <v>1210</v>
      </c>
      <c r="T359" s="27"/>
      <c r="U359" s="8" t="s">
        <v>1210</v>
      </c>
      <c r="V359" s="8" t="s">
        <v>1210</v>
      </c>
      <c r="W359" s="8" t="s">
        <v>1210</v>
      </c>
      <c r="X359" s="27" t="s">
        <v>1210</v>
      </c>
      <c r="Y359" s="27" t="s">
        <v>1210</v>
      </c>
      <c r="Z359" s="27" t="s">
        <v>1210</v>
      </c>
      <c r="AA359" s="27" t="s">
        <v>1210</v>
      </c>
      <c r="AB359" s="27" t="s">
        <v>1210</v>
      </c>
      <c r="AC359" s="27" t="s">
        <v>1210</v>
      </c>
      <c r="AD359" s="27" t="s">
        <v>1210</v>
      </c>
      <c r="AE359" s="27" t="s">
        <v>1210</v>
      </c>
      <c r="AF359" s="27" t="s">
        <v>1210</v>
      </c>
      <c r="AG359" s="27" t="s">
        <v>1210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s="51" t="s">
        <v>562</v>
      </c>
      <c r="B360" s="51" t="s">
        <v>742</v>
      </c>
      <c r="C360" s="51" t="s">
        <v>1398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1210</v>
      </c>
      <c r="P360" s="8" t="s">
        <v>1210</v>
      </c>
      <c r="Q360" s="8" t="s">
        <v>1210</v>
      </c>
      <c r="R360" s="8" t="s">
        <v>1210</v>
      </c>
      <c r="S360" s="27" t="s">
        <v>1210</v>
      </c>
      <c r="T360" s="27"/>
      <c r="U360" s="8" t="s">
        <v>1210</v>
      </c>
      <c r="V360" s="8" t="s">
        <v>1210</v>
      </c>
      <c r="W360" s="8" t="s">
        <v>1210</v>
      </c>
      <c r="X360" s="27" t="s">
        <v>1210</v>
      </c>
      <c r="Y360" s="27" t="s">
        <v>1210</v>
      </c>
      <c r="Z360" s="27" t="s">
        <v>1210</v>
      </c>
      <c r="AA360" s="27" t="s">
        <v>1210</v>
      </c>
      <c r="AB360" s="27" t="s">
        <v>1210</v>
      </c>
      <c r="AC360" s="27" t="s">
        <v>1210</v>
      </c>
      <c r="AD360" s="27" t="s">
        <v>1210</v>
      </c>
      <c r="AE360" s="27" t="s">
        <v>1210</v>
      </c>
      <c r="AF360" s="27" t="s">
        <v>1210</v>
      </c>
      <c r="AG360" s="27" t="s">
        <v>1210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10</v>
      </c>
      <c r="M361" s="17">
        <f t="shared" si="24"/>
        <v>20</v>
      </c>
      <c r="N361" s="18">
        <f t="shared" si="25"/>
        <v>0.33333333333333331</v>
      </c>
      <c r="O361" s="27" t="s">
        <v>1210</v>
      </c>
      <c r="P361" s="8" t="s">
        <v>1210</v>
      </c>
      <c r="Q361" s="8" t="s">
        <v>1210</v>
      </c>
      <c r="R361" s="8" t="s">
        <v>1210</v>
      </c>
      <c r="S361" s="27" t="s">
        <v>1210</v>
      </c>
      <c r="T361" s="27"/>
      <c r="U361" s="8" t="s">
        <v>1210</v>
      </c>
      <c r="V361" s="8" t="s">
        <v>1210</v>
      </c>
      <c r="W361" s="8" t="s">
        <v>1210</v>
      </c>
      <c r="X361" s="27" t="s">
        <v>1210</v>
      </c>
      <c r="Y361" s="27" t="s">
        <v>1210</v>
      </c>
      <c r="Z361" s="27" t="s">
        <v>1210</v>
      </c>
      <c r="AA361" s="27" t="s">
        <v>1210</v>
      </c>
      <c r="AB361" s="27" t="s">
        <v>1210</v>
      </c>
      <c r="AC361" s="27" t="s">
        <v>1210</v>
      </c>
      <c r="AD361" s="27" t="s">
        <v>1210</v>
      </c>
      <c r="AE361" s="27" t="s">
        <v>1210</v>
      </c>
      <c r="AF361" s="27" t="s">
        <v>1210</v>
      </c>
      <c r="AG361" s="27" t="s">
        <v>1210</v>
      </c>
      <c r="AH361" s="27" t="s">
        <v>1210</v>
      </c>
      <c r="AI361" s="27" t="s">
        <v>1210</v>
      </c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s="51" t="s">
        <v>562</v>
      </c>
      <c r="B362" s="51" t="s">
        <v>751</v>
      </c>
      <c r="C362" s="51" t="s">
        <v>1398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10</v>
      </c>
      <c r="M362" s="17">
        <f t="shared" si="24"/>
        <v>20</v>
      </c>
      <c r="N362" s="18">
        <f t="shared" si="25"/>
        <v>0.33333333333333331</v>
      </c>
      <c r="O362" s="27" t="s">
        <v>1210</v>
      </c>
      <c r="P362" s="8" t="s">
        <v>1210</v>
      </c>
      <c r="Q362" s="8" t="s">
        <v>1210</v>
      </c>
      <c r="R362" s="8" t="s">
        <v>1210</v>
      </c>
      <c r="S362" s="27" t="s">
        <v>1210</v>
      </c>
      <c r="T362" s="27"/>
      <c r="U362" s="8" t="s">
        <v>1210</v>
      </c>
      <c r="V362" s="8" t="s">
        <v>1210</v>
      </c>
      <c r="W362" s="8" t="s">
        <v>1210</v>
      </c>
      <c r="X362" s="27" t="s">
        <v>1210</v>
      </c>
      <c r="Y362" s="27" t="s">
        <v>1210</v>
      </c>
      <c r="Z362" s="27" t="s">
        <v>1210</v>
      </c>
      <c r="AA362" s="27" t="s">
        <v>1210</v>
      </c>
      <c r="AB362" s="27" t="s">
        <v>1210</v>
      </c>
      <c r="AC362" s="27" t="s">
        <v>1210</v>
      </c>
      <c r="AD362" s="27" t="s">
        <v>1210</v>
      </c>
      <c r="AE362" s="27" t="s">
        <v>1210</v>
      </c>
      <c r="AF362" s="27" t="s">
        <v>1210</v>
      </c>
      <c r="AG362" s="27" t="s">
        <v>1210</v>
      </c>
      <c r="AH362" s="27" t="s">
        <v>1210</v>
      </c>
      <c r="AI362" s="27" t="s">
        <v>1210</v>
      </c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1210</v>
      </c>
      <c r="P363" s="8" t="s">
        <v>1210</v>
      </c>
      <c r="Q363" s="8" t="s">
        <v>1210</v>
      </c>
      <c r="R363" s="8" t="s">
        <v>1210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1390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s="51" t="s">
        <v>770</v>
      </c>
      <c r="B371" s="51" t="s">
        <v>771</v>
      </c>
      <c r="C371" s="51" t="s">
        <v>1399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s="51" t="s">
        <v>770</v>
      </c>
      <c r="B372" s="51" t="s">
        <v>773</v>
      </c>
      <c r="C372" s="51" t="s">
        <v>1399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" thickBot="1" x14ac:dyDescent="0.35">
      <c r="A373" s="51" t="s">
        <v>770</v>
      </c>
      <c r="B373" s="51" t="s">
        <v>1375</v>
      </c>
      <c r="C373" s="51" t="s">
        <v>1399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1210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" thickBot="1" x14ac:dyDescent="0.35">
      <c r="A374" s="51" t="s">
        <v>770</v>
      </c>
      <c r="B374" s="51" t="s">
        <v>1376</v>
      </c>
      <c r="C374" s="51" t="s">
        <v>1399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1210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" thickBot="1" x14ac:dyDescent="0.35">
      <c r="A375" s="51" t="s">
        <v>776</v>
      </c>
      <c r="B375" s="51" t="s">
        <v>1377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1210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" thickBot="1" x14ac:dyDescent="0.35">
      <c r="A376" s="51" t="s">
        <v>776</v>
      </c>
      <c r="B376" s="51" t="s">
        <v>1378</v>
      </c>
      <c r="C376" s="51" t="s">
        <v>1399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1210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" thickBot="1" x14ac:dyDescent="0.35">
      <c r="A377" s="51" t="s">
        <v>776</v>
      </c>
      <c r="B377" s="51" t="s">
        <v>780</v>
      </c>
      <c r="C377" s="51" t="s">
        <v>1399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" thickBot="1" x14ac:dyDescent="0.35">
      <c r="A378" s="51" t="s">
        <v>776</v>
      </c>
      <c r="B378" s="51" t="s">
        <v>783</v>
      </c>
      <c r="C378" s="51" t="s">
        <v>1399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27</v>
      </c>
      <c r="M378" s="53">
        <f t="shared" si="26"/>
        <v>3</v>
      </c>
      <c r="N378" s="54">
        <f t="shared" si="27"/>
        <v>0.9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1210</v>
      </c>
      <c r="AF378" s="27"/>
      <c r="AG378" s="27"/>
      <c r="AH378" s="27" t="s">
        <v>1210</v>
      </c>
      <c r="AI378" s="27" t="s">
        <v>1210</v>
      </c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" thickBot="1" x14ac:dyDescent="0.35">
      <c r="A379" s="51" t="s">
        <v>776</v>
      </c>
      <c r="B379" s="51" t="s">
        <v>785</v>
      </c>
      <c r="C379" s="51" t="s">
        <v>1399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1210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" thickBot="1" x14ac:dyDescent="0.35">
      <c r="A380" s="51" t="s">
        <v>253</v>
      </c>
      <c r="B380" s="51" t="s">
        <v>787</v>
      </c>
      <c r="C380" s="51" t="s">
        <v>1399</v>
      </c>
      <c r="D380" s="51" t="s">
        <v>1379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1210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" thickBot="1" x14ac:dyDescent="0.35">
      <c r="A381" s="51" t="s">
        <v>253</v>
      </c>
      <c r="B381" s="51" t="s">
        <v>1380</v>
      </c>
      <c r="C381" s="51" t="s">
        <v>1399</v>
      </c>
      <c r="D381" s="51" t="s">
        <v>1381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1210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" thickBot="1" x14ac:dyDescent="0.35">
      <c r="A382" s="51" t="s">
        <v>253</v>
      </c>
      <c r="B382" s="51" t="s">
        <v>1382</v>
      </c>
      <c r="C382" s="51" t="s">
        <v>1399</v>
      </c>
      <c r="D382" s="51" t="s">
        <v>1381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1210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" thickBot="1" x14ac:dyDescent="0.35">
      <c r="A383" s="51" t="s">
        <v>253</v>
      </c>
      <c r="B383" s="51" t="s">
        <v>1383</v>
      </c>
      <c r="C383" s="51" t="s">
        <v>1399</v>
      </c>
      <c r="D383" s="51" t="s">
        <v>1384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1210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" thickBot="1" x14ac:dyDescent="0.35">
      <c r="A384" s="51" t="s">
        <v>253</v>
      </c>
      <c r="B384" s="51" t="s">
        <v>788</v>
      </c>
      <c r="C384" s="51" t="s">
        <v>1399</v>
      </c>
      <c r="D384" s="51" t="s">
        <v>1385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1210</v>
      </c>
      <c r="AF384" s="27"/>
      <c r="AG384" s="27"/>
      <c r="AH384" s="27" t="s">
        <v>1210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" thickBot="1" x14ac:dyDescent="0.35">
      <c r="A385" s="51" t="s">
        <v>794</v>
      </c>
      <c r="B385" s="51" t="s">
        <v>1386</v>
      </c>
      <c r="C385" s="51" t="s">
        <v>1399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27</v>
      </c>
      <c r="M385" s="53">
        <f t="shared" si="29"/>
        <v>3</v>
      </c>
      <c r="N385" s="54">
        <f t="shared" si="30"/>
        <v>0.9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1210</v>
      </c>
      <c r="AF385" s="27"/>
      <c r="AG385" s="27"/>
      <c r="AH385" s="27" t="s">
        <v>1210</v>
      </c>
      <c r="AI385" s="27" t="s">
        <v>1210</v>
      </c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" thickBot="1" x14ac:dyDescent="0.35">
      <c r="A386" s="51" t="s">
        <v>794</v>
      </c>
      <c r="B386" s="51" t="s">
        <v>1387</v>
      </c>
      <c r="C386" s="51" t="s">
        <v>1399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27</v>
      </c>
      <c r="M386" s="53">
        <f t="shared" si="29"/>
        <v>3</v>
      </c>
      <c r="N386" s="54">
        <f t="shared" si="30"/>
        <v>0.9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1210</v>
      </c>
      <c r="AF386" s="27"/>
      <c r="AG386" s="27"/>
      <c r="AH386" s="27" t="s">
        <v>1210</v>
      </c>
      <c r="AI386" s="27" t="s">
        <v>1210</v>
      </c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" thickBot="1" x14ac:dyDescent="0.35">
      <c r="A387" s="51" t="s">
        <v>794</v>
      </c>
      <c r="B387" s="51" t="s">
        <v>795</v>
      </c>
      <c r="C387" s="51" t="s">
        <v>1399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27</v>
      </c>
      <c r="M387" s="53">
        <f t="shared" si="29"/>
        <v>3</v>
      </c>
      <c r="N387" s="54">
        <f t="shared" si="30"/>
        <v>0.9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1210</v>
      </c>
      <c r="AF387" s="27"/>
      <c r="AG387" s="27"/>
      <c r="AH387" s="27" t="s">
        <v>1210</v>
      </c>
      <c r="AI387" s="27" t="s">
        <v>1210</v>
      </c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" thickBot="1" x14ac:dyDescent="0.35">
      <c r="A388" s="51" t="s">
        <v>794</v>
      </c>
      <c r="B388" s="51" t="s">
        <v>799</v>
      </c>
      <c r="C388" s="51" t="s">
        <v>1399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28</v>
      </c>
      <c r="M388" s="53">
        <f t="shared" si="29"/>
        <v>2</v>
      </c>
      <c r="N388" s="54">
        <f t="shared" si="30"/>
        <v>0.93333333333333335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1210</v>
      </c>
      <c r="AF388" s="27"/>
      <c r="AG388" s="27"/>
      <c r="AH388" s="27"/>
      <c r="AI388" s="27" t="s">
        <v>1210</v>
      </c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" thickBot="1" x14ac:dyDescent="0.35">
      <c r="A389" s="51" t="s">
        <v>800</v>
      </c>
      <c r="B389" s="51" t="s">
        <v>801</v>
      </c>
      <c r="C389" s="51" t="s">
        <v>1399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1210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" thickBot="1" x14ac:dyDescent="0.35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1210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" thickBot="1" x14ac:dyDescent="0.35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1210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" thickBot="1" x14ac:dyDescent="0.35">
      <c r="A392" s="51" t="s">
        <v>803</v>
      </c>
      <c r="B392" s="51" t="s">
        <v>1388</v>
      </c>
      <c r="C392" s="51" t="s">
        <v>1399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1210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" thickBot="1" x14ac:dyDescent="0.35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1210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" thickBot="1" x14ac:dyDescent="0.35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1210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" thickBot="1" x14ac:dyDescent="0.35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1210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" thickBot="1" x14ac:dyDescent="0.35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1210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914" priority="2190" operator="lessThan">
      <formula>0.8</formula>
    </cfRule>
    <cfRule type="cellIs" dxfId="913" priority="2191" operator="greaterThan">
      <formula>0.8</formula>
    </cfRule>
  </conditionalFormatting>
  <conditionalFormatting sqref="E1:K3 E284:K334 E236:K236 E5:K32 E36:K91 E94:K230 E337:K364 E369:K372 E243:K281 E391:K1048576">
    <cfRule type="containsText" dxfId="912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911" priority="2185" operator="notContains" text="Caida">
      <formula>ISERROR(SEARCH("Caida",O95))</formula>
    </cfRule>
    <cfRule type="containsText" dxfId="910" priority="2186" operator="containsText" text="Caida">
      <formula>NOT(ISERROR(SEARCH("Caida",O95)))</formula>
    </cfRule>
  </conditionalFormatting>
  <conditionalFormatting sqref="E282:K282">
    <cfRule type="containsText" dxfId="909" priority="2158" operator="containsText" text="Radio">
      <formula>NOT(ISERROR(SEARCH("Radio",E282)))</formula>
    </cfRule>
  </conditionalFormatting>
  <conditionalFormatting sqref="E283:K283">
    <cfRule type="containsText" dxfId="908" priority="2133" operator="containsText" text="Radio">
      <formula>NOT(ISERROR(SEARCH("Radio",E283)))</formula>
    </cfRule>
  </conditionalFormatting>
  <conditionalFormatting sqref="E4:K4">
    <cfRule type="containsText" dxfId="907" priority="2108" operator="containsText" text="Radio">
      <formula>NOT(ISERROR(SEARCH("Radio",E4)))</formula>
    </cfRule>
  </conditionalFormatting>
  <conditionalFormatting sqref="E231:K231">
    <cfRule type="containsText" dxfId="906" priority="2107" operator="containsText" text="Radio">
      <formula>NOT(ISERROR(SEARCH("Radio",E231)))</formula>
    </cfRule>
  </conditionalFormatting>
  <conditionalFormatting sqref="E232:K232">
    <cfRule type="containsText" dxfId="905" priority="2082" operator="containsText" text="Radio">
      <formula>NOT(ISERROR(SEARCH("Radio",E232)))</formula>
    </cfRule>
  </conditionalFormatting>
  <conditionalFormatting sqref="E233:K233">
    <cfRule type="containsText" dxfId="904" priority="2057" operator="containsText" text="Radio">
      <formula>NOT(ISERROR(SEARCH("Radio",E233)))</formula>
    </cfRule>
  </conditionalFormatting>
  <conditionalFormatting sqref="E234:K234">
    <cfRule type="containsText" dxfId="903" priority="2032" operator="containsText" text="Radio">
      <formula>NOT(ISERROR(SEARCH("Radio",E234)))</formula>
    </cfRule>
  </conditionalFormatting>
  <conditionalFormatting sqref="E235:K235">
    <cfRule type="containsText" dxfId="902" priority="2007" operator="containsText" text="Radio">
      <formula>NOT(ISERROR(SEARCH("Radio",E235)))</formula>
    </cfRule>
  </conditionalFormatting>
  <conditionalFormatting sqref="E335:K335">
    <cfRule type="containsText" dxfId="901" priority="1958" operator="containsText" text="Radio">
      <formula>NOT(ISERROR(SEARCH("Radio",E335)))</formula>
    </cfRule>
  </conditionalFormatting>
  <conditionalFormatting sqref="E336:K336">
    <cfRule type="containsText" dxfId="900" priority="1933" operator="containsText" text="Radio">
      <formula>NOT(ISERROR(SEARCH("Radio",E336)))</formula>
    </cfRule>
  </conditionalFormatting>
  <conditionalFormatting sqref="E237:K237">
    <cfRule type="containsText" dxfId="899" priority="1908" operator="containsText" text="Radio">
      <formula>NOT(ISERROR(SEARCH("Radio",E237)))</formula>
    </cfRule>
  </conditionalFormatting>
  <conditionalFormatting sqref="E238:K238">
    <cfRule type="containsText" dxfId="898" priority="1883" operator="containsText" text="Radio">
      <formula>NOT(ISERROR(SEARCH("Radio",E238)))</formula>
    </cfRule>
  </conditionalFormatting>
  <conditionalFormatting sqref="E33:K35">
    <cfRule type="containsText" dxfId="897" priority="1858" operator="containsText" text="Radio">
      <formula>NOT(ISERROR(SEARCH("Radio",E33)))</formula>
    </cfRule>
  </conditionalFormatting>
  <conditionalFormatting sqref="E239:K239">
    <cfRule type="containsText" dxfId="896" priority="1833" operator="containsText" text="Radio">
      <formula>NOT(ISERROR(SEARCH("Radio",E239)))</formula>
    </cfRule>
  </conditionalFormatting>
  <conditionalFormatting sqref="E240:K240">
    <cfRule type="containsText" dxfId="895" priority="1808" operator="containsText" text="Radio">
      <formula>NOT(ISERROR(SEARCH("Radio",E240)))</formula>
    </cfRule>
  </conditionalFormatting>
  <conditionalFormatting sqref="E241:K241">
    <cfRule type="containsText" dxfId="894" priority="1783" operator="containsText" text="Radio">
      <formula>NOT(ISERROR(SEARCH("Radio",E241)))</formula>
    </cfRule>
  </conditionalFormatting>
  <conditionalFormatting sqref="E242:K242">
    <cfRule type="containsText" dxfId="893" priority="1758" operator="containsText" text="Radio">
      <formula>NOT(ISERROR(SEARCH("Radio",E242)))</formula>
    </cfRule>
  </conditionalFormatting>
  <conditionalFormatting sqref="P6:P92 P96:P230">
    <cfRule type="cellIs" dxfId="892" priority="1683" operator="lessThan">
      <formula>0.8</formula>
    </cfRule>
    <cfRule type="cellIs" dxfId="891" priority="1684" operator="greaterThan">
      <formula>0.8</formula>
    </cfRule>
  </conditionalFormatting>
  <conditionalFormatting sqref="P6:P92 P96:P230">
    <cfRule type="notContainsText" dxfId="890" priority="1681" operator="notContains" text="Caida">
      <formula>ISERROR(SEARCH("Caida",P6))</formula>
    </cfRule>
    <cfRule type="containsText" dxfId="889" priority="1682" operator="containsText" text="Caida">
      <formula>NOT(ISERROR(SEARCH("Caida",P6)))</formula>
    </cfRule>
  </conditionalFormatting>
  <conditionalFormatting sqref="P337:P366 P284:P334">
    <cfRule type="cellIs" dxfId="888" priority="1679" operator="lessThan">
      <formula>0.8</formula>
    </cfRule>
    <cfRule type="cellIs" dxfId="887" priority="1680" operator="greaterThan">
      <formula>0.8</formula>
    </cfRule>
  </conditionalFormatting>
  <conditionalFormatting sqref="P337:P366 P284:P334 P397:P1048576">
    <cfRule type="notContainsText" dxfId="886" priority="1677" operator="notContains" text="Caida">
      <formula>ISERROR(SEARCH("Caida",P284))</formula>
    </cfRule>
    <cfRule type="containsText" dxfId="885" priority="1678" operator="containsText" text="Caida">
      <formula>NOT(ISERROR(SEARCH("Caida",P284)))</formula>
    </cfRule>
  </conditionalFormatting>
  <conditionalFormatting sqref="O397:O1048576">
    <cfRule type="notContainsText" dxfId="884" priority="1726" operator="notContains" text="Caida">
      <formula>ISERROR(SEARCH("Caida",O397))</formula>
    </cfRule>
    <cfRule type="containsText" dxfId="883" priority="1727" operator="containsText" text="Caida">
      <formula>NOT(ISERROR(SEARCH("Caida",O397)))</formula>
    </cfRule>
  </conditionalFormatting>
  <conditionalFormatting sqref="P336">
    <cfRule type="cellIs" dxfId="882" priority="1638" operator="lessThan">
      <formula>0.8</formula>
    </cfRule>
    <cfRule type="cellIs" dxfId="881" priority="1639" operator="greaterThan">
      <formula>0.8</formula>
    </cfRule>
  </conditionalFormatting>
  <conditionalFormatting sqref="P336">
    <cfRule type="notContainsText" dxfId="880" priority="1636" operator="notContains" text="Caida">
      <formula>ISERROR(SEARCH("Caida",P336))</formula>
    </cfRule>
    <cfRule type="containsText" dxfId="879" priority="1637" operator="containsText" text="Caida">
      <formula>NOT(ISERROR(SEARCH("Caida",P336)))</formula>
    </cfRule>
  </conditionalFormatting>
  <conditionalFormatting sqref="P22">
    <cfRule type="containsText" dxfId="878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77" priority="1674" operator="lessThan">
      <formula>0.8</formula>
    </cfRule>
    <cfRule type="cellIs" dxfId="876" priority="1675" operator="greaterThan">
      <formula>0.8</formula>
    </cfRule>
  </conditionalFormatting>
  <conditionalFormatting sqref="P282">
    <cfRule type="notContainsText" dxfId="875" priority="1672" operator="notContains" text="Caida">
      <formula>ISERROR(SEARCH("Caida",P282))</formula>
    </cfRule>
    <cfRule type="containsText" dxfId="874" priority="1673" operator="containsText" text="Caida">
      <formula>NOT(ISERROR(SEARCH("Caida",P282)))</formula>
    </cfRule>
  </conditionalFormatting>
  <conditionalFormatting sqref="P283">
    <cfRule type="cellIs" dxfId="873" priority="1670" operator="lessThan">
      <formula>0.8</formula>
    </cfRule>
    <cfRule type="cellIs" dxfId="872" priority="1671" operator="greaterThan">
      <formula>0.8</formula>
    </cfRule>
  </conditionalFormatting>
  <conditionalFormatting sqref="P283">
    <cfRule type="notContainsText" dxfId="871" priority="1668" operator="notContains" text="Caida">
      <formula>ISERROR(SEARCH("Caida",P283))</formula>
    </cfRule>
    <cfRule type="containsText" dxfId="870" priority="1669" operator="containsText" text="Caida">
      <formula>NOT(ISERROR(SEARCH("Caida",P283)))</formula>
    </cfRule>
  </conditionalFormatting>
  <conditionalFormatting sqref="P5">
    <cfRule type="cellIs" dxfId="869" priority="1666" operator="lessThan">
      <formula>0.8</formula>
    </cfRule>
    <cfRule type="cellIs" dxfId="868" priority="1667" operator="greaterThan">
      <formula>0.8</formula>
    </cfRule>
  </conditionalFormatting>
  <conditionalFormatting sqref="P5">
    <cfRule type="notContainsText" dxfId="867" priority="1664" operator="notContains" text="Caida">
      <formula>ISERROR(SEARCH("Caida",P5))</formula>
    </cfRule>
    <cfRule type="containsText" dxfId="866" priority="1665" operator="containsText" text="Caida">
      <formula>NOT(ISERROR(SEARCH("Caida",P5)))</formula>
    </cfRule>
  </conditionalFormatting>
  <conditionalFormatting sqref="P231">
    <cfRule type="cellIs" dxfId="865" priority="1662" operator="lessThan">
      <formula>0.8</formula>
    </cfRule>
    <cfRule type="cellIs" dxfId="864" priority="1663" operator="greaterThan">
      <formula>0.8</formula>
    </cfRule>
  </conditionalFormatting>
  <conditionalFormatting sqref="P231">
    <cfRule type="notContainsText" dxfId="863" priority="1660" operator="notContains" text="Caida">
      <formula>ISERROR(SEARCH("Caida",P231))</formula>
    </cfRule>
    <cfRule type="containsText" dxfId="862" priority="1661" operator="containsText" text="Caida">
      <formula>NOT(ISERROR(SEARCH("Caida",P231)))</formula>
    </cfRule>
  </conditionalFormatting>
  <conditionalFormatting sqref="P232">
    <cfRule type="cellIs" dxfId="861" priority="1658" operator="lessThan">
      <formula>0.8</formula>
    </cfRule>
    <cfRule type="cellIs" dxfId="860" priority="1659" operator="greaterThan">
      <formula>0.8</formula>
    </cfRule>
  </conditionalFormatting>
  <conditionalFormatting sqref="P232">
    <cfRule type="notContainsText" dxfId="859" priority="1656" operator="notContains" text="Caida">
      <formula>ISERROR(SEARCH("Caida",P232))</formula>
    </cfRule>
    <cfRule type="containsText" dxfId="858" priority="1657" operator="containsText" text="Caida">
      <formula>NOT(ISERROR(SEARCH("Caida",P232)))</formula>
    </cfRule>
  </conditionalFormatting>
  <conditionalFormatting sqref="P233">
    <cfRule type="cellIs" dxfId="857" priority="1654" operator="lessThan">
      <formula>0.8</formula>
    </cfRule>
    <cfRule type="cellIs" dxfId="856" priority="1655" operator="greaterThan">
      <formula>0.8</formula>
    </cfRule>
  </conditionalFormatting>
  <conditionalFormatting sqref="P233">
    <cfRule type="notContainsText" dxfId="855" priority="1652" operator="notContains" text="Caida">
      <formula>ISERROR(SEARCH("Caida",P233))</formula>
    </cfRule>
    <cfRule type="containsText" dxfId="854" priority="1653" operator="containsText" text="Caida">
      <formula>NOT(ISERROR(SEARCH("Caida",P233)))</formula>
    </cfRule>
  </conditionalFormatting>
  <conditionalFormatting sqref="P234">
    <cfRule type="cellIs" dxfId="853" priority="1650" operator="lessThan">
      <formula>0.8</formula>
    </cfRule>
    <cfRule type="cellIs" dxfId="852" priority="1651" operator="greaterThan">
      <formula>0.8</formula>
    </cfRule>
  </conditionalFormatting>
  <conditionalFormatting sqref="P234">
    <cfRule type="notContainsText" dxfId="851" priority="1648" operator="notContains" text="Caida">
      <formula>ISERROR(SEARCH("Caida",P234))</formula>
    </cfRule>
    <cfRule type="containsText" dxfId="850" priority="1649" operator="containsText" text="Caida">
      <formula>NOT(ISERROR(SEARCH("Caida",P234)))</formula>
    </cfRule>
  </conditionalFormatting>
  <conditionalFormatting sqref="P235">
    <cfRule type="cellIs" dxfId="849" priority="1646" operator="lessThan">
      <formula>0.8</formula>
    </cfRule>
    <cfRule type="cellIs" dxfId="848" priority="1647" operator="greaterThan">
      <formula>0.8</formula>
    </cfRule>
  </conditionalFormatting>
  <conditionalFormatting sqref="P235">
    <cfRule type="notContainsText" dxfId="847" priority="1644" operator="notContains" text="Caida">
      <formula>ISERROR(SEARCH("Caida",P235))</formula>
    </cfRule>
    <cfRule type="containsText" dxfId="846" priority="1645" operator="containsText" text="Caida">
      <formula>NOT(ISERROR(SEARCH("Caida",P235)))</formula>
    </cfRule>
  </conditionalFormatting>
  <conditionalFormatting sqref="P335">
    <cfRule type="cellIs" dxfId="845" priority="1642" operator="lessThan">
      <formula>0.8</formula>
    </cfRule>
    <cfRule type="cellIs" dxfId="844" priority="1643" operator="greaterThan">
      <formula>0.8</formula>
    </cfRule>
  </conditionalFormatting>
  <conditionalFormatting sqref="P335">
    <cfRule type="notContainsText" dxfId="843" priority="1640" operator="notContains" text="Caida">
      <formula>ISERROR(SEARCH("Caida",P335))</formula>
    </cfRule>
    <cfRule type="containsText" dxfId="842" priority="1641" operator="containsText" text="Caida">
      <formula>NOT(ISERROR(SEARCH("Caida",P335)))</formula>
    </cfRule>
  </conditionalFormatting>
  <conditionalFormatting sqref="Q6:Q92 Q96:Q230">
    <cfRule type="cellIs" dxfId="841" priority="1634" operator="lessThan">
      <formula>0.8</formula>
    </cfRule>
    <cfRule type="cellIs" dxfId="840" priority="1635" operator="greaterThan">
      <formula>0.8</formula>
    </cfRule>
  </conditionalFormatting>
  <conditionalFormatting sqref="Q6:Q92 Q96:Q230">
    <cfRule type="notContainsText" dxfId="839" priority="1632" operator="notContains" text="Caida">
      <formula>ISERROR(SEARCH("Caida",Q6))</formula>
    </cfRule>
    <cfRule type="containsText" dxfId="838" priority="1633" operator="containsText" text="Caida">
      <formula>NOT(ISERROR(SEARCH("Caida",Q6)))</formula>
    </cfRule>
  </conditionalFormatting>
  <conditionalFormatting sqref="Q336">
    <cfRule type="cellIs" dxfId="837" priority="1589" operator="lessThan">
      <formula>0.8</formula>
    </cfRule>
    <cfRule type="cellIs" dxfId="836" priority="1590" operator="greaterThan">
      <formula>0.8</formula>
    </cfRule>
  </conditionalFormatting>
  <conditionalFormatting sqref="Q336">
    <cfRule type="notContainsText" dxfId="835" priority="1587" operator="notContains" text="Caida">
      <formula>ISERROR(SEARCH("Caida",Q336))</formula>
    </cfRule>
    <cfRule type="containsText" dxfId="834" priority="1588" operator="containsText" text="Caida">
      <formula>NOT(ISERROR(SEARCH("Caida",Q336)))</formula>
    </cfRule>
  </conditionalFormatting>
  <conditionalFormatting sqref="Q337:Q366 Q284:Q334">
    <cfRule type="cellIs" dxfId="833" priority="1630" operator="lessThan">
      <formula>0.8</formula>
    </cfRule>
    <cfRule type="cellIs" dxfId="832" priority="1631" operator="greaterThan">
      <formula>0.8</formula>
    </cfRule>
  </conditionalFormatting>
  <conditionalFormatting sqref="Q337:Q366 Q284:Q334 Q397:Q1048576">
    <cfRule type="notContainsText" dxfId="831" priority="1628" operator="notContains" text="Caida">
      <formula>ISERROR(SEARCH("Caida",Q284))</formula>
    </cfRule>
    <cfRule type="containsText" dxfId="830" priority="1629" operator="containsText" text="Caida">
      <formula>NOT(ISERROR(SEARCH("Caida",Q284)))</formula>
    </cfRule>
  </conditionalFormatting>
  <conditionalFormatting sqref="Q22">
    <cfRule type="containsText" dxfId="829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828" priority="1625" operator="lessThan">
      <formula>0.8</formula>
    </cfRule>
    <cfRule type="cellIs" dxfId="827" priority="1626" operator="greaterThan">
      <formula>0.8</formula>
    </cfRule>
  </conditionalFormatting>
  <conditionalFormatting sqref="Q282">
    <cfRule type="notContainsText" dxfId="826" priority="1623" operator="notContains" text="Caida">
      <formula>ISERROR(SEARCH("Caida",Q282))</formula>
    </cfRule>
    <cfRule type="containsText" dxfId="825" priority="1624" operator="containsText" text="Caida">
      <formula>NOT(ISERROR(SEARCH("Caida",Q282)))</formula>
    </cfRule>
  </conditionalFormatting>
  <conditionalFormatting sqref="Q283">
    <cfRule type="cellIs" dxfId="824" priority="1621" operator="lessThan">
      <formula>0.8</formula>
    </cfRule>
    <cfRule type="cellIs" dxfId="823" priority="1622" operator="greaterThan">
      <formula>0.8</formula>
    </cfRule>
  </conditionalFormatting>
  <conditionalFormatting sqref="Q283">
    <cfRule type="notContainsText" dxfId="822" priority="1619" operator="notContains" text="Caida">
      <formula>ISERROR(SEARCH("Caida",Q283))</formula>
    </cfRule>
    <cfRule type="containsText" dxfId="821" priority="1620" operator="containsText" text="Caida">
      <formula>NOT(ISERROR(SEARCH("Caida",Q283)))</formula>
    </cfRule>
  </conditionalFormatting>
  <conditionalFormatting sqref="Q5">
    <cfRule type="cellIs" dxfId="820" priority="1617" operator="lessThan">
      <formula>0.8</formula>
    </cfRule>
    <cfRule type="cellIs" dxfId="819" priority="1618" operator="greaterThan">
      <formula>0.8</formula>
    </cfRule>
  </conditionalFormatting>
  <conditionalFormatting sqref="Q5">
    <cfRule type="notContainsText" dxfId="818" priority="1615" operator="notContains" text="Caida">
      <formula>ISERROR(SEARCH("Caida",Q5))</formula>
    </cfRule>
    <cfRule type="containsText" dxfId="817" priority="1616" operator="containsText" text="Caida">
      <formula>NOT(ISERROR(SEARCH("Caida",Q5)))</formula>
    </cfRule>
  </conditionalFormatting>
  <conditionalFormatting sqref="Q231">
    <cfRule type="cellIs" dxfId="816" priority="1613" operator="lessThan">
      <formula>0.8</formula>
    </cfRule>
    <cfRule type="cellIs" dxfId="815" priority="1614" operator="greaterThan">
      <formula>0.8</formula>
    </cfRule>
  </conditionalFormatting>
  <conditionalFormatting sqref="Q231">
    <cfRule type="notContainsText" dxfId="814" priority="1611" operator="notContains" text="Caida">
      <formula>ISERROR(SEARCH("Caida",Q231))</formula>
    </cfRule>
    <cfRule type="containsText" dxfId="813" priority="1612" operator="containsText" text="Caida">
      <formula>NOT(ISERROR(SEARCH("Caida",Q231)))</formula>
    </cfRule>
  </conditionalFormatting>
  <conditionalFormatting sqref="Q232">
    <cfRule type="cellIs" dxfId="812" priority="1609" operator="lessThan">
      <formula>0.8</formula>
    </cfRule>
    <cfRule type="cellIs" dxfId="811" priority="1610" operator="greaterThan">
      <formula>0.8</formula>
    </cfRule>
  </conditionalFormatting>
  <conditionalFormatting sqref="Q232">
    <cfRule type="notContainsText" dxfId="810" priority="1607" operator="notContains" text="Caida">
      <formula>ISERROR(SEARCH("Caida",Q232))</formula>
    </cfRule>
    <cfRule type="containsText" dxfId="809" priority="1608" operator="containsText" text="Caida">
      <formula>NOT(ISERROR(SEARCH("Caida",Q232)))</formula>
    </cfRule>
  </conditionalFormatting>
  <conditionalFormatting sqref="Q233">
    <cfRule type="cellIs" dxfId="808" priority="1605" operator="lessThan">
      <formula>0.8</formula>
    </cfRule>
    <cfRule type="cellIs" dxfId="807" priority="1606" operator="greaterThan">
      <formula>0.8</formula>
    </cfRule>
  </conditionalFormatting>
  <conditionalFormatting sqref="Q233">
    <cfRule type="notContainsText" dxfId="806" priority="1603" operator="notContains" text="Caida">
      <formula>ISERROR(SEARCH("Caida",Q233))</formula>
    </cfRule>
    <cfRule type="containsText" dxfId="805" priority="1604" operator="containsText" text="Caida">
      <formula>NOT(ISERROR(SEARCH("Caida",Q233)))</formula>
    </cfRule>
  </conditionalFormatting>
  <conditionalFormatting sqref="Q234">
    <cfRule type="cellIs" dxfId="804" priority="1601" operator="lessThan">
      <formula>0.8</formula>
    </cfRule>
    <cfRule type="cellIs" dxfId="803" priority="1602" operator="greaterThan">
      <formula>0.8</formula>
    </cfRule>
  </conditionalFormatting>
  <conditionalFormatting sqref="Q234">
    <cfRule type="notContainsText" dxfId="802" priority="1599" operator="notContains" text="Caida">
      <formula>ISERROR(SEARCH("Caida",Q234))</formula>
    </cfRule>
    <cfRule type="containsText" dxfId="801" priority="1600" operator="containsText" text="Caida">
      <formula>NOT(ISERROR(SEARCH("Caida",Q234)))</formula>
    </cfRule>
  </conditionalFormatting>
  <conditionalFormatting sqref="Q235">
    <cfRule type="cellIs" dxfId="800" priority="1597" operator="lessThan">
      <formula>0.8</formula>
    </cfRule>
    <cfRule type="cellIs" dxfId="799" priority="1598" operator="greaterThan">
      <formula>0.8</formula>
    </cfRule>
  </conditionalFormatting>
  <conditionalFormatting sqref="Q235">
    <cfRule type="notContainsText" dxfId="798" priority="1595" operator="notContains" text="Caida">
      <formula>ISERROR(SEARCH("Caida",Q235))</formula>
    </cfRule>
    <cfRule type="containsText" dxfId="797" priority="1596" operator="containsText" text="Caida">
      <formula>NOT(ISERROR(SEARCH("Caida",Q235)))</formula>
    </cfRule>
  </conditionalFormatting>
  <conditionalFormatting sqref="Q335">
    <cfRule type="cellIs" dxfId="796" priority="1593" operator="lessThan">
      <formula>0.8</formula>
    </cfRule>
    <cfRule type="cellIs" dxfId="795" priority="1594" operator="greaterThan">
      <formula>0.8</formula>
    </cfRule>
  </conditionalFormatting>
  <conditionalFormatting sqref="Q335">
    <cfRule type="notContainsText" dxfId="794" priority="1591" operator="notContains" text="Caida">
      <formula>ISERROR(SEARCH("Caida",Q335))</formula>
    </cfRule>
    <cfRule type="containsText" dxfId="793" priority="1592" operator="containsText" text="Caida">
      <formula>NOT(ISERROR(SEARCH("Caida",Q335)))</formula>
    </cfRule>
  </conditionalFormatting>
  <conditionalFormatting sqref="R6:R92 R96:R230">
    <cfRule type="cellIs" dxfId="792" priority="1585" operator="lessThan">
      <formula>0.8</formula>
    </cfRule>
    <cfRule type="cellIs" dxfId="791" priority="1586" operator="greaterThan">
      <formula>0.8</formula>
    </cfRule>
  </conditionalFormatting>
  <conditionalFormatting sqref="R6:R92 R96:R230">
    <cfRule type="notContainsText" dxfId="790" priority="1583" operator="notContains" text="Caida">
      <formula>ISERROR(SEARCH("Caida",R6))</formula>
    </cfRule>
    <cfRule type="containsText" dxfId="789" priority="1584" operator="containsText" text="Caida">
      <formula>NOT(ISERROR(SEARCH("Caida",R6)))</formula>
    </cfRule>
  </conditionalFormatting>
  <conditionalFormatting sqref="R336:T336">
    <cfRule type="cellIs" dxfId="788" priority="1540" operator="lessThan">
      <formula>0.8</formula>
    </cfRule>
    <cfRule type="cellIs" dxfId="787" priority="1541" operator="greaterThan">
      <formula>0.8</formula>
    </cfRule>
  </conditionalFormatting>
  <conditionalFormatting sqref="R336:T336">
    <cfRule type="notContainsText" dxfId="786" priority="1538" operator="notContains" text="Caida">
      <formula>ISERROR(SEARCH("Caida",R336))</formula>
    </cfRule>
    <cfRule type="containsText" dxfId="785" priority="1539" operator="containsText" text="Caida">
      <formula>NOT(ISERROR(SEARCH("Caida",R336)))</formula>
    </cfRule>
  </conditionalFormatting>
  <conditionalFormatting sqref="R337:R366 R284:R334">
    <cfRule type="cellIs" dxfId="784" priority="1581" operator="lessThan">
      <formula>0.8</formula>
    </cfRule>
    <cfRule type="cellIs" dxfId="783" priority="1582" operator="greaterThan">
      <formula>0.8</formula>
    </cfRule>
  </conditionalFormatting>
  <conditionalFormatting sqref="R337:R366 R284:R334 R397:R1048576">
    <cfRule type="notContainsText" dxfId="782" priority="1579" operator="notContains" text="Caida">
      <formula>ISERROR(SEARCH("Caida",R284))</formula>
    </cfRule>
    <cfRule type="containsText" dxfId="781" priority="1580" operator="containsText" text="Caida">
      <formula>NOT(ISERROR(SEARCH("Caida",R284)))</formula>
    </cfRule>
  </conditionalFormatting>
  <conditionalFormatting sqref="R22:T22">
    <cfRule type="containsText" dxfId="780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79" priority="1576" operator="lessThan">
      <formula>0.8</formula>
    </cfRule>
    <cfRule type="cellIs" dxfId="778" priority="1577" operator="greaterThan">
      <formula>0.8</formula>
    </cfRule>
  </conditionalFormatting>
  <conditionalFormatting sqref="R282:T282">
    <cfRule type="notContainsText" dxfId="777" priority="1574" operator="notContains" text="Caida">
      <formula>ISERROR(SEARCH("Caida",R282))</formula>
    </cfRule>
    <cfRule type="containsText" dxfId="776" priority="1575" operator="containsText" text="Caida">
      <formula>NOT(ISERROR(SEARCH("Caida",R282)))</formula>
    </cfRule>
  </conditionalFormatting>
  <conditionalFormatting sqref="R283:T283">
    <cfRule type="cellIs" dxfId="775" priority="1572" operator="lessThan">
      <formula>0.8</formula>
    </cfRule>
    <cfRule type="cellIs" dxfId="774" priority="1573" operator="greaterThan">
      <formula>0.8</formula>
    </cfRule>
  </conditionalFormatting>
  <conditionalFormatting sqref="R283:T283">
    <cfRule type="notContainsText" dxfId="773" priority="1570" operator="notContains" text="Caida">
      <formula>ISERROR(SEARCH("Caida",R283))</formula>
    </cfRule>
    <cfRule type="containsText" dxfId="772" priority="1571" operator="containsText" text="Caida">
      <formula>NOT(ISERROR(SEARCH("Caida",R283)))</formula>
    </cfRule>
  </conditionalFormatting>
  <conditionalFormatting sqref="R5:T5">
    <cfRule type="cellIs" dxfId="771" priority="1568" operator="lessThan">
      <formula>0.8</formula>
    </cfRule>
    <cfRule type="cellIs" dxfId="770" priority="1569" operator="greaterThan">
      <formula>0.8</formula>
    </cfRule>
  </conditionalFormatting>
  <conditionalFormatting sqref="R5:T5">
    <cfRule type="notContainsText" dxfId="769" priority="1566" operator="notContains" text="Caida">
      <formula>ISERROR(SEARCH("Caida",R5))</formula>
    </cfRule>
    <cfRule type="containsText" dxfId="768" priority="1567" operator="containsText" text="Caida">
      <formula>NOT(ISERROR(SEARCH("Caida",R5)))</formula>
    </cfRule>
  </conditionalFormatting>
  <conditionalFormatting sqref="R231:T231">
    <cfRule type="cellIs" dxfId="767" priority="1564" operator="lessThan">
      <formula>0.8</formula>
    </cfRule>
    <cfRule type="cellIs" dxfId="766" priority="1565" operator="greaterThan">
      <formula>0.8</formula>
    </cfRule>
  </conditionalFormatting>
  <conditionalFormatting sqref="R231:T231">
    <cfRule type="notContainsText" dxfId="765" priority="1562" operator="notContains" text="Caida">
      <formula>ISERROR(SEARCH("Caida",R231))</formula>
    </cfRule>
    <cfRule type="containsText" dxfId="764" priority="1563" operator="containsText" text="Caida">
      <formula>NOT(ISERROR(SEARCH("Caida",R231)))</formula>
    </cfRule>
  </conditionalFormatting>
  <conditionalFormatting sqref="R232:T232">
    <cfRule type="cellIs" dxfId="763" priority="1560" operator="lessThan">
      <formula>0.8</formula>
    </cfRule>
    <cfRule type="cellIs" dxfId="762" priority="1561" operator="greaterThan">
      <formula>0.8</formula>
    </cfRule>
  </conditionalFormatting>
  <conditionalFormatting sqref="R232:T232">
    <cfRule type="notContainsText" dxfId="761" priority="1558" operator="notContains" text="Caida">
      <formula>ISERROR(SEARCH("Caida",R232))</formula>
    </cfRule>
    <cfRule type="containsText" dxfId="760" priority="1559" operator="containsText" text="Caida">
      <formula>NOT(ISERROR(SEARCH("Caida",R232)))</formula>
    </cfRule>
  </conditionalFormatting>
  <conditionalFormatting sqref="R233:T233">
    <cfRule type="cellIs" dxfId="759" priority="1556" operator="lessThan">
      <formula>0.8</formula>
    </cfRule>
    <cfRule type="cellIs" dxfId="758" priority="1557" operator="greaterThan">
      <formula>0.8</formula>
    </cfRule>
  </conditionalFormatting>
  <conditionalFormatting sqref="R233:T233">
    <cfRule type="notContainsText" dxfId="757" priority="1554" operator="notContains" text="Caida">
      <formula>ISERROR(SEARCH("Caida",R233))</formula>
    </cfRule>
    <cfRule type="containsText" dxfId="756" priority="1555" operator="containsText" text="Caida">
      <formula>NOT(ISERROR(SEARCH("Caida",R233)))</formula>
    </cfRule>
  </conditionalFormatting>
  <conditionalFormatting sqref="R234:T234">
    <cfRule type="cellIs" dxfId="755" priority="1552" operator="lessThan">
      <formula>0.8</formula>
    </cfRule>
    <cfRule type="cellIs" dxfId="754" priority="1553" operator="greaterThan">
      <formula>0.8</formula>
    </cfRule>
  </conditionalFormatting>
  <conditionalFormatting sqref="R234:T234">
    <cfRule type="notContainsText" dxfId="753" priority="1550" operator="notContains" text="Caida">
      <formula>ISERROR(SEARCH("Caida",R234))</formula>
    </cfRule>
    <cfRule type="containsText" dxfId="752" priority="1551" operator="containsText" text="Caida">
      <formula>NOT(ISERROR(SEARCH("Caida",R234)))</formula>
    </cfRule>
  </conditionalFormatting>
  <conditionalFormatting sqref="R235:T235">
    <cfRule type="cellIs" dxfId="751" priority="1548" operator="lessThan">
      <formula>0.8</formula>
    </cfRule>
    <cfRule type="cellIs" dxfId="750" priority="1549" operator="greaterThan">
      <formula>0.8</formula>
    </cfRule>
  </conditionalFormatting>
  <conditionalFormatting sqref="R235:T235">
    <cfRule type="notContainsText" dxfId="749" priority="1546" operator="notContains" text="Caida">
      <formula>ISERROR(SEARCH("Caida",R235))</formula>
    </cfRule>
    <cfRule type="containsText" dxfId="748" priority="1547" operator="containsText" text="Caida">
      <formula>NOT(ISERROR(SEARCH("Caida",R235)))</formula>
    </cfRule>
  </conditionalFormatting>
  <conditionalFormatting sqref="R335:T335">
    <cfRule type="cellIs" dxfId="747" priority="1544" operator="lessThan">
      <formula>0.8</formula>
    </cfRule>
    <cfRule type="cellIs" dxfId="746" priority="1545" operator="greaterThan">
      <formula>0.8</formula>
    </cfRule>
  </conditionalFormatting>
  <conditionalFormatting sqref="R335:T335">
    <cfRule type="notContainsText" dxfId="745" priority="1542" operator="notContains" text="Caida">
      <formula>ISERROR(SEARCH("Caida",R335))</formula>
    </cfRule>
    <cfRule type="containsText" dxfId="744" priority="1543" operator="containsText" text="Caida">
      <formula>NOT(ISERROR(SEARCH("Caida",R335)))</formula>
    </cfRule>
  </conditionalFormatting>
  <conditionalFormatting sqref="S397:S1048576">
    <cfRule type="notContainsText" dxfId="743" priority="1530" operator="notContains" text="Caida">
      <formula>ISERROR(SEARCH("Caida",S397))</formula>
    </cfRule>
    <cfRule type="containsText" dxfId="742" priority="1531" operator="containsText" text="Caida">
      <formula>NOT(ISERROR(SEARCH("Caida",S397)))</formula>
    </cfRule>
  </conditionalFormatting>
  <conditionalFormatting sqref="T397:T1048576">
    <cfRule type="notContainsText" dxfId="741" priority="1481" operator="notContains" text="Caida">
      <formula>ISERROR(SEARCH("Caida",T397))</formula>
    </cfRule>
    <cfRule type="containsText" dxfId="740" priority="1482" operator="containsText" text="Caida">
      <formula>NOT(ISERROR(SEARCH("Caida",T397)))</formula>
    </cfRule>
  </conditionalFormatting>
  <conditionalFormatting sqref="E92:K93">
    <cfRule type="containsText" dxfId="739" priority="1437" operator="containsText" text="Radio">
      <formula>NOT(ISERROR(SEARCH("Radio",E92)))</formula>
    </cfRule>
  </conditionalFormatting>
  <conditionalFormatting sqref="P93:P95">
    <cfRule type="cellIs" dxfId="738" priority="1407" operator="lessThan">
      <formula>0.8</formula>
    </cfRule>
    <cfRule type="cellIs" dxfId="737" priority="1408" operator="greaterThan">
      <formula>0.8</formula>
    </cfRule>
  </conditionalFormatting>
  <conditionalFormatting sqref="P93:P95">
    <cfRule type="notContainsText" dxfId="736" priority="1405" operator="notContains" text="Caida">
      <formula>ISERROR(SEARCH("Caida",P93))</formula>
    </cfRule>
    <cfRule type="containsText" dxfId="735" priority="1406" operator="containsText" text="Caida">
      <formula>NOT(ISERROR(SEARCH("Caida",P93)))</formula>
    </cfRule>
  </conditionalFormatting>
  <conditionalFormatting sqref="Q93:Q95">
    <cfRule type="cellIs" dxfId="734" priority="1403" operator="lessThan">
      <formula>0.8</formula>
    </cfRule>
    <cfRule type="cellIs" dxfId="733" priority="1404" operator="greaterThan">
      <formula>0.8</formula>
    </cfRule>
  </conditionalFormatting>
  <conditionalFormatting sqref="Q93:Q95">
    <cfRule type="notContainsText" dxfId="732" priority="1401" operator="notContains" text="Caida">
      <formula>ISERROR(SEARCH("Caida",Q93))</formula>
    </cfRule>
    <cfRule type="containsText" dxfId="731" priority="1402" operator="containsText" text="Caida">
      <formula>NOT(ISERROR(SEARCH("Caida",Q93)))</formula>
    </cfRule>
  </conditionalFormatting>
  <conditionalFormatting sqref="R93:R95">
    <cfRule type="cellIs" dxfId="730" priority="1399" operator="lessThan">
      <formula>0.8</formula>
    </cfRule>
    <cfRule type="cellIs" dxfId="729" priority="1400" operator="greaterThan">
      <formula>0.8</formula>
    </cfRule>
  </conditionalFormatting>
  <conditionalFormatting sqref="R93:R95">
    <cfRule type="notContainsText" dxfId="728" priority="1397" operator="notContains" text="Caida">
      <formula>ISERROR(SEARCH("Caida",R93))</formula>
    </cfRule>
    <cfRule type="containsText" dxfId="727" priority="1398" operator="containsText" text="Caida">
      <formula>NOT(ISERROR(SEARCH("Caida",R93)))</formula>
    </cfRule>
  </conditionalFormatting>
  <conditionalFormatting sqref="E365:K365">
    <cfRule type="containsText" dxfId="726" priority="1386" operator="containsText" text="Radio">
      <formula>NOT(ISERROR(SEARCH("Radio",E365)))</formula>
    </cfRule>
  </conditionalFormatting>
  <conditionalFormatting sqref="P367">
    <cfRule type="cellIs" dxfId="725" priority="1368" operator="lessThan">
      <formula>0.8</formula>
    </cfRule>
    <cfRule type="cellIs" dxfId="724" priority="1369" operator="greaterThan">
      <formula>0.8</formula>
    </cfRule>
  </conditionalFormatting>
  <conditionalFormatting sqref="P367">
    <cfRule type="notContainsText" dxfId="723" priority="1366" operator="notContains" text="Caida">
      <formula>ISERROR(SEARCH("Caida",P367))</formula>
    </cfRule>
    <cfRule type="containsText" dxfId="722" priority="1367" operator="containsText" text="Caida">
      <formula>NOT(ISERROR(SEARCH("Caida",P367)))</formula>
    </cfRule>
  </conditionalFormatting>
  <conditionalFormatting sqref="Q367">
    <cfRule type="cellIs" dxfId="721" priority="1364" operator="lessThan">
      <formula>0.8</formula>
    </cfRule>
    <cfRule type="cellIs" dxfId="720" priority="1365" operator="greaterThan">
      <formula>0.8</formula>
    </cfRule>
  </conditionalFormatting>
  <conditionalFormatting sqref="Q367">
    <cfRule type="notContainsText" dxfId="719" priority="1362" operator="notContains" text="Caida">
      <formula>ISERROR(SEARCH("Caida",Q367))</formula>
    </cfRule>
    <cfRule type="containsText" dxfId="718" priority="1363" operator="containsText" text="Caida">
      <formula>NOT(ISERROR(SEARCH("Caida",Q367)))</formula>
    </cfRule>
  </conditionalFormatting>
  <conditionalFormatting sqref="R367:T367">
    <cfRule type="cellIs" dxfId="717" priority="1360" operator="lessThan">
      <formula>0.8</formula>
    </cfRule>
    <cfRule type="cellIs" dxfId="716" priority="1361" operator="greaterThan">
      <formula>0.8</formula>
    </cfRule>
  </conditionalFormatting>
  <conditionalFormatting sqref="R367:T367">
    <cfRule type="notContainsText" dxfId="715" priority="1358" operator="notContains" text="Caida">
      <formula>ISERROR(SEARCH("Caida",R367))</formula>
    </cfRule>
    <cfRule type="containsText" dxfId="714" priority="1359" operator="containsText" text="Caida">
      <formula>NOT(ISERROR(SEARCH("Caida",R367)))</formula>
    </cfRule>
  </conditionalFormatting>
  <conditionalFormatting sqref="E366:K366">
    <cfRule type="containsText" dxfId="713" priority="1347" operator="containsText" text="Radio">
      <formula>NOT(ISERROR(SEARCH("Radio",E366)))</formula>
    </cfRule>
  </conditionalFormatting>
  <conditionalFormatting sqref="P368">
    <cfRule type="cellIs" dxfId="712" priority="1329" operator="lessThan">
      <formula>0.8</formula>
    </cfRule>
    <cfRule type="cellIs" dxfId="711" priority="1330" operator="greaterThan">
      <formula>0.8</formula>
    </cfRule>
  </conditionalFormatting>
  <conditionalFormatting sqref="P368">
    <cfRule type="notContainsText" dxfId="710" priority="1327" operator="notContains" text="Caida">
      <formula>ISERROR(SEARCH("Caida",P368))</formula>
    </cfRule>
    <cfRule type="containsText" dxfId="709" priority="1328" operator="containsText" text="Caida">
      <formula>NOT(ISERROR(SEARCH("Caida",P368)))</formula>
    </cfRule>
  </conditionalFormatting>
  <conditionalFormatting sqref="Q368">
    <cfRule type="cellIs" dxfId="708" priority="1325" operator="lessThan">
      <formula>0.8</formula>
    </cfRule>
    <cfRule type="cellIs" dxfId="707" priority="1326" operator="greaterThan">
      <formula>0.8</formula>
    </cfRule>
  </conditionalFormatting>
  <conditionalFormatting sqref="Q368">
    <cfRule type="notContainsText" dxfId="706" priority="1323" operator="notContains" text="Caida">
      <formula>ISERROR(SEARCH("Caida",Q368))</formula>
    </cfRule>
    <cfRule type="containsText" dxfId="705" priority="1324" operator="containsText" text="Caida">
      <formula>NOT(ISERROR(SEARCH("Caida",Q368)))</formula>
    </cfRule>
  </conditionalFormatting>
  <conditionalFormatting sqref="R368:T368">
    <cfRule type="cellIs" dxfId="704" priority="1321" operator="lessThan">
      <formula>0.8</formula>
    </cfRule>
    <cfRule type="cellIs" dxfId="703" priority="1322" operator="greaterThan">
      <formula>0.8</formula>
    </cfRule>
  </conditionalFormatting>
  <conditionalFormatting sqref="R368:T368">
    <cfRule type="notContainsText" dxfId="702" priority="1319" operator="notContains" text="Caida">
      <formula>ISERROR(SEARCH("Caida",R368))</formula>
    </cfRule>
    <cfRule type="containsText" dxfId="701" priority="1320" operator="containsText" text="Caida">
      <formula>NOT(ISERROR(SEARCH("Caida",R368)))</formula>
    </cfRule>
  </conditionalFormatting>
  <conditionalFormatting sqref="E367:K367">
    <cfRule type="containsText" dxfId="700" priority="1308" operator="containsText" text="Radio">
      <formula>NOT(ISERROR(SEARCH("Radio",E367)))</formula>
    </cfRule>
  </conditionalFormatting>
  <conditionalFormatting sqref="P369">
    <cfRule type="cellIs" dxfId="699" priority="1290" operator="lessThan">
      <formula>0.8</formula>
    </cfRule>
    <cfRule type="cellIs" dxfId="698" priority="1291" operator="greaterThan">
      <formula>0.8</formula>
    </cfRule>
  </conditionalFormatting>
  <conditionalFormatting sqref="P369">
    <cfRule type="notContainsText" dxfId="697" priority="1288" operator="notContains" text="Caida">
      <formula>ISERROR(SEARCH("Caida",P369))</formula>
    </cfRule>
    <cfRule type="containsText" dxfId="696" priority="1289" operator="containsText" text="Caida">
      <formula>NOT(ISERROR(SEARCH("Caida",P369)))</formula>
    </cfRule>
  </conditionalFormatting>
  <conditionalFormatting sqref="Q369">
    <cfRule type="cellIs" dxfId="695" priority="1286" operator="lessThan">
      <formula>0.8</formula>
    </cfRule>
    <cfRule type="cellIs" dxfId="694" priority="1287" operator="greaterThan">
      <formula>0.8</formula>
    </cfRule>
  </conditionalFormatting>
  <conditionalFormatting sqref="Q369">
    <cfRule type="notContainsText" dxfId="693" priority="1284" operator="notContains" text="Caida">
      <formula>ISERROR(SEARCH("Caida",Q369))</formula>
    </cfRule>
    <cfRule type="containsText" dxfId="692" priority="1285" operator="containsText" text="Caida">
      <formula>NOT(ISERROR(SEARCH("Caida",Q369)))</formula>
    </cfRule>
  </conditionalFormatting>
  <conditionalFormatting sqref="R369:T369">
    <cfRule type="cellIs" dxfId="691" priority="1282" operator="lessThan">
      <formula>0.8</formula>
    </cfRule>
    <cfRule type="cellIs" dxfId="690" priority="1283" operator="greaterThan">
      <formula>0.8</formula>
    </cfRule>
  </conditionalFormatting>
  <conditionalFormatting sqref="R369:T369">
    <cfRule type="notContainsText" dxfId="689" priority="1280" operator="notContains" text="Caida">
      <formula>ISERROR(SEARCH("Caida",R369))</formula>
    </cfRule>
    <cfRule type="containsText" dxfId="688" priority="1281" operator="containsText" text="Caida">
      <formula>NOT(ISERROR(SEARCH("Caida",R369)))</formula>
    </cfRule>
  </conditionalFormatting>
  <conditionalFormatting sqref="E368:K368">
    <cfRule type="containsText" dxfId="687" priority="1269" operator="containsText" text="Radio">
      <formula>NOT(ISERROR(SEARCH("Radio",E368)))</formula>
    </cfRule>
  </conditionalFormatting>
  <conditionalFormatting sqref="U231">
    <cfRule type="cellIs" dxfId="686" priority="1210" operator="lessThan">
      <formula>0.8</formula>
    </cfRule>
    <cfRule type="cellIs" dxfId="685" priority="1211" operator="greaterThan">
      <formula>0.8</formula>
    </cfRule>
  </conditionalFormatting>
  <conditionalFormatting sqref="U231">
    <cfRule type="notContainsText" dxfId="684" priority="1208" operator="notContains" text="Caida">
      <formula>ISERROR(SEARCH("Caida",U231))</formula>
    </cfRule>
    <cfRule type="containsText" dxfId="683" priority="1209" operator="containsText" text="Caida">
      <formula>NOT(ISERROR(SEARCH("Caida",U231)))</formula>
    </cfRule>
  </conditionalFormatting>
  <conditionalFormatting sqref="U232">
    <cfRule type="cellIs" dxfId="682" priority="1206" operator="lessThan">
      <formula>0.8</formula>
    </cfRule>
    <cfRule type="cellIs" dxfId="681" priority="1207" operator="greaterThan">
      <formula>0.8</formula>
    </cfRule>
  </conditionalFormatting>
  <conditionalFormatting sqref="U232">
    <cfRule type="notContainsText" dxfId="680" priority="1204" operator="notContains" text="Caida">
      <formula>ISERROR(SEARCH("Caida",U232))</formula>
    </cfRule>
    <cfRule type="containsText" dxfId="679" priority="1205" operator="containsText" text="Caida">
      <formula>NOT(ISERROR(SEARCH("Caida",U232)))</formula>
    </cfRule>
  </conditionalFormatting>
  <conditionalFormatting sqref="P370:P372">
    <cfRule type="cellIs" dxfId="678" priority="1251" operator="lessThan">
      <formula>0.8</formula>
    </cfRule>
    <cfRule type="cellIs" dxfId="677" priority="1252" operator="greaterThan">
      <formula>0.8</formula>
    </cfRule>
  </conditionalFormatting>
  <conditionalFormatting sqref="P370:P372">
    <cfRule type="notContainsText" dxfId="676" priority="1249" operator="notContains" text="Caida">
      <formula>ISERROR(SEARCH("Caida",P370))</formula>
    </cfRule>
    <cfRule type="containsText" dxfId="675" priority="1250" operator="containsText" text="Caida">
      <formula>NOT(ISERROR(SEARCH("Caida",P370)))</formula>
    </cfRule>
  </conditionalFormatting>
  <conditionalFormatting sqref="Q370:Q372">
    <cfRule type="cellIs" dxfId="674" priority="1247" operator="lessThan">
      <formula>0.8</formula>
    </cfRule>
    <cfRule type="cellIs" dxfId="673" priority="1248" operator="greaterThan">
      <formula>0.8</formula>
    </cfRule>
  </conditionalFormatting>
  <conditionalFormatting sqref="Q370:Q372">
    <cfRule type="notContainsText" dxfId="672" priority="1245" operator="notContains" text="Caida">
      <formula>ISERROR(SEARCH("Caida",Q370))</formula>
    </cfRule>
    <cfRule type="containsText" dxfId="671" priority="1246" operator="containsText" text="Caida">
      <formula>NOT(ISERROR(SEARCH("Caida",Q370)))</formula>
    </cfRule>
  </conditionalFormatting>
  <conditionalFormatting sqref="R370:T370">
    <cfRule type="cellIs" dxfId="670" priority="1243" operator="lessThan">
      <formula>0.8</formula>
    </cfRule>
    <cfRule type="cellIs" dxfId="669" priority="1244" operator="greaterThan">
      <formula>0.8</formula>
    </cfRule>
  </conditionalFormatting>
  <conditionalFormatting sqref="R370:T370">
    <cfRule type="notContainsText" dxfId="668" priority="1241" operator="notContains" text="Caida">
      <formula>ISERROR(SEARCH("Caida",R370))</formula>
    </cfRule>
    <cfRule type="containsText" dxfId="667" priority="1242" operator="containsText" text="Caida">
      <formula>NOT(ISERROR(SEARCH("Caida",R370)))</formula>
    </cfRule>
  </conditionalFormatting>
  <conditionalFormatting sqref="U368">
    <cfRule type="cellIs" dxfId="666" priority="1174" operator="lessThan">
      <formula>0.8</formula>
    </cfRule>
    <cfRule type="cellIs" dxfId="665" priority="1175" operator="greaterThan">
      <formula>0.8</formula>
    </cfRule>
  </conditionalFormatting>
  <conditionalFormatting sqref="U368">
    <cfRule type="notContainsText" dxfId="664" priority="1172" operator="notContains" text="Caida">
      <formula>ISERROR(SEARCH("Caida",U368))</formula>
    </cfRule>
    <cfRule type="containsText" dxfId="663" priority="1173" operator="containsText" text="Caida">
      <formula>NOT(ISERROR(SEARCH("Caida",U368)))</formula>
    </cfRule>
  </conditionalFormatting>
  <conditionalFormatting sqref="U369">
    <cfRule type="cellIs" dxfId="662" priority="1170" operator="lessThan">
      <formula>0.8</formula>
    </cfRule>
    <cfRule type="cellIs" dxfId="661" priority="1171" operator="greaterThan">
      <formula>0.8</formula>
    </cfRule>
  </conditionalFormatting>
  <conditionalFormatting sqref="U369">
    <cfRule type="notContainsText" dxfId="660" priority="1168" operator="notContains" text="Caida">
      <formula>ISERROR(SEARCH("Caida",U369))</formula>
    </cfRule>
    <cfRule type="containsText" dxfId="659" priority="1169" operator="containsText" text="Caida">
      <formula>NOT(ISERROR(SEARCH("Caida",U369)))</formula>
    </cfRule>
  </conditionalFormatting>
  <conditionalFormatting sqref="U370:U372">
    <cfRule type="cellIs" dxfId="658" priority="1166" operator="lessThan">
      <formula>0.8</formula>
    </cfRule>
    <cfRule type="cellIs" dxfId="657" priority="1167" operator="greaterThan">
      <formula>0.8</formula>
    </cfRule>
  </conditionalFormatting>
  <conditionalFormatting sqref="U370:U372">
    <cfRule type="notContainsText" dxfId="656" priority="1164" operator="notContains" text="Caida">
      <formula>ISERROR(SEARCH("Caida",U370))</formula>
    </cfRule>
    <cfRule type="containsText" dxfId="655" priority="1165" operator="containsText" text="Caida">
      <formula>NOT(ISERROR(SEARCH("Caida",U370)))</formula>
    </cfRule>
  </conditionalFormatting>
  <conditionalFormatting sqref="U6:U92 U96:U230">
    <cfRule type="cellIs" dxfId="654" priority="1231" operator="lessThan">
      <formula>0.8</formula>
    </cfRule>
    <cfRule type="cellIs" dxfId="653" priority="1232" operator="greaterThan">
      <formula>0.8</formula>
    </cfRule>
  </conditionalFormatting>
  <conditionalFormatting sqref="U6:U92 U96:U230">
    <cfRule type="notContainsText" dxfId="652" priority="1229" operator="notContains" text="Caida">
      <formula>ISERROR(SEARCH("Caida",U6))</formula>
    </cfRule>
    <cfRule type="containsText" dxfId="651" priority="1230" operator="containsText" text="Caida">
      <formula>NOT(ISERROR(SEARCH("Caida",U6)))</formula>
    </cfRule>
  </conditionalFormatting>
  <conditionalFormatting sqref="U336">
    <cfRule type="cellIs" dxfId="650" priority="1186" operator="lessThan">
      <formula>0.8</formula>
    </cfRule>
    <cfRule type="cellIs" dxfId="649" priority="1187" operator="greaterThan">
      <formula>0.8</formula>
    </cfRule>
  </conditionalFormatting>
  <conditionalFormatting sqref="U336">
    <cfRule type="notContainsText" dxfId="648" priority="1184" operator="notContains" text="Caida">
      <formula>ISERROR(SEARCH("Caida",U336))</formula>
    </cfRule>
    <cfRule type="containsText" dxfId="647" priority="1185" operator="containsText" text="Caida">
      <formula>NOT(ISERROR(SEARCH("Caida",U336)))</formula>
    </cfRule>
  </conditionalFormatting>
  <conditionalFormatting sqref="U337:U366 U284:U334">
    <cfRule type="cellIs" dxfId="646" priority="1227" operator="lessThan">
      <formula>0.8</formula>
    </cfRule>
    <cfRule type="cellIs" dxfId="645" priority="1228" operator="greaterThan">
      <formula>0.8</formula>
    </cfRule>
  </conditionalFormatting>
  <conditionalFormatting sqref="U337:U366 U284:U334 U397:U1048576">
    <cfRule type="notContainsText" dxfId="644" priority="1225" operator="notContains" text="Caida">
      <formula>ISERROR(SEARCH("Caida",U284))</formula>
    </cfRule>
    <cfRule type="containsText" dxfId="643" priority="1226" operator="containsText" text="Caida">
      <formula>NOT(ISERROR(SEARCH("Caida",U284)))</formula>
    </cfRule>
  </conditionalFormatting>
  <conditionalFormatting sqref="U22">
    <cfRule type="containsText" dxfId="642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641" priority="1222" operator="lessThan">
      <formula>0.8</formula>
    </cfRule>
    <cfRule type="cellIs" dxfId="640" priority="1223" operator="greaterThan">
      <formula>0.8</formula>
    </cfRule>
  </conditionalFormatting>
  <conditionalFormatting sqref="U282">
    <cfRule type="notContainsText" dxfId="639" priority="1220" operator="notContains" text="Caida">
      <formula>ISERROR(SEARCH("Caida",U282))</formula>
    </cfRule>
    <cfRule type="containsText" dxfId="638" priority="1221" operator="containsText" text="Caida">
      <formula>NOT(ISERROR(SEARCH("Caida",U282)))</formula>
    </cfRule>
  </conditionalFormatting>
  <conditionalFormatting sqref="U283">
    <cfRule type="cellIs" dxfId="637" priority="1218" operator="lessThan">
      <formula>0.8</formula>
    </cfRule>
    <cfRule type="cellIs" dxfId="636" priority="1219" operator="greaterThan">
      <formula>0.8</formula>
    </cfRule>
  </conditionalFormatting>
  <conditionalFormatting sqref="U283">
    <cfRule type="notContainsText" dxfId="635" priority="1216" operator="notContains" text="Caida">
      <formula>ISERROR(SEARCH("Caida",U283))</formula>
    </cfRule>
    <cfRule type="containsText" dxfId="634" priority="1217" operator="containsText" text="Caida">
      <formula>NOT(ISERROR(SEARCH("Caida",U283)))</formula>
    </cfRule>
  </conditionalFormatting>
  <conditionalFormatting sqref="U5">
    <cfRule type="cellIs" dxfId="633" priority="1214" operator="lessThan">
      <formula>0.8</formula>
    </cfRule>
    <cfRule type="cellIs" dxfId="632" priority="1215" operator="greaterThan">
      <formula>0.8</formula>
    </cfRule>
  </conditionalFormatting>
  <conditionalFormatting sqref="U5">
    <cfRule type="notContainsText" dxfId="631" priority="1212" operator="notContains" text="Caida">
      <formula>ISERROR(SEARCH("Caida",U5))</formula>
    </cfRule>
    <cfRule type="containsText" dxfId="630" priority="1213" operator="containsText" text="Caida">
      <formula>NOT(ISERROR(SEARCH("Caida",U5)))</formula>
    </cfRule>
  </conditionalFormatting>
  <conditionalFormatting sqref="U233">
    <cfRule type="cellIs" dxfId="629" priority="1202" operator="lessThan">
      <formula>0.8</formula>
    </cfRule>
    <cfRule type="cellIs" dxfId="628" priority="1203" operator="greaterThan">
      <formula>0.8</formula>
    </cfRule>
  </conditionalFormatting>
  <conditionalFormatting sqref="U233">
    <cfRule type="notContainsText" dxfId="627" priority="1200" operator="notContains" text="Caida">
      <formula>ISERROR(SEARCH("Caida",U233))</formula>
    </cfRule>
    <cfRule type="containsText" dxfId="626" priority="1201" operator="containsText" text="Caida">
      <formula>NOT(ISERROR(SEARCH("Caida",U233)))</formula>
    </cfRule>
  </conditionalFormatting>
  <conditionalFormatting sqref="U234">
    <cfRule type="cellIs" dxfId="625" priority="1198" operator="lessThan">
      <formula>0.8</formula>
    </cfRule>
    <cfRule type="cellIs" dxfId="624" priority="1199" operator="greaterThan">
      <formula>0.8</formula>
    </cfRule>
  </conditionalFormatting>
  <conditionalFormatting sqref="U234">
    <cfRule type="notContainsText" dxfId="623" priority="1196" operator="notContains" text="Caida">
      <formula>ISERROR(SEARCH("Caida",U234))</formula>
    </cfRule>
    <cfRule type="containsText" dxfId="622" priority="1197" operator="containsText" text="Caida">
      <formula>NOT(ISERROR(SEARCH("Caida",U234)))</formula>
    </cfRule>
  </conditionalFormatting>
  <conditionalFormatting sqref="U235">
    <cfRule type="cellIs" dxfId="621" priority="1194" operator="lessThan">
      <formula>0.8</formula>
    </cfRule>
    <cfRule type="cellIs" dxfId="620" priority="1195" operator="greaterThan">
      <formula>0.8</formula>
    </cfRule>
  </conditionalFormatting>
  <conditionalFormatting sqref="U235">
    <cfRule type="notContainsText" dxfId="619" priority="1192" operator="notContains" text="Caida">
      <formula>ISERROR(SEARCH("Caida",U235))</formula>
    </cfRule>
    <cfRule type="containsText" dxfId="618" priority="1193" operator="containsText" text="Caida">
      <formula>NOT(ISERROR(SEARCH("Caida",U235)))</formula>
    </cfRule>
  </conditionalFormatting>
  <conditionalFormatting sqref="U335">
    <cfRule type="cellIs" dxfId="617" priority="1190" operator="lessThan">
      <formula>0.8</formula>
    </cfRule>
    <cfRule type="cellIs" dxfId="616" priority="1191" operator="greaterThan">
      <formula>0.8</formula>
    </cfRule>
  </conditionalFormatting>
  <conditionalFormatting sqref="U335">
    <cfRule type="notContainsText" dxfId="615" priority="1188" operator="notContains" text="Caida">
      <formula>ISERROR(SEARCH("Caida",U335))</formula>
    </cfRule>
    <cfRule type="containsText" dxfId="614" priority="1189" operator="containsText" text="Caida">
      <formula>NOT(ISERROR(SEARCH("Caida",U335)))</formula>
    </cfRule>
  </conditionalFormatting>
  <conditionalFormatting sqref="U93:U95">
    <cfRule type="cellIs" dxfId="613" priority="1182" operator="lessThan">
      <formula>0.8</formula>
    </cfRule>
    <cfRule type="cellIs" dxfId="612" priority="1183" operator="greaterThan">
      <formula>0.8</formula>
    </cfRule>
  </conditionalFormatting>
  <conditionalFormatting sqref="U93:U95">
    <cfRule type="notContainsText" dxfId="611" priority="1180" operator="notContains" text="Caida">
      <formula>ISERROR(SEARCH("Caida",U93))</formula>
    </cfRule>
    <cfRule type="containsText" dxfId="610" priority="1181" operator="containsText" text="Caida">
      <formula>NOT(ISERROR(SEARCH("Caida",U93)))</formula>
    </cfRule>
  </conditionalFormatting>
  <conditionalFormatting sqref="U367">
    <cfRule type="cellIs" dxfId="609" priority="1178" operator="lessThan">
      <formula>0.8</formula>
    </cfRule>
    <cfRule type="cellIs" dxfId="608" priority="1179" operator="greaterThan">
      <formula>0.8</formula>
    </cfRule>
  </conditionalFormatting>
  <conditionalFormatting sqref="U367">
    <cfRule type="notContainsText" dxfId="607" priority="1176" operator="notContains" text="Caida">
      <formula>ISERROR(SEARCH("Caida",U367))</formula>
    </cfRule>
    <cfRule type="containsText" dxfId="606" priority="1177" operator="containsText" text="Caida">
      <formula>NOT(ISERROR(SEARCH("Caida",U367)))</formula>
    </cfRule>
  </conditionalFormatting>
  <conditionalFormatting sqref="V6:X92">
    <cfRule type="cellIs" dxfId="605" priority="1162" operator="lessThan">
      <formula>0.8</formula>
    </cfRule>
    <cfRule type="cellIs" dxfId="604" priority="1163" operator="greaterThan">
      <formula>0.8</formula>
    </cfRule>
  </conditionalFormatting>
  <conditionalFormatting sqref="V6:X92">
    <cfRule type="notContainsText" dxfId="603" priority="1160" operator="notContains" text="Caida">
      <formula>ISERROR(SEARCH("Caida",V6))</formula>
    </cfRule>
    <cfRule type="containsText" dxfId="602" priority="1161" operator="containsText" text="Caida">
      <formula>NOT(ISERROR(SEARCH("Caida",V6)))</formula>
    </cfRule>
  </conditionalFormatting>
  <conditionalFormatting sqref="V22:X22 AA22:AH22 AJ22">
    <cfRule type="containsText" dxfId="601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600" priority="1157" operator="lessThan">
      <formula>0.8</formula>
    </cfRule>
    <cfRule type="cellIs" dxfId="599" priority="1158" operator="greaterThan">
      <formula>0.8</formula>
    </cfRule>
  </conditionalFormatting>
  <conditionalFormatting sqref="V5:X5 AA5:AH5 AJ5">
    <cfRule type="notContainsText" dxfId="598" priority="1155" operator="notContains" text="Caida">
      <formula>ISERROR(SEARCH("Caida",V5))</formula>
    </cfRule>
    <cfRule type="containsText" dxfId="597" priority="1156" operator="containsText" text="Caida">
      <formula>NOT(ISERROR(SEARCH("Caida",V5)))</formula>
    </cfRule>
  </conditionalFormatting>
  <conditionalFormatting sqref="V93:X95">
    <cfRule type="cellIs" dxfId="596" priority="1153" operator="lessThan">
      <formula>0.8</formula>
    </cfRule>
    <cfRule type="cellIs" dxfId="595" priority="1154" operator="greaterThan">
      <formula>0.8</formula>
    </cfRule>
  </conditionalFormatting>
  <conditionalFormatting sqref="V93:X95">
    <cfRule type="notContainsText" dxfId="594" priority="1151" operator="notContains" text="Caida">
      <formula>ISERROR(SEARCH("Caida",V93))</formula>
    </cfRule>
    <cfRule type="containsText" dxfId="593" priority="1152" operator="containsText" text="Caida">
      <formula>NOT(ISERROR(SEARCH("Caida",V93)))</formula>
    </cfRule>
  </conditionalFormatting>
  <conditionalFormatting sqref="E1:E372 E391:E1048576">
    <cfRule type="containsText" dxfId="592" priority="1011" operator="containsText" text="fija">
      <formula>NOT(ISERROR(SEARCH("fija",E1)))</formula>
    </cfRule>
    <cfRule type="containsText" dxfId="591" priority="1012" operator="containsText" text="domo">
      <formula>NOT(ISERROR(SEARCH("domo",E1)))</formula>
    </cfRule>
  </conditionalFormatting>
  <conditionalFormatting sqref="AK6:AP92">
    <cfRule type="cellIs" dxfId="590" priority="987" operator="lessThan">
      <formula>0.8</formula>
    </cfRule>
    <cfRule type="cellIs" dxfId="589" priority="988" operator="greaterThan">
      <formula>0.8</formula>
    </cfRule>
  </conditionalFormatting>
  <conditionalFormatting sqref="AK6:AP92">
    <cfRule type="notContainsText" dxfId="588" priority="985" operator="notContains" text="Caida">
      <formula>ISERROR(SEARCH("Caida",AK6))</formula>
    </cfRule>
    <cfRule type="containsText" dxfId="587" priority="986" operator="containsText" text="Caida">
      <formula>NOT(ISERROR(SEARCH("Caida",AK6)))</formula>
    </cfRule>
  </conditionalFormatting>
  <conditionalFormatting sqref="AK22:AR22">
    <cfRule type="containsText" dxfId="586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85" priority="982" operator="lessThan">
      <formula>0.8</formula>
    </cfRule>
    <cfRule type="cellIs" dxfId="584" priority="983" operator="greaterThan">
      <formula>0.8</formula>
    </cfRule>
  </conditionalFormatting>
  <conditionalFormatting sqref="AK5:AR5">
    <cfRule type="notContainsText" dxfId="583" priority="980" operator="notContains" text="Caida">
      <formula>ISERROR(SEARCH("Caida",AK5))</formula>
    </cfRule>
    <cfRule type="containsText" dxfId="582" priority="981" operator="containsText" text="Caida">
      <formula>NOT(ISERROR(SEARCH("Caida",AK5)))</formula>
    </cfRule>
  </conditionalFormatting>
  <conditionalFormatting sqref="AK93:AP94">
    <cfRule type="cellIs" dxfId="581" priority="978" operator="lessThan">
      <formula>0.8</formula>
    </cfRule>
    <cfRule type="cellIs" dxfId="580" priority="979" operator="greaterThan">
      <formula>0.8</formula>
    </cfRule>
  </conditionalFormatting>
  <conditionalFormatting sqref="AK93:AP94">
    <cfRule type="notContainsText" dxfId="579" priority="976" operator="notContains" text="Caida">
      <formula>ISERROR(SEARCH("Caida",AK93))</formula>
    </cfRule>
    <cfRule type="containsText" dxfId="578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77" priority="975" operator="equal">
      <formula>"APAGADO"</formula>
    </cfRule>
  </conditionalFormatting>
  <conditionalFormatting sqref="S6:S92 S96:S230">
    <cfRule type="cellIs" dxfId="576" priority="959" operator="lessThan">
      <formula>0.8</formula>
    </cfRule>
    <cfRule type="cellIs" dxfId="575" priority="960" operator="greaterThan">
      <formula>0.8</formula>
    </cfRule>
  </conditionalFormatting>
  <conditionalFormatting sqref="S6:S92 S96:S230">
    <cfRule type="notContainsText" dxfId="574" priority="957" operator="notContains" text="Caida">
      <formula>ISERROR(SEARCH("Caida",S6))</formula>
    </cfRule>
    <cfRule type="containsText" dxfId="573" priority="958" operator="containsText" text="Caida">
      <formula>NOT(ISERROR(SEARCH("Caida",S6)))</formula>
    </cfRule>
  </conditionalFormatting>
  <conditionalFormatting sqref="S337:S366 S284:S334">
    <cfRule type="cellIs" dxfId="572" priority="955" operator="lessThan">
      <formula>0.8</formula>
    </cfRule>
    <cfRule type="cellIs" dxfId="571" priority="956" operator="greaterThan">
      <formula>0.8</formula>
    </cfRule>
  </conditionalFormatting>
  <conditionalFormatting sqref="S337:S366 S284:S334">
    <cfRule type="notContainsText" dxfId="570" priority="953" operator="notContains" text="Caida">
      <formula>ISERROR(SEARCH("Caida",S284))</formula>
    </cfRule>
    <cfRule type="containsText" dxfId="569" priority="954" operator="containsText" text="Caida">
      <formula>NOT(ISERROR(SEARCH("Caida",S284)))</formula>
    </cfRule>
  </conditionalFormatting>
  <conditionalFormatting sqref="S93:S95">
    <cfRule type="cellIs" dxfId="568" priority="951" operator="lessThan">
      <formula>0.8</formula>
    </cfRule>
    <cfRule type="cellIs" dxfId="567" priority="952" operator="greaterThan">
      <formula>0.8</formula>
    </cfRule>
  </conditionalFormatting>
  <conditionalFormatting sqref="S93:S95">
    <cfRule type="notContainsText" dxfId="566" priority="949" operator="notContains" text="Caida">
      <formula>ISERROR(SEARCH("Caida",S93))</formula>
    </cfRule>
    <cfRule type="containsText" dxfId="565" priority="950" operator="containsText" text="Caida">
      <formula>NOT(ISERROR(SEARCH("Caida",S93)))</formula>
    </cfRule>
  </conditionalFormatting>
  <conditionalFormatting sqref="T6:T92 T96:T230">
    <cfRule type="cellIs" dxfId="564" priority="947" operator="lessThan">
      <formula>0.8</formula>
    </cfRule>
    <cfRule type="cellIs" dxfId="563" priority="948" operator="greaterThan">
      <formula>0.8</formula>
    </cfRule>
  </conditionalFormatting>
  <conditionalFormatting sqref="T6:T92 T96:T230">
    <cfRule type="notContainsText" dxfId="562" priority="945" operator="notContains" text="Caida">
      <formula>ISERROR(SEARCH("Caida",T6))</formula>
    </cfRule>
    <cfRule type="containsText" dxfId="561" priority="946" operator="containsText" text="Caida">
      <formula>NOT(ISERROR(SEARCH("Caida",T6)))</formula>
    </cfRule>
  </conditionalFormatting>
  <conditionalFormatting sqref="T337:T366 T284:T334">
    <cfRule type="cellIs" dxfId="560" priority="943" operator="lessThan">
      <formula>0.8</formula>
    </cfRule>
    <cfRule type="cellIs" dxfId="559" priority="944" operator="greaterThan">
      <formula>0.8</formula>
    </cfRule>
  </conditionalFormatting>
  <conditionalFormatting sqref="T337:T366 T284:T334">
    <cfRule type="notContainsText" dxfId="558" priority="941" operator="notContains" text="Caida">
      <formula>ISERROR(SEARCH("Caida",T284))</formula>
    </cfRule>
    <cfRule type="containsText" dxfId="557" priority="942" operator="containsText" text="Caida">
      <formula>NOT(ISERROR(SEARCH("Caida",T284)))</formula>
    </cfRule>
  </conditionalFormatting>
  <conditionalFormatting sqref="T93:T95">
    <cfRule type="cellIs" dxfId="556" priority="939" operator="lessThan">
      <formula>0.8</formula>
    </cfRule>
    <cfRule type="cellIs" dxfId="555" priority="940" operator="greaterThan">
      <formula>0.8</formula>
    </cfRule>
  </conditionalFormatting>
  <conditionalFormatting sqref="T93:T95">
    <cfRule type="notContainsText" dxfId="554" priority="937" operator="notContains" text="Caida">
      <formula>ISERROR(SEARCH("Caida",T93))</formula>
    </cfRule>
    <cfRule type="containsText" dxfId="553" priority="938" operator="containsText" text="Caida">
      <formula>NOT(ISERROR(SEARCH("Caida",T93)))</formula>
    </cfRule>
  </conditionalFormatting>
  <conditionalFormatting sqref="F1:F372 F391:F1048576">
    <cfRule type="cellIs" dxfId="552" priority="866" operator="equal">
      <formula>"PTP A FO"</formula>
    </cfRule>
  </conditionalFormatting>
  <conditionalFormatting sqref="R371:T372">
    <cfRule type="cellIs" dxfId="551" priority="495" operator="lessThan">
      <formula>0.8</formula>
    </cfRule>
    <cfRule type="cellIs" dxfId="550" priority="496" operator="greaterThan">
      <formula>0.8</formula>
    </cfRule>
  </conditionalFormatting>
  <conditionalFormatting sqref="R371:T372">
    <cfRule type="notContainsText" dxfId="549" priority="493" operator="notContains" text="Caida">
      <formula>ISERROR(SEARCH("Caida",R371))</formula>
    </cfRule>
    <cfRule type="containsText" dxfId="548" priority="494" operator="containsText" text="Caida">
      <formula>NOT(ISERROR(SEARCH("Caida",R371)))</formula>
    </cfRule>
  </conditionalFormatting>
  <conditionalFormatting sqref="O6:O92">
    <cfRule type="cellIs" dxfId="547" priority="483" operator="lessThan">
      <formula>0.8</formula>
    </cfRule>
    <cfRule type="cellIs" dxfId="546" priority="484" operator="greaterThan">
      <formula>0.8</formula>
    </cfRule>
  </conditionalFormatting>
  <conditionalFormatting sqref="O6:O92">
    <cfRule type="notContainsText" dxfId="545" priority="481" operator="notContains" text="Caida">
      <formula>ISERROR(SEARCH("Caida",O6))</formula>
    </cfRule>
    <cfRule type="containsText" dxfId="544" priority="482" operator="containsText" text="Caida">
      <formula>NOT(ISERROR(SEARCH("Caida",O6)))</formula>
    </cfRule>
  </conditionalFormatting>
  <conditionalFormatting sqref="O22">
    <cfRule type="containsText" dxfId="543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542" priority="478" operator="lessThan">
      <formula>0.8</formula>
    </cfRule>
    <cfRule type="cellIs" dxfId="541" priority="479" operator="greaterThan">
      <formula>0.8</formula>
    </cfRule>
  </conditionalFormatting>
  <conditionalFormatting sqref="O5">
    <cfRule type="notContainsText" dxfId="540" priority="476" operator="notContains" text="Caida">
      <formula>ISERROR(SEARCH("Caida",O5))</formula>
    </cfRule>
    <cfRule type="containsText" dxfId="539" priority="477" operator="containsText" text="Caida">
      <formula>NOT(ISERROR(SEARCH("Caida",O5)))</formula>
    </cfRule>
  </conditionalFormatting>
  <conditionalFormatting sqref="O93:O94">
    <cfRule type="cellIs" dxfId="538" priority="474" operator="lessThan">
      <formula>0.8</formula>
    </cfRule>
    <cfRule type="cellIs" dxfId="537" priority="475" operator="greaterThan">
      <formula>0.8</formula>
    </cfRule>
  </conditionalFormatting>
  <conditionalFormatting sqref="O93:O94">
    <cfRule type="notContainsText" dxfId="536" priority="472" operator="notContains" text="Caida">
      <formula>ISERROR(SEARCH("Caida",O93))</formula>
    </cfRule>
    <cfRule type="containsText" dxfId="535" priority="473" operator="containsText" text="Caida">
      <formula>NOT(ISERROR(SEARCH("Caida",O93)))</formula>
    </cfRule>
  </conditionalFormatting>
  <conditionalFormatting sqref="AR6:AR92">
    <cfRule type="cellIs" dxfId="534" priority="465" operator="lessThan">
      <formula>0.8</formula>
    </cfRule>
    <cfRule type="cellIs" dxfId="533" priority="466" operator="greaterThan">
      <formula>0.8</formula>
    </cfRule>
  </conditionalFormatting>
  <conditionalFormatting sqref="AR6:AR92">
    <cfRule type="notContainsText" dxfId="532" priority="463" operator="notContains" text="Caida">
      <formula>ISERROR(SEARCH("Caida",AR6))</formula>
    </cfRule>
    <cfRule type="containsText" dxfId="531" priority="464" operator="containsText" text="Caida">
      <formula>NOT(ISERROR(SEARCH("Caida",AR6)))</formula>
    </cfRule>
  </conditionalFormatting>
  <conditionalFormatting sqref="AR93:AR94">
    <cfRule type="cellIs" dxfId="530" priority="461" operator="lessThan">
      <formula>0.8</formula>
    </cfRule>
    <cfRule type="cellIs" dxfId="529" priority="462" operator="greaterThan">
      <formula>0.8</formula>
    </cfRule>
  </conditionalFormatting>
  <conditionalFormatting sqref="AR93:AR94">
    <cfRule type="notContainsText" dxfId="528" priority="459" operator="notContains" text="Caida">
      <formula>ISERROR(SEARCH("Caida",AR93))</formula>
    </cfRule>
    <cfRule type="containsText" dxfId="527" priority="460" operator="containsText" text="Caida">
      <formula>NOT(ISERROR(SEARCH("Caida",AR93)))</formula>
    </cfRule>
  </conditionalFormatting>
  <conditionalFormatting sqref="AA6:AF92">
    <cfRule type="cellIs" dxfId="526" priority="400" operator="lessThan">
      <formula>0.8</formula>
    </cfRule>
    <cfRule type="cellIs" dxfId="525" priority="401" operator="greaterThan">
      <formula>0.8</formula>
    </cfRule>
  </conditionalFormatting>
  <conditionalFormatting sqref="AA6:AF92">
    <cfRule type="notContainsText" dxfId="524" priority="398" operator="notContains" text="Caida">
      <formula>ISERROR(SEARCH("Caida",AA6))</formula>
    </cfRule>
    <cfRule type="containsText" dxfId="523" priority="399" operator="containsText" text="Caida">
      <formula>NOT(ISERROR(SEARCH("Caida",AA6)))</formula>
    </cfRule>
  </conditionalFormatting>
  <conditionalFormatting sqref="AA93:AF95">
    <cfRule type="cellIs" dxfId="522" priority="396" operator="lessThan">
      <formula>0.8</formula>
    </cfRule>
    <cfRule type="cellIs" dxfId="521" priority="397" operator="greaterThan">
      <formula>0.8</formula>
    </cfRule>
  </conditionalFormatting>
  <conditionalFormatting sqref="AA93:AF95">
    <cfRule type="notContainsText" dxfId="520" priority="394" operator="notContains" text="Caida">
      <formula>ISERROR(SEARCH("Caida",AA93))</formula>
    </cfRule>
    <cfRule type="containsText" dxfId="519" priority="395" operator="containsText" text="Caida">
      <formula>NOT(ISERROR(SEARCH("Caida",AA93)))</formula>
    </cfRule>
  </conditionalFormatting>
  <conditionalFormatting sqref="AF1 AF5:AF372 AF397:AF1048576 AF3">
    <cfRule type="cellIs" dxfId="518" priority="393" operator="equal">
      <formula>"apagado"</formula>
    </cfRule>
  </conditionalFormatting>
  <conditionalFormatting sqref="AE1 AE5:AE372 AE397:AE1048576 AE3">
    <cfRule type="cellIs" dxfId="517" priority="392" operator="equal">
      <formula>"apagado"</formula>
    </cfRule>
  </conditionalFormatting>
  <conditionalFormatting sqref="AD1 AD5:AD372 AD397:AD1048576 AD3">
    <cfRule type="cellIs" dxfId="516" priority="391" operator="equal">
      <formula>"apagado"</formula>
    </cfRule>
  </conditionalFormatting>
  <conditionalFormatting sqref="AC1 AC5:AC372 AC397:AC1048576 AC3">
    <cfRule type="cellIs" dxfId="515" priority="390" operator="equal">
      <formula>"apagado"</formula>
    </cfRule>
  </conditionalFormatting>
  <conditionalFormatting sqref="AB1 AB5:AB372 AB397:AB1048576 AB3">
    <cfRule type="cellIs" dxfId="514" priority="389" operator="equal">
      <formula>"apagado"</formula>
    </cfRule>
  </conditionalFormatting>
  <conditionalFormatting sqref="AA1 AA5:AA372 AA397:AA1048576 AA3">
    <cfRule type="cellIs" dxfId="513" priority="388" operator="equal">
      <formula>"apagado"</formula>
    </cfRule>
  </conditionalFormatting>
  <conditionalFormatting sqref="Z1 Z397:Z1048576 Z3">
    <cfRule type="cellIs" dxfId="512" priority="387" operator="equal">
      <formula>"apagado"</formula>
    </cfRule>
  </conditionalFormatting>
  <conditionalFormatting sqref="Y1 Y397:Y1048576 Y3">
    <cfRule type="cellIs" dxfId="511" priority="386" operator="equal">
      <formula>"apagado"</formula>
    </cfRule>
  </conditionalFormatting>
  <conditionalFormatting sqref="AG6:AG92">
    <cfRule type="cellIs" dxfId="510" priority="384" operator="lessThan">
      <formula>0.8</formula>
    </cfRule>
    <cfRule type="cellIs" dxfId="509" priority="385" operator="greaterThan">
      <formula>0.8</formula>
    </cfRule>
  </conditionalFormatting>
  <conditionalFormatting sqref="AG6:AG92">
    <cfRule type="notContainsText" dxfId="508" priority="382" operator="notContains" text="Caida">
      <formula>ISERROR(SEARCH("Caida",AG6))</formula>
    </cfRule>
    <cfRule type="containsText" dxfId="507" priority="383" operator="containsText" text="Caida">
      <formula>NOT(ISERROR(SEARCH("Caida",AG6)))</formula>
    </cfRule>
  </conditionalFormatting>
  <conditionalFormatting sqref="AG93:AG95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AG93:AG95">
    <cfRule type="notContainsText" dxfId="504" priority="378" operator="notContains" text="Caida">
      <formula>ISERROR(SEARCH("Caida",AG93))</formula>
    </cfRule>
    <cfRule type="containsText" dxfId="503" priority="379" operator="containsText" text="Caida">
      <formula>NOT(ISERROR(SEARCH("Caida",AG93)))</formula>
    </cfRule>
  </conditionalFormatting>
  <conditionalFormatting sqref="AG1 AG5:AG372 AG397:AG1048576 AG3">
    <cfRule type="cellIs" dxfId="502" priority="377" operator="equal">
      <formula>"apagado"</formula>
    </cfRule>
  </conditionalFormatting>
  <conditionalFormatting sqref="AH6:AH92">
    <cfRule type="cellIs" dxfId="501" priority="375" operator="lessThan">
      <formula>0.8</formula>
    </cfRule>
    <cfRule type="cellIs" dxfId="500" priority="376" operator="greaterThan">
      <formula>0.8</formula>
    </cfRule>
  </conditionalFormatting>
  <conditionalFormatting sqref="AH6:AH92">
    <cfRule type="notContainsText" dxfId="499" priority="373" operator="notContains" text="Caida">
      <formula>ISERROR(SEARCH("Caida",AH6))</formula>
    </cfRule>
    <cfRule type="containsText" dxfId="498" priority="374" operator="containsText" text="Caida">
      <formula>NOT(ISERROR(SEARCH("Caida",AH6)))</formula>
    </cfRule>
  </conditionalFormatting>
  <conditionalFormatting sqref="AH93:AH95">
    <cfRule type="cellIs" dxfId="497" priority="371" operator="lessThan">
      <formula>0.8</formula>
    </cfRule>
    <cfRule type="cellIs" dxfId="496" priority="372" operator="greaterThan">
      <formula>0.8</formula>
    </cfRule>
  </conditionalFormatting>
  <conditionalFormatting sqref="AH93:AH95">
    <cfRule type="notContainsText" dxfId="495" priority="369" operator="notContains" text="Caida">
      <formula>ISERROR(SEARCH("Caida",AH93))</formula>
    </cfRule>
    <cfRule type="containsText" dxfId="494" priority="370" operator="containsText" text="Caida">
      <formula>NOT(ISERROR(SEARCH("Caida",AH93)))</formula>
    </cfRule>
  </conditionalFormatting>
  <conditionalFormatting sqref="AH1 AH397:AH1048576 AH3 AH5:AH372">
    <cfRule type="cellIs" dxfId="493" priority="368" operator="equal">
      <formula>"apagado"</formula>
    </cfRule>
  </conditionalFormatting>
  <conditionalFormatting sqref="AI1 AI397:AI1048576 AI3">
    <cfRule type="cellIs" dxfId="484" priority="359" operator="equal">
      <formula>"apagado"</formula>
    </cfRule>
  </conditionalFormatting>
  <conditionalFormatting sqref="AJ6:AJ92">
    <cfRule type="cellIs" dxfId="483" priority="357" operator="lessThan">
      <formula>0.8</formula>
    </cfRule>
    <cfRule type="cellIs" dxfId="482" priority="358" operator="greaterThan">
      <formula>0.8</formula>
    </cfRule>
  </conditionalFormatting>
  <conditionalFormatting sqref="AJ6:AJ92">
    <cfRule type="notContainsText" dxfId="481" priority="355" operator="notContains" text="Caida">
      <formula>ISERROR(SEARCH("Caida",AJ6))</formula>
    </cfRule>
    <cfRule type="containsText" dxfId="480" priority="356" operator="containsText" text="Caida">
      <formula>NOT(ISERROR(SEARCH("Caida",AJ6)))</formula>
    </cfRule>
  </conditionalFormatting>
  <conditionalFormatting sqref="AJ93:AJ95">
    <cfRule type="cellIs" dxfId="479" priority="353" operator="lessThan">
      <formula>0.8</formula>
    </cfRule>
    <cfRule type="cellIs" dxfId="478" priority="354" operator="greaterThan">
      <formula>0.8</formula>
    </cfRule>
  </conditionalFormatting>
  <conditionalFormatting sqref="AJ93:AJ95">
    <cfRule type="notContainsText" dxfId="477" priority="351" operator="notContains" text="Caida">
      <formula>ISERROR(SEARCH("Caida",AJ93))</formula>
    </cfRule>
    <cfRule type="containsText" dxfId="476" priority="352" operator="containsText" text="Caida">
      <formula>NOT(ISERROR(SEARCH("Caida",AJ93)))</formula>
    </cfRule>
  </conditionalFormatting>
  <conditionalFormatting sqref="AJ1 AJ5:AJ372 AJ397:AJ1048576 AJ3">
    <cfRule type="cellIs" dxfId="475" priority="350" operator="equal">
      <formula>"apagado"</formula>
    </cfRule>
  </conditionalFormatting>
  <conditionalFormatting sqref="AQ95:AQ369">
    <cfRule type="cellIs" dxfId="474" priority="331" operator="lessThan">
      <formula>0.8</formula>
    </cfRule>
    <cfRule type="cellIs" dxfId="473" priority="332" operator="greaterThan">
      <formula>0.8</formula>
    </cfRule>
  </conditionalFormatting>
  <conditionalFormatting sqref="AQ95:AQ372 AQ397:AQ1048576">
    <cfRule type="notContainsText" dxfId="472" priority="329" operator="notContains" text="Caida">
      <formula>ISERROR(SEARCH("Caida",AQ95))</formula>
    </cfRule>
    <cfRule type="containsText" dxfId="471" priority="330" operator="containsText" text="Caida">
      <formula>NOT(ISERROR(SEARCH("Caida",AQ95)))</formula>
    </cfRule>
  </conditionalFormatting>
  <conditionalFormatting sqref="AQ6:AQ92">
    <cfRule type="cellIs" dxfId="470" priority="327" operator="lessThan">
      <formula>0.8</formula>
    </cfRule>
    <cfRule type="cellIs" dxfId="469" priority="328" operator="greaterThan">
      <formula>0.8</formula>
    </cfRule>
  </conditionalFormatting>
  <conditionalFormatting sqref="AQ6:AQ92">
    <cfRule type="notContainsText" dxfId="468" priority="325" operator="notContains" text="Caida">
      <formula>ISERROR(SEARCH("Caida",AQ6))</formula>
    </cfRule>
    <cfRule type="containsText" dxfId="467" priority="326" operator="containsText" text="Caida">
      <formula>NOT(ISERROR(SEARCH("Caida",AQ6)))</formula>
    </cfRule>
  </conditionalFormatting>
  <conditionalFormatting sqref="AQ93:AQ94">
    <cfRule type="cellIs" dxfId="466" priority="323" operator="lessThan">
      <formula>0.8</formula>
    </cfRule>
    <cfRule type="cellIs" dxfId="465" priority="324" operator="greaterThan">
      <formula>0.8</formula>
    </cfRule>
  </conditionalFormatting>
  <conditionalFormatting sqref="AQ93:AQ94">
    <cfRule type="notContainsText" dxfId="464" priority="321" operator="notContains" text="Caida">
      <formula>ISERROR(SEARCH("Caida",AQ93))</formula>
    </cfRule>
    <cfRule type="containsText" dxfId="463" priority="322" operator="containsText" text="Caida">
      <formula>NOT(ISERROR(SEARCH("Caida",AQ93)))</formula>
    </cfRule>
  </conditionalFormatting>
  <conditionalFormatting sqref="AQ10">
    <cfRule type="cellIs" dxfId="462" priority="316" operator="equal">
      <formula>"apagado"</formula>
    </cfRule>
    <cfRule type="cellIs" dxfId="461" priority="319" operator="lessThan">
      <formula>0.8</formula>
    </cfRule>
    <cfRule type="cellIs" dxfId="460" priority="320" operator="greaterThan">
      <formula>0.8</formula>
    </cfRule>
  </conditionalFormatting>
  <conditionalFormatting sqref="AQ10">
    <cfRule type="notContainsText" dxfId="459" priority="317" operator="notContains" text="Caida">
      <formula>ISERROR(SEARCH("Caida",AQ10))</formula>
    </cfRule>
    <cfRule type="containsText" dxfId="458" priority="318" operator="containsText" text="Caida">
      <formula>NOT(ISERROR(SEARCH("Caida",AQ10)))</formula>
    </cfRule>
  </conditionalFormatting>
  <conditionalFormatting sqref="AQ1 AQ5:AQ372 AQ397:AQ1048576 AQ3">
    <cfRule type="cellIs" dxfId="457" priority="315" operator="equal">
      <formula>"apagado"</formula>
    </cfRule>
  </conditionalFormatting>
  <conditionalFormatting sqref="O5:X372 AA5:AH372 AJ5:AR372">
    <cfRule type="cellIs" dxfId="456" priority="314" operator="equal">
      <formula>"APAGADO"</formula>
    </cfRule>
  </conditionalFormatting>
  <conditionalFormatting sqref="Y96:Y372">
    <cfRule type="cellIs" dxfId="455" priority="276" operator="lessThan">
      <formula>0.8</formula>
    </cfRule>
    <cfRule type="cellIs" dxfId="454" priority="277" operator="greaterThan">
      <formula>0.8</formula>
    </cfRule>
  </conditionalFormatting>
  <conditionalFormatting sqref="Y96:Y372">
    <cfRule type="notContainsText" dxfId="453" priority="274" operator="notContains" text="Caida">
      <formula>ISERROR(SEARCH("Caida",Y96))</formula>
    </cfRule>
    <cfRule type="containsText" dxfId="452" priority="275" operator="containsText" text="Caida">
      <formula>NOT(ISERROR(SEARCH("Caida",Y96)))</formula>
    </cfRule>
  </conditionalFormatting>
  <conditionalFormatting sqref="Y22">
    <cfRule type="containsText" dxfId="451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450" priority="271" operator="lessThan">
      <formula>0.8</formula>
    </cfRule>
    <cfRule type="cellIs" dxfId="449" priority="272" operator="greaterThan">
      <formula>0.8</formula>
    </cfRule>
  </conditionalFormatting>
  <conditionalFormatting sqref="Y5">
    <cfRule type="notContainsText" dxfId="448" priority="269" operator="notContains" text="Caida">
      <formula>ISERROR(SEARCH("Caida",Y5))</formula>
    </cfRule>
    <cfRule type="containsText" dxfId="447" priority="270" operator="containsText" text="Caida">
      <formula>NOT(ISERROR(SEARCH("Caida",Y5)))</formula>
    </cfRule>
  </conditionalFormatting>
  <conditionalFormatting sqref="Y5:Y372">
    <cfRule type="cellIs" dxfId="446" priority="268" operator="equal">
      <formula>"APAGADO"</formula>
    </cfRule>
  </conditionalFormatting>
  <conditionalFormatting sqref="Y6:Y92">
    <cfRule type="cellIs" dxfId="445" priority="266" operator="lessThan">
      <formula>0.8</formula>
    </cfRule>
    <cfRule type="cellIs" dxfId="444" priority="267" operator="greaterThan">
      <formula>0.8</formula>
    </cfRule>
  </conditionalFormatting>
  <conditionalFormatting sqref="Y6:Y92">
    <cfRule type="notContainsText" dxfId="443" priority="264" operator="notContains" text="Caida">
      <formula>ISERROR(SEARCH("Caida",Y6))</formula>
    </cfRule>
    <cfRule type="containsText" dxfId="442" priority="265" operator="containsText" text="Caida">
      <formula>NOT(ISERROR(SEARCH("Caida",Y6)))</formula>
    </cfRule>
  </conditionalFormatting>
  <conditionalFormatting sqref="Y93:Y95">
    <cfRule type="cellIs" dxfId="441" priority="262" operator="lessThan">
      <formula>0.8</formula>
    </cfRule>
    <cfRule type="cellIs" dxfId="440" priority="263" operator="greaterThan">
      <formula>0.8</formula>
    </cfRule>
  </conditionalFormatting>
  <conditionalFormatting sqref="Y93:Y95">
    <cfRule type="notContainsText" dxfId="439" priority="260" operator="notContains" text="Caida">
      <formula>ISERROR(SEARCH("Caida",Y93))</formula>
    </cfRule>
    <cfRule type="containsText" dxfId="438" priority="261" operator="containsText" text="Caida">
      <formula>NOT(ISERROR(SEARCH("Caida",Y93)))</formula>
    </cfRule>
  </conditionalFormatting>
  <conditionalFormatting sqref="Y5:Y372">
    <cfRule type="cellIs" dxfId="437" priority="259" operator="equal">
      <formula>"apagado"</formula>
    </cfRule>
  </conditionalFormatting>
  <conditionalFormatting sqref="Z96:Z372">
    <cfRule type="cellIs" dxfId="436" priority="256" operator="lessThan">
      <formula>0.8</formula>
    </cfRule>
    <cfRule type="cellIs" dxfId="435" priority="257" operator="greaterThan">
      <formula>0.8</formula>
    </cfRule>
  </conditionalFormatting>
  <conditionalFormatting sqref="Z96:Z372">
    <cfRule type="notContainsText" dxfId="434" priority="254" operator="notContains" text="Caida">
      <formula>ISERROR(SEARCH("Caida",Z96))</formula>
    </cfRule>
    <cfRule type="containsText" dxfId="433" priority="255" operator="containsText" text="Caida">
      <formula>NOT(ISERROR(SEARCH("Caida",Z96)))</formula>
    </cfRule>
  </conditionalFormatting>
  <conditionalFormatting sqref="Z22">
    <cfRule type="containsText" dxfId="432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431" priority="251" operator="lessThan">
      <formula>0.8</formula>
    </cfRule>
    <cfRule type="cellIs" dxfId="430" priority="252" operator="greaterThan">
      <formula>0.8</formula>
    </cfRule>
  </conditionalFormatting>
  <conditionalFormatting sqref="Z5">
    <cfRule type="notContainsText" dxfId="429" priority="249" operator="notContains" text="Caida">
      <formula>ISERROR(SEARCH("Caida",Z5))</formula>
    </cfRule>
    <cfRule type="containsText" dxfId="428" priority="250" operator="containsText" text="Caida">
      <formula>NOT(ISERROR(SEARCH("Caida",Z5)))</formula>
    </cfRule>
  </conditionalFormatting>
  <conditionalFormatting sqref="Z5:Z372">
    <cfRule type="cellIs" dxfId="427" priority="248" operator="equal">
      <formula>"APAGADO"</formula>
    </cfRule>
  </conditionalFormatting>
  <conditionalFormatting sqref="Z6:Z92">
    <cfRule type="cellIs" dxfId="426" priority="246" operator="lessThan">
      <formula>0.8</formula>
    </cfRule>
    <cfRule type="cellIs" dxfId="425" priority="247" operator="greaterThan">
      <formula>0.8</formula>
    </cfRule>
  </conditionalFormatting>
  <conditionalFormatting sqref="Z6:Z92">
    <cfRule type="notContainsText" dxfId="424" priority="244" operator="notContains" text="Caida">
      <formula>ISERROR(SEARCH("Caida",Z6))</formula>
    </cfRule>
    <cfRule type="containsText" dxfId="423" priority="245" operator="containsText" text="Caida">
      <formula>NOT(ISERROR(SEARCH("Caida",Z6)))</formula>
    </cfRule>
  </conditionalFormatting>
  <conditionalFormatting sqref="Z93:Z95">
    <cfRule type="cellIs" dxfId="422" priority="242" operator="lessThan">
      <formula>0.8</formula>
    </cfRule>
    <cfRule type="cellIs" dxfId="421" priority="243" operator="greaterThan">
      <formula>0.8</formula>
    </cfRule>
  </conditionalFormatting>
  <conditionalFormatting sqref="Z93:Z95">
    <cfRule type="notContainsText" dxfId="420" priority="240" operator="notContains" text="Caida">
      <formula>ISERROR(SEARCH("Caida",Z93))</formula>
    </cfRule>
    <cfRule type="containsText" dxfId="419" priority="241" operator="containsText" text="Caida">
      <formula>NOT(ISERROR(SEARCH("Caida",Z93)))</formula>
    </cfRule>
  </conditionalFormatting>
  <conditionalFormatting sqref="Z5:Z372">
    <cfRule type="cellIs" dxfId="418" priority="239" operator="equal">
      <formula>"apagado"</formula>
    </cfRule>
  </conditionalFormatting>
  <conditionalFormatting sqref="AH94">
    <cfRule type="cellIs" dxfId="417" priority="236" operator="lessThan">
      <formula>0.8</formula>
    </cfRule>
    <cfRule type="cellIs" dxfId="416" priority="237" operator="greaterThan">
      <formula>0.8</formula>
    </cfRule>
  </conditionalFormatting>
  <conditionalFormatting sqref="AH94">
    <cfRule type="notContainsText" dxfId="415" priority="234" operator="notContains" text="Caida">
      <formula>ISERROR(SEARCH("Caida",AH94))</formula>
    </cfRule>
    <cfRule type="containsText" dxfId="414" priority="235" operator="containsText" text="Caida">
      <formula>NOT(ISERROR(SEARCH("Caida",AH94)))</formula>
    </cfRule>
  </conditionalFormatting>
  <conditionalFormatting sqref="AH96">
    <cfRule type="cellIs" dxfId="413" priority="232" operator="lessThan">
      <formula>0.8</formula>
    </cfRule>
    <cfRule type="cellIs" dxfId="412" priority="233" operator="greaterThan">
      <formula>0.8</formula>
    </cfRule>
  </conditionalFormatting>
  <conditionalFormatting sqref="AH96">
    <cfRule type="notContainsText" dxfId="411" priority="230" operator="notContains" text="Caida">
      <formula>ISERROR(SEARCH("Caida",AH96))</formula>
    </cfRule>
    <cfRule type="containsText" dxfId="410" priority="231" operator="containsText" text="Caida">
      <formula>NOT(ISERROR(SEARCH("Caida",AH96)))</formula>
    </cfRule>
  </conditionalFormatting>
  <conditionalFormatting sqref="AH99">
    <cfRule type="cellIs" dxfId="409" priority="228" operator="lessThan">
      <formula>0.8</formula>
    </cfRule>
    <cfRule type="cellIs" dxfId="408" priority="229" operator="greaterThan">
      <formula>0.8</formula>
    </cfRule>
  </conditionalFormatting>
  <conditionalFormatting sqref="AH99">
    <cfRule type="notContainsText" dxfId="407" priority="226" operator="notContains" text="Caida">
      <formula>ISERROR(SEARCH("Caida",AH99))</formula>
    </cfRule>
    <cfRule type="containsText" dxfId="406" priority="227" operator="containsText" text="Caida">
      <formula>NOT(ISERROR(SEARCH("Caida",AH99)))</formula>
    </cfRule>
  </conditionalFormatting>
  <conditionalFormatting sqref="AH115">
    <cfRule type="cellIs" dxfId="405" priority="224" operator="lessThan">
      <formula>0.8</formula>
    </cfRule>
    <cfRule type="cellIs" dxfId="404" priority="225" operator="greaterThan">
      <formula>0.8</formula>
    </cfRule>
  </conditionalFormatting>
  <conditionalFormatting sqref="AH115">
    <cfRule type="notContainsText" dxfId="403" priority="222" operator="notContains" text="Caida">
      <formula>ISERROR(SEARCH("Caida",AH115))</formula>
    </cfRule>
    <cfRule type="containsText" dxfId="402" priority="223" operator="containsText" text="Caida">
      <formula>NOT(ISERROR(SEARCH("Caida",AH115)))</formula>
    </cfRule>
  </conditionalFormatting>
  <conditionalFormatting sqref="AH116">
    <cfRule type="cellIs" dxfId="401" priority="220" operator="lessThan">
      <formula>0.8</formula>
    </cfRule>
    <cfRule type="cellIs" dxfId="400" priority="221" operator="greaterThan">
      <formula>0.8</formula>
    </cfRule>
  </conditionalFormatting>
  <conditionalFormatting sqref="AH116">
    <cfRule type="notContainsText" dxfId="399" priority="218" operator="notContains" text="Caida">
      <formula>ISERROR(SEARCH("Caida",AH116))</formula>
    </cfRule>
    <cfRule type="containsText" dxfId="398" priority="219" operator="containsText" text="Caida">
      <formula>NOT(ISERROR(SEARCH("Caida",AH116)))</formula>
    </cfRule>
  </conditionalFormatting>
  <conditionalFormatting sqref="AH120">
    <cfRule type="cellIs" dxfId="397" priority="216" operator="lessThan">
      <formula>0.8</formula>
    </cfRule>
    <cfRule type="cellIs" dxfId="396" priority="217" operator="greaterThan">
      <formula>0.8</formula>
    </cfRule>
  </conditionalFormatting>
  <conditionalFormatting sqref="AH120">
    <cfRule type="notContainsText" dxfId="395" priority="214" operator="notContains" text="Caida">
      <formula>ISERROR(SEARCH("Caida",AH120))</formula>
    </cfRule>
    <cfRule type="containsText" dxfId="394" priority="215" operator="containsText" text="Caida">
      <formula>NOT(ISERROR(SEARCH("Caida",AH120)))</formula>
    </cfRule>
  </conditionalFormatting>
  <conditionalFormatting sqref="AH121">
    <cfRule type="cellIs" dxfId="393" priority="212" operator="lessThan">
      <formula>0.8</formula>
    </cfRule>
    <cfRule type="cellIs" dxfId="392" priority="213" operator="greaterThan">
      <formula>0.8</formula>
    </cfRule>
  </conditionalFormatting>
  <conditionalFormatting sqref="AH121">
    <cfRule type="notContainsText" dxfId="391" priority="210" operator="notContains" text="Caida">
      <formula>ISERROR(SEARCH("Caida",AH121))</formula>
    </cfRule>
    <cfRule type="containsText" dxfId="390" priority="211" operator="containsText" text="Caida">
      <formula>NOT(ISERROR(SEARCH("Caida",AH121)))</formula>
    </cfRule>
  </conditionalFormatting>
  <conditionalFormatting sqref="AH133">
    <cfRule type="cellIs" dxfId="389" priority="208" operator="lessThan">
      <formula>0.8</formula>
    </cfRule>
    <cfRule type="cellIs" dxfId="388" priority="209" operator="greaterThan">
      <formula>0.8</formula>
    </cfRule>
  </conditionalFormatting>
  <conditionalFormatting sqref="AH133">
    <cfRule type="notContainsText" dxfId="387" priority="206" operator="notContains" text="Caida">
      <formula>ISERROR(SEARCH("Caida",AH133))</formula>
    </cfRule>
    <cfRule type="containsText" dxfId="386" priority="207" operator="containsText" text="Caida">
      <formula>NOT(ISERROR(SEARCH("Caida",AH133)))</formula>
    </cfRule>
  </conditionalFormatting>
  <conditionalFormatting sqref="AH135">
    <cfRule type="cellIs" dxfId="385" priority="204" operator="lessThan">
      <formula>0.8</formula>
    </cfRule>
    <cfRule type="cellIs" dxfId="384" priority="205" operator="greaterThan">
      <formula>0.8</formula>
    </cfRule>
  </conditionalFormatting>
  <conditionalFormatting sqref="AH135">
    <cfRule type="notContainsText" dxfId="383" priority="202" operator="notContains" text="Caida">
      <formula>ISERROR(SEARCH("Caida",AH135))</formula>
    </cfRule>
    <cfRule type="containsText" dxfId="382" priority="203" operator="containsText" text="Caida">
      <formula>NOT(ISERROR(SEARCH("Caida",AH135)))</formula>
    </cfRule>
  </conditionalFormatting>
  <conditionalFormatting sqref="AH142">
    <cfRule type="cellIs" dxfId="381" priority="200" operator="lessThan">
      <formula>0.8</formula>
    </cfRule>
    <cfRule type="cellIs" dxfId="380" priority="201" operator="greaterThan">
      <formula>0.8</formula>
    </cfRule>
  </conditionalFormatting>
  <conditionalFormatting sqref="AH142">
    <cfRule type="notContainsText" dxfId="379" priority="198" operator="notContains" text="Caida">
      <formula>ISERROR(SEARCH("Caida",AH142))</formula>
    </cfRule>
    <cfRule type="containsText" dxfId="378" priority="199" operator="containsText" text="Caida">
      <formula>NOT(ISERROR(SEARCH("Caida",AH142)))</formula>
    </cfRule>
  </conditionalFormatting>
  <conditionalFormatting sqref="AH143">
    <cfRule type="cellIs" dxfId="377" priority="196" operator="lessThan">
      <formula>0.8</formula>
    </cfRule>
    <cfRule type="cellIs" dxfId="376" priority="197" operator="greaterThan">
      <formula>0.8</formula>
    </cfRule>
  </conditionalFormatting>
  <conditionalFormatting sqref="AH143">
    <cfRule type="notContainsText" dxfId="375" priority="194" operator="notContains" text="Caida">
      <formula>ISERROR(SEARCH("Caida",AH143))</formula>
    </cfRule>
    <cfRule type="containsText" dxfId="374" priority="195" operator="containsText" text="Caida">
      <formula>NOT(ISERROR(SEARCH("Caida",AH143)))</formula>
    </cfRule>
  </conditionalFormatting>
  <conditionalFormatting sqref="AH144">
    <cfRule type="cellIs" dxfId="373" priority="192" operator="lessThan">
      <formula>0.8</formula>
    </cfRule>
    <cfRule type="cellIs" dxfId="372" priority="193" operator="greaterThan">
      <formula>0.8</formula>
    </cfRule>
  </conditionalFormatting>
  <conditionalFormatting sqref="AH144">
    <cfRule type="notContainsText" dxfId="371" priority="190" operator="notContains" text="Caida">
      <formula>ISERROR(SEARCH("Caida",AH144))</formula>
    </cfRule>
    <cfRule type="containsText" dxfId="370" priority="191" operator="containsText" text="Caida">
      <formula>NOT(ISERROR(SEARCH("Caida",AH144)))</formula>
    </cfRule>
  </conditionalFormatting>
  <conditionalFormatting sqref="AH163">
    <cfRule type="cellIs" dxfId="369" priority="188" operator="lessThan">
      <formula>0.8</formula>
    </cfRule>
    <cfRule type="cellIs" dxfId="368" priority="189" operator="greaterThan">
      <formula>0.8</formula>
    </cfRule>
  </conditionalFormatting>
  <conditionalFormatting sqref="AH163">
    <cfRule type="notContainsText" dxfId="367" priority="186" operator="notContains" text="Caida">
      <formula>ISERROR(SEARCH("Caida",AH163))</formula>
    </cfRule>
    <cfRule type="containsText" dxfId="366" priority="187" operator="containsText" text="Caida">
      <formula>NOT(ISERROR(SEARCH("Caida",AH163)))</formula>
    </cfRule>
  </conditionalFormatting>
  <conditionalFormatting sqref="AH164">
    <cfRule type="cellIs" dxfId="365" priority="184" operator="lessThan">
      <formula>0.8</formula>
    </cfRule>
    <cfRule type="cellIs" dxfId="364" priority="185" operator="greaterThan">
      <formula>0.8</formula>
    </cfRule>
  </conditionalFormatting>
  <conditionalFormatting sqref="AH164">
    <cfRule type="notContainsText" dxfId="363" priority="182" operator="notContains" text="Caida">
      <formula>ISERROR(SEARCH("Caida",AH164))</formula>
    </cfRule>
    <cfRule type="containsText" dxfId="362" priority="183" operator="containsText" text="Caida">
      <formula>NOT(ISERROR(SEARCH("Caida",AH164)))</formula>
    </cfRule>
  </conditionalFormatting>
  <conditionalFormatting sqref="AH166">
    <cfRule type="cellIs" dxfId="361" priority="180" operator="lessThan">
      <formula>0.8</formula>
    </cfRule>
    <cfRule type="cellIs" dxfId="360" priority="181" operator="greaterThan">
      <formula>0.8</formula>
    </cfRule>
  </conditionalFormatting>
  <conditionalFormatting sqref="AH166">
    <cfRule type="notContainsText" dxfId="359" priority="178" operator="notContains" text="Caida">
      <formula>ISERROR(SEARCH("Caida",AH166))</formula>
    </cfRule>
    <cfRule type="containsText" dxfId="358" priority="179" operator="containsText" text="Caida">
      <formula>NOT(ISERROR(SEARCH("Caida",AH166)))</formula>
    </cfRule>
  </conditionalFormatting>
  <conditionalFormatting sqref="AH177">
    <cfRule type="cellIs" dxfId="357" priority="176" operator="lessThan">
      <formula>0.8</formula>
    </cfRule>
    <cfRule type="cellIs" dxfId="356" priority="177" operator="greaterThan">
      <formula>0.8</formula>
    </cfRule>
  </conditionalFormatting>
  <conditionalFormatting sqref="AH177">
    <cfRule type="notContainsText" dxfId="355" priority="174" operator="notContains" text="Caida">
      <formula>ISERROR(SEARCH("Caida",AH177))</formula>
    </cfRule>
    <cfRule type="containsText" dxfId="354" priority="175" operator="containsText" text="Caida">
      <formula>NOT(ISERROR(SEARCH("Caida",AH177)))</formula>
    </cfRule>
  </conditionalFormatting>
  <conditionalFormatting sqref="AH191">
    <cfRule type="cellIs" dxfId="353" priority="172" operator="lessThan">
      <formula>0.8</formula>
    </cfRule>
    <cfRule type="cellIs" dxfId="352" priority="173" operator="greaterThan">
      <formula>0.8</formula>
    </cfRule>
  </conditionalFormatting>
  <conditionalFormatting sqref="AH191">
    <cfRule type="notContainsText" dxfId="351" priority="170" operator="notContains" text="Caida">
      <formula>ISERROR(SEARCH("Caida",AH191))</formula>
    </cfRule>
    <cfRule type="containsText" dxfId="350" priority="171" operator="containsText" text="Caida">
      <formula>NOT(ISERROR(SEARCH("Caida",AH191)))</formula>
    </cfRule>
  </conditionalFormatting>
  <conditionalFormatting sqref="AH192">
    <cfRule type="cellIs" dxfId="349" priority="168" operator="lessThan">
      <formula>0.8</formula>
    </cfRule>
    <cfRule type="cellIs" dxfId="348" priority="169" operator="greaterThan">
      <formula>0.8</formula>
    </cfRule>
  </conditionalFormatting>
  <conditionalFormatting sqref="AH192">
    <cfRule type="notContainsText" dxfId="347" priority="166" operator="notContains" text="Caida">
      <formula>ISERROR(SEARCH("Caida",AH192))</formula>
    </cfRule>
    <cfRule type="containsText" dxfId="346" priority="167" operator="containsText" text="Caida">
      <formula>NOT(ISERROR(SEARCH("Caida",AH192)))</formula>
    </cfRule>
  </conditionalFormatting>
  <conditionalFormatting sqref="AH198">
    <cfRule type="cellIs" dxfId="345" priority="164" operator="lessThan">
      <formula>0.8</formula>
    </cfRule>
    <cfRule type="cellIs" dxfId="344" priority="165" operator="greaterThan">
      <formula>0.8</formula>
    </cfRule>
  </conditionalFormatting>
  <conditionalFormatting sqref="AH198">
    <cfRule type="notContainsText" dxfId="343" priority="162" operator="notContains" text="Caida">
      <formula>ISERROR(SEARCH("Caida",AH198))</formula>
    </cfRule>
    <cfRule type="containsText" dxfId="342" priority="163" operator="containsText" text="Caida">
      <formula>NOT(ISERROR(SEARCH("Caida",AH198)))</formula>
    </cfRule>
  </conditionalFormatting>
  <conditionalFormatting sqref="AH206">
    <cfRule type="cellIs" dxfId="341" priority="160" operator="lessThan">
      <formula>0.8</formula>
    </cfRule>
    <cfRule type="cellIs" dxfId="340" priority="161" operator="greaterThan">
      <formula>0.8</formula>
    </cfRule>
  </conditionalFormatting>
  <conditionalFormatting sqref="AH206">
    <cfRule type="notContainsText" dxfId="339" priority="158" operator="notContains" text="Caida">
      <formula>ISERROR(SEARCH("Caida",AH206))</formula>
    </cfRule>
    <cfRule type="containsText" dxfId="338" priority="159" operator="containsText" text="Caida">
      <formula>NOT(ISERROR(SEARCH("Caida",AH206)))</formula>
    </cfRule>
  </conditionalFormatting>
  <conditionalFormatting sqref="AH211">
    <cfRule type="cellIs" dxfId="337" priority="156" operator="lessThan">
      <formula>0.8</formula>
    </cfRule>
    <cfRule type="cellIs" dxfId="336" priority="157" operator="greaterThan">
      <formula>0.8</formula>
    </cfRule>
  </conditionalFormatting>
  <conditionalFormatting sqref="AH211">
    <cfRule type="notContainsText" dxfId="335" priority="154" operator="notContains" text="Caida">
      <formula>ISERROR(SEARCH("Caida",AH211))</formula>
    </cfRule>
    <cfRule type="containsText" dxfId="334" priority="155" operator="containsText" text="Caida">
      <formula>NOT(ISERROR(SEARCH("Caida",AH211)))</formula>
    </cfRule>
  </conditionalFormatting>
  <conditionalFormatting sqref="AH212">
    <cfRule type="cellIs" dxfId="333" priority="152" operator="lessThan">
      <formula>0.8</formula>
    </cfRule>
    <cfRule type="cellIs" dxfId="332" priority="153" operator="greaterThan">
      <formula>0.8</formula>
    </cfRule>
  </conditionalFormatting>
  <conditionalFormatting sqref="AH212">
    <cfRule type="notContainsText" dxfId="331" priority="150" operator="notContains" text="Caida">
      <formula>ISERROR(SEARCH("Caida",AH212))</formula>
    </cfRule>
    <cfRule type="containsText" dxfId="330" priority="151" operator="containsText" text="Caida">
      <formula>NOT(ISERROR(SEARCH("Caida",AH212)))</formula>
    </cfRule>
  </conditionalFormatting>
  <conditionalFormatting sqref="AH359">
    <cfRule type="cellIs" dxfId="329" priority="149" operator="equal">
      <formula>"apagado"</formula>
    </cfRule>
  </conditionalFormatting>
  <conditionalFormatting sqref="AH360">
    <cfRule type="cellIs" dxfId="328" priority="148" operator="equal">
      <formula>"apagado"</formula>
    </cfRule>
  </conditionalFormatting>
  <conditionalFormatting sqref="AH361">
    <cfRule type="cellIs" dxfId="327" priority="147" operator="equal">
      <formula>"apagado"</formula>
    </cfRule>
  </conditionalFormatting>
  <conditionalFormatting sqref="AH362">
    <cfRule type="cellIs" dxfId="326" priority="146" operator="equal">
      <formula>"apagado"</formula>
    </cfRule>
  </conditionalFormatting>
  <conditionalFormatting sqref="AH206">
    <cfRule type="cellIs" dxfId="325" priority="145" operator="equal">
      <formula>"apagado"</formula>
    </cfRule>
  </conditionalFormatting>
  <conditionalFormatting sqref="AH211">
    <cfRule type="cellIs" dxfId="324" priority="144" operator="equal">
      <formula>"apagado"</formula>
    </cfRule>
  </conditionalFormatting>
  <conditionalFormatting sqref="AH212">
    <cfRule type="cellIs" dxfId="323" priority="143" operator="equal">
      <formula>"apagado"</formula>
    </cfRule>
  </conditionalFormatting>
  <conditionalFormatting sqref="AH198">
    <cfRule type="cellIs" dxfId="322" priority="142" operator="equal">
      <formula>"apagado"</formula>
    </cfRule>
  </conditionalFormatting>
  <conditionalFormatting sqref="AH192">
    <cfRule type="cellIs" dxfId="321" priority="141" operator="equal">
      <formula>"apagado"</formula>
    </cfRule>
  </conditionalFormatting>
  <conditionalFormatting sqref="AH191">
    <cfRule type="cellIs" dxfId="320" priority="140" operator="equal">
      <formula>"apagado"</formula>
    </cfRule>
  </conditionalFormatting>
  <conditionalFormatting sqref="AH177">
    <cfRule type="cellIs" dxfId="319" priority="139" operator="equal">
      <formula>"apagado"</formula>
    </cfRule>
  </conditionalFormatting>
  <conditionalFormatting sqref="AH166">
    <cfRule type="cellIs" dxfId="318" priority="138" operator="equal">
      <formula>"apagado"</formula>
    </cfRule>
  </conditionalFormatting>
  <conditionalFormatting sqref="AH163">
    <cfRule type="cellIs" dxfId="317" priority="137" operator="equal">
      <formula>"apagado"</formula>
    </cfRule>
  </conditionalFormatting>
  <conditionalFormatting sqref="AH164">
    <cfRule type="cellIs" dxfId="316" priority="136" operator="equal">
      <formula>"apagado"</formula>
    </cfRule>
  </conditionalFormatting>
  <conditionalFormatting sqref="AH142">
    <cfRule type="cellIs" dxfId="315" priority="135" operator="equal">
      <formula>"apagado"</formula>
    </cfRule>
  </conditionalFormatting>
  <conditionalFormatting sqref="AH143">
    <cfRule type="cellIs" dxfId="314" priority="134" operator="equal">
      <formula>"apagado"</formula>
    </cfRule>
  </conditionalFormatting>
  <conditionalFormatting sqref="AH144">
    <cfRule type="cellIs" dxfId="313" priority="133" operator="equal">
      <formula>"apagado"</formula>
    </cfRule>
  </conditionalFormatting>
  <conditionalFormatting sqref="AH133">
    <cfRule type="cellIs" dxfId="312" priority="132" operator="equal">
      <formula>"apagado"</formula>
    </cfRule>
  </conditionalFormatting>
  <conditionalFormatting sqref="AH135">
    <cfRule type="cellIs" dxfId="311" priority="131" operator="equal">
      <formula>"apagado"</formula>
    </cfRule>
  </conditionalFormatting>
  <conditionalFormatting sqref="AH115">
    <cfRule type="cellIs" dxfId="310" priority="130" operator="equal">
      <formula>"apagado"</formula>
    </cfRule>
  </conditionalFormatting>
  <conditionalFormatting sqref="AH116">
    <cfRule type="cellIs" dxfId="309" priority="129" operator="equal">
      <formula>"apagado"</formula>
    </cfRule>
  </conditionalFormatting>
  <conditionalFormatting sqref="AH120">
    <cfRule type="cellIs" dxfId="308" priority="128" operator="equal">
      <formula>"apagado"</formula>
    </cfRule>
  </conditionalFormatting>
  <conditionalFormatting sqref="AH121">
    <cfRule type="cellIs" dxfId="307" priority="127" operator="equal">
      <formula>"apagado"</formula>
    </cfRule>
  </conditionalFormatting>
  <conditionalFormatting sqref="AH99">
    <cfRule type="cellIs" dxfId="306" priority="126" operator="equal">
      <formula>"apagado"</formula>
    </cfRule>
  </conditionalFormatting>
  <conditionalFormatting sqref="AH94">
    <cfRule type="cellIs" dxfId="305" priority="124" operator="lessThan">
      <formula>0.8</formula>
    </cfRule>
    <cfRule type="cellIs" dxfId="304" priority="125" operator="greaterThan">
      <formula>0.8</formula>
    </cfRule>
  </conditionalFormatting>
  <conditionalFormatting sqref="AH94">
    <cfRule type="notContainsText" dxfId="303" priority="122" operator="notContains" text="Caida">
      <formula>ISERROR(SEARCH("Caida",AH94))</formula>
    </cfRule>
    <cfRule type="containsText" dxfId="302" priority="123" operator="containsText" text="Caida">
      <formula>NOT(ISERROR(SEARCH("Caida",AH94)))</formula>
    </cfRule>
  </conditionalFormatting>
  <conditionalFormatting sqref="AH94">
    <cfRule type="cellIs" dxfId="301" priority="121" operator="equal">
      <formula>"apagado"</formula>
    </cfRule>
  </conditionalFormatting>
  <conditionalFormatting sqref="AH96">
    <cfRule type="cellIs" dxfId="300" priority="120" operator="equal">
      <formula>"apagado"</formula>
    </cfRule>
  </conditionalFormatting>
  <conditionalFormatting sqref="V373:X396 AA373:AH396 N373:N396 AJ373:AJ396">
    <cfRule type="cellIs" dxfId="299" priority="104" operator="lessThan">
      <formula>0.8</formula>
    </cfRule>
    <cfRule type="cellIs" dxfId="298" priority="105" operator="greaterThan">
      <formula>0.8</formula>
    </cfRule>
  </conditionalFormatting>
  <conditionalFormatting sqref="E373:K379">
    <cfRule type="containsText" dxfId="297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96" priority="101" operator="notContains" text="Caida">
      <formula>ISERROR(SEARCH("Caida",O373))</formula>
    </cfRule>
    <cfRule type="containsText" dxfId="295" priority="102" operator="containsText" text="Caida">
      <formula>NOT(ISERROR(SEARCH("Caida",O373)))</formula>
    </cfRule>
  </conditionalFormatting>
  <conditionalFormatting sqref="P373:P396">
    <cfRule type="cellIs" dxfId="294" priority="99" operator="lessThan">
      <formula>0.8</formula>
    </cfRule>
    <cfRule type="cellIs" dxfId="293" priority="100" operator="greaterThan">
      <formula>0.8</formula>
    </cfRule>
  </conditionalFormatting>
  <conditionalFormatting sqref="P373:P396">
    <cfRule type="notContainsText" dxfId="292" priority="97" operator="notContains" text="Caida">
      <formula>ISERROR(SEARCH("Caida",P373))</formula>
    </cfRule>
    <cfRule type="containsText" dxfId="291" priority="98" operator="containsText" text="Caida">
      <formula>NOT(ISERROR(SEARCH("Caida",P373)))</formula>
    </cfRule>
  </conditionalFormatting>
  <conditionalFormatting sqref="Q373:Q396">
    <cfRule type="cellIs" dxfId="290" priority="95" operator="lessThan">
      <formula>0.8</formula>
    </cfRule>
    <cfRule type="cellIs" dxfId="289" priority="96" operator="greaterThan">
      <formula>0.8</formula>
    </cfRule>
  </conditionalFormatting>
  <conditionalFormatting sqref="Q373:Q396">
    <cfRule type="notContainsText" dxfId="288" priority="93" operator="notContains" text="Caida">
      <formula>ISERROR(SEARCH("Caida",Q373))</formula>
    </cfRule>
    <cfRule type="containsText" dxfId="287" priority="94" operator="containsText" text="Caida">
      <formula>NOT(ISERROR(SEARCH("Caida",Q373)))</formula>
    </cfRule>
  </conditionalFormatting>
  <conditionalFormatting sqref="U373:U396">
    <cfRule type="cellIs" dxfId="286" priority="91" operator="lessThan">
      <formula>0.8</formula>
    </cfRule>
    <cfRule type="cellIs" dxfId="285" priority="92" operator="greaterThan">
      <formula>0.8</formula>
    </cfRule>
  </conditionalFormatting>
  <conditionalFormatting sqref="U373:U396">
    <cfRule type="notContainsText" dxfId="284" priority="89" operator="notContains" text="Caida">
      <formula>ISERROR(SEARCH("Caida",U373))</formula>
    </cfRule>
    <cfRule type="containsText" dxfId="283" priority="90" operator="containsText" text="Caida">
      <formula>NOT(ISERROR(SEARCH("Caida",U373)))</formula>
    </cfRule>
  </conditionalFormatting>
  <conditionalFormatting sqref="E373:E379">
    <cfRule type="containsText" dxfId="282" priority="87" operator="containsText" text="fija">
      <formula>NOT(ISERROR(SEARCH("fija",E373)))</formula>
    </cfRule>
    <cfRule type="containsText" dxfId="281" priority="88" operator="containsText" text="domo">
      <formula>NOT(ISERROR(SEARCH("domo",E373)))</formula>
    </cfRule>
  </conditionalFormatting>
  <conditionalFormatting sqref="O373:O396 AK373:AR396">
    <cfRule type="cellIs" dxfId="280" priority="86" operator="equal">
      <formula>"APAGADO"</formula>
    </cfRule>
  </conditionalFormatting>
  <conditionalFormatting sqref="F373:F379">
    <cfRule type="cellIs" dxfId="279" priority="85" operator="equal">
      <formula>"PTP A FO"</formula>
    </cfRule>
  </conditionalFormatting>
  <conditionalFormatting sqref="R373:T396">
    <cfRule type="cellIs" dxfId="278" priority="83" operator="lessThan">
      <formula>0.8</formula>
    </cfRule>
    <cfRule type="cellIs" dxfId="277" priority="84" operator="greaterThan">
      <formula>0.8</formula>
    </cfRule>
  </conditionalFormatting>
  <conditionalFormatting sqref="R373:T396">
    <cfRule type="notContainsText" dxfId="276" priority="81" operator="notContains" text="Caida">
      <formula>ISERROR(SEARCH("Caida",R373))</formula>
    </cfRule>
    <cfRule type="containsText" dxfId="275" priority="82" operator="containsText" text="Caida">
      <formula>NOT(ISERROR(SEARCH("Caida",R373)))</formula>
    </cfRule>
  </conditionalFormatting>
  <conditionalFormatting sqref="AF373:AF396">
    <cfRule type="cellIs" dxfId="274" priority="80" operator="equal">
      <formula>"apagado"</formula>
    </cfRule>
  </conditionalFormatting>
  <conditionalFormatting sqref="AE373:AE396">
    <cfRule type="cellIs" dxfId="273" priority="79" operator="equal">
      <formula>"apagado"</formula>
    </cfRule>
  </conditionalFormatting>
  <conditionalFormatting sqref="AD373:AD396">
    <cfRule type="cellIs" dxfId="272" priority="78" operator="equal">
      <formula>"apagado"</formula>
    </cfRule>
  </conditionalFormatting>
  <conditionalFormatting sqref="AC373:AC396">
    <cfRule type="cellIs" dxfId="271" priority="77" operator="equal">
      <formula>"apagado"</formula>
    </cfRule>
  </conditionalFormatting>
  <conditionalFormatting sqref="AB373:AB396">
    <cfRule type="cellIs" dxfId="270" priority="76" operator="equal">
      <formula>"apagado"</formula>
    </cfRule>
  </conditionalFormatting>
  <conditionalFormatting sqref="AA373:AA396">
    <cfRule type="cellIs" dxfId="269" priority="75" operator="equal">
      <formula>"apagado"</formula>
    </cfRule>
  </conditionalFormatting>
  <conditionalFormatting sqref="AG373:AG396">
    <cfRule type="cellIs" dxfId="268" priority="74" operator="equal">
      <formula>"apagado"</formula>
    </cfRule>
  </conditionalFormatting>
  <conditionalFormatting sqref="AH373:AH396">
    <cfRule type="cellIs" dxfId="267" priority="73" operator="equal">
      <formula>"apagado"</formula>
    </cfRule>
  </conditionalFormatting>
  <conditionalFormatting sqref="AJ373:AJ396">
    <cfRule type="cellIs" dxfId="265" priority="71" operator="equal">
      <formula>"apagado"</formula>
    </cfRule>
  </conditionalFormatting>
  <conditionalFormatting sqref="AQ373:AQ396">
    <cfRule type="notContainsText" dxfId="264" priority="69" operator="notContains" text="Caida">
      <formula>ISERROR(SEARCH("Caida",AQ373))</formula>
    </cfRule>
    <cfRule type="containsText" dxfId="263" priority="70" operator="containsText" text="Caida">
      <formula>NOT(ISERROR(SEARCH("Caida",AQ373)))</formula>
    </cfRule>
  </conditionalFormatting>
  <conditionalFormatting sqref="AQ373:AQ396">
    <cfRule type="cellIs" dxfId="262" priority="68" operator="equal">
      <formula>"apagado"</formula>
    </cfRule>
  </conditionalFormatting>
  <conditionalFormatting sqref="O373:X396 AA373:AH396 AJ373:AR396">
    <cfRule type="cellIs" dxfId="261" priority="67" operator="equal">
      <formula>"APAGADO"</formula>
    </cfRule>
  </conditionalFormatting>
  <conditionalFormatting sqref="Y373:Y396">
    <cfRule type="cellIs" dxfId="260" priority="65" operator="lessThan">
      <formula>0.8</formula>
    </cfRule>
    <cfRule type="cellIs" dxfId="259" priority="66" operator="greaterThan">
      <formula>0.8</formula>
    </cfRule>
  </conditionalFormatting>
  <conditionalFormatting sqref="Y373:Y396">
    <cfRule type="notContainsText" dxfId="258" priority="63" operator="notContains" text="Caida">
      <formula>ISERROR(SEARCH("Caida",Y373))</formula>
    </cfRule>
    <cfRule type="containsText" dxfId="257" priority="64" operator="containsText" text="Caida">
      <formula>NOT(ISERROR(SEARCH("Caida",Y373)))</formula>
    </cfRule>
  </conditionalFormatting>
  <conditionalFormatting sqref="Y373:Y396">
    <cfRule type="cellIs" dxfId="256" priority="62" operator="equal">
      <formula>"APAGADO"</formula>
    </cfRule>
  </conditionalFormatting>
  <conditionalFormatting sqref="Y373:Y396">
    <cfRule type="cellIs" dxfId="255" priority="61" operator="equal">
      <formula>"apagado"</formula>
    </cfRule>
  </conditionalFormatting>
  <conditionalFormatting sqref="Z373:Z396">
    <cfRule type="cellIs" dxfId="254" priority="59" operator="lessThan">
      <formula>0.8</formula>
    </cfRule>
    <cfRule type="cellIs" dxfId="253" priority="60" operator="greaterThan">
      <formula>0.8</formula>
    </cfRule>
  </conditionalFormatting>
  <conditionalFormatting sqref="Z373:Z396">
    <cfRule type="notContainsText" dxfId="252" priority="57" operator="notContains" text="Caida">
      <formula>ISERROR(SEARCH("Caida",Z373))</formula>
    </cfRule>
    <cfRule type="containsText" dxfId="251" priority="58" operator="containsText" text="Caida">
      <formula>NOT(ISERROR(SEARCH("Caida",Z373)))</formula>
    </cfRule>
  </conditionalFormatting>
  <conditionalFormatting sqref="Z373:Z396">
    <cfRule type="cellIs" dxfId="250" priority="56" operator="equal">
      <formula>"APAGADO"</formula>
    </cfRule>
  </conditionalFormatting>
  <conditionalFormatting sqref="Z373:Z396">
    <cfRule type="cellIs" dxfId="249" priority="55" operator="equal">
      <formula>"apagado"</formula>
    </cfRule>
  </conditionalFormatting>
  <conditionalFormatting sqref="AS95:AS369">
    <cfRule type="cellIs" dxfId="248" priority="53" operator="lessThan">
      <formula>0.8</formula>
    </cfRule>
    <cfRule type="cellIs" dxfId="247" priority="54" operator="greaterThan">
      <formula>0.8</formula>
    </cfRule>
  </conditionalFormatting>
  <conditionalFormatting sqref="AS95:AS372">
    <cfRule type="notContainsText" dxfId="246" priority="51" operator="notContains" text="Caida">
      <formula>ISERROR(SEARCH("Caida",AS95))</formula>
    </cfRule>
    <cfRule type="containsText" dxfId="245" priority="52" operator="containsText" text="Caida">
      <formula>NOT(ISERROR(SEARCH("Caida",AS95)))</formula>
    </cfRule>
  </conditionalFormatting>
  <conditionalFormatting sqref="AS22">
    <cfRule type="containsText" dxfId="244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243" priority="48" operator="lessThan">
      <formula>0.8</formula>
    </cfRule>
    <cfRule type="cellIs" dxfId="242" priority="49" operator="greaterThan">
      <formula>0.8</formula>
    </cfRule>
  </conditionalFormatting>
  <conditionalFormatting sqref="AS5">
    <cfRule type="notContainsText" dxfId="241" priority="46" operator="notContains" text="Caida">
      <formula>ISERROR(SEARCH("Caida",AS5))</formula>
    </cfRule>
    <cfRule type="containsText" dxfId="240" priority="47" operator="containsText" text="Caida">
      <formula>NOT(ISERROR(SEARCH("Caida",AS5)))</formula>
    </cfRule>
  </conditionalFormatting>
  <conditionalFormatting sqref="AS1 AS5:AS372">
    <cfRule type="cellIs" dxfId="239" priority="45" operator="equal">
      <formula>"APAGADO"</formula>
    </cfRule>
  </conditionalFormatting>
  <conditionalFormatting sqref="AS6:AS92">
    <cfRule type="cellIs" dxfId="238" priority="43" operator="lessThan">
      <formula>0.8</formula>
    </cfRule>
    <cfRule type="cellIs" dxfId="237" priority="44" operator="greaterThan">
      <formula>0.8</formula>
    </cfRule>
  </conditionalFormatting>
  <conditionalFormatting sqref="AS6:AS92">
    <cfRule type="notContainsText" dxfId="236" priority="41" operator="notContains" text="Caida">
      <formula>ISERROR(SEARCH("Caida",AS6))</formula>
    </cfRule>
    <cfRule type="containsText" dxfId="235" priority="42" operator="containsText" text="Caida">
      <formula>NOT(ISERROR(SEARCH("Caida",AS6)))</formula>
    </cfRule>
  </conditionalFormatting>
  <conditionalFormatting sqref="AS93:AS94">
    <cfRule type="cellIs" dxfId="234" priority="39" operator="lessThan">
      <formula>0.8</formula>
    </cfRule>
    <cfRule type="cellIs" dxfId="233" priority="40" operator="greaterThan">
      <formula>0.8</formula>
    </cfRule>
  </conditionalFormatting>
  <conditionalFormatting sqref="AS93:AS94">
    <cfRule type="notContainsText" dxfId="232" priority="37" operator="notContains" text="Caida">
      <formula>ISERROR(SEARCH("Caida",AS93))</formula>
    </cfRule>
    <cfRule type="containsText" dxfId="231" priority="38" operator="containsText" text="Caida">
      <formula>NOT(ISERROR(SEARCH("Caida",AS93)))</formula>
    </cfRule>
  </conditionalFormatting>
  <conditionalFormatting sqref="AS5:AS372">
    <cfRule type="cellIs" dxfId="230" priority="36" operator="equal">
      <formula>"APAGADO"</formula>
    </cfRule>
  </conditionalFormatting>
  <conditionalFormatting sqref="AS373:AS396">
    <cfRule type="notContainsText" dxfId="229" priority="34" operator="notContains" text="Caida">
      <formula>ISERROR(SEARCH("Caida",AS373))</formula>
    </cfRule>
    <cfRule type="containsText" dxfId="228" priority="35" operator="containsText" text="Caida">
      <formula>NOT(ISERROR(SEARCH("Caida",AS373)))</formula>
    </cfRule>
  </conditionalFormatting>
  <conditionalFormatting sqref="AS373:AS396">
    <cfRule type="cellIs" dxfId="227" priority="33" operator="equal">
      <formula>"APAGADO"</formula>
    </cfRule>
  </conditionalFormatting>
  <conditionalFormatting sqref="AS373:AS396">
    <cfRule type="cellIs" dxfId="226" priority="32" operator="equal">
      <formula>"APAGADO"</formula>
    </cfRule>
  </conditionalFormatting>
  <conditionalFormatting sqref="F1:F1048576">
    <cfRule type="cellIs" dxfId="225" priority="31" operator="equal">
      <formula>"PTP A FO"</formula>
    </cfRule>
    <cfRule type="cellIs" dxfId="224" priority="30" operator="equal">
      <formula>$F$7</formula>
    </cfRule>
  </conditionalFormatting>
  <conditionalFormatting sqref="E1:E1048576">
    <cfRule type="cellIs" dxfId="223" priority="29" operator="equal">
      <formula>$E$5</formula>
    </cfRule>
  </conditionalFormatting>
  <conditionalFormatting sqref="C1:C1048576">
    <cfRule type="cellIs" dxfId="222" priority="28" operator="equal">
      <formula>$C$182</formula>
    </cfRule>
    <cfRule type="cellIs" dxfId="221" priority="27" operator="equal">
      <formula>$C$194</formula>
    </cfRule>
  </conditionalFormatting>
  <conditionalFormatting sqref="AI96:AI372">
    <cfRule type="cellIs" dxfId="59" priority="25" operator="lessThan">
      <formula>0.8</formula>
    </cfRule>
    <cfRule type="cellIs" dxfId="58" priority="26" operator="greaterThan">
      <formula>0.8</formula>
    </cfRule>
  </conditionalFormatting>
  <conditionalFormatting sqref="AI96:AI372">
    <cfRule type="notContainsText" dxfId="57" priority="23" operator="notContains" text="Caida">
      <formula>ISERROR(SEARCH("Caida",AI96))</formula>
    </cfRule>
    <cfRule type="containsText" dxfId="56" priority="24" operator="containsText" text="Caida">
      <formula>NOT(ISERROR(SEARCH("Caida",AI96)))</formula>
    </cfRule>
  </conditionalFormatting>
  <conditionalFormatting sqref="AI22">
    <cfRule type="containsText" dxfId="55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54" priority="20" operator="lessThan">
      <formula>0.8</formula>
    </cfRule>
    <cfRule type="cellIs" dxfId="53" priority="21" operator="greaterThan">
      <formula>0.8</formula>
    </cfRule>
  </conditionalFormatting>
  <conditionalFormatting sqref="AI5">
    <cfRule type="notContainsText" dxfId="52" priority="18" operator="notContains" text="Caida">
      <formula>ISERROR(SEARCH("Caida",AI5))</formula>
    </cfRule>
    <cfRule type="containsText" dxfId="51" priority="19" operator="containsText" text="Caida">
      <formula>NOT(ISERROR(SEARCH("Caida",AI5)))</formula>
    </cfRule>
  </conditionalFormatting>
  <conditionalFormatting sqref="AI5:AI369">
    <cfRule type="cellIs" dxfId="50" priority="17" operator="equal">
      <formula>"APAGADO"</formula>
    </cfRule>
  </conditionalFormatting>
  <conditionalFormatting sqref="AI6:AI92">
    <cfRule type="cellIs" dxfId="49" priority="15" operator="lessThan">
      <formula>0.8</formula>
    </cfRule>
    <cfRule type="cellIs" dxfId="48" priority="16" operator="greaterThan">
      <formula>0.8</formula>
    </cfRule>
  </conditionalFormatting>
  <conditionalFormatting sqref="AI6:AI92">
    <cfRule type="notContainsText" dxfId="47" priority="13" operator="notContains" text="Caida">
      <formula>ISERROR(SEARCH("Caida",AI6))</formula>
    </cfRule>
    <cfRule type="containsText" dxfId="46" priority="14" operator="containsText" text="Caida">
      <formula>NOT(ISERROR(SEARCH("Caida",AI6)))</formula>
    </cfRule>
  </conditionalFormatting>
  <conditionalFormatting sqref="AI93:AI95">
    <cfRule type="cellIs" dxfId="45" priority="11" operator="lessThan">
      <formula>0.8</formula>
    </cfRule>
    <cfRule type="cellIs" dxfId="44" priority="12" operator="greaterThan">
      <formula>0.8</formula>
    </cfRule>
  </conditionalFormatting>
  <conditionalFormatting sqref="AI93:AI95">
    <cfRule type="notContainsText" dxfId="43" priority="9" operator="notContains" text="Caida">
      <formula>ISERROR(SEARCH("Caida",AI93))</formula>
    </cfRule>
    <cfRule type="containsText" dxfId="42" priority="10" operator="containsText" text="Caida">
      <formula>NOT(ISERROR(SEARCH("Caida",AI93)))</formula>
    </cfRule>
  </conditionalFormatting>
  <conditionalFormatting sqref="AI5:AI372">
    <cfRule type="cellIs" dxfId="41" priority="8" operator="equal">
      <formula>"apagado"</formula>
    </cfRule>
  </conditionalFormatting>
  <conditionalFormatting sqref="AI5:AI372">
    <cfRule type="cellIs" dxfId="40" priority="7" operator="equal">
      <formula>"APAGADO"</formula>
    </cfRule>
  </conditionalFormatting>
  <conditionalFormatting sqref="AI373:AI396">
    <cfRule type="cellIs" dxfId="39" priority="5" operator="lessThan">
      <formula>0.8</formula>
    </cfRule>
    <cfRule type="cellIs" dxfId="38" priority="6" operator="greaterThan">
      <formula>0.8</formula>
    </cfRule>
  </conditionalFormatting>
  <conditionalFormatting sqref="AI373:AI396">
    <cfRule type="notContainsText" dxfId="37" priority="3" operator="notContains" text="Caida">
      <formula>ISERROR(SEARCH("Caida",AI373))</formula>
    </cfRule>
    <cfRule type="containsText" dxfId="36" priority="4" operator="containsText" text="Caida">
      <formula>NOT(ISERROR(SEARCH("Caida",AI373)))</formula>
    </cfRule>
  </conditionalFormatting>
  <conditionalFormatting sqref="AI373:AI396">
    <cfRule type="cellIs" dxfId="35" priority="2" operator="equal">
      <formula>"apagado"</formula>
    </cfRule>
  </conditionalFormatting>
  <conditionalFormatting sqref="AI373:AI396">
    <cfRule type="cellIs" dxfId="34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F376" activePane="bottomRight" state="frozen"/>
      <selection pane="topRight" activeCell="F1" sqref="F1"/>
      <selection pane="bottomLeft" activeCell="A3" sqref="A3"/>
      <selection pane="bottomRight" activeCell="AB358" sqref="AB358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si="0"/>
        <v>0</v>
      </c>
      <c r="AI1" s="26">
        <f t="shared" si="0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  <row r="380" spans="1:35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</row>
    <row r="381" spans="1:35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</row>
    <row r="382" spans="1:35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</row>
    <row r="385" spans="1:33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</row>
    <row r="386" spans="1:33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</row>
    <row r="387" spans="1:33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</row>
    <row r="388" spans="1:33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</row>
    <row r="389" spans="1:33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</row>
    <row r="390" spans="1:33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</row>
    <row r="391" spans="1:33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</row>
    <row r="392" spans="1:33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</row>
    <row r="393" spans="1:33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</row>
    <row r="394" spans="1:33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</row>
    <row r="395" spans="1:33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</row>
    <row r="396" spans="1:33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</row>
    <row r="397" spans="1:33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</row>
    <row r="398" spans="1:33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</row>
    <row r="399" spans="1:33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</row>
    <row r="400" spans="1:33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</row>
    <row r="401" spans="1:33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</row>
  </sheetData>
  <autoFilter ref="A2:AG379" xr:uid="{2CD2C71F-307D-4E12-901F-A6B69A40CA8C}"/>
  <conditionalFormatting sqref="AH78:AI78 AH87:AI90 AH102:AI103 AH113:AI114 AH127:AI128 AH131:AI131 AH136:AI139 AH151:AI151 AH154:AI154 AH157:AI157 AH189:AI192 AH204:AI204 AH209:AI210 AH243:AI244 AH249:AI252 AH260:AI264 AH279:AI280 AH282:AI283 AH302:AI305 AH309:AI311 AH319:AI319 AH322:AI322 AH347:AI348 F3:AG401">
    <cfRule type="cellIs" dxfId="220" priority="1" operator="equal">
      <formula>0</formula>
    </cfRule>
    <cfRule type="cellIs" dxfId="21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1191</v>
      </c>
      <c r="D1" s="49">
        <f>COUNTIFS(E4:E400,"=Fibra Optica")</f>
        <v>260</v>
      </c>
    </row>
    <row r="2" spans="1:35" ht="21" x14ac:dyDescent="0.4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15</v>
      </c>
      <c r="Y2" s="26">
        <f>COUNTIFS(Y4:Y400, "=APAGADO",E4:E400,"=Fibra Optica")</f>
        <v>16</v>
      </c>
      <c r="Z2" s="26">
        <f>COUNTIFS(Z4:Z400, "=APAGADO",E4:E400,"=Fibra Optica")</f>
        <v>15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24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21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V367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1400</v>
      </c>
      <c r="D1" s="50">
        <f>COUNTIFS(E4:E400,"=PTo A FO")</f>
        <v>37</v>
      </c>
    </row>
    <row r="2" spans="1:35" ht="21" x14ac:dyDescent="0.4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217" priority="2" operator="containsText" text="APAGADO">
      <formula>NOT(ISERROR(SEARCH("APAGADO",AE3)))</formula>
    </cfRule>
  </conditionalFormatting>
  <conditionalFormatting sqref="F4:AI454">
    <cfRule type="containsText" dxfId="21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1192</v>
      </c>
      <c r="D1" s="50">
        <f>COUNTIFS(E4:E400,"=radio")</f>
        <v>95</v>
      </c>
    </row>
    <row r="2" spans="1:35" ht="21" x14ac:dyDescent="0.4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7</v>
      </c>
      <c r="Y2" s="26">
        <f>COUNTIFS(Y4:Y367, "=APAGADO",E4:E367,"=radio")</f>
        <v>5</v>
      </c>
      <c r="Z2" s="26">
        <f>COUNTIFS(Z4:Z367, "=APAGADO",E4:E367,"=radio")</f>
        <v>6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5">
      <filters>
        <filter val="APAGADO"/>
      </filters>
    </filterColumn>
  </autoFilter>
  <conditionalFormatting sqref="AE3:AE1048576">
    <cfRule type="containsText" dxfId="215" priority="2" operator="containsText" text="APAGADO">
      <formula>NOT(ISERROR(SEARCH("APAGADO",AE3)))</formula>
    </cfRule>
  </conditionalFormatting>
  <conditionalFormatting sqref="F4:AI400">
    <cfRule type="containsText" dxfId="2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4" sqref="F24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1203</v>
      </c>
    </row>
    <row r="2" spans="1:7" x14ac:dyDescent="0.3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3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3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3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3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3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3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3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3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3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3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3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3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3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3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3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3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3">
      <c r="A20" s="25">
        <f>'APAGADOS RADIO'!X3</f>
        <v>44761</v>
      </c>
      <c r="B20" s="51">
        <f>'APAGADOS RADIO'!X2+D20</f>
        <v>12</v>
      </c>
      <c r="C20" s="51">
        <f>'APAGADOS FIBRA'!X2</f>
        <v>15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3">
      <c r="A21" s="25">
        <f>'APAGADOS RADIO'!Y3</f>
        <v>44762</v>
      </c>
      <c r="B21" s="51">
        <f>'APAGADOS RADIO'!Y2+D21</f>
        <v>8</v>
      </c>
      <c r="C21" s="51">
        <f>'APAGADOS FIBRA'!Y2</f>
        <v>16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3">
      <c r="A22" s="25">
        <f>'APAGADOS RADIO'!Z3</f>
        <v>44763</v>
      </c>
      <c r="B22" s="51">
        <f>'APAGADOS RADIO'!Z2+D22</f>
        <v>8</v>
      </c>
      <c r="C22" s="51">
        <f>'APAGADOS FIBRA'!Z2</f>
        <v>15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3">
      <c r="A23" s="25">
        <f>'APAGADOS RADIO'!AA3</f>
        <v>44764</v>
      </c>
      <c r="B23" s="51"/>
      <c r="C23" s="51"/>
      <c r="D23" s="51"/>
      <c r="E23" s="51"/>
      <c r="F23" s="51"/>
    </row>
    <row r="24" spans="1:7" x14ac:dyDescent="0.3">
      <c r="A24" s="25">
        <f>'APAGADOS RADIO'!AB3</f>
        <v>44765</v>
      </c>
      <c r="B24" s="51"/>
      <c r="C24" s="51"/>
      <c r="D24" s="51"/>
      <c r="E24" s="51"/>
      <c r="F24" s="51"/>
    </row>
    <row r="25" spans="1:7" x14ac:dyDescent="0.3">
      <c r="A25" s="25">
        <f>'APAGADOS RADIO'!AC3</f>
        <v>44766</v>
      </c>
      <c r="B25" s="51"/>
      <c r="C25" s="51"/>
      <c r="D25" s="51"/>
      <c r="E25" s="51"/>
    </row>
    <row r="26" spans="1:7" x14ac:dyDescent="0.3">
      <c r="A26" s="25">
        <f>'APAGADOS RADIO'!AD3</f>
        <v>44767</v>
      </c>
      <c r="B26" s="51"/>
      <c r="C26" s="51"/>
      <c r="D26" s="51"/>
      <c r="E26" s="51"/>
    </row>
    <row r="27" spans="1:7" x14ac:dyDescent="0.3">
      <c r="A27" s="25">
        <f>'APAGADOS RADIO'!AE3</f>
        <v>44768</v>
      </c>
      <c r="B27" s="51"/>
      <c r="C27" s="51"/>
      <c r="D27" s="51"/>
      <c r="E27" s="51"/>
    </row>
    <row r="28" spans="1:7" x14ac:dyDescent="0.3">
      <c r="A28" s="25">
        <f>'APAGADOS RADIO'!AF3</f>
        <v>44769</v>
      </c>
      <c r="B28" s="51"/>
      <c r="C28" s="51"/>
      <c r="D28" s="51"/>
      <c r="E28" s="51"/>
    </row>
    <row r="29" spans="1:7" x14ac:dyDescent="0.3">
      <c r="A29" s="25">
        <f>'APAGADOS RADIO'!AG3</f>
        <v>44770</v>
      </c>
      <c r="B29" s="51"/>
      <c r="C29" s="51"/>
      <c r="D29" s="51"/>
      <c r="E29" s="51"/>
    </row>
    <row r="30" spans="1:7" x14ac:dyDescent="0.3">
      <c r="A30" s="25">
        <f>'APAGADOS RADIO'!AH3</f>
        <v>44771</v>
      </c>
      <c r="B30" s="51"/>
      <c r="C30" s="51"/>
      <c r="D30" s="51"/>
      <c r="E30" s="51"/>
    </row>
    <row r="31" spans="1:7" x14ac:dyDescent="0.3">
      <c r="A31" s="25">
        <f>'APAGADOS RADIO'!AI3</f>
        <v>44772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abSelected="1" topLeftCell="A4" workbookViewId="0">
      <selection activeCell="C29" sqref="C29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1207</v>
      </c>
      <c r="D1" s="61" t="s">
        <v>1208</v>
      </c>
    </row>
    <row r="2" spans="1:13" ht="15.6" thickTop="1" thickBot="1" x14ac:dyDescent="0.35">
      <c r="A2" s="58" t="s">
        <v>1204</v>
      </c>
      <c r="B2" s="69">
        <v>375</v>
      </c>
      <c r="C2" s="65"/>
      <c r="D2" s="62"/>
      <c r="E2" s="106">
        <v>44753</v>
      </c>
    </row>
    <row r="3" spans="1:13" ht="15" customHeight="1" thickTop="1" x14ac:dyDescent="0.3">
      <c r="A3" s="59" t="s">
        <v>6</v>
      </c>
      <c r="B3" s="70">
        <v>29</v>
      </c>
      <c r="C3" s="66">
        <v>83</v>
      </c>
      <c r="D3" s="63">
        <f>C3/B2</f>
        <v>0.22133333333333333</v>
      </c>
      <c r="E3" s="107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1211</v>
      </c>
      <c r="M3" s="103">
        <v>44753</v>
      </c>
    </row>
    <row r="4" spans="1:13" x14ac:dyDescent="0.3">
      <c r="A4" s="59" t="s">
        <v>1206</v>
      </c>
      <c r="B4" s="70">
        <v>6</v>
      </c>
      <c r="C4" s="66">
        <f>B3-B4</f>
        <v>23</v>
      </c>
      <c r="D4" s="63">
        <f>C4/B2</f>
        <v>6.133333333333333E-2</v>
      </c>
      <c r="E4" s="107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1211</v>
      </c>
      <c r="M4" s="104"/>
    </row>
    <row r="5" spans="1:13" x14ac:dyDescent="0.3">
      <c r="A5" s="59" t="s">
        <v>1205</v>
      </c>
      <c r="B5" s="70">
        <v>3</v>
      </c>
      <c r="C5" s="66">
        <f>C4-B5</f>
        <v>20</v>
      </c>
      <c r="D5" s="63">
        <f>C5/B2</f>
        <v>5.3333333333333337E-2</v>
      </c>
      <c r="E5" s="107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1212</v>
      </c>
      <c r="M5" s="104"/>
    </row>
    <row r="6" spans="1:13" ht="15" thickBot="1" x14ac:dyDescent="0.35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08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1209</v>
      </c>
      <c r="M6" s="104"/>
    </row>
    <row r="7" spans="1:13" ht="15" customHeight="1" thickTop="1" x14ac:dyDescent="0.3">
      <c r="A7" s="58" t="s">
        <v>1204</v>
      </c>
      <c r="B7" s="69">
        <v>375</v>
      </c>
      <c r="C7" s="65"/>
      <c r="D7" s="62"/>
      <c r="E7" s="106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1209</v>
      </c>
      <c r="M7" s="104"/>
    </row>
    <row r="8" spans="1:13" ht="15" thickBot="1" x14ac:dyDescent="0.35">
      <c r="A8" s="59" t="s">
        <v>6</v>
      </c>
      <c r="B8" s="70">
        <v>36</v>
      </c>
      <c r="C8" s="66">
        <v>83</v>
      </c>
      <c r="D8" s="63">
        <f>C8/B7</f>
        <v>0.22133333333333333</v>
      </c>
      <c r="E8" s="107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1209</v>
      </c>
      <c r="M8" s="109"/>
    </row>
    <row r="9" spans="1:13" ht="15.6" thickTop="1" thickBot="1" x14ac:dyDescent="0.35">
      <c r="A9" s="59" t="s">
        <v>1206</v>
      </c>
      <c r="B9" s="70">
        <v>6</v>
      </c>
      <c r="C9" s="66">
        <f>B8-B9</f>
        <v>30</v>
      </c>
      <c r="D9" s="63">
        <f>C9/B7</f>
        <v>0.08</v>
      </c>
      <c r="E9" s="107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1205</v>
      </c>
      <c r="B10" s="70">
        <v>3</v>
      </c>
      <c r="C10" s="66">
        <f>C9-B10</f>
        <v>27</v>
      </c>
      <c r="D10" s="63">
        <f>C10/B7</f>
        <v>7.1999999999999995E-2</v>
      </c>
      <c r="E10" s="107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1211</v>
      </c>
      <c r="M10" s="103">
        <v>44755</v>
      </c>
    </row>
    <row r="11" spans="1:13" ht="15" thickBot="1" x14ac:dyDescent="0.35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08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1213</v>
      </c>
      <c r="M11" s="104"/>
    </row>
    <row r="12" spans="1:13" ht="15" thickTop="1" x14ac:dyDescent="0.3">
      <c r="A12" s="58" t="s">
        <v>1204</v>
      </c>
      <c r="B12" s="69">
        <v>375</v>
      </c>
      <c r="C12" s="65"/>
      <c r="D12" s="62"/>
      <c r="E12" s="106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1213</v>
      </c>
      <c r="M12" s="104"/>
    </row>
    <row r="13" spans="1:13" x14ac:dyDescent="0.3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07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1214</v>
      </c>
      <c r="M13" s="104"/>
    </row>
    <row r="14" spans="1:13" x14ac:dyDescent="0.3">
      <c r="A14" s="59" t="s">
        <v>1206</v>
      </c>
      <c r="B14" s="70">
        <v>6</v>
      </c>
      <c r="C14" s="66">
        <f>B13-B14</f>
        <v>28</v>
      </c>
      <c r="D14" s="63">
        <f>C14/B12</f>
        <v>7.4666666666666673E-2</v>
      </c>
      <c r="E14" s="107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1209</v>
      </c>
      <c r="M14" s="104"/>
    </row>
    <row r="15" spans="1:13" ht="15" customHeight="1" thickBot="1" x14ac:dyDescent="0.35">
      <c r="A15" s="59" t="s">
        <v>1205</v>
      </c>
      <c r="B15" s="70">
        <v>3</v>
      </c>
      <c r="C15" s="66">
        <f>C14-B15</f>
        <v>25</v>
      </c>
      <c r="D15" s="63">
        <f>C15/B12</f>
        <v>6.6666666666666666E-2</v>
      </c>
      <c r="E15" s="107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1209</v>
      </c>
      <c r="M15" s="105"/>
    </row>
    <row r="16" spans="1:13" ht="15.6" thickTop="1" thickBot="1" x14ac:dyDescent="0.35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08"/>
      <c r="G16" s="110" t="s">
        <v>833</v>
      </c>
      <c r="H16" s="111" t="s">
        <v>35</v>
      </c>
      <c r="I16" s="111" t="s">
        <v>24</v>
      </c>
      <c r="J16" s="111" t="s">
        <v>828</v>
      </c>
      <c r="K16" s="112" t="s">
        <v>834</v>
      </c>
      <c r="L16" s="113" t="s">
        <v>1401</v>
      </c>
      <c r="M16" s="103">
        <v>44763</v>
      </c>
    </row>
    <row r="17" spans="1:13" ht="15" thickTop="1" x14ac:dyDescent="0.3">
      <c r="A17" s="58" t="s">
        <v>1204</v>
      </c>
      <c r="B17" s="69">
        <v>392</v>
      </c>
      <c r="C17" s="65"/>
      <c r="D17" s="62"/>
      <c r="E17" s="106">
        <v>44762</v>
      </c>
      <c r="G17" s="114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15" t="s">
        <v>1213</v>
      </c>
      <c r="M17" s="104"/>
    </row>
    <row r="18" spans="1:13" x14ac:dyDescent="0.3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07"/>
      <c r="G18" s="114" t="s">
        <v>783</v>
      </c>
      <c r="H18" s="77" t="s">
        <v>784</v>
      </c>
      <c r="I18" s="77" t="s">
        <v>19</v>
      </c>
      <c r="J18" s="77" t="s">
        <v>36</v>
      </c>
      <c r="K18" s="78" t="s">
        <v>1168</v>
      </c>
      <c r="L18" s="115" t="s">
        <v>1402</v>
      </c>
      <c r="M18" s="104"/>
    </row>
    <row r="19" spans="1:13" x14ac:dyDescent="0.3">
      <c r="A19" s="59" t="s">
        <v>1206</v>
      </c>
      <c r="B19" s="70">
        <v>3</v>
      </c>
      <c r="C19" s="66">
        <f>B18-B19</f>
        <v>21</v>
      </c>
      <c r="D19" s="63">
        <f>C19/B17</f>
        <v>5.3571428571428568E-2</v>
      </c>
      <c r="E19" s="107"/>
      <c r="G19" s="114" t="s">
        <v>503</v>
      </c>
      <c r="H19" s="77" t="s">
        <v>502</v>
      </c>
      <c r="I19" s="77" t="s">
        <v>102</v>
      </c>
      <c r="J19" s="77" t="s">
        <v>36</v>
      </c>
      <c r="K19" s="78" t="s">
        <v>1027</v>
      </c>
      <c r="L19" s="115" t="s">
        <v>1209</v>
      </c>
      <c r="M19" s="104"/>
    </row>
    <row r="20" spans="1:13" x14ac:dyDescent="0.3">
      <c r="A20" s="59" t="s">
        <v>1205</v>
      </c>
      <c r="B20" s="70">
        <v>0</v>
      </c>
      <c r="C20" s="66">
        <f>C19-B20</f>
        <v>21</v>
      </c>
      <c r="D20" s="63">
        <f>C20/B17</f>
        <v>5.3571428571428568E-2</v>
      </c>
      <c r="E20" s="107"/>
      <c r="G20" s="114"/>
      <c r="H20" s="77"/>
      <c r="I20" s="77"/>
      <c r="J20" s="77"/>
      <c r="K20" s="78"/>
      <c r="L20" s="116"/>
      <c r="M20" s="104"/>
    </row>
    <row r="21" spans="1:13" ht="15" thickBot="1" x14ac:dyDescent="0.35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08"/>
      <c r="G21" s="80"/>
      <c r="H21" s="81"/>
      <c r="I21" s="81"/>
      <c r="J21" s="81"/>
      <c r="K21" s="81"/>
      <c r="L21" s="82"/>
      <c r="M21" s="105"/>
    </row>
    <row r="22" spans="1:13" ht="15" thickTop="1" x14ac:dyDescent="0.3">
      <c r="A22" s="58" t="s">
        <v>1204</v>
      </c>
      <c r="B22" s="69">
        <v>392</v>
      </c>
      <c r="C22" s="65"/>
      <c r="D22" s="62"/>
      <c r="E22" s="106">
        <v>44763</v>
      </c>
    </row>
    <row r="23" spans="1:13" ht="15" thickBot="1" x14ac:dyDescent="0.35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07"/>
    </row>
    <row r="24" spans="1:13" ht="15" thickTop="1" x14ac:dyDescent="0.3">
      <c r="A24" s="59" t="s">
        <v>1206</v>
      </c>
      <c r="B24" s="70">
        <v>4</v>
      </c>
      <c r="C24" s="66">
        <f>B23-B24</f>
        <v>19</v>
      </c>
      <c r="D24" s="63">
        <f>C24/B22</f>
        <v>4.8469387755102039E-2</v>
      </c>
      <c r="E24" s="107"/>
      <c r="G24" s="72"/>
      <c r="H24" s="73"/>
      <c r="I24" s="73"/>
      <c r="J24" s="73"/>
      <c r="K24" s="74"/>
      <c r="L24" s="75"/>
      <c r="M24" s="103"/>
    </row>
    <row r="25" spans="1:13" x14ac:dyDescent="0.3">
      <c r="A25" s="59" t="s">
        <v>1205</v>
      </c>
      <c r="B25" s="70">
        <v>2</v>
      </c>
      <c r="C25" s="66">
        <f>C24-B25</f>
        <v>17</v>
      </c>
      <c r="D25" s="63">
        <f>C25/B22</f>
        <v>4.336734693877551E-2</v>
      </c>
      <c r="E25" s="107"/>
      <c r="G25" s="76"/>
      <c r="H25" s="77"/>
      <c r="I25" s="77"/>
      <c r="J25" s="77"/>
      <c r="K25" s="78"/>
      <c r="L25" s="79"/>
      <c r="M25" s="104"/>
    </row>
    <row r="26" spans="1:13" ht="15" thickBot="1" x14ac:dyDescent="0.35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08"/>
      <c r="G26" s="76"/>
      <c r="H26" s="77"/>
      <c r="I26" s="77"/>
      <c r="J26" s="77"/>
      <c r="K26" s="78"/>
      <c r="L26" s="79"/>
      <c r="M26" s="104"/>
    </row>
    <row r="27" spans="1:13" ht="15" thickTop="1" x14ac:dyDescent="0.3">
      <c r="A27" s="58"/>
      <c r="B27" s="69"/>
      <c r="C27" s="65"/>
      <c r="D27" s="62"/>
      <c r="E27" s="106"/>
      <c r="G27" s="76"/>
      <c r="H27" s="77"/>
      <c r="I27" s="77"/>
      <c r="J27" s="77"/>
      <c r="K27" s="78"/>
      <c r="L27" s="79"/>
      <c r="M27" s="104"/>
    </row>
    <row r="28" spans="1:13" x14ac:dyDescent="0.3">
      <c r="A28" s="59"/>
      <c r="B28" s="70"/>
      <c r="C28" s="66"/>
      <c r="D28" s="63"/>
      <c r="E28" s="107"/>
      <c r="G28" s="76"/>
      <c r="H28" s="77"/>
      <c r="I28" s="77"/>
      <c r="J28" s="77"/>
      <c r="K28" s="78"/>
      <c r="L28" s="79"/>
      <c r="M28" s="104"/>
    </row>
    <row r="29" spans="1:13" ht="15" thickBot="1" x14ac:dyDescent="0.35">
      <c r="A29" s="59"/>
      <c r="B29" s="70"/>
      <c r="C29" s="66"/>
      <c r="D29" s="63"/>
      <c r="E29" s="107"/>
      <c r="G29" s="80"/>
      <c r="H29" s="81"/>
      <c r="I29" s="81"/>
      <c r="J29" s="81"/>
      <c r="K29" s="81"/>
      <c r="L29" s="82"/>
      <c r="M29" s="105"/>
    </row>
    <row r="30" spans="1:13" ht="15" thickTop="1" x14ac:dyDescent="0.3">
      <c r="A30" s="59"/>
      <c r="B30" s="70"/>
      <c r="C30" s="66"/>
      <c r="D30" s="63"/>
      <c r="E30" s="107"/>
    </row>
    <row r="31" spans="1:13" ht="15" thickBot="1" x14ac:dyDescent="0.35">
      <c r="A31" s="60"/>
      <c r="B31" s="71"/>
      <c r="C31" s="67"/>
      <c r="D31" s="64"/>
      <c r="E31" s="108"/>
    </row>
    <row r="32" spans="1:13" ht="15" thickTop="1" x14ac:dyDescent="0.3">
      <c r="A32" s="58"/>
      <c r="B32" s="69"/>
      <c r="C32" s="65"/>
      <c r="D32" s="62"/>
      <c r="E32" s="106"/>
      <c r="G32" s="52"/>
      <c r="H32" s="51"/>
      <c r="I32" s="51"/>
      <c r="J32" s="51"/>
      <c r="K32" s="16"/>
      <c r="L32" s="83"/>
    </row>
    <row r="33" spans="1:13" x14ac:dyDescent="0.3">
      <c r="A33" s="59"/>
      <c r="B33" s="70"/>
      <c r="C33" s="66"/>
      <c r="D33" s="63"/>
      <c r="E33" s="107"/>
      <c r="G33" s="52"/>
      <c r="H33" s="51"/>
      <c r="I33" s="51"/>
      <c r="J33" s="51"/>
      <c r="K33" s="16"/>
      <c r="L33" s="83"/>
    </row>
    <row r="34" spans="1:13" x14ac:dyDescent="0.3">
      <c r="A34" s="59"/>
      <c r="B34" s="70"/>
      <c r="C34" s="66"/>
      <c r="D34" s="63"/>
      <c r="E34" s="107"/>
      <c r="G34" s="52"/>
      <c r="H34" s="51"/>
      <c r="I34" s="51"/>
      <c r="J34" s="51"/>
      <c r="K34" s="16"/>
      <c r="L34" s="83"/>
    </row>
    <row r="35" spans="1:13" x14ac:dyDescent="0.3">
      <c r="A35" s="59"/>
      <c r="B35" s="70"/>
      <c r="C35" s="66"/>
      <c r="D35" s="63"/>
      <c r="E35" s="107"/>
      <c r="G35" s="52"/>
      <c r="H35" s="51"/>
      <c r="I35" s="51"/>
      <c r="J35" s="51"/>
      <c r="K35" s="16"/>
      <c r="L35" s="83"/>
    </row>
    <row r="36" spans="1:13" ht="15" thickBot="1" x14ac:dyDescent="0.35">
      <c r="A36" s="60"/>
      <c r="B36" s="71"/>
      <c r="C36" s="67"/>
      <c r="D36" s="64"/>
      <c r="E36" s="108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06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07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07"/>
    </row>
    <row r="40" spans="1:13" ht="15" thickTop="1" x14ac:dyDescent="0.3">
      <c r="A40" s="59"/>
      <c r="B40" s="70"/>
      <c r="C40" s="66"/>
      <c r="D40" s="63"/>
      <c r="E40" s="107"/>
      <c r="G40" s="72"/>
      <c r="H40" s="73"/>
      <c r="I40" s="73"/>
      <c r="J40" s="73"/>
      <c r="K40" s="74"/>
      <c r="L40" s="75"/>
      <c r="M40" s="103"/>
    </row>
    <row r="41" spans="1:13" ht="15" thickBot="1" x14ac:dyDescent="0.35">
      <c r="A41" s="60"/>
      <c r="B41" s="71"/>
      <c r="C41" s="67"/>
      <c r="D41" s="64"/>
      <c r="E41" s="108"/>
      <c r="G41" s="76"/>
      <c r="H41" s="77"/>
      <c r="I41" s="77"/>
      <c r="J41" s="77"/>
      <c r="K41" s="78"/>
      <c r="L41" s="79"/>
      <c r="M41" s="104"/>
    </row>
    <row r="42" spans="1:13" ht="15" thickTop="1" x14ac:dyDescent="0.3">
      <c r="G42" s="76"/>
      <c r="H42" s="77"/>
      <c r="I42" s="77"/>
      <c r="J42" s="77"/>
      <c r="K42" s="78"/>
      <c r="L42" s="79"/>
      <c r="M42" s="104"/>
    </row>
    <row r="43" spans="1:13" x14ac:dyDescent="0.3">
      <c r="G43" s="76"/>
      <c r="H43" s="77"/>
      <c r="I43" s="77"/>
      <c r="J43" s="77"/>
      <c r="K43" s="78"/>
      <c r="L43" s="79"/>
      <c r="M43" s="104"/>
    </row>
    <row r="44" spans="1:13" x14ac:dyDescent="0.3">
      <c r="G44" s="76"/>
      <c r="H44" s="77"/>
      <c r="I44" s="77"/>
      <c r="J44" s="77"/>
      <c r="K44" s="78"/>
      <c r="L44" s="79"/>
      <c r="M44" s="104"/>
    </row>
    <row r="45" spans="1:13" ht="15" thickBot="1" x14ac:dyDescent="0.35">
      <c r="G45" s="80"/>
      <c r="H45" s="81"/>
      <c r="I45" s="81"/>
      <c r="J45" s="81"/>
      <c r="K45" s="81"/>
      <c r="L45" s="82"/>
      <c r="M45" s="105"/>
    </row>
    <row r="46" spans="1:13" ht="15" thickTop="1" x14ac:dyDescent="0.3"/>
    <row r="47" spans="1:13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213" priority="259" operator="containsText" text="Radio">
      <formula>NOT(ISERROR(SEARCH("Radio",I9)))</formula>
    </cfRule>
  </conditionalFormatting>
  <conditionalFormatting sqref="I9">
    <cfRule type="containsText" dxfId="212" priority="251" operator="containsText" text="fija">
      <formula>NOT(ISERROR(SEARCH("fija",I9)))</formula>
    </cfRule>
    <cfRule type="containsText" dxfId="211" priority="252" operator="containsText" text="domo">
      <formula>NOT(ISERROR(SEARCH("domo",I9)))</formula>
    </cfRule>
  </conditionalFormatting>
  <conditionalFormatting sqref="J9">
    <cfRule type="cellIs" dxfId="210" priority="250" operator="equal">
      <formula>"PTP A FO"</formula>
    </cfRule>
  </conditionalFormatting>
  <conditionalFormatting sqref="L20">
    <cfRule type="containsText" dxfId="209" priority="217" operator="containsText" text="Radio">
      <formula>NOT(ISERROR(SEARCH("Radio",L20)))</formula>
    </cfRule>
  </conditionalFormatting>
  <conditionalFormatting sqref="I20:K20">
    <cfRule type="containsText" dxfId="199" priority="207" operator="containsText" text="Radio">
      <formula>NOT(ISERROR(SEARCH("Radio",I20)))</formula>
    </cfRule>
  </conditionalFormatting>
  <conditionalFormatting sqref="I20">
    <cfRule type="containsText" dxfId="198" priority="205" operator="containsText" text="fija">
      <formula>NOT(ISERROR(SEARCH("fija",I20)))</formula>
    </cfRule>
    <cfRule type="containsText" dxfId="197" priority="206" operator="containsText" text="domo">
      <formula>NOT(ISERROR(SEARCH("domo",I20)))</formula>
    </cfRule>
  </conditionalFormatting>
  <conditionalFormatting sqref="J20">
    <cfRule type="cellIs" dxfId="196" priority="204" operator="equal">
      <formula>"PTP A FO"</formula>
    </cfRule>
  </conditionalFormatting>
  <conditionalFormatting sqref="I24:L27 L28">
    <cfRule type="containsText" dxfId="195" priority="179" operator="containsText" text="Radio">
      <formula>NOT(ISERROR(SEARCH("Radio",I24)))</formula>
    </cfRule>
  </conditionalFormatting>
  <conditionalFormatting sqref="I27">
    <cfRule type="containsText" dxfId="194" priority="177" operator="containsText" text="fija">
      <formula>NOT(ISERROR(SEARCH("fija",I27)))</formula>
    </cfRule>
    <cfRule type="containsText" dxfId="193" priority="178" operator="containsText" text="domo">
      <formula>NOT(ISERROR(SEARCH("domo",I27)))</formula>
    </cfRule>
  </conditionalFormatting>
  <conditionalFormatting sqref="J27">
    <cfRule type="cellIs" dxfId="192" priority="176" operator="equal">
      <formula>"PTP A FO"</formula>
    </cfRule>
  </conditionalFormatting>
  <conditionalFormatting sqref="I24">
    <cfRule type="containsText" dxfId="191" priority="174" operator="containsText" text="fija">
      <formula>NOT(ISERROR(SEARCH("fija",I24)))</formula>
    </cfRule>
    <cfRule type="containsText" dxfId="190" priority="175" operator="containsText" text="domo">
      <formula>NOT(ISERROR(SEARCH("domo",I24)))</formula>
    </cfRule>
  </conditionalFormatting>
  <conditionalFormatting sqref="J24">
    <cfRule type="cellIs" dxfId="189" priority="173" operator="equal">
      <formula>"PTP A FO"</formula>
    </cfRule>
  </conditionalFormatting>
  <conditionalFormatting sqref="I25:I26">
    <cfRule type="containsText" dxfId="188" priority="171" operator="containsText" text="fija">
      <formula>NOT(ISERROR(SEARCH("fija",I25)))</formula>
    </cfRule>
    <cfRule type="containsText" dxfId="187" priority="172" operator="containsText" text="domo">
      <formula>NOT(ISERROR(SEARCH("domo",I25)))</formula>
    </cfRule>
  </conditionalFormatting>
  <conditionalFormatting sqref="J25:J26">
    <cfRule type="cellIs" dxfId="186" priority="170" operator="equal">
      <formula>"PTP A FO"</formula>
    </cfRule>
  </conditionalFormatting>
  <conditionalFormatting sqref="I28:K28">
    <cfRule type="containsText" dxfId="185" priority="169" operator="containsText" text="Radio">
      <formula>NOT(ISERROR(SEARCH("Radio",I28)))</formula>
    </cfRule>
  </conditionalFormatting>
  <conditionalFormatting sqref="I28">
    <cfRule type="containsText" dxfId="184" priority="167" operator="containsText" text="fija">
      <formula>NOT(ISERROR(SEARCH("fija",I28)))</formula>
    </cfRule>
    <cfRule type="containsText" dxfId="183" priority="168" operator="containsText" text="domo">
      <formula>NOT(ISERROR(SEARCH("domo",I28)))</formula>
    </cfRule>
  </conditionalFormatting>
  <conditionalFormatting sqref="J28">
    <cfRule type="cellIs" dxfId="182" priority="166" operator="equal">
      <formula>"PTP A FO"</formula>
    </cfRule>
  </conditionalFormatting>
  <conditionalFormatting sqref="I32:L32 I34:L34">
    <cfRule type="containsText" dxfId="181" priority="165" operator="containsText" text="Radio">
      <formula>NOT(ISERROR(SEARCH("Radio",I32)))</formula>
    </cfRule>
  </conditionalFormatting>
  <conditionalFormatting sqref="I32 I34">
    <cfRule type="containsText" dxfId="180" priority="163" operator="containsText" text="fija">
      <formula>NOT(ISERROR(SEARCH("fija",I32)))</formula>
    </cfRule>
    <cfRule type="containsText" dxfId="179" priority="164" operator="containsText" text="domo">
      <formula>NOT(ISERROR(SEARCH("domo",I32)))</formula>
    </cfRule>
  </conditionalFormatting>
  <conditionalFormatting sqref="J32 L34 J34">
    <cfRule type="cellIs" dxfId="178" priority="162" operator="equal">
      <formula>"PTP A FO"</formula>
    </cfRule>
  </conditionalFormatting>
  <conditionalFormatting sqref="I33:L33">
    <cfRule type="containsText" dxfId="177" priority="161" operator="containsText" text="Radio">
      <formula>NOT(ISERROR(SEARCH("Radio",I33)))</formula>
    </cfRule>
  </conditionalFormatting>
  <conditionalFormatting sqref="I33">
    <cfRule type="containsText" dxfId="176" priority="159" operator="containsText" text="fija">
      <formula>NOT(ISERROR(SEARCH("fija",I33)))</formula>
    </cfRule>
    <cfRule type="containsText" dxfId="175" priority="160" operator="containsText" text="domo">
      <formula>NOT(ISERROR(SEARCH("domo",I33)))</formula>
    </cfRule>
  </conditionalFormatting>
  <conditionalFormatting sqref="J33">
    <cfRule type="cellIs" dxfId="174" priority="158" operator="equal">
      <formula>"PTP A FO"</formula>
    </cfRule>
  </conditionalFormatting>
  <conditionalFormatting sqref="L35">
    <cfRule type="containsText" dxfId="173" priority="157" operator="containsText" text="Radio">
      <formula>NOT(ISERROR(SEARCH("Radio",L35)))</formula>
    </cfRule>
  </conditionalFormatting>
  <conditionalFormatting sqref="L35">
    <cfRule type="cellIs" dxfId="172" priority="156" operator="equal">
      <formula>"PTP A FO"</formula>
    </cfRule>
  </conditionalFormatting>
  <conditionalFormatting sqref="I35:K35">
    <cfRule type="containsText" dxfId="171" priority="155" operator="containsText" text="Radio">
      <formula>NOT(ISERROR(SEARCH("Radio",I35)))</formula>
    </cfRule>
  </conditionalFormatting>
  <conditionalFormatting sqref="I35">
    <cfRule type="containsText" dxfId="170" priority="153" operator="containsText" text="fija">
      <formula>NOT(ISERROR(SEARCH("fija",I35)))</formula>
    </cfRule>
    <cfRule type="containsText" dxfId="169" priority="154" operator="containsText" text="domo">
      <formula>NOT(ISERROR(SEARCH("domo",I35)))</formula>
    </cfRule>
  </conditionalFormatting>
  <conditionalFormatting sqref="J35">
    <cfRule type="cellIs" dxfId="168" priority="152" operator="equal">
      <formula>"PTP A FO"</formula>
    </cfRule>
  </conditionalFormatting>
  <conditionalFormatting sqref="I36:L37">
    <cfRule type="containsText" dxfId="167" priority="151" operator="containsText" text="Radio">
      <formula>NOT(ISERROR(SEARCH("Radio",I36)))</formula>
    </cfRule>
  </conditionalFormatting>
  <conditionalFormatting sqref="I36:I37">
    <cfRule type="containsText" dxfId="166" priority="149" operator="containsText" text="fija">
      <formula>NOT(ISERROR(SEARCH("fija",I36)))</formula>
    </cfRule>
    <cfRule type="containsText" dxfId="165" priority="150" operator="containsText" text="domo">
      <formula>NOT(ISERROR(SEARCH("domo",I36)))</formula>
    </cfRule>
  </conditionalFormatting>
  <conditionalFormatting sqref="J36:J37">
    <cfRule type="cellIs" dxfId="164" priority="148" operator="equal">
      <formula>"PTP A FO"</formula>
    </cfRule>
  </conditionalFormatting>
  <conditionalFormatting sqref="I38:L38">
    <cfRule type="containsText" dxfId="163" priority="147" operator="containsText" text="Radio">
      <formula>NOT(ISERROR(SEARCH("Radio",I38)))</formula>
    </cfRule>
  </conditionalFormatting>
  <conditionalFormatting sqref="I38">
    <cfRule type="containsText" dxfId="162" priority="145" operator="containsText" text="fija">
      <formula>NOT(ISERROR(SEARCH("fija",I38)))</formula>
    </cfRule>
    <cfRule type="containsText" dxfId="161" priority="146" operator="containsText" text="domo">
      <formula>NOT(ISERROR(SEARCH("domo",I38)))</formula>
    </cfRule>
  </conditionalFormatting>
  <conditionalFormatting sqref="J38">
    <cfRule type="cellIs" dxfId="160" priority="144" operator="equal">
      <formula>"PTP A FO"</formula>
    </cfRule>
  </conditionalFormatting>
  <conditionalFormatting sqref="I40:L43 L44">
    <cfRule type="containsText" dxfId="159" priority="113" operator="containsText" text="Radio">
      <formula>NOT(ISERROR(SEARCH("Radio",I40)))</formula>
    </cfRule>
  </conditionalFormatting>
  <conditionalFormatting sqref="I43">
    <cfRule type="containsText" dxfId="158" priority="111" operator="containsText" text="fija">
      <formula>NOT(ISERROR(SEARCH("fija",I43)))</formula>
    </cfRule>
    <cfRule type="containsText" dxfId="157" priority="112" operator="containsText" text="domo">
      <formula>NOT(ISERROR(SEARCH("domo",I43)))</formula>
    </cfRule>
  </conditionalFormatting>
  <conditionalFormatting sqref="J43">
    <cfRule type="cellIs" dxfId="156" priority="110" operator="equal">
      <formula>"PTP A FO"</formula>
    </cfRule>
  </conditionalFormatting>
  <conditionalFormatting sqref="I40">
    <cfRule type="containsText" dxfId="155" priority="108" operator="containsText" text="fija">
      <formula>NOT(ISERROR(SEARCH("fija",I40)))</formula>
    </cfRule>
    <cfRule type="containsText" dxfId="154" priority="109" operator="containsText" text="domo">
      <formula>NOT(ISERROR(SEARCH("domo",I40)))</formula>
    </cfRule>
  </conditionalFormatting>
  <conditionalFormatting sqref="J40">
    <cfRule type="cellIs" dxfId="153" priority="107" operator="equal">
      <formula>"PTP A FO"</formula>
    </cfRule>
  </conditionalFormatting>
  <conditionalFormatting sqref="I41:I42">
    <cfRule type="containsText" dxfId="152" priority="105" operator="containsText" text="fija">
      <formula>NOT(ISERROR(SEARCH("fija",I41)))</formula>
    </cfRule>
    <cfRule type="containsText" dxfId="151" priority="106" operator="containsText" text="domo">
      <formula>NOT(ISERROR(SEARCH("domo",I41)))</formula>
    </cfRule>
  </conditionalFormatting>
  <conditionalFormatting sqref="J41:J42">
    <cfRule type="cellIs" dxfId="150" priority="104" operator="equal">
      <formula>"PTP A FO"</formula>
    </cfRule>
  </conditionalFormatting>
  <conditionalFormatting sqref="I44:K44">
    <cfRule type="containsText" dxfId="149" priority="103" operator="containsText" text="Radio">
      <formula>NOT(ISERROR(SEARCH("Radio",I44)))</formula>
    </cfRule>
  </conditionalFormatting>
  <conditionalFormatting sqref="I44">
    <cfRule type="containsText" dxfId="148" priority="101" operator="containsText" text="fija">
      <formula>NOT(ISERROR(SEARCH("fija",I44)))</formula>
    </cfRule>
    <cfRule type="containsText" dxfId="147" priority="102" operator="containsText" text="domo">
      <formula>NOT(ISERROR(SEARCH("domo",I44)))</formula>
    </cfRule>
  </conditionalFormatting>
  <conditionalFormatting sqref="J44">
    <cfRule type="cellIs" dxfId="146" priority="100" operator="equal">
      <formula>"PTP A FO"</formula>
    </cfRule>
  </conditionalFormatting>
  <conditionalFormatting sqref="I47:L49">
    <cfRule type="containsText" dxfId="145" priority="99" operator="containsText" text="Radio">
      <formula>NOT(ISERROR(SEARCH("Radio",I47)))</formula>
    </cfRule>
  </conditionalFormatting>
  <conditionalFormatting sqref="I47">
    <cfRule type="containsText" dxfId="144" priority="97" operator="containsText" text="fija">
      <formula>NOT(ISERROR(SEARCH("fija",I47)))</formula>
    </cfRule>
    <cfRule type="containsText" dxfId="143" priority="98" operator="containsText" text="domo">
      <formula>NOT(ISERROR(SEARCH("domo",I47)))</formula>
    </cfRule>
  </conditionalFormatting>
  <conditionalFormatting sqref="J47">
    <cfRule type="cellIs" dxfId="142" priority="96" operator="equal">
      <formula>"PTP A FO"</formula>
    </cfRule>
  </conditionalFormatting>
  <conditionalFormatting sqref="I48">
    <cfRule type="containsText" dxfId="141" priority="94" operator="containsText" text="fija">
      <formula>NOT(ISERROR(SEARCH("fija",I48)))</formula>
    </cfRule>
    <cfRule type="containsText" dxfId="140" priority="95" operator="containsText" text="domo">
      <formula>NOT(ISERROR(SEARCH("domo",I48)))</formula>
    </cfRule>
  </conditionalFormatting>
  <conditionalFormatting sqref="J48">
    <cfRule type="cellIs" dxfId="139" priority="93" operator="equal">
      <formula>"PTP A FO"</formula>
    </cfRule>
  </conditionalFormatting>
  <conditionalFormatting sqref="I49">
    <cfRule type="containsText" dxfId="138" priority="91" operator="containsText" text="fija">
      <formula>NOT(ISERROR(SEARCH("fija",I49)))</formula>
    </cfRule>
    <cfRule type="containsText" dxfId="137" priority="92" operator="containsText" text="domo">
      <formula>NOT(ISERROR(SEARCH("domo",I49)))</formula>
    </cfRule>
  </conditionalFormatting>
  <conditionalFormatting sqref="J49">
    <cfRule type="cellIs" dxfId="136" priority="90" operator="equal">
      <formula>"PTP A FO"</formula>
    </cfRule>
  </conditionalFormatting>
  <conditionalFormatting sqref="I50:L50">
    <cfRule type="containsText" dxfId="135" priority="89" operator="containsText" text="Radio">
      <formula>NOT(ISERROR(SEARCH("Radio",I50)))</formula>
    </cfRule>
  </conditionalFormatting>
  <conditionalFormatting sqref="I50">
    <cfRule type="containsText" dxfId="134" priority="87" operator="containsText" text="fija">
      <formula>NOT(ISERROR(SEARCH("fija",I50)))</formula>
    </cfRule>
    <cfRule type="containsText" dxfId="133" priority="88" operator="containsText" text="domo">
      <formula>NOT(ISERROR(SEARCH("domo",I50)))</formula>
    </cfRule>
  </conditionalFormatting>
  <conditionalFormatting sqref="J50">
    <cfRule type="cellIs" dxfId="132" priority="86" operator="equal">
      <formula>"PTP A FO"</formula>
    </cfRule>
  </conditionalFormatting>
  <conditionalFormatting sqref="L51">
    <cfRule type="containsText" dxfId="131" priority="85" operator="containsText" text="Radio">
      <formula>NOT(ISERROR(SEARCH("Radio",L51)))</formula>
    </cfRule>
  </conditionalFormatting>
  <conditionalFormatting sqref="L51">
    <cfRule type="cellIs" dxfId="130" priority="84" operator="equal">
      <formula>"PTP A FO"</formula>
    </cfRule>
  </conditionalFormatting>
  <conditionalFormatting sqref="I51:K51">
    <cfRule type="containsText" dxfId="129" priority="83" operator="containsText" text="Radio">
      <formula>NOT(ISERROR(SEARCH("Radio",I51)))</formula>
    </cfRule>
  </conditionalFormatting>
  <conditionalFormatting sqref="I51">
    <cfRule type="containsText" dxfId="128" priority="81" operator="containsText" text="fija">
      <formula>NOT(ISERROR(SEARCH("fija",I51)))</formula>
    </cfRule>
    <cfRule type="containsText" dxfId="127" priority="82" operator="containsText" text="domo">
      <formula>NOT(ISERROR(SEARCH("domo",I51)))</formula>
    </cfRule>
  </conditionalFormatting>
  <conditionalFormatting sqref="J51">
    <cfRule type="cellIs" dxfId="126" priority="80" operator="equal">
      <formula>"PTP A FO"</formula>
    </cfRule>
  </conditionalFormatting>
  <conditionalFormatting sqref="I52:L53">
    <cfRule type="containsText" dxfId="125" priority="79" operator="containsText" text="Radio">
      <formula>NOT(ISERROR(SEARCH("Radio",I52)))</formula>
    </cfRule>
  </conditionalFormatting>
  <conditionalFormatting sqref="I52:I53">
    <cfRule type="containsText" dxfId="124" priority="77" operator="containsText" text="fija">
      <formula>NOT(ISERROR(SEARCH("fija",I52)))</formula>
    </cfRule>
    <cfRule type="containsText" dxfId="123" priority="78" operator="containsText" text="domo">
      <formula>NOT(ISERROR(SEARCH("domo",I52)))</formula>
    </cfRule>
  </conditionalFormatting>
  <conditionalFormatting sqref="J52:J53">
    <cfRule type="cellIs" dxfId="122" priority="76" operator="equal">
      <formula>"PTP A FO"</formula>
    </cfRule>
  </conditionalFormatting>
  <conditionalFormatting sqref="I3:L3">
    <cfRule type="containsText" dxfId="121" priority="75" operator="containsText" text="Radio">
      <formula>NOT(ISERROR(SEARCH("Radio",I3)))</formula>
    </cfRule>
  </conditionalFormatting>
  <conditionalFormatting sqref="I3">
    <cfRule type="containsText" dxfId="120" priority="73" operator="containsText" text="fija">
      <formula>NOT(ISERROR(SEARCH("fija",I3)))</formula>
    </cfRule>
    <cfRule type="containsText" dxfId="119" priority="74" operator="containsText" text="domo">
      <formula>NOT(ISERROR(SEARCH("domo",I3)))</formula>
    </cfRule>
  </conditionalFormatting>
  <conditionalFormatting sqref="J3">
    <cfRule type="cellIs" dxfId="118" priority="72" operator="equal">
      <formula>"PTP A FO"</formula>
    </cfRule>
  </conditionalFormatting>
  <conditionalFormatting sqref="I4:L4">
    <cfRule type="containsText" dxfId="117" priority="71" operator="containsText" text="Radio">
      <formula>NOT(ISERROR(SEARCH("Radio",I4)))</formula>
    </cfRule>
  </conditionalFormatting>
  <conditionalFormatting sqref="I4">
    <cfRule type="containsText" dxfId="116" priority="69" operator="containsText" text="fija">
      <formula>NOT(ISERROR(SEARCH("fija",I4)))</formula>
    </cfRule>
    <cfRule type="containsText" dxfId="115" priority="70" operator="containsText" text="domo">
      <formula>NOT(ISERROR(SEARCH("domo",I4)))</formula>
    </cfRule>
  </conditionalFormatting>
  <conditionalFormatting sqref="J4">
    <cfRule type="cellIs" dxfId="114" priority="68" operator="equal">
      <formula>"PTP A FO"</formula>
    </cfRule>
  </conditionalFormatting>
  <conditionalFormatting sqref="I5:L5">
    <cfRule type="containsText" dxfId="113" priority="67" operator="containsText" text="Radio">
      <formula>NOT(ISERROR(SEARCH("Radio",I5)))</formula>
    </cfRule>
  </conditionalFormatting>
  <conditionalFormatting sqref="I5">
    <cfRule type="containsText" dxfId="112" priority="65" operator="containsText" text="fija">
      <formula>NOT(ISERROR(SEARCH("fija",I5)))</formula>
    </cfRule>
    <cfRule type="containsText" dxfId="111" priority="66" operator="containsText" text="domo">
      <formula>NOT(ISERROR(SEARCH("domo",I5)))</formula>
    </cfRule>
  </conditionalFormatting>
  <conditionalFormatting sqref="J5">
    <cfRule type="cellIs" dxfId="110" priority="64" operator="equal">
      <formula>"PTP A FO"</formula>
    </cfRule>
  </conditionalFormatting>
  <conditionalFormatting sqref="L6">
    <cfRule type="containsText" dxfId="109" priority="63" operator="containsText" text="Radio">
      <formula>NOT(ISERROR(SEARCH("Radio",L6)))</formula>
    </cfRule>
  </conditionalFormatting>
  <conditionalFormatting sqref="L6">
    <cfRule type="cellIs" dxfId="108" priority="62" operator="equal">
      <formula>"PTP A FO"</formula>
    </cfRule>
  </conditionalFormatting>
  <conditionalFormatting sqref="I6:K6">
    <cfRule type="containsText" dxfId="107" priority="61" operator="containsText" text="Radio">
      <formula>NOT(ISERROR(SEARCH("Radio",I6)))</formula>
    </cfRule>
  </conditionalFormatting>
  <conditionalFormatting sqref="I6">
    <cfRule type="containsText" dxfId="106" priority="59" operator="containsText" text="fija">
      <formula>NOT(ISERROR(SEARCH("fija",I6)))</formula>
    </cfRule>
    <cfRule type="containsText" dxfId="105" priority="60" operator="containsText" text="domo">
      <formula>NOT(ISERROR(SEARCH("domo",I6)))</formula>
    </cfRule>
  </conditionalFormatting>
  <conditionalFormatting sqref="J6">
    <cfRule type="cellIs" dxfId="104" priority="58" operator="equal">
      <formula>"PTP A FO"</formula>
    </cfRule>
  </conditionalFormatting>
  <conditionalFormatting sqref="I7:L8">
    <cfRule type="containsText" dxfId="103" priority="57" operator="containsText" text="Radio">
      <formula>NOT(ISERROR(SEARCH("Radio",I7)))</formula>
    </cfRule>
  </conditionalFormatting>
  <conditionalFormatting sqref="I7:I8">
    <cfRule type="containsText" dxfId="102" priority="55" operator="containsText" text="fija">
      <formula>NOT(ISERROR(SEARCH("fija",I7)))</formula>
    </cfRule>
    <cfRule type="containsText" dxfId="101" priority="56" operator="containsText" text="domo">
      <formula>NOT(ISERROR(SEARCH("domo",I7)))</formula>
    </cfRule>
  </conditionalFormatting>
  <conditionalFormatting sqref="J7:J8">
    <cfRule type="cellIs" dxfId="100" priority="54" operator="equal">
      <formula>"PTP A FO"</formula>
    </cfRule>
  </conditionalFormatting>
  <conditionalFormatting sqref="I10:L13 L14">
    <cfRule type="containsText" dxfId="99" priority="31" operator="containsText" text="Radio">
      <formula>NOT(ISERROR(SEARCH("Radio",I10)))</formula>
    </cfRule>
  </conditionalFormatting>
  <conditionalFormatting sqref="I13">
    <cfRule type="containsText" dxfId="98" priority="29" operator="containsText" text="fija">
      <formula>NOT(ISERROR(SEARCH("fija",I13)))</formula>
    </cfRule>
    <cfRule type="containsText" dxfId="97" priority="30" operator="containsText" text="domo">
      <formula>NOT(ISERROR(SEARCH("domo",I13)))</formula>
    </cfRule>
  </conditionalFormatting>
  <conditionalFormatting sqref="J13">
    <cfRule type="cellIs" dxfId="96" priority="28" operator="equal">
      <formula>"PTP A FO"</formula>
    </cfRule>
  </conditionalFormatting>
  <conditionalFormatting sqref="I10">
    <cfRule type="containsText" dxfId="95" priority="26" operator="containsText" text="fija">
      <formula>NOT(ISERROR(SEARCH("fija",I10)))</formula>
    </cfRule>
    <cfRule type="containsText" dxfId="94" priority="27" operator="containsText" text="domo">
      <formula>NOT(ISERROR(SEARCH("domo",I10)))</formula>
    </cfRule>
  </conditionalFormatting>
  <conditionalFormatting sqref="J10">
    <cfRule type="cellIs" dxfId="93" priority="25" operator="equal">
      <formula>"PTP A FO"</formula>
    </cfRule>
  </conditionalFormatting>
  <conditionalFormatting sqref="I11:I12">
    <cfRule type="containsText" dxfId="92" priority="23" operator="containsText" text="fija">
      <formula>NOT(ISERROR(SEARCH("fija",I11)))</formula>
    </cfRule>
    <cfRule type="containsText" dxfId="91" priority="24" operator="containsText" text="domo">
      <formula>NOT(ISERROR(SEARCH("domo",I11)))</formula>
    </cfRule>
  </conditionalFormatting>
  <conditionalFormatting sqref="J11:J12">
    <cfRule type="cellIs" dxfId="90" priority="22" operator="equal">
      <formula>"PTP A FO"</formula>
    </cfRule>
  </conditionalFormatting>
  <conditionalFormatting sqref="I14:K14">
    <cfRule type="containsText" dxfId="89" priority="21" operator="containsText" text="Radio">
      <formula>NOT(ISERROR(SEARCH("Radio",I14)))</formula>
    </cfRule>
  </conditionalFormatting>
  <conditionalFormatting sqref="I14">
    <cfRule type="containsText" dxfId="88" priority="19" operator="containsText" text="fija">
      <formula>NOT(ISERROR(SEARCH("fija",I14)))</formula>
    </cfRule>
    <cfRule type="containsText" dxfId="87" priority="20" operator="containsText" text="domo">
      <formula>NOT(ISERROR(SEARCH("domo",I14)))</formula>
    </cfRule>
  </conditionalFormatting>
  <conditionalFormatting sqref="J14">
    <cfRule type="cellIs" dxfId="86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2022-07-21T12:31:25Z</dcterms:modified>
</cp:coreProperties>
</file>