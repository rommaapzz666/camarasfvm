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133616B0-EBAD-427D-9AB2-F83EE6664A60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5" i="8" l="1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A376" i="8"/>
  <c r="B376" i="8"/>
  <c r="C376" i="8"/>
  <c r="D376" i="8"/>
  <c r="E376" i="8"/>
  <c r="E378" i="21" s="1"/>
  <c r="F376" i="8"/>
  <c r="G376" i="8"/>
  <c r="H376" i="8"/>
  <c r="I376" i="8"/>
  <c r="J376" i="8"/>
  <c r="K376" i="8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I377" i="8"/>
  <c r="I379" i="11" s="1"/>
  <c r="J377" i="8"/>
  <c r="K377" i="8"/>
  <c r="L377" i="8"/>
  <c r="M377" i="8"/>
  <c r="N377" i="8"/>
  <c r="O377" i="8"/>
  <c r="P377" i="8"/>
  <c r="Q377" i="8"/>
  <c r="Q379" i="11" s="1"/>
  <c r="R377" i="8"/>
  <c r="S377" i="8"/>
  <c r="A378" i="8"/>
  <c r="A380" i="21" s="1"/>
  <c r="B378" i="8"/>
  <c r="C378" i="8"/>
  <c r="D378" i="8"/>
  <c r="E378" i="8"/>
  <c r="F378" i="8"/>
  <c r="F380" i="11" s="1"/>
  <c r="G378" i="8"/>
  <c r="H378" i="8"/>
  <c r="I378" i="8"/>
  <c r="I380" i="21" s="1"/>
  <c r="J378" i="8"/>
  <c r="K378" i="8"/>
  <c r="L378" i="8"/>
  <c r="M378" i="8"/>
  <c r="N378" i="8"/>
  <c r="N380" i="11" s="1"/>
  <c r="O378" i="8"/>
  <c r="P378" i="8"/>
  <c r="Q378" i="8"/>
  <c r="Q380" i="21" s="1"/>
  <c r="R378" i="8"/>
  <c r="S378" i="8"/>
  <c r="A379" i="8"/>
  <c r="B379" i="8"/>
  <c r="C379" i="8"/>
  <c r="D379" i="8"/>
  <c r="D381" i="11" s="1"/>
  <c r="E379" i="8"/>
  <c r="F379" i="8"/>
  <c r="G379" i="8"/>
  <c r="H379" i="8"/>
  <c r="I379" i="8"/>
  <c r="J379" i="8"/>
  <c r="K379" i="8"/>
  <c r="L379" i="8"/>
  <c r="L381" i="11" s="1"/>
  <c r="M379" i="8"/>
  <c r="N379" i="8"/>
  <c r="O379" i="8"/>
  <c r="P379" i="8"/>
  <c r="Q379" i="8"/>
  <c r="R379" i="8"/>
  <c r="S379" i="8"/>
  <c r="A380" i="8"/>
  <c r="B380" i="8"/>
  <c r="C380" i="8"/>
  <c r="C382" i="10" s="1"/>
  <c r="D380" i="8"/>
  <c r="E380" i="8"/>
  <c r="F380" i="8"/>
  <c r="G380" i="8"/>
  <c r="H380" i="8"/>
  <c r="H382" i="10" s="1"/>
  <c r="I380" i="8"/>
  <c r="J380" i="8"/>
  <c r="K380" i="8"/>
  <c r="K382" i="10" s="1"/>
  <c r="L380" i="8"/>
  <c r="M380" i="8"/>
  <c r="N380" i="8"/>
  <c r="O380" i="8"/>
  <c r="P380" i="8"/>
  <c r="P382" i="10" s="1"/>
  <c r="Q380" i="8"/>
  <c r="R380" i="8"/>
  <c r="S380" i="8"/>
  <c r="A381" i="8"/>
  <c r="B381" i="8"/>
  <c r="C381" i="8"/>
  <c r="D381" i="8"/>
  <c r="E381" i="8"/>
  <c r="F381" i="8"/>
  <c r="G381" i="8"/>
  <c r="H381" i="8"/>
  <c r="H383" i="21" s="1"/>
  <c r="I381" i="8"/>
  <c r="J381" i="8"/>
  <c r="K381" i="8"/>
  <c r="L381" i="8"/>
  <c r="M381" i="8"/>
  <c r="N381" i="8"/>
  <c r="O381" i="8"/>
  <c r="P381" i="8"/>
  <c r="P383" i="21" s="1"/>
  <c r="Q381" i="8"/>
  <c r="R381" i="8"/>
  <c r="S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S384" i="11" s="1"/>
  <c r="A383" i="8"/>
  <c r="B383" i="8"/>
  <c r="B384" i="9" s="1"/>
  <c r="C383" i="8"/>
  <c r="D383" i="8"/>
  <c r="E383" i="8"/>
  <c r="F383" i="8"/>
  <c r="G383" i="8"/>
  <c r="H383" i="8"/>
  <c r="I383" i="8"/>
  <c r="J383" i="8"/>
  <c r="J384" i="9" s="1"/>
  <c r="K383" i="8"/>
  <c r="L383" i="8"/>
  <c r="M383" i="8"/>
  <c r="N383" i="8"/>
  <c r="O383" i="8"/>
  <c r="P383" i="8"/>
  <c r="Q383" i="8"/>
  <c r="R383" i="8"/>
  <c r="R384" i="9" s="1"/>
  <c r="S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O385" i="9" s="1"/>
  <c r="P384" i="8"/>
  <c r="Q384" i="8"/>
  <c r="R384" i="8"/>
  <c r="S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A386" i="8"/>
  <c r="B386" i="8"/>
  <c r="C386" i="8"/>
  <c r="D386" i="8"/>
  <c r="E386" i="8"/>
  <c r="F386" i="8"/>
  <c r="F388" i="21" s="1"/>
  <c r="G386" i="8"/>
  <c r="H386" i="8"/>
  <c r="I386" i="8"/>
  <c r="J386" i="8"/>
  <c r="K386" i="8"/>
  <c r="L386" i="8"/>
  <c r="M386" i="8"/>
  <c r="N386" i="8"/>
  <c r="N388" i="21" s="1"/>
  <c r="O386" i="8"/>
  <c r="P386" i="8"/>
  <c r="Q386" i="8"/>
  <c r="R386" i="8"/>
  <c r="S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L389" i="10" s="1"/>
  <c r="M387" i="8"/>
  <c r="N387" i="8"/>
  <c r="O387" i="8"/>
  <c r="P387" i="8"/>
  <c r="Q387" i="8"/>
  <c r="R387" i="8"/>
  <c r="S387" i="8"/>
  <c r="A388" i="8"/>
  <c r="B388" i="8"/>
  <c r="C388" i="8"/>
  <c r="C389" i="9" s="1"/>
  <c r="D388" i="8"/>
  <c r="E388" i="8"/>
  <c r="F388" i="8"/>
  <c r="G388" i="8"/>
  <c r="H388" i="8"/>
  <c r="I388" i="8"/>
  <c r="J388" i="8"/>
  <c r="K388" i="8"/>
  <c r="K389" i="9" s="1"/>
  <c r="L388" i="8"/>
  <c r="M388" i="8"/>
  <c r="N388" i="8"/>
  <c r="O388" i="8"/>
  <c r="P388" i="8"/>
  <c r="Q388" i="8"/>
  <c r="R388" i="8"/>
  <c r="S388" i="8"/>
  <c r="S390" i="11" s="1"/>
  <c r="A389" i="8"/>
  <c r="B389" i="8"/>
  <c r="C389" i="8"/>
  <c r="D389" i="8"/>
  <c r="E389" i="8"/>
  <c r="F389" i="8"/>
  <c r="G389" i="8"/>
  <c r="H389" i="8"/>
  <c r="H391" i="11" s="1"/>
  <c r="I389" i="8"/>
  <c r="J389" i="8"/>
  <c r="K389" i="8"/>
  <c r="L389" i="8"/>
  <c r="M389" i="8"/>
  <c r="N389" i="8"/>
  <c r="O389" i="8"/>
  <c r="P389" i="8"/>
  <c r="P391" i="11" s="1"/>
  <c r="Q389" i="8"/>
  <c r="R389" i="8"/>
  <c r="S389" i="8"/>
  <c r="A390" i="8"/>
  <c r="B390" i="8"/>
  <c r="C390" i="8"/>
  <c r="C391" i="9" s="1"/>
  <c r="D390" i="8"/>
  <c r="E390" i="8"/>
  <c r="E392" i="21" s="1"/>
  <c r="F390" i="8"/>
  <c r="G390" i="8"/>
  <c r="H390" i="8"/>
  <c r="I390" i="8"/>
  <c r="J390" i="8"/>
  <c r="K390" i="8"/>
  <c r="L390" i="8"/>
  <c r="M390" i="8"/>
  <c r="M392" i="21" s="1"/>
  <c r="N390" i="8"/>
  <c r="O390" i="8"/>
  <c r="P390" i="8"/>
  <c r="Q390" i="8"/>
  <c r="R390" i="8"/>
  <c r="S390" i="8"/>
  <c r="S392" i="11" s="1"/>
  <c r="A391" i="8"/>
  <c r="B391" i="8"/>
  <c r="B393" i="21" s="1"/>
  <c r="C391" i="8"/>
  <c r="D391" i="8"/>
  <c r="E391" i="8"/>
  <c r="F391" i="8"/>
  <c r="G391" i="8"/>
  <c r="H391" i="8"/>
  <c r="I391" i="8"/>
  <c r="J391" i="8"/>
  <c r="J393" i="10" s="1"/>
  <c r="K391" i="8"/>
  <c r="L391" i="8"/>
  <c r="M391" i="8"/>
  <c r="N391" i="8"/>
  <c r="O391" i="8"/>
  <c r="P391" i="8"/>
  <c r="Q391" i="8"/>
  <c r="R391" i="8"/>
  <c r="R393" i="10" s="1"/>
  <c r="S391" i="8"/>
  <c r="A392" i="8"/>
  <c r="B392" i="8"/>
  <c r="C392" i="8"/>
  <c r="D392" i="8"/>
  <c r="E392" i="8"/>
  <c r="E393" i="9" s="1"/>
  <c r="F392" i="8"/>
  <c r="G392" i="8"/>
  <c r="G393" i="9" s="1"/>
  <c r="H392" i="8"/>
  <c r="I392" i="8"/>
  <c r="J392" i="8"/>
  <c r="K392" i="8"/>
  <c r="L392" i="8"/>
  <c r="M392" i="8"/>
  <c r="M393" i="9" s="1"/>
  <c r="N392" i="8"/>
  <c r="O392" i="8"/>
  <c r="O393" i="9" s="1"/>
  <c r="P392" i="8"/>
  <c r="Q392" i="8"/>
  <c r="R392" i="8"/>
  <c r="S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L395" i="21" s="1"/>
  <c r="M393" i="8"/>
  <c r="N393" i="8"/>
  <c r="O393" i="8"/>
  <c r="P393" i="8"/>
  <c r="Q393" i="8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C377" i="10"/>
  <c r="D377" i="10"/>
  <c r="E377" i="10"/>
  <c r="F377" i="10"/>
  <c r="G377" i="10"/>
  <c r="I377" i="10"/>
  <c r="K377" i="10"/>
  <c r="L377" i="10"/>
  <c r="M377" i="10"/>
  <c r="N377" i="10"/>
  <c r="O377" i="10"/>
  <c r="Q377" i="10"/>
  <c r="A378" i="10"/>
  <c r="B378" i="10"/>
  <c r="C378" i="10"/>
  <c r="F378" i="10"/>
  <c r="H378" i="10"/>
  <c r="I378" i="10"/>
  <c r="J378" i="10"/>
  <c r="K378" i="10"/>
  <c r="N378" i="10"/>
  <c r="P378" i="10"/>
  <c r="Q378" i="10"/>
  <c r="R378" i="10"/>
  <c r="A379" i="10"/>
  <c r="C379" i="10"/>
  <c r="E379" i="10"/>
  <c r="F379" i="10"/>
  <c r="G379" i="10"/>
  <c r="H379" i="10"/>
  <c r="K379" i="10"/>
  <c r="M379" i="10"/>
  <c r="N379" i="10"/>
  <c r="O379" i="10"/>
  <c r="P379" i="10"/>
  <c r="B380" i="10"/>
  <c r="C380" i="10"/>
  <c r="D380" i="10"/>
  <c r="E380" i="10"/>
  <c r="F380" i="10"/>
  <c r="H380" i="10"/>
  <c r="J380" i="10"/>
  <c r="K380" i="10"/>
  <c r="L380" i="10"/>
  <c r="M380" i="10"/>
  <c r="N380" i="10"/>
  <c r="P380" i="10"/>
  <c r="R380" i="10"/>
  <c r="A381" i="10"/>
  <c r="B381" i="10"/>
  <c r="D381" i="10"/>
  <c r="E381" i="10"/>
  <c r="G381" i="10"/>
  <c r="H381" i="10"/>
  <c r="I381" i="10"/>
  <c r="J381" i="10"/>
  <c r="M381" i="10"/>
  <c r="O381" i="10"/>
  <c r="P381" i="10"/>
  <c r="Q381" i="10"/>
  <c r="R381" i="10"/>
  <c r="B382" i="10"/>
  <c r="D382" i="10"/>
  <c r="E382" i="10"/>
  <c r="F382" i="10"/>
  <c r="G382" i="10"/>
  <c r="J382" i="10"/>
  <c r="L382" i="10"/>
  <c r="M382" i="10"/>
  <c r="N382" i="10"/>
  <c r="O382" i="10"/>
  <c r="R382" i="10"/>
  <c r="A383" i="10"/>
  <c r="B383" i="10"/>
  <c r="C383" i="10"/>
  <c r="D383" i="10"/>
  <c r="G383" i="10"/>
  <c r="I383" i="10"/>
  <c r="J383" i="10"/>
  <c r="K383" i="10"/>
  <c r="L383" i="10"/>
  <c r="O383" i="10"/>
  <c r="Q383" i="10"/>
  <c r="R383" i="10"/>
  <c r="A384" i="10"/>
  <c r="D384" i="10"/>
  <c r="F384" i="10"/>
  <c r="G384" i="10"/>
  <c r="H384" i="10"/>
  <c r="I384" i="10"/>
  <c r="L384" i="10"/>
  <c r="N384" i="10"/>
  <c r="O384" i="10"/>
  <c r="P384" i="10"/>
  <c r="Q384" i="10"/>
  <c r="A385" i="10"/>
  <c r="C385" i="10"/>
  <c r="D385" i="10"/>
  <c r="E385" i="10"/>
  <c r="F385" i="10"/>
  <c r="G385" i="10"/>
  <c r="I385" i="10"/>
  <c r="K385" i="10"/>
  <c r="L385" i="10"/>
  <c r="M385" i="10"/>
  <c r="N385" i="10"/>
  <c r="Q385" i="10"/>
  <c r="A386" i="10"/>
  <c r="B386" i="10"/>
  <c r="C386" i="10"/>
  <c r="F386" i="10"/>
  <c r="H386" i="10"/>
  <c r="I386" i="10"/>
  <c r="J386" i="10"/>
  <c r="K386" i="10"/>
  <c r="M386" i="10"/>
  <c r="N386" i="10"/>
  <c r="P386" i="10"/>
  <c r="Q386" i="10"/>
  <c r="R386" i="10"/>
  <c r="C387" i="10"/>
  <c r="E387" i="10"/>
  <c r="F387" i="10"/>
  <c r="G387" i="10"/>
  <c r="H387" i="10"/>
  <c r="K387" i="10"/>
  <c r="M387" i="10"/>
  <c r="N387" i="10"/>
  <c r="O387" i="10"/>
  <c r="P387" i="10"/>
  <c r="Q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A389" i="10"/>
  <c r="B389" i="10"/>
  <c r="E389" i="10"/>
  <c r="G389" i="10"/>
  <c r="H389" i="10"/>
  <c r="I389" i="10"/>
  <c r="J389" i="10"/>
  <c r="M389" i="10"/>
  <c r="O389" i="10"/>
  <c r="P389" i="10"/>
  <c r="Q389" i="10"/>
  <c r="R389" i="10"/>
  <c r="B390" i="10"/>
  <c r="D390" i="10"/>
  <c r="E390" i="10"/>
  <c r="F390" i="10"/>
  <c r="G390" i="10"/>
  <c r="J390" i="10"/>
  <c r="L390" i="10"/>
  <c r="M390" i="10"/>
  <c r="N390" i="10"/>
  <c r="O390" i="10"/>
  <c r="R390" i="10"/>
  <c r="A391" i="10"/>
  <c r="B391" i="10"/>
  <c r="C391" i="10"/>
  <c r="D391" i="10"/>
  <c r="G391" i="10"/>
  <c r="I391" i="10"/>
  <c r="J391" i="10"/>
  <c r="K391" i="10"/>
  <c r="L391" i="10"/>
  <c r="O391" i="10"/>
  <c r="P391" i="10"/>
  <c r="Q391" i="10"/>
  <c r="R391" i="10"/>
  <c r="A392" i="10"/>
  <c r="D392" i="10"/>
  <c r="F392" i="10"/>
  <c r="G392" i="10"/>
  <c r="H392" i="10"/>
  <c r="I392" i="10"/>
  <c r="L392" i="10"/>
  <c r="N392" i="10"/>
  <c r="O392" i="10"/>
  <c r="P392" i="10"/>
  <c r="Q392" i="10"/>
  <c r="A393" i="10"/>
  <c r="C393" i="10"/>
  <c r="D393" i="10"/>
  <c r="E393" i="10"/>
  <c r="F393" i="10"/>
  <c r="I393" i="10"/>
  <c r="K393" i="10"/>
  <c r="L393" i="10"/>
  <c r="M393" i="10"/>
  <c r="N393" i="10"/>
  <c r="Q393" i="10"/>
  <c r="A394" i="10"/>
  <c r="B394" i="10"/>
  <c r="C394" i="10"/>
  <c r="E394" i="10"/>
  <c r="F394" i="10"/>
  <c r="H394" i="10"/>
  <c r="I394" i="10"/>
  <c r="J394" i="10"/>
  <c r="K394" i="10"/>
  <c r="N394" i="10"/>
  <c r="P394" i="10"/>
  <c r="Q394" i="10"/>
  <c r="R394" i="10"/>
  <c r="C395" i="10"/>
  <c r="E395" i="10"/>
  <c r="F395" i="10"/>
  <c r="G395" i="10"/>
  <c r="H395" i="10"/>
  <c r="I395" i="10"/>
  <c r="K395" i="10"/>
  <c r="M395" i="10"/>
  <c r="N395" i="10"/>
  <c r="O395" i="10"/>
  <c r="P395" i="10"/>
  <c r="Q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B380" i="9"/>
  <c r="E380" i="9"/>
  <c r="G380" i="9"/>
  <c r="H380" i="9"/>
  <c r="I380" i="9"/>
  <c r="J380" i="9"/>
  <c r="M380" i="9"/>
  <c r="O380" i="9"/>
  <c r="P380" i="9"/>
  <c r="Q380" i="9"/>
  <c r="R380" i="9"/>
  <c r="B381" i="9"/>
  <c r="D381" i="9"/>
  <c r="E381" i="9"/>
  <c r="F381" i="9"/>
  <c r="G381" i="9"/>
  <c r="H381" i="9"/>
  <c r="J381" i="9"/>
  <c r="L381" i="9"/>
  <c r="M381" i="9"/>
  <c r="N381" i="9"/>
  <c r="O381" i="9"/>
  <c r="P381" i="9"/>
  <c r="R381" i="9"/>
  <c r="A382" i="9"/>
  <c r="B382" i="9"/>
  <c r="C382" i="9"/>
  <c r="D382" i="9"/>
  <c r="G382" i="9"/>
  <c r="I382" i="9"/>
  <c r="J382" i="9"/>
  <c r="K382" i="9"/>
  <c r="L382" i="9"/>
  <c r="O382" i="9"/>
  <c r="Q382" i="9"/>
  <c r="R382" i="9"/>
  <c r="A383" i="9"/>
  <c r="D383" i="9"/>
  <c r="F383" i="9"/>
  <c r="G383" i="9"/>
  <c r="H383" i="9"/>
  <c r="I383" i="9"/>
  <c r="K383" i="9"/>
  <c r="L383" i="9"/>
  <c r="N383" i="9"/>
  <c r="O383" i="9"/>
  <c r="P383" i="9"/>
  <c r="Q383" i="9"/>
  <c r="A384" i="9"/>
  <c r="C384" i="9"/>
  <c r="D384" i="9"/>
  <c r="E384" i="9"/>
  <c r="F384" i="9"/>
  <c r="I384" i="9"/>
  <c r="K384" i="9"/>
  <c r="L384" i="9"/>
  <c r="M384" i="9"/>
  <c r="N384" i="9"/>
  <c r="Q384" i="9"/>
  <c r="A385" i="9"/>
  <c r="B385" i="9"/>
  <c r="C385" i="9"/>
  <c r="F385" i="9"/>
  <c r="G385" i="9"/>
  <c r="H385" i="9"/>
  <c r="I385" i="9"/>
  <c r="J385" i="9"/>
  <c r="K385" i="9"/>
  <c r="N385" i="9"/>
  <c r="P385" i="9"/>
  <c r="Q385" i="9"/>
  <c r="R385" i="9"/>
  <c r="C386" i="9"/>
  <c r="E386" i="9"/>
  <c r="F386" i="9"/>
  <c r="G386" i="9"/>
  <c r="H386" i="9"/>
  <c r="K386" i="9"/>
  <c r="M386" i="9"/>
  <c r="N386" i="9"/>
  <c r="O386" i="9"/>
  <c r="P386" i="9"/>
  <c r="B387" i="9"/>
  <c r="C387" i="9"/>
  <c r="D387" i="9"/>
  <c r="E387" i="9"/>
  <c r="F387" i="9"/>
  <c r="H387" i="9"/>
  <c r="J387" i="9"/>
  <c r="K387" i="9"/>
  <c r="L387" i="9"/>
  <c r="M387" i="9"/>
  <c r="P387" i="9"/>
  <c r="R387" i="9"/>
  <c r="A388" i="9"/>
  <c r="B388" i="9"/>
  <c r="E388" i="9"/>
  <c r="G388" i="9"/>
  <c r="H388" i="9"/>
  <c r="I388" i="9"/>
  <c r="J388" i="9"/>
  <c r="M388" i="9"/>
  <c r="O388" i="9"/>
  <c r="P388" i="9"/>
  <c r="Q388" i="9"/>
  <c r="R388" i="9"/>
  <c r="B389" i="9"/>
  <c r="D389" i="9"/>
  <c r="E389" i="9"/>
  <c r="F389" i="9"/>
  <c r="G389" i="9"/>
  <c r="J389" i="9"/>
  <c r="L389" i="9"/>
  <c r="M389" i="9"/>
  <c r="N389" i="9"/>
  <c r="O389" i="9"/>
  <c r="P389" i="9"/>
  <c r="R389" i="9"/>
  <c r="A390" i="9"/>
  <c r="B390" i="9"/>
  <c r="C390" i="9"/>
  <c r="D390" i="9"/>
  <c r="E390" i="9"/>
  <c r="G390" i="9"/>
  <c r="I390" i="9"/>
  <c r="J390" i="9"/>
  <c r="K390" i="9"/>
  <c r="L390" i="9"/>
  <c r="M390" i="9"/>
  <c r="O390" i="9"/>
  <c r="Q390" i="9"/>
  <c r="R390" i="9"/>
  <c r="A391" i="9"/>
  <c r="D391" i="9"/>
  <c r="F391" i="9"/>
  <c r="G391" i="9"/>
  <c r="H391" i="9"/>
  <c r="I391" i="9"/>
  <c r="L391" i="9"/>
  <c r="N391" i="9"/>
  <c r="O391" i="9"/>
  <c r="P391" i="9"/>
  <c r="Q391" i="9"/>
  <c r="A392" i="9"/>
  <c r="C392" i="9"/>
  <c r="D392" i="9"/>
  <c r="E392" i="9"/>
  <c r="F392" i="9"/>
  <c r="I392" i="9"/>
  <c r="J392" i="9"/>
  <c r="K392" i="9"/>
  <c r="L392" i="9"/>
  <c r="M392" i="9"/>
  <c r="N392" i="9"/>
  <c r="Q392" i="9"/>
  <c r="R392" i="9"/>
  <c r="A393" i="9"/>
  <c r="B393" i="9"/>
  <c r="C393" i="9"/>
  <c r="F393" i="9"/>
  <c r="H393" i="9"/>
  <c r="I393" i="9"/>
  <c r="J393" i="9"/>
  <c r="K393" i="9"/>
  <c r="N393" i="9"/>
  <c r="P393" i="9"/>
  <c r="Q393" i="9"/>
  <c r="R393" i="9"/>
  <c r="C394" i="9"/>
  <c r="E394" i="9"/>
  <c r="F394" i="9"/>
  <c r="G394" i="9"/>
  <c r="H394" i="9"/>
  <c r="K394" i="9"/>
  <c r="M394" i="9"/>
  <c r="N394" i="9"/>
  <c r="O394" i="9"/>
  <c r="P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F377" i="21"/>
  <c r="G377" i="21"/>
  <c r="I377" i="21"/>
  <c r="K377" i="21"/>
  <c r="L377" i="21"/>
  <c r="M377" i="21"/>
  <c r="N377" i="21"/>
  <c r="O377" i="21"/>
  <c r="Q377" i="21"/>
  <c r="AA377" i="21"/>
  <c r="A378" i="21"/>
  <c r="B378" i="21"/>
  <c r="C378" i="21"/>
  <c r="D378" i="21"/>
  <c r="F378" i="21"/>
  <c r="H378" i="21"/>
  <c r="I378" i="21"/>
  <c r="J378" i="21"/>
  <c r="K378" i="21"/>
  <c r="L378" i="21"/>
  <c r="N378" i="21"/>
  <c r="P378" i="21"/>
  <c r="Q378" i="21"/>
  <c r="R378" i="21"/>
  <c r="AC378" i="21"/>
  <c r="A379" i="21"/>
  <c r="C379" i="21"/>
  <c r="E379" i="21"/>
  <c r="F379" i="21"/>
  <c r="G379" i="21"/>
  <c r="H379" i="21"/>
  <c r="I379" i="21"/>
  <c r="K379" i="21"/>
  <c r="M379" i="21"/>
  <c r="N379" i="21"/>
  <c r="O379" i="21"/>
  <c r="P379" i="21"/>
  <c r="Q379" i="21"/>
  <c r="AD379" i="21"/>
  <c r="B380" i="21"/>
  <c r="C380" i="21"/>
  <c r="D380" i="21"/>
  <c r="E380" i="21"/>
  <c r="F380" i="21"/>
  <c r="H380" i="21"/>
  <c r="J380" i="21"/>
  <c r="K380" i="21"/>
  <c r="L380" i="21"/>
  <c r="M380" i="21"/>
  <c r="N380" i="21"/>
  <c r="P380" i="21"/>
  <c r="R380" i="21"/>
  <c r="A381" i="21"/>
  <c r="B381" i="21"/>
  <c r="E381" i="21"/>
  <c r="G381" i="21"/>
  <c r="H381" i="21"/>
  <c r="I381" i="21"/>
  <c r="J381" i="21"/>
  <c r="M381" i="21"/>
  <c r="O381" i="21"/>
  <c r="P381" i="21"/>
  <c r="Q381" i="21"/>
  <c r="R381" i="21"/>
  <c r="B382" i="21"/>
  <c r="D382" i="21"/>
  <c r="E382" i="21"/>
  <c r="F382" i="21"/>
  <c r="G382" i="21"/>
  <c r="H382" i="21"/>
  <c r="J382" i="21"/>
  <c r="L382" i="21"/>
  <c r="M382" i="21"/>
  <c r="N382" i="21"/>
  <c r="O382" i="21"/>
  <c r="P382" i="21"/>
  <c r="R382" i="21"/>
  <c r="AE382" i="21"/>
  <c r="A383" i="21"/>
  <c r="B383" i="21"/>
  <c r="C383" i="21"/>
  <c r="D383" i="21"/>
  <c r="E383" i="21"/>
  <c r="G383" i="21"/>
  <c r="I383" i="21"/>
  <c r="J383" i="21"/>
  <c r="K383" i="21"/>
  <c r="L383" i="21"/>
  <c r="M383" i="21"/>
  <c r="O383" i="21"/>
  <c r="Q383" i="21"/>
  <c r="R383" i="21"/>
  <c r="Z383" i="21"/>
  <c r="AE383" i="21"/>
  <c r="AF383" i="21"/>
  <c r="A384" i="21"/>
  <c r="B384" i="21"/>
  <c r="D384" i="21"/>
  <c r="F384" i="21"/>
  <c r="G384" i="21"/>
  <c r="H384" i="21"/>
  <c r="I384" i="21"/>
  <c r="J384" i="21"/>
  <c r="L384" i="21"/>
  <c r="N384" i="21"/>
  <c r="O384" i="21"/>
  <c r="P384" i="21"/>
  <c r="Q384" i="21"/>
  <c r="R384" i="21"/>
  <c r="AB384" i="21"/>
  <c r="AD384" i="21"/>
  <c r="A385" i="21"/>
  <c r="C385" i="21"/>
  <c r="D385" i="21"/>
  <c r="E385" i="21"/>
  <c r="F385" i="21"/>
  <c r="I385" i="21"/>
  <c r="K385" i="21"/>
  <c r="L385" i="21"/>
  <c r="M385" i="21"/>
  <c r="N385" i="21"/>
  <c r="Q385" i="21"/>
  <c r="A386" i="21"/>
  <c r="B386" i="21"/>
  <c r="C386" i="21"/>
  <c r="D386" i="21"/>
  <c r="F386" i="21"/>
  <c r="H386" i="21"/>
  <c r="I386" i="21"/>
  <c r="J386" i="21"/>
  <c r="K386" i="21"/>
  <c r="L386" i="21"/>
  <c r="N386" i="21"/>
  <c r="P386" i="21"/>
  <c r="Q386" i="21"/>
  <c r="R386" i="21"/>
  <c r="AA386" i="21"/>
  <c r="A387" i="21"/>
  <c r="C387" i="21"/>
  <c r="E387" i="21"/>
  <c r="F387" i="21"/>
  <c r="G387" i="21"/>
  <c r="H387" i="21"/>
  <c r="I387" i="21"/>
  <c r="K387" i="21"/>
  <c r="M387" i="21"/>
  <c r="N387" i="21"/>
  <c r="O387" i="21"/>
  <c r="P387" i="21"/>
  <c r="Q387" i="21"/>
  <c r="T387" i="21"/>
  <c r="AB387" i="21"/>
  <c r="B388" i="21"/>
  <c r="C388" i="21"/>
  <c r="D388" i="21"/>
  <c r="E388" i="21"/>
  <c r="H388" i="21"/>
  <c r="J388" i="21"/>
  <c r="K388" i="21"/>
  <c r="L388" i="21"/>
  <c r="M388" i="21"/>
  <c r="P388" i="21"/>
  <c r="R388" i="21"/>
  <c r="X388" i="21"/>
  <c r="Y388" i="21"/>
  <c r="A389" i="21"/>
  <c r="B389" i="21"/>
  <c r="E389" i="21"/>
  <c r="F389" i="21"/>
  <c r="G389" i="21"/>
  <c r="H389" i="21"/>
  <c r="I389" i="21"/>
  <c r="J389" i="21"/>
  <c r="M389" i="21"/>
  <c r="N389" i="21"/>
  <c r="O389" i="21"/>
  <c r="P389" i="21"/>
  <c r="Q389" i="21"/>
  <c r="R389" i="21"/>
  <c r="Z389" i="21"/>
  <c r="B390" i="21"/>
  <c r="D390" i="21"/>
  <c r="E390" i="21"/>
  <c r="F390" i="21"/>
  <c r="G390" i="21"/>
  <c r="J390" i="21"/>
  <c r="L390" i="21"/>
  <c r="M390" i="21"/>
  <c r="N390" i="21"/>
  <c r="O390" i="21"/>
  <c r="R390" i="21"/>
  <c r="V390" i="21"/>
  <c r="AI390" i="21"/>
  <c r="A391" i="21"/>
  <c r="B391" i="21"/>
  <c r="C391" i="21"/>
  <c r="D391" i="21"/>
  <c r="G391" i="21"/>
  <c r="H391" i="21"/>
  <c r="I391" i="21"/>
  <c r="J391" i="21"/>
  <c r="K391" i="21"/>
  <c r="L391" i="21"/>
  <c r="O391" i="21"/>
  <c r="P391" i="21"/>
  <c r="Q391" i="21"/>
  <c r="R391" i="21"/>
  <c r="X391" i="21"/>
  <c r="A392" i="21"/>
  <c r="D392" i="21"/>
  <c r="F392" i="21"/>
  <c r="G392" i="21"/>
  <c r="H392" i="21"/>
  <c r="I392" i="21"/>
  <c r="L392" i="21"/>
  <c r="N392" i="21"/>
  <c r="O392" i="21"/>
  <c r="P392" i="21"/>
  <c r="Q392" i="21"/>
  <c r="AG392" i="21"/>
  <c r="A393" i="21"/>
  <c r="C393" i="21"/>
  <c r="D393" i="21"/>
  <c r="E393" i="21"/>
  <c r="F393" i="21"/>
  <c r="I393" i="21"/>
  <c r="J393" i="21"/>
  <c r="K393" i="21"/>
  <c r="L393" i="21"/>
  <c r="M393" i="21"/>
  <c r="N393" i="21"/>
  <c r="Q393" i="21"/>
  <c r="V393" i="21"/>
  <c r="AI393" i="21"/>
  <c r="A394" i="21"/>
  <c r="B394" i="21"/>
  <c r="C394" i="21"/>
  <c r="F394" i="21"/>
  <c r="H394" i="21"/>
  <c r="I394" i="21"/>
  <c r="J394" i="21"/>
  <c r="K394" i="21"/>
  <c r="N394" i="21"/>
  <c r="P394" i="21"/>
  <c r="Q394" i="21"/>
  <c r="R394" i="21"/>
  <c r="C395" i="21"/>
  <c r="E395" i="21"/>
  <c r="F395" i="21"/>
  <c r="G395" i="21"/>
  <c r="H395" i="21"/>
  <c r="K395" i="21"/>
  <c r="M395" i="21"/>
  <c r="N395" i="21"/>
  <c r="O395" i="21"/>
  <c r="P395" i="21"/>
  <c r="X395" i="21"/>
  <c r="AF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F377" i="11"/>
  <c r="G377" i="11"/>
  <c r="I377" i="11"/>
  <c r="K377" i="11"/>
  <c r="L377" i="11"/>
  <c r="M377" i="11"/>
  <c r="N377" i="11"/>
  <c r="O377" i="11"/>
  <c r="Q377" i="11"/>
  <c r="T377" i="11"/>
  <c r="V377" i="11"/>
  <c r="A378" i="11"/>
  <c r="B378" i="11"/>
  <c r="C378" i="11"/>
  <c r="F378" i="11"/>
  <c r="H378" i="11"/>
  <c r="I378" i="11"/>
  <c r="J378" i="11"/>
  <c r="K378" i="11"/>
  <c r="M378" i="11"/>
  <c r="N378" i="11"/>
  <c r="P378" i="11"/>
  <c r="Q378" i="11"/>
  <c r="R378" i="11"/>
  <c r="Z378" i="11"/>
  <c r="AB378" i="11"/>
  <c r="AC378" i="11"/>
  <c r="C379" i="11"/>
  <c r="E379" i="11"/>
  <c r="F379" i="11"/>
  <c r="G379" i="11"/>
  <c r="H379" i="11"/>
  <c r="K379" i="11"/>
  <c r="M379" i="11"/>
  <c r="N379" i="11"/>
  <c r="O379" i="11"/>
  <c r="P379" i="11"/>
  <c r="AF379" i="11"/>
  <c r="AH379" i="11"/>
  <c r="B380" i="11"/>
  <c r="C380" i="11"/>
  <c r="D380" i="11"/>
  <c r="E380" i="11"/>
  <c r="H380" i="11"/>
  <c r="J380" i="11"/>
  <c r="K380" i="11"/>
  <c r="L380" i="11"/>
  <c r="M380" i="11"/>
  <c r="P380" i="11"/>
  <c r="Q380" i="11"/>
  <c r="R380" i="11"/>
  <c r="V380" i="11"/>
  <c r="AA380" i="11"/>
  <c r="A381" i="11"/>
  <c r="B381" i="11"/>
  <c r="E381" i="11"/>
  <c r="F381" i="11"/>
  <c r="G381" i="11"/>
  <c r="H381" i="11"/>
  <c r="I381" i="11"/>
  <c r="J381" i="11"/>
  <c r="M381" i="11"/>
  <c r="N381" i="11"/>
  <c r="O381" i="11"/>
  <c r="P381" i="11"/>
  <c r="Q381" i="11"/>
  <c r="R381" i="11"/>
  <c r="T381" i="11"/>
  <c r="AB381" i="11"/>
  <c r="AG381" i="11"/>
  <c r="AH381" i="11"/>
  <c r="B382" i="11"/>
  <c r="D382" i="11"/>
  <c r="E382" i="11"/>
  <c r="F382" i="11"/>
  <c r="G382" i="11"/>
  <c r="H382" i="11"/>
  <c r="J382" i="11"/>
  <c r="L382" i="11"/>
  <c r="M382" i="11"/>
  <c r="N382" i="11"/>
  <c r="O382" i="11"/>
  <c r="P382" i="11"/>
  <c r="R382" i="11"/>
  <c r="V382" i="11"/>
  <c r="X382" i="11"/>
  <c r="Y382" i="11"/>
  <c r="AF382" i="11"/>
  <c r="AI382" i="11"/>
  <c r="A383" i="11"/>
  <c r="B383" i="11"/>
  <c r="C383" i="11"/>
  <c r="D383" i="11"/>
  <c r="G383" i="11"/>
  <c r="H383" i="11"/>
  <c r="I383" i="11"/>
  <c r="J383" i="11"/>
  <c r="K383" i="11"/>
  <c r="L383" i="11"/>
  <c r="O383" i="11"/>
  <c r="Q383" i="11"/>
  <c r="R383" i="11"/>
  <c r="V383" i="11"/>
  <c r="Z383" i="11"/>
  <c r="AH383" i="11"/>
  <c r="A384" i="11"/>
  <c r="D384" i="11"/>
  <c r="F384" i="11"/>
  <c r="G384" i="11"/>
  <c r="H384" i="11"/>
  <c r="I384" i="11"/>
  <c r="L384" i="11"/>
  <c r="N384" i="11"/>
  <c r="O384" i="11"/>
  <c r="P384" i="11"/>
  <c r="Q384" i="11"/>
  <c r="Y384" i="11"/>
  <c r="AC384" i="11"/>
  <c r="AI384" i="11"/>
  <c r="A385" i="11"/>
  <c r="C385" i="11"/>
  <c r="D385" i="11"/>
  <c r="E385" i="11"/>
  <c r="F385" i="11"/>
  <c r="G385" i="11"/>
  <c r="I385" i="11"/>
  <c r="K385" i="11"/>
  <c r="L385" i="11"/>
  <c r="M385" i="11"/>
  <c r="N385" i="11"/>
  <c r="O385" i="11"/>
  <c r="Q385" i="11"/>
  <c r="T385" i="11"/>
  <c r="Z385" i="11"/>
  <c r="AC385" i="11"/>
  <c r="AD385" i="11"/>
  <c r="A386" i="11"/>
  <c r="B386" i="11"/>
  <c r="C386" i="11"/>
  <c r="F386" i="11"/>
  <c r="H386" i="11"/>
  <c r="I386" i="11"/>
  <c r="J386" i="11"/>
  <c r="K386" i="11"/>
  <c r="N386" i="11"/>
  <c r="P386" i="11"/>
  <c r="Q386" i="11"/>
  <c r="R386" i="11"/>
  <c r="T386" i="11"/>
  <c r="U386" i="11"/>
  <c r="AB386" i="11"/>
  <c r="AE386" i="11"/>
  <c r="C387" i="11"/>
  <c r="E387" i="11"/>
  <c r="F387" i="11"/>
  <c r="G387" i="11"/>
  <c r="H387" i="11"/>
  <c r="K387" i="11"/>
  <c r="M387" i="11"/>
  <c r="N387" i="11"/>
  <c r="O387" i="11"/>
  <c r="P387" i="11"/>
  <c r="R387" i="11"/>
  <c r="T387" i="11"/>
  <c r="AG387" i="11"/>
  <c r="AH387" i="11"/>
  <c r="B388" i="11"/>
  <c r="C388" i="11"/>
  <c r="D388" i="11"/>
  <c r="E388" i="11"/>
  <c r="F388" i="11"/>
  <c r="H388" i="11"/>
  <c r="J388" i="11"/>
  <c r="K388" i="11"/>
  <c r="L388" i="11"/>
  <c r="M388" i="11"/>
  <c r="N388" i="11"/>
  <c r="P388" i="11"/>
  <c r="R388" i="11"/>
  <c r="U388" i="11"/>
  <c r="Y388" i="11"/>
  <c r="AE388" i="11"/>
  <c r="AI388" i="11"/>
  <c r="A389" i="11"/>
  <c r="B389" i="11"/>
  <c r="E389" i="11"/>
  <c r="G389" i="11"/>
  <c r="H389" i="11"/>
  <c r="I389" i="11"/>
  <c r="J389" i="11"/>
  <c r="M389" i="11"/>
  <c r="O389" i="11"/>
  <c r="P389" i="11"/>
  <c r="Q389" i="11"/>
  <c r="R389" i="11"/>
  <c r="X389" i="11"/>
  <c r="Z389" i="11"/>
  <c r="AH389" i="11"/>
  <c r="B390" i="11"/>
  <c r="D390" i="11"/>
  <c r="E390" i="11"/>
  <c r="F390" i="11"/>
  <c r="G390" i="11"/>
  <c r="J390" i="11"/>
  <c r="L390" i="11"/>
  <c r="M390" i="11"/>
  <c r="N390" i="11"/>
  <c r="O390" i="11"/>
  <c r="R390" i="11"/>
  <c r="W390" i="11"/>
  <c r="Y390" i="11"/>
  <c r="AA390" i="11"/>
  <c r="AF390" i="11"/>
  <c r="AI390" i="11"/>
  <c r="A391" i="11"/>
  <c r="B391" i="11"/>
  <c r="C391" i="11"/>
  <c r="D391" i="11"/>
  <c r="G391" i="11"/>
  <c r="I391" i="11"/>
  <c r="J391" i="11"/>
  <c r="K391" i="11"/>
  <c r="L391" i="11"/>
  <c r="N391" i="11"/>
  <c r="O391" i="11"/>
  <c r="Q391" i="11"/>
  <c r="R391" i="11"/>
  <c r="V391" i="11"/>
  <c r="Z391" i="11"/>
  <c r="AF391" i="11"/>
  <c r="AH391" i="11"/>
  <c r="A392" i="11"/>
  <c r="D392" i="11"/>
  <c r="E392" i="11"/>
  <c r="F392" i="11"/>
  <c r="G392" i="11"/>
  <c r="H392" i="11"/>
  <c r="I392" i="11"/>
  <c r="L392" i="11"/>
  <c r="M392" i="11"/>
  <c r="N392" i="11"/>
  <c r="O392" i="11"/>
  <c r="P392" i="11"/>
  <c r="Q392" i="11"/>
  <c r="V392" i="11"/>
  <c r="X392" i="11"/>
  <c r="Y392" i="11"/>
  <c r="AE392" i="11"/>
  <c r="AG392" i="11"/>
  <c r="A393" i="11"/>
  <c r="C393" i="11"/>
  <c r="D393" i="11"/>
  <c r="E393" i="11"/>
  <c r="F393" i="11"/>
  <c r="G393" i="11"/>
  <c r="I393" i="11"/>
  <c r="J393" i="11"/>
  <c r="K393" i="11"/>
  <c r="L393" i="11"/>
  <c r="M393" i="11"/>
  <c r="N393" i="11"/>
  <c r="O393" i="11"/>
  <c r="Q393" i="11"/>
  <c r="R393" i="11"/>
  <c r="T393" i="11"/>
  <c r="V393" i="11"/>
  <c r="W393" i="11"/>
  <c r="AC393" i="11"/>
  <c r="AE393" i="11"/>
  <c r="AF393" i="11"/>
  <c r="A394" i="11"/>
  <c r="B394" i="11"/>
  <c r="C394" i="11"/>
  <c r="D394" i="11"/>
  <c r="F394" i="11"/>
  <c r="H394" i="11"/>
  <c r="I394" i="11"/>
  <c r="J394" i="11"/>
  <c r="K394" i="11"/>
  <c r="L394" i="11"/>
  <c r="N394" i="11"/>
  <c r="P394" i="11"/>
  <c r="Q394" i="11"/>
  <c r="R394" i="11"/>
  <c r="S394" i="11"/>
  <c r="U394" i="11"/>
  <c r="W394" i="11"/>
  <c r="AB394" i="11"/>
  <c r="AE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U395" i="11"/>
  <c r="V395" i="11"/>
  <c r="AB395" i="11"/>
  <c r="AD395" i="11"/>
  <c r="AE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Y393" i="8"/>
  <c r="Z393" i="8"/>
  <c r="Z395" i="11" s="1"/>
  <c r="AA393" i="8"/>
  <c r="AB393" i="8"/>
  <c r="AC393" i="8"/>
  <c r="AD393" i="8"/>
  <c r="AE393" i="8"/>
  <c r="AF393" i="8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Y390" i="8"/>
  <c r="Z390" i="8"/>
  <c r="AA390" i="8"/>
  <c r="AA392" i="11" s="1"/>
  <c r="AB390" i="8"/>
  <c r="AC390" i="8"/>
  <c r="AC392" i="21" s="1"/>
  <c r="AD390" i="8"/>
  <c r="AD392" i="21" s="1"/>
  <c r="AE390" i="8"/>
  <c r="AF390" i="8"/>
  <c r="AF392" i="21" s="1"/>
  <c r="AG390" i="8"/>
  <c r="AH390" i="8"/>
  <c r="AI390" i="8"/>
  <c r="AI392" i="21" s="1"/>
  <c r="S393" i="11"/>
  <c r="T391" i="8"/>
  <c r="U391" i="8"/>
  <c r="V391" i="8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F391" i="8"/>
  <c r="AG391" i="8"/>
  <c r="AH391" i="8"/>
  <c r="AH393" i="21" s="1"/>
  <c r="AI391" i="8"/>
  <c r="AI393" i="11" s="1"/>
  <c r="T392" i="8"/>
  <c r="U392" i="8"/>
  <c r="V392" i="8"/>
  <c r="W392" i="8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F392" i="8"/>
  <c r="AG392" i="8"/>
  <c r="AG394" i="11" s="1"/>
  <c r="AH392" i="8"/>
  <c r="AH394" i="21" s="1"/>
  <c r="AI392" i="8"/>
  <c r="AI394" i="21" s="1"/>
  <c r="T375" i="8"/>
  <c r="U375" i="8"/>
  <c r="V375" i="8"/>
  <c r="W375" i="8"/>
  <c r="X375" i="8"/>
  <c r="X377" i="10" s="1"/>
  <c r="Y375" i="8"/>
  <c r="Z375" i="8"/>
  <c r="AA375" i="8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AA376" i="8"/>
  <c r="AB376" i="8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G377" i="8"/>
  <c r="AH377" i="8"/>
  <c r="AH379" i="21" s="1"/>
  <c r="AI377" i="8"/>
  <c r="T378" i="8"/>
  <c r="U378" i="8"/>
  <c r="U380" i="10" s="1"/>
  <c r="V378" i="8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H379" i="8"/>
  <c r="AH381" i="21" s="1"/>
  <c r="AI379" i="8"/>
  <c r="T380" i="8"/>
  <c r="U380" i="8"/>
  <c r="U382" i="11" s="1"/>
  <c r="V380" i="8"/>
  <c r="W380" i="8"/>
  <c r="X380" i="8"/>
  <c r="Y380" i="8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W381" i="8"/>
  <c r="X381" i="8"/>
  <c r="Y381" i="8"/>
  <c r="Z381" i="8"/>
  <c r="AA381" i="8"/>
  <c r="AA383" i="11" s="1"/>
  <c r="AB381" i="8"/>
  <c r="AB383" i="11" s="1"/>
  <c r="AC381" i="8"/>
  <c r="AC383" i="11" s="1"/>
  <c r="AD381" i="8"/>
  <c r="AD383" i="11" s="1"/>
  <c r="AE381" i="8"/>
  <c r="AF381" i="8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C382" i="8"/>
  <c r="AC384" i="10" s="1"/>
  <c r="AD382" i="8"/>
  <c r="AE382" i="8"/>
  <c r="AF382" i="8"/>
  <c r="AG382" i="8"/>
  <c r="AG384" i="11" s="1"/>
  <c r="AH382" i="8"/>
  <c r="AI382" i="8"/>
  <c r="AI384" i="21" s="1"/>
  <c r="S385" i="21"/>
  <c r="T383" i="8"/>
  <c r="U383" i="8"/>
  <c r="V383" i="8"/>
  <c r="W383" i="8"/>
  <c r="X383" i="8"/>
  <c r="X385" i="11" s="1"/>
  <c r="Y383" i="8"/>
  <c r="Z383" i="8"/>
  <c r="AA383" i="8"/>
  <c r="AB383" i="8"/>
  <c r="AC383" i="8"/>
  <c r="AD383" i="8"/>
  <c r="AE383" i="8"/>
  <c r="AF383" i="8"/>
  <c r="AF385" i="11" s="1"/>
  <c r="AG383" i="8"/>
  <c r="AH383" i="8"/>
  <c r="AH385" i="21" s="1"/>
  <c r="AI383" i="8"/>
  <c r="AI385" i="11" s="1"/>
  <c r="T384" i="8"/>
  <c r="U384" i="8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C384" i="8"/>
  <c r="AD384" i="8"/>
  <c r="AE384" i="8"/>
  <c r="AF384" i="8"/>
  <c r="AG384" i="8"/>
  <c r="AH384" i="8"/>
  <c r="AH386" i="21" s="1"/>
  <c r="AI384" i="8"/>
  <c r="AI386" i="21" s="1"/>
  <c r="S387" i="21"/>
  <c r="T385" i="8"/>
  <c r="U385" i="8"/>
  <c r="V385" i="8"/>
  <c r="W385" i="8"/>
  <c r="X385" i="8"/>
  <c r="Y385" i="8"/>
  <c r="Z385" i="8"/>
  <c r="AA385" i="8"/>
  <c r="AB385" i="8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X388" i="8"/>
  <c r="Y388" i="8"/>
  <c r="Z388" i="8"/>
  <c r="AA388" i="8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T389" i="8"/>
  <c r="T391" i="11" s="1"/>
  <c r="U389" i="8"/>
  <c r="U391" i="11" s="1"/>
  <c r="V389" i="8"/>
  <c r="W389" i="8"/>
  <c r="X389" i="8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G389" i="8"/>
  <c r="AH389" i="8"/>
  <c r="AH391" i="21" s="1"/>
  <c r="AI389" i="8"/>
  <c r="D18" i="24"/>
  <c r="C19" i="24"/>
  <c r="C20" i="24" s="1"/>
  <c r="L380" i="2"/>
  <c r="N380" i="2" s="1"/>
  <c r="M380" i="2"/>
  <c r="L381" i="2"/>
  <c r="M381" i="2"/>
  <c r="N381" i="2"/>
  <c r="L382" i="2"/>
  <c r="M382" i="2"/>
  <c r="N382" i="2" s="1"/>
  <c r="L383" i="2"/>
  <c r="M383" i="2"/>
  <c r="L384" i="2"/>
  <c r="M384" i="2"/>
  <c r="L385" i="2"/>
  <c r="N385" i="2" s="1"/>
  <c r="M385" i="2"/>
  <c r="L386" i="2"/>
  <c r="M386" i="2"/>
  <c r="L387" i="2"/>
  <c r="M387" i="2"/>
  <c r="L388" i="2"/>
  <c r="M388" i="2"/>
  <c r="N388" i="2" s="1"/>
  <c r="L389" i="2"/>
  <c r="N389" i="2" s="1"/>
  <c r="M389" i="2"/>
  <c r="L390" i="2"/>
  <c r="N390" i="2" s="1"/>
  <c r="M390" i="2"/>
  <c r="L391" i="2"/>
  <c r="M391" i="2"/>
  <c r="L392" i="2"/>
  <c r="N392" i="2" s="1"/>
  <c r="M392" i="2"/>
  <c r="L393" i="2"/>
  <c r="N393" i="2" s="1"/>
  <c r="M393" i="2"/>
  <c r="L394" i="2"/>
  <c r="N394" i="2" s="1"/>
  <c r="M394" i="2"/>
  <c r="L395" i="2"/>
  <c r="M395" i="2"/>
  <c r="L396" i="2"/>
  <c r="M396" i="2"/>
  <c r="N396" i="2" s="1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R395" i="10" l="1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O367" i="9"/>
  <c r="S367" i="9"/>
  <c r="L370" i="9"/>
  <c r="K371" i="9"/>
  <c r="J372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F369" i="11"/>
  <c r="A368" i="10"/>
  <c r="AH1" i="8"/>
  <c r="AI1" i="8"/>
  <c r="AQ3" i="2"/>
  <c r="AR3" i="2"/>
  <c r="B375" i="9" l="1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Z2" i="21"/>
  <c r="R2" i="21"/>
  <c r="D14" i="14" s="1"/>
  <c r="J2" i="21"/>
  <c r="AA2" i="21"/>
  <c r="Y2" i="21"/>
  <c r="Q2" i="21"/>
  <c r="I2" i="21"/>
  <c r="K2" i="21"/>
  <c r="X2" i="21"/>
  <c r="P2" i="21"/>
  <c r="D12" i="14" s="1"/>
  <c r="H2" i="21"/>
  <c r="W2" i="21"/>
  <c r="D19" i="14" s="1"/>
  <c r="O2" i="21"/>
  <c r="G2" i="21"/>
  <c r="AD2" i="21"/>
  <c r="V2" i="2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D8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E2" i="21" s="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21" i="14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11" i="14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D18" i="14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Z1" i="9" s="1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1" i="9" s="1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E2" i="10" l="1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C14" i="14" s="1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20" i="14"/>
  <c r="C19" i="14"/>
  <c r="C18" i="14"/>
  <c r="C17" i="14"/>
  <c r="R2" i="11"/>
  <c r="B14" i="14" s="1"/>
  <c r="C13" i="14"/>
  <c r="C15" i="14"/>
  <c r="C12" i="14"/>
  <c r="C6" i="14"/>
  <c r="C8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3" i="14"/>
  <c r="B2" i="14" l="1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<sst xmlns="http://schemas.openxmlformats.org/spreadsheetml/2006/main" count="3768" uniqueCount="1401">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</sst>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9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S676"/>
  <sheetViews>
    <sheetView zoomScale="84" zoomScaleNormal="84" workbookViewId="0">
      <pane xSplit="14" ySplit="4" topLeftCell="AH5" activePane="bottomRight" state="frozen"/>
      <selection pane="topRight" activeCell="M1" sqref="M1"/>
      <selection pane="bottomLeft" activeCell="A5" sqref="A5"/>
      <selection pane="bottomRight" activeCell="F197" sqref="F197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hidden="1" thickTop="1" thickBot="1" x14ac:dyDescent="0.35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hidden="1" thickBot="1" x14ac:dyDescent="0.35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hidden="1" thickBot="1" x14ac:dyDescent="0.35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hidden="1" thickBot="1" x14ac:dyDescent="0.35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hidden="1" thickBot="1" x14ac:dyDescent="0.35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hidden="1" thickBot="1" x14ac:dyDescent="0.35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hidden="1" thickBot="1" x14ac:dyDescent="0.35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hidden="1" thickBot="1" x14ac:dyDescent="0.35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hidden="1" thickBot="1" x14ac:dyDescent="0.35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hidden="1" thickBot="1" x14ac:dyDescent="0.35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hidden="1" thickBot="1" x14ac:dyDescent="0.35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hidden="1" thickBot="1" x14ac:dyDescent="0.35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hidden="1" thickBot="1" x14ac:dyDescent="0.35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hidden="1" thickBot="1" x14ac:dyDescent="0.35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hidden="1" thickBot="1" x14ac:dyDescent="0.35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hidden="1" thickBot="1" x14ac:dyDescent="0.35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hidden="1" thickBot="1" x14ac:dyDescent="0.35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hidden="1" thickBot="1" x14ac:dyDescent="0.35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hidden="1" thickBot="1" x14ac:dyDescent="0.35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hidden="1" thickBot="1" x14ac:dyDescent="0.35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hidden="1" thickBot="1" x14ac:dyDescent="0.35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hidden="1" thickBot="1" x14ac:dyDescent="0.35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hidden="1" thickBot="1" x14ac:dyDescent="0.35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hidden="1" thickBot="1" x14ac:dyDescent="0.35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hidden="1" thickBot="1" x14ac:dyDescent="0.35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hidden="1" thickBot="1" x14ac:dyDescent="0.35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hidden="1" thickBot="1" x14ac:dyDescent="0.35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hidden="1" thickBot="1" x14ac:dyDescent="0.35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29</v>
      </c>
      <c r="M34" s="17">
        <f t="shared" si="8"/>
        <v>1</v>
      </c>
      <c r="N34" s="18">
        <f t="shared" si="9"/>
        <v>0.96666666666666667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hidden="1" thickBot="1" x14ac:dyDescent="0.35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hidden="1" thickBot="1" x14ac:dyDescent="0.35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hidden="1" thickBot="1" x14ac:dyDescent="0.35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hidden="1" thickBot="1" x14ac:dyDescent="0.35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hidden="1" thickBot="1" x14ac:dyDescent="0.35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hidden="1" thickBot="1" x14ac:dyDescent="0.35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hidden="1" thickBot="1" x14ac:dyDescent="0.35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hidden="1" thickBot="1" x14ac:dyDescent="0.35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hidden="1" thickBot="1" x14ac:dyDescent="0.35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hidden="1" thickBot="1" x14ac:dyDescent="0.35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hidden="1" thickBot="1" x14ac:dyDescent="0.35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hidden="1" thickBot="1" x14ac:dyDescent="0.35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hidden="1" thickBot="1" x14ac:dyDescent="0.35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hidden="1" thickBot="1" x14ac:dyDescent="0.35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hidden="1" thickBot="1" x14ac:dyDescent="0.35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hidden="1" thickBot="1" x14ac:dyDescent="0.35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hidden="1" thickBot="1" x14ac:dyDescent="0.35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hidden="1" thickBot="1" x14ac:dyDescent="0.35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hidden="1" thickBot="1" x14ac:dyDescent="0.35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hidden="1" thickBot="1" x14ac:dyDescent="0.35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hidden="1" thickBot="1" x14ac:dyDescent="0.35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hidden="1" thickBot="1" x14ac:dyDescent="0.35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hidden="1" thickBot="1" x14ac:dyDescent="0.35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hidden="1" thickBot="1" x14ac:dyDescent="0.35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hidden="1" thickBot="1" x14ac:dyDescent="0.35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hidden="1" thickBot="1" x14ac:dyDescent="0.35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hidden="1" thickBot="1" x14ac:dyDescent="0.35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hidden="1" thickBot="1" x14ac:dyDescent="0.35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hidden="1" thickBot="1" x14ac:dyDescent="0.35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hidden="1" thickBot="1" x14ac:dyDescent="0.35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hidden="1" thickBot="1" x14ac:dyDescent="0.35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hidden="1" thickBot="1" x14ac:dyDescent="0.35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hidden="1" thickBot="1" x14ac:dyDescent="0.35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hidden="1" thickBot="1" x14ac:dyDescent="0.35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hidden="1" thickBot="1" x14ac:dyDescent="0.35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hidden="1" thickBot="1" x14ac:dyDescent="0.35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hidden="1" thickBot="1" x14ac:dyDescent="0.35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hidden="1" thickBot="1" x14ac:dyDescent="0.35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hidden="1" thickBot="1" x14ac:dyDescent="0.35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hidden="1" thickBot="1" x14ac:dyDescent="0.35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hidden="1" thickBot="1" x14ac:dyDescent="0.35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hidden="1" thickBot="1" x14ac:dyDescent="0.35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hidden="1" thickBot="1" x14ac:dyDescent="0.35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hidden="1" thickBot="1" x14ac:dyDescent="0.35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hidden="1" thickBot="1" x14ac:dyDescent="0.35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hidden="1" thickBot="1" x14ac:dyDescent="0.35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hidden="1" thickBot="1" x14ac:dyDescent="0.35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hidden="1" thickBot="1" x14ac:dyDescent="0.35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hidden="1" thickBot="1" x14ac:dyDescent="0.35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hidden="1" thickBot="1" x14ac:dyDescent="0.35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hidden="1" thickBot="1" x14ac:dyDescent="0.35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hidden="1" thickBot="1" x14ac:dyDescent="0.35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hidden="1" thickBot="1" x14ac:dyDescent="0.35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hidden="1" thickBot="1" x14ac:dyDescent="0.35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hidden="1" thickBot="1" x14ac:dyDescent="0.35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hidden="1" thickBot="1" x14ac:dyDescent="0.35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hidden="1" customHeight="1" thickBot="1" x14ac:dyDescent="0.35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hidden="1" thickBot="1" x14ac:dyDescent="0.35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hidden="1" thickBot="1" x14ac:dyDescent="0.35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hidden="1" thickBot="1" x14ac:dyDescent="0.35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hidden="1" thickBot="1" x14ac:dyDescent="0.35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hidden="1" thickBot="1" x14ac:dyDescent="0.35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hidden="1" thickBot="1" x14ac:dyDescent="0.35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hidden="1" thickBot="1" x14ac:dyDescent="0.35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hidden="1" thickBot="1" x14ac:dyDescent="0.35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hidden="1" thickBot="1" x14ac:dyDescent="0.35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hidden="1" thickBot="1" x14ac:dyDescent="0.35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hidden="1" thickBot="1" x14ac:dyDescent="0.35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hidden="1" thickBot="1" x14ac:dyDescent="0.35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hidden="1" thickBot="1" x14ac:dyDescent="0.35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hidden="1" customHeight="1" thickBot="1" x14ac:dyDescent="0.35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hidden="1" thickBot="1" x14ac:dyDescent="0.35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hidden="1" thickBot="1" x14ac:dyDescent="0.35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hidden="1" thickBot="1" x14ac:dyDescent="0.35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hidden="1" thickBot="1" x14ac:dyDescent="0.35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hidden="1" thickBot="1" x14ac:dyDescent="0.35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hidden="1" thickBot="1" x14ac:dyDescent="0.35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hidden="1" thickBot="1" x14ac:dyDescent="0.35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hidden="1" thickBot="1" x14ac:dyDescent="0.35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hidden="1" thickBot="1" x14ac:dyDescent="0.35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hidden="1" thickBot="1" x14ac:dyDescent="0.35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hidden="1" thickBot="1" x14ac:dyDescent="0.35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hidden="1" thickBot="1" x14ac:dyDescent="0.35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hidden="1" thickBot="1" x14ac:dyDescent="0.35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hidden="1" thickBot="1" x14ac:dyDescent="0.35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hidden="1" thickBot="1" x14ac:dyDescent="0.35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hidden="1" thickBot="1" x14ac:dyDescent="0.35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hidden="1" thickBot="1" x14ac:dyDescent="0.35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hidden="1" thickBot="1" x14ac:dyDescent="0.35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hidden="1" thickBot="1" x14ac:dyDescent="0.35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hidden="1" thickBot="1" x14ac:dyDescent="0.35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hidden="1" thickBot="1" x14ac:dyDescent="0.35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29</v>
      </c>
      <c r="M128" s="17">
        <f t="shared" si="11"/>
        <v>1</v>
      </c>
      <c r="N128" s="18">
        <f t="shared" si="12"/>
        <v>0.96666666666666667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28</v>
      </c>
      <c r="M129" s="17">
        <f t="shared" si="11"/>
        <v>2</v>
      </c>
      <c r="N129" s="18">
        <f t="shared" si="12"/>
        <v>0.93333333333333335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hidden="1" thickBot="1" x14ac:dyDescent="0.35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hidden="1" thickBot="1" x14ac:dyDescent="0.35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hidden="1" thickBot="1" x14ac:dyDescent="0.35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hidden="1" thickBot="1" x14ac:dyDescent="0.35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28</v>
      </c>
      <c r="M134" s="17">
        <f t="shared" si="14"/>
        <v>2</v>
      </c>
      <c r="N134" s="18">
        <f t="shared" si="15"/>
        <v>0.93333333333333335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hidden="1" thickBot="1" x14ac:dyDescent="0.35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hidden="1" thickBot="1" x14ac:dyDescent="0.35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hidden="1" thickBot="1" x14ac:dyDescent="0.35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hidden="1" thickBot="1" x14ac:dyDescent="0.35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hidden="1" thickBot="1" x14ac:dyDescent="0.35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hidden="1" thickBot="1" x14ac:dyDescent="0.35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hidden="1" thickBot="1" x14ac:dyDescent="0.35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hidden="1" thickBot="1" x14ac:dyDescent="0.35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hidden="1" thickBot="1" x14ac:dyDescent="0.35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hidden="1" thickBot="1" x14ac:dyDescent="0.35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hidden="1" thickBot="1" x14ac:dyDescent="0.35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hidden="1" thickBot="1" x14ac:dyDescent="0.35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hidden="1" thickBot="1" x14ac:dyDescent="0.35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hidden="1" thickBot="1" x14ac:dyDescent="0.35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hidden="1" thickBot="1" x14ac:dyDescent="0.35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hidden="1" thickBot="1" x14ac:dyDescent="0.35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hidden="1" thickBot="1" x14ac:dyDescent="0.35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hidden="1" thickBot="1" x14ac:dyDescent="0.35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hidden="1" thickBot="1" x14ac:dyDescent="0.35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hidden="1" thickBot="1" x14ac:dyDescent="0.35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hidden="1" thickBot="1" x14ac:dyDescent="0.35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hidden="1" thickBot="1" x14ac:dyDescent="0.35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hidden="1" thickBot="1" x14ac:dyDescent="0.35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hidden="1" thickBot="1" x14ac:dyDescent="0.35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hidden="1" thickBot="1" x14ac:dyDescent="0.35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hidden="1" thickBot="1" x14ac:dyDescent="0.35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hidden="1" thickBot="1" x14ac:dyDescent="0.35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hidden="1" thickBot="1" x14ac:dyDescent="0.35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hidden="1" thickBot="1" x14ac:dyDescent="0.35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hidden="1" thickBot="1" x14ac:dyDescent="0.35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hidden="1" thickBot="1" x14ac:dyDescent="0.35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28</v>
      </c>
      <c r="M166" s="17">
        <f t="shared" si="14"/>
        <v>2</v>
      </c>
      <c r="N166" s="18">
        <f t="shared" si="15"/>
        <v>0.93333333333333335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hidden="1" thickBot="1" x14ac:dyDescent="0.35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hidden="1" thickBot="1" x14ac:dyDescent="0.35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hidden="1" thickBot="1" x14ac:dyDescent="0.35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hidden="1" thickBot="1" x14ac:dyDescent="0.35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hidden="1" thickBot="1" x14ac:dyDescent="0.35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hidden="1" thickBot="1" x14ac:dyDescent="0.35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hidden="1" thickBot="1" x14ac:dyDescent="0.35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hidden="1" thickBot="1" x14ac:dyDescent="0.35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hidden="1" thickBot="1" x14ac:dyDescent="0.35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hidden="1" thickBot="1" x14ac:dyDescent="0.35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hidden="1" thickBot="1" x14ac:dyDescent="0.35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hidden="1" thickBot="1" x14ac:dyDescent="0.35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hidden="1" thickBot="1" x14ac:dyDescent="0.35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hidden="1" thickBot="1" x14ac:dyDescent="0.35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hidden="1" thickBot="1" x14ac:dyDescent="0.35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hidden="1" thickBot="1" x14ac:dyDescent="0.35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hidden="1" thickBot="1" x14ac:dyDescent="0.35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hidden="1" thickBot="1" x14ac:dyDescent="0.35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hidden="1" thickBot="1" x14ac:dyDescent="0.35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hidden="1" thickBot="1" x14ac:dyDescent="0.35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hidden="1" thickBot="1" x14ac:dyDescent="0.35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hidden="1" thickBot="1" x14ac:dyDescent="0.35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hidden="1" thickBot="1" x14ac:dyDescent="0.35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hidden="1" thickBot="1" x14ac:dyDescent="0.35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hidden="1" thickBot="1" x14ac:dyDescent="0.35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hidden="1" thickBot="1" x14ac:dyDescent="0.35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hidden="1" thickBot="1" x14ac:dyDescent="0.35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hidden="1" thickBot="1" x14ac:dyDescent="0.35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hidden="1" thickBot="1" x14ac:dyDescent="0.35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hidden="1" thickBot="1" x14ac:dyDescent="0.35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27</v>
      </c>
      <c r="M197" s="17">
        <f t="shared" ref="M197:M262" si="17">COUNTIF(O197:AP197,"APAGADO")</f>
        <v>3</v>
      </c>
      <c r="N197" s="18">
        <f t="shared" ref="N197:N262" si="18">(L197)/(M197+L197)</f>
        <v>0.9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27</v>
      </c>
      <c r="M198" s="17">
        <f t="shared" si="17"/>
        <v>3</v>
      </c>
      <c r="N198" s="18">
        <f t="shared" si="18"/>
        <v>0.9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hidden="1" thickBot="1" x14ac:dyDescent="0.35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hidden="1" thickBot="1" x14ac:dyDescent="0.35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hidden="1" thickBot="1" x14ac:dyDescent="0.35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hidden="1" thickBot="1" x14ac:dyDescent="0.35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hidden="1" thickBot="1" x14ac:dyDescent="0.35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hidden="1" thickBot="1" x14ac:dyDescent="0.35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hidden="1" thickBot="1" x14ac:dyDescent="0.35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hidden="1" thickBot="1" x14ac:dyDescent="0.35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hidden="1" thickBot="1" x14ac:dyDescent="0.35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hidden="1" thickBot="1" x14ac:dyDescent="0.35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hidden="1" thickBot="1" x14ac:dyDescent="0.35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29</v>
      </c>
      <c r="M210" s="17">
        <f t="shared" si="17"/>
        <v>1</v>
      </c>
      <c r="N210" s="18">
        <f t="shared" si="18"/>
        <v>0.96666666666666667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hidden="1" thickBot="1" x14ac:dyDescent="0.35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hidden="1" thickBot="1" x14ac:dyDescent="0.35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hidden="1" thickBot="1" x14ac:dyDescent="0.35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hidden="1" thickBot="1" x14ac:dyDescent="0.35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hidden="1" thickBot="1" x14ac:dyDescent="0.35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28</v>
      </c>
      <c r="M216" s="17">
        <f t="shared" si="17"/>
        <v>2</v>
      </c>
      <c r="N216" s="18">
        <f t="shared" si="18"/>
        <v>0.93333333333333335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28</v>
      </c>
      <c r="M217" s="17">
        <f t="shared" si="17"/>
        <v>2</v>
      </c>
      <c r="N217" s="18">
        <f t="shared" si="18"/>
        <v>0.93333333333333335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hidden="1" thickBot="1" x14ac:dyDescent="0.35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hidden="1" thickBot="1" x14ac:dyDescent="0.35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hidden="1" thickBot="1" x14ac:dyDescent="0.35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hidden="1" thickBot="1" x14ac:dyDescent="0.35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hidden="1" thickBot="1" x14ac:dyDescent="0.35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hidden="1" thickBot="1" x14ac:dyDescent="0.35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hidden="1" thickBot="1" x14ac:dyDescent="0.35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hidden="1" thickBot="1" x14ac:dyDescent="0.35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hidden="1" thickBot="1" x14ac:dyDescent="0.35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hidden="1" thickBot="1" x14ac:dyDescent="0.35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hidden="1" thickBot="1" x14ac:dyDescent="0.35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hidden="1" thickBot="1" x14ac:dyDescent="0.35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hidden="1" thickBot="1" x14ac:dyDescent="0.35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hidden="1" thickBot="1" x14ac:dyDescent="0.35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hidden="1" thickBot="1" x14ac:dyDescent="0.35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hidden="1" thickBot="1" x14ac:dyDescent="0.35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hidden="1" thickBot="1" x14ac:dyDescent="0.35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hidden="1" thickBot="1" x14ac:dyDescent="0.35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hidden="1" thickBot="1" x14ac:dyDescent="0.35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hidden="1" thickBot="1" x14ac:dyDescent="0.35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hidden="1" thickBot="1" x14ac:dyDescent="0.35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hidden="1" thickBot="1" x14ac:dyDescent="0.35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hidden="1" thickBot="1" x14ac:dyDescent="0.35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hidden="1" thickBot="1" x14ac:dyDescent="0.35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hidden="1" thickBot="1" x14ac:dyDescent="0.35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hidden="1" thickBot="1" x14ac:dyDescent="0.35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hidden="1" thickBot="1" x14ac:dyDescent="0.35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hidden="1" thickBot="1" x14ac:dyDescent="0.35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hidden="1" thickBot="1" x14ac:dyDescent="0.35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hidden="1" thickBot="1" x14ac:dyDescent="0.35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hidden="1" thickBot="1" x14ac:dyDescent="0.35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hidden="1" thickBot="1" x14ac:dyDescent="0.35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hidden="1" thickBot="1" x14ac:dyDescent="0.35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hidden="1" thickBot="1" x14ac:dyDescent="0.35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hidden="1" thickBot="1" x14ac:dyDescent="0.35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hidden="1" thickBot="1" x14ac:dyDescent="0.35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29</v>
      </c>
      <c r="M254" s="17">
        <f t="shared" si="17"/>
        <v>1</v>
      </c>
      <c r="N254" s="18">
        <f t="shared" si="18"/>
        <v>0.96666666666666667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29</v>
      </c>
      <c r="M255" s="17">
        <f t="shared" si="17"/>
        <v>1</v>
      </c>
      <c r="N255" s="18">
        <f t="shared" si="18"/>
        <v>0.96666666666666667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hidden="1" thickBot="1" x14ac:dyDescent="0.35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hidden="1" thickBot="1" x14ac:dyDescent="0.35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hidden="1" thickBot="1" x14ac:dyDescent="0.35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hidden="1" thickBot="1" x14ac:dyDescent="0.35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hidden="1" thickBot="1" x14ac:dyDescent="0.35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hidden="1" thickBot="1" x14ac:dyDescent="0.35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hidden="1" thickBot="1" x14ac:dyDescent="0.35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hidden="1" thickBot="1" x14ac:dyDescent="0.35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hidden="1" thickBot="1" x14ac:dyDescent="0.35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hidden="1" thickBot="1" x14ac:dyDescent="0.35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hidden="1" thickBot="1" x14ac:dyDescent="0.35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hidden="1" thickBot="1" x14ac:dyDescent="0.35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hidden="1" thickBot="1" x14ac:dyDescent="0.35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hidden="1" thickBot="1" x14ac:dyDescent="0.35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hidden="1" thickBot="1" x14ac:dyDescent="0.35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hidden="1" thickBot="1" x14ac:dyDescent="0.35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29</v>
      </c>
      <c r="M272" s="17">
        <f t="shared" si="21"/>
        <v>1</v>
      </c>
      <c r="N272" s="18">
        <f t="shared" si="22"/>
        <v>0.96666666666666667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hidden="1" thickBot="1" x14ac:dyDescent="0.35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hidden="1" thickBot="1" x14ac:dyDescent="0.35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hidden="1" thickBot="1" x14ac:dyDescent="0.35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hidden="1" thickBot="1" x14ac:dyDescent="0.35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hidden="1" thickBot="1" x14ac:dyDescent="0.35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hidden="1" thickBot="1" x14ac:dyDescent="0.35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hidden="1" thickBot="1" x14ac:dyDescent="0.35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hidden="1" thickBot="1" x14ac:dyDescent="0.35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hidden="1" thickBot="1" x14ac:dyDescent="0.35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hidden="1" thickBot="1" x14ac:dyDescent="0.35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hidden="1" thickBot="1" x14ac:dyDescent="0.35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hidden="1" thickBot="1" x14ac:dyDescent="0.35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hidden="1" thickBot="1" x14ac:dyDescent="0.35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hidden="1" thickBot="1" x14ac:dyDescent="0.35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hidden="1" thickBot="1" x14ac:dyDescent="0.35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hidden="1" thickBot="1" x14ac:dyDescent="0.35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hidden="1" customHeight="1" thickBot="1" x14ac:dyDescent="0.35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hidden="1" thickBot="1" x14ac:dyDescent="0.35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hidden="1" thickBot="1" x14ac:dyDescent="0.35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hidden="1" thickBot="1" x14ac:dyDescent="0.35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hidden="1" thickBot="1" x14ac:dyDescent="0.35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hidden="1" thickBot="1" x14ac:dyDescent="0.35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hidden="1" thickBot="1" x14ac:dyDescent="0.35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hidden="1" thickBot="1" x14ac:dyDescent="0.35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hidden="1" thickBot="1" x14ac:dyDescent="0.35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hidden="1" thickBot="1" x14ac:dyDescent="0.35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hidden="1" thickBot="1" x14ac:dyDescent="0.35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hidden="1" thickBot="1" x14ac:dyDescent="0.35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hidden="1" thickBot="1" x14ac:dyDescent="0.35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hidden="1" thickBot="1" x14ac:dyDescent="0.35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hidden="1" thickBot="1" x14ac:dyDescent="0.35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hidden="1" thickBot="1" x14ac:dyDescent="0.35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hidden="1" thickBot="1" x14ac:dyDescent="0.35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hidden="1" thickBot="1" x14ac:dyDescent="0.35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hidden="1" thickBot="1" x14ac:dyDescent="0.35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hidden="1" thickBot="1" x14ac:dyDescent="0.35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hidden="1" thickBot="1" x14ac:dyDescent="0.35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hidden="1" thickBot="1" x14ac:dyDescent="0.35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hidden="1" thickBot="1" x14ac:dyDescent="0.35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hidden="1" thickBot="1" x14ac:dyDescent="0.35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hidden="1" thickBot="1" x14ac:dyDescent="0.35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hidden="1" thickBot="1" x14ac:dyDescent="0.35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hidden="1" thickBot="1" x14ac:dyDescent="0.35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hidden="1" thickBot="1" x14ac:dyDescent="0.35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hidden="1" thickBot="1" x14ac:dyDescent="0.35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hidden="1" thickBot="1" x14ac:dyDescent="0.35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hidden="1" thickBot="1" x14ac:dyDescent="0.35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hidden="1" thickBot="1" x14ac:dyDescent="0.35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hidden="1" thickBot="1" x14ac:dyDescent="0.35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hidden="1" thickBot="1" x14ac:dyDescent="0.35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hidden="1" thickBot="1" x14ac:dyDescent="0.35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hidden="1" thickBot="1" x14ac:dyDescent="0.35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hidden="1" thickBot="1" x14ac:dyDescent="0.35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hidden="1" thickBot="1" x14ac:dyDescent="0.35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29</v>
      </c>
      <c r="M327" s="17">
        <f t="shared" ref="M327:M372" si="24">COUNTIF(O327:AP327,"APAGADO")</f>
        <v>1</v>
      </c>
      <c r="N327" s="18">
        <f t="shared" ref="N327:N372" si="25">(L327)/(M327+L327)</f>
        <v>0.96666666666666667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29</v>
      </c>
      <c r="M328" s="17">
        <f t="shared" si="24"/>
        <v>1</v>
      </c>
      <c r="N328" s="18">
        <f t="shared" si="25"/>
        <v>0.96666666666666667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hidden="1" thickBot="1" x14ac:dyDescent="0.35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hidden="1" thickBot="1" x14ac:dyDescent="0.35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hidden="1" thickBot="1" x14ac:dyDescent="0.35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hidden="1" thickBot="1" x14ac:dyDescent="0.35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hidden="1" thickBot="1" x14ac:dyDescent="0.35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hidden="1" thickBot="1" x14ac:dyDescent="0.35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hidden="1" thickBot="1" x14ac:dyDescent="0.35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hidden="1" thickBot="1" x14ac:dyDescent="0.35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hidden="1" thickBot="1" x14ac:dyDescent="0.35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hidden="1" thickBot="1" x14ac:dyDescent="0.35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hidden="1" thickBot="1" x14ac:dyDescent="0.35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hidden="1" thickBot="1" x14ac:dyDescent="0.35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hidden="1" thickBot="1" x14ac:dyDescent="0.35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hidden="1" thickBot="1" x14ac:dyDescent="0.35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hidden="1" thickBot="1" x14ac:dyDescent="0.35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hidden="1" thickBot="1" x14ac:dyDescent="0.35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hidden="1" thickBot="1" x14ac:dyDescent="0.35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hidden="1" thickBot="1" x14ac:dyDescent="0.35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hidden="1" thickBot="1" x14ac:dyDescent="0.35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hidden="1" thickBot="1" x14ac:dyDescent="0.35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hidden="1" thickBot="1" x14ac:dyDescent="0.35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hidden="1" thickBot="1" x14ac:dyDescent="0.35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hidden="1" thickBot="1" x14ac:dyDescent="0.35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hidden="1" thickBot="1" x14ac:dyDescent="0.35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hidden="1" thickBot="1" x14ac:dyDescent="0.35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hidden="1" thickBot="1" x14ac:dyDescent="0.35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hidden="1" thickBot="1" x14ac:dyDescent="0.35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hidden="1" thickBot="1" x14ac:dyDescent="0.35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hidden="1" thickBot="1" x14ac:dyDescent="0.35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hidden="1" thickBot="1" x14ac:dyDescent="0.35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hidden="1" thickBot="1" x14ac:dyDescent="0.35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hidden="1" thickBot="1" x14ac:dyDescent="0.35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11</v>
      </c>
      <c r="M361" s="17">
        <f t="shared" si="24"/>
        <v>19</v>
      </c>
      <c r="N361" s="18">
        <f t="shared" si="25"/>
        <v>0.36666666666666664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11</v>
      </c>
      <c r="M362" s="17">
        <f t="shared" si="24"/>
        <v>19</v>
      </c>
      <c r="N362" s="18">
        <f t="shared" si="25"/>
        <v>0.36666666666666664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hidden="1" thickBot="1" x14ac:dyDescent="0.35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hidden="1" thickBot="1" x14ac:dyDescent="0.35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hidden="1" thickBot="1" x14ac:dyDescent="0.35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hidden="1" thickBot="1" x14ac:dyDescent="0.35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hidden="1" thickBot="1" x14ac:dyDescent="0.35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hidden="1" thickBot="1" x14ac:dyDescent="0.35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hidden="1" thickBot="1" x14ac:dyDescent="0.35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hidden="1" thickBot="1" x14ac:dyDescent="0.35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hidden="1" thickBot="1" x14ac:dyDescent="0.35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hidden="1" thickBot="1" x14ac:dyDescent="0.35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hidden="1" thickBot="1" x14ac:dyDescent="0.35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hidden="1" thickBot="1" x14ac:dyDescent="0.35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hidden="1" thickBot="1" x14ac:dyDescent="0.35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hidden="1" thickBot="1" x14ac:dyDescent="0.35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hidden="1" thickBot="1" x14ac:dyDescent="0.35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28</v>
      </c>
      <c r="M378" s="53">
        <f t="shared" si="26"/>
        <v>2</v>
      </c>
      <c r="N378" s="54">
        <f t="shared" si="27"/>
        <v>0.93333333333333335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hidden="1" thickBot="1" x14ac:dyDescent="0.35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hidden="1" thickBot="1" x14ac:dyDescent="0.35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hidden="1" thickBot="1" x14ac:dyDescent="0.35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hidden="1" thickBot="1" x14ac:dyDescent="0.35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hidden="1" thickBot="1" x14ac:dyDescent="0.35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28</v>
      </c>
      <c r="M385" s="53">
        <f t="shared" si="29"/>
        <v>2</v>
      </c>
      <c r="N385" s="54">
        <f t="shared" si="30"/>
        <v>0.93333333333333335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28</v>
      </c>
      <c r="M386" s="53">
        <f t="shared" si="29"/>
        <v>2</v>
      </c>
      <c r="N386" s="54">
        <f t="shared" si="30"/>
        <v>0.93333333333333335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28</v>
      </c>
      <c r="M387" s="53">
        <f t="shared" si="29"/>
        <v>2</v>
      </c>
      <c r="N387" s="54">
        <f t="shared" si="30"/>
        <v>0.93333333333333335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" hidden="1" thickBot="1" x14ac:dyDescent="0.35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29</v>
      </c>
      <c r="M388" s="53">
        <f t="shared" si="29"/>
        <v>1</v>
      </c>
      <c r="N388" s="54">
        <f t="shared" si="30"/>
        <v>0.96666666666666667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" hidden="1" thickBot="1" x14ac:dyDescent="0.35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hidden="1" thickBot="1" x14ac:dyDescent="0.35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hidden="1" thickBot="1" x14ac:dyDescent="0.35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hidden="1" thickBot="1" x14ac:dyDescent="0.35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hidden="1" thickBot="1" x14ac:dyDescent="0.35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hidden="1" thickBot="1" x14ac:dyDescent="0.35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hidden="1" thickBot="1" x14ac:dyDescent="0.35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hidden="1" thickBot="1" x14ac:dyDescent="0.35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>
    <filterColumn colId="33">
      <customFilters>
        <customFilter operator="notEqual" val=" "/>
      </customFilters>
    </filterColumn>
  </autoFilter>
  <conditionalFormatting sqref="N4:N244 P236:U244 P247:U281 O95:O244 O247:O369 V96:X244 V247:X372 AK95:AP369 AR95:AR369 N245:X246 N247:N372 AA96:AJ372">
    <cfRule type="cellIs" dxfId="828" priority="2164" operator="lessThan">
      <formula>0.8</formula>
    </cfRule>
    <cfRule type="cellIs" dxfId="827" priority="2165" operator="greaterThan">
      <formula>0.8</formula>
    </cfRule>
  </conditionalFormatting>
  <conditionalFormatting sqref="E1:K3 E284:K334 E236:K236 E5:K32 E36:K91 E94:K230 E337:K364 E369:K372 E243:K281 E391:K1048576">
    <cfRule type="containsText" dxfId="826" priority="2163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J372">
    <cfRule type="notContainsText" dxfId="825" priority="2159" operator="notContains" text="Caida">
      <formula>ISERROR(SEARCH("Caida",O95))</formula>
    </cfRule>
    <cfRule type="containsText" dxfId="824" priority="2160" operator="containsText" text="Caida">
      <formula>NOT(ISERROR(SEARCH("Caida",O95)))</formula>
    </cfRule>
  </conditionalFormatting>
  <conditionalFormatting sqref="E282:K282">
    <cfRule type="containsText" dxfId="823" priority="2132" operator="containsText" text="Radio">
      <formula>NOT(ISERROR(SEARCH("Radio",E282)))</formula>
    </cfRule>
  </conditionalFormatting>
  <conditionalFormatting sqref="E283:K283">
    <cfRule type="containsText" dxfId="822" priority="2107" operator="containsText" text="Radio">
      <formula>NOT(ISERROR(SEARCH("Radio",E283)))</formula>
    </cfRule>
  </conditionalFormatting>
  <conditionalFormatting sqref="E4:K4">
    <cfRule type="containsText" dxfId="821" priority="2082" operator="containsText" text="Radio">
      <formula>NOT(ISERROR(SEARCH("Radio",E4)))</formula>
    </cfRule>
  </conditionalFormatting>
  <conditionalFormatting sqref="E231:K231">
    <cfRule type="containsText" dxfId="820" priority="2081" operator="containsText" text="Radio">
      <formula>NOT(ISERROR(SEARCH("Radio",E231)))</formula>
    </cfRule>
  </conditionalFormatting>
  <conditionalFormatting sqref="E232:K232">
    <cfRule type="containsText" dxfId="819" priority="2056" operator="containsText" text="Radio">
      <formula>NOT(ISERROR(SEARCH("Radio",E232)))</formula>
    </cfRule>
  </conditionalFormatting>
  <conditionalFormatting sqref="E233:K233">
    <cfRule type="containsText" dxfId="818" priority="2031" operator="containsText" text="Radio">
      <formula>NOT(ISERROR(SEARCH("Radio",E233)))</formula>
    </cfRule>
  </conditionalFormatting>
  <conditionalFormatting sqref="E234:K234">
    <cfRule type="containsText" dxfId="817" priority="2006" operator="containsText" text="Radio">
      <formula>NOT(ISERROR(SEARCH("Radio",E234)))</formula>
    </cfRule>
  </conditionalFormatting>
  <conditionalFormatting sqref="E235:K235">
    <cfRule type="containsText" dxfId="816" priority="1981" operator="containsText" text="Radio">
      <formula>NOT(ISERROR(SEARCH("Radio",E235)))</formula>
    </cfRule>
  </conditionalFormatting>
  <conditionalFormatting sqref="E335:K335">
    <cfRule type="containsText" dxfId="815" priority="1932" operator="containsText" text="Radio">
      <formula>NOT(ISERROR(SEARCH("Radio",E335)))</formula>
    </cfRule>
  </conditionalFormatting>
  <conditionalFormatting sqref="E336:K336">
    <cfRule type="containsText" dxfId="814" priority="1907" operator="containsText" text="Radio">
      <formula>NOT(ISERROR(SEARCH("Radio",E336)))</formula>
    </cfRule>
  </conditionalFormatting>
  <conditionalFormatting sqref="E237:K237">
    <cfRule type="containsText" dxfId="813" priority="1882" operator="containsText" text="Radio">
      <formula>NOT(ISERROR(SEARCH("Radio",E237)))</formula>
    </cfRule>
  </conditionalFormatting>
  <conditionalFormatting sqref="E238:K238">
    <cfRule type="containsText" dxfId="812" priority="1857" operator="containsText" text="Radio">
      <formula>NOT(ISERROR(SEARCH("Radio",E238)))</formula>
    </cfRule>
  </conditionalFormatting>
  <conditionalFormatting sqref="E33:K35">
    <cfRule type="containsText" dxfId="811" priority="1832" operator="containsText" text="Radio">
      <formula>NOT(ISERROR(SEARCH("Radio",E33)))</formula>
    </cfRule>
  </conditionalFormatting>
  <conditionalFormatting sqref="E239:K239">
    <cfRule type="containsText" dxfId="810" priority="1807" operator="containsText" text="Radio">
      <formula>NOT(ISERROR(SEARCH("Radio",E239)))</formula>
    </cfRule>
  </conditionalFormatting>
  <conditionalFormatting sqref="E240:K240">
    <cfRule type="containsText" dxfId="809" priority="1782" operator="containsText" text="Radio">
      <formula>NOT(ISERROR(SEARCH("Radio",E240)))</formula>
    </cfRule>
  </conditionalFormatting>
  <conditionalFormatting sqref="E241:K241">
    <cfRule type="containsText" dxfId="808" priority="1757" operator="containsText" text="Radio">
      <formula>NOT(ISERROR(SEARCH("Radio",E241)))</formula>
    </cfRule>
  </conditionalFormatting>
  <conditionalFormatting sqref="E242:K242">
    <cfRule type="containsText" dxfId="807" priority="1732" operator="containsText" text="Radio">
      <formula>NOT(ISERROR(SEARCH("Radio",E242)))</formula>
    </cfRule>
  </conditionalFormatting>
  <conditionalFormatting sqref="P6:P92 P96:P230">
    <cfRule type="cellIs" dxfId="806" priority="1657" operator="lessThan">
      <formula>0.8</formula>
    </cfRule>
    <cfRule type="cellIs" dxfId="805" priority="1658" operator="greaterThan">
      <formula>0.8</formula>
    </cfRule>
  </conditionalFormatting>
  <conditionalFormatting sqref="P6:P92 P96:P230">
    <cfRule type="notContainsText" dxfId="804" priority="1655" operator="notContains" text="Caida">
      <formula>ISERROR(SEARCH("Caida",P6))</formula>
    </cfRule>
    <cfRule type="containsText" dxfId="803" priority="1656" operator="containsText" text="Caida">
      <formula>NOT(ISERROR(SEARCH("Caida",P6)))</formula>
    </cfRule>
  </conditionalFormatting>
  <conditionalFormatting sqref="P337:P366 P284:P334">
    <cfRule type="cellIs" dxfId="802" priority="1653" operator="lessThan">
      <formula>0.8</formula>
    </cfRule>
    <cfRule type="cellIs" dxfId="801" priority="1654" operator="greaterThan">
      <formula>0.8</formula>
    </cfRule>
  </conditionalFormatting>
  <conditionalFormatting sqref="P337:P366 P284:P334 P397:P1048576">
    <cfRule type="notContainsText" dxfId="800" priority="1651" operator="notContains" text="Caida">
      <formula>ISERROR(SEARCH("Caida",P284))</formula>
    </cfRule>
    <cfRule type="containsText" dxfId="799" priority="1652" operator="containsText" text="Caida">
      <formula>NOT(ISERROR(SEARCH("Caida",P284)))</formula>
    </cfRule>
  </conditionalFormatting>
  <conditionalFormatting sqref="O397:O1048576">
    <cfRule type="notContainsText" dxfId="798" priority="1700" operator="notContains" text="Caida">
      <formula>ISERROR(SEARCH("Caida",O397))</formula>
    </cfRule>
    <cfRule type="containsText" dxfId="797" priority="1701" operator="containsText" text="Caida">
      <formula>NOT(ISERROR(SEARCH("Caida",O397)))</formula>
    </cfRule>
  </conditionalFormatting>
  <conditionalFormatting sqref="P336">
    <cfRule type="cellIs" dxfId="796" priority="1612" operator="lessThan">
      <formula>0.8</formula>
    </cfRule>
    <cfRule type="cellIs" dxfId="795" priority="1613" operator="greaterThan">
      <formula>0.8</formula>
    </cfRule>
  </conditionalFormatting>
  <conditionalFormatting sqref="P336">
    <cfRule type="notContainsText" dxfId="794" priority="1610" operator="notContains" text="Caida">
      <formula>ISERROR(SEARCH("Caida",P336))</formula>
    </cfRule>
    <cfRule type="containsText" dxfId="793" priority="1611" operator="containsText" text="Caida">
      <formula>NOT(ISERROR(SEARCH("Caida",P336)))</formula>
    </cfRule>
  </conditionalFormatting>
  <conditionalFormatting sqref="P22">
    <cfRule type="containsText" dxfId="792" priority="1650" operator="containsText" text="Instaladas en Funcionamiento Caida">
      <formula>NOT(ISERROR(SEARCH("Instaladas en Funcionamiento Caida",P22)))</formula>
    </cfRule>
  </conditionalFormatting>
  <conditionalFormatting sqref="P282">
    <cfRule type="cellIs" dxfId="791" priority="1648" operator="lessThan">
      <formula>0.8</formula>
    </cfRule>
    <cfRule type="cellIs" dxfId="790" priority="1649" operator="greaterThan">
      <formula>0.8</formula>
    </cfRule>
  </conditionalFormatting>
  <conditionalFormatting sqref="P282">
    <cfRule type="notContainsText" dxfId="789" priority="1646" operator="notContains" text="Caida">
      <formula>ISERROR(SEARCH("Caida",P282))</formula>
    </cfRule>
    <cfRule type="containsText" dxfId="788" priority="1647" operator="containsText" text="Caida">
      <formula>NOT(ISERROR(SEARCH("Caida",P282)))</formula>
    </cfRule>
  </conditionalFormatting>
  <conditionalFormatting sqref="P283">
    <cfRule type="cellIs" dxfId="787" priority="1644" operator="lessThan">
      <formula>0.8</formula>
    </cfRule>
    <cfRule type="cellIs" dxfId="786" priority="1645" operator="greaterThan">
      <formula>0.8</formula>
    </cfRule>
  </conditionalFormatting>
  <conditionalFormatting sqref="P283">
    <cfRule type="notContainsText" dxfId="785" priority="1642" operator="notContains" text="Caida">
      <formula>ISERROR(SEARCH("Caida",P283))</formula>
    </cfRule>
    <cfRule type="containsText" dxfId="784" priority="1643" operator="containsText" text="Caida">
      <formula>NOT(ISERROR(SEARCH("Caida",P283)))</formula>
    </cfRule>
  </conditionalFormatting>
  <conditionalFormatting sqref="P5">
    <cfRule type="cellIs" dxfId="783" priority="1640" operator="lessThan">
      <formula>0.8</formula>
    </cfRule>
    <cfRule type="cellIs" dxfId="782" priority="1641" operator="greaterThan">
      <formula>0.8</formula>
    </cfRule>
  </conditionalFormatting>
  <conditionalFormatting sqref="P5">
    <cfRule type="notContainsText" dxfId="781" priority="1638" operator="notContains" text="Caida">
      <formula>ISERROR(SEARCH("Caida",P5))</formula>
    </cfRule>
    <cfRule type="containsText" dxfId="780" priority="1639" operator="containsText" text="Caida">
      <formula>NOT(ISERROR(SEARCH("Caida",P5)))</formula>
    </cfRule>
  </conditionalFormatting>
  <conditionalFormatting sqref="P231">
    <cfRule type="cellIs" dxfId="779" priority="1636" operator="lessThan">
      <formula>0.8</formula>
    </cfRule>
    <cfRule type="cellIs" dxfId="778" priority="1637" operator="greaterThan">
      <formula>0.8</formula>
    </cfRule>
  </conditionalFormatting>
  <conditionalFormatting sqref="P231">
    <cfRule type="notContainsText" dxfId="777" priority="1634" operator="notContains" text="Caida">
      <formula>ISERROR(SEARCH("Caida",P231))</formula>
    </cfRule>
    <cfRule type="containsText" dxfId="776" priority="1635" operator="containsText" text="Caida">
      <formula>NOT(ISERROR(SEARCH("Caida",P231)))</formula>
    </cfRule>
  </conditionalFormatting>
  <conditionalFormatting sqref="P232">
    <cfRule type="cellIs" dxfId="775" priority="1632" operator="lessThan">
      <formula>0.8</formula>
    </cfRule>
    <cfRule type="cellIs" dxfId="774" priority="1633" operator="greaterThan">
      <formula>0.8</formula>
    </cfRule>
  </conditionalFormatting>
  <conditionalFormatting sqref="P232">
    <cfRule type="notContainsText" dxfId="773" priority="1630" operator="notContains" text="Caida">
      <formula>ISERROR(SEARCH("Caida",P232))</formula>
    </cfRule>
    <cfRule type="containsText" dxfId="772" priority="1631" operator="containsText" text="Caida">
      <formula>NOT(ISERROR(SEARCH("Caida",P232)))</formula>
    </cfRule>
  </conditionalFormatting>
  <conditionalFormatting sqref="P233">
    <cfRule type="cellIs" dxfId="771" priority="1628" operator="lessThan">
      <formula>0.8</formula>
    </cfRule>
    <cfRule type="cellIs" dxfId="770" priority="1629" operator="greaterThan">
      <formula>0.8</formula>
    </cfRule>
  </conditionalFormatting>
  <conditionalFormatting sqref="P233">
    <cfRule type="notContainsText" dxfId="769" priority="1626" operator="notContains" text="Caida">
      <formula>ISERROR(SEARCH("Caida",P233))</formula>
    </cfRule>
    <cfRule type="containsText" dxfId="768" priority="1627" operator="containsText" text="Caida">
      <formula>NOT(ISERROR(SEARCH("Caida",P233)))</formula>
    </cfRule>
  </conditionalFormatting>
  <conditionalFormatting sqref="P234">
    <cfRule type="cellIs" dxfId="767" priority="1624" operator="lessThan">
      <formula>0.8</formula>
    </cfRule>
    <cfRule type="cellIs" dxfId="766" priority="1625" operator="greaterThan">
      <formula>0.8</formula>
    </cfRule>
  </conditionalFormatting>
  <conditionalFormatting sqref="P234">
    <cfRule type="notContainsText" dxfId="765" priority="1622" operator="notContains" text="Caida">
      <formula>ISERROR(SEARCH("Caida",P234))</formula>
    </cfRule>
    <cfRule type="containsText" dxfId="764" priority="1623" operator="containsText" text="Caida">
      <formula>NOT(ISERROR(SEARCH("Caida",P234)))</formula>
    </cfRule>
  </conditionalFormatting>
  <conditionalFormatting sqref="P235">
    <cfRule type="cellIs" dxfId="763" priority="1620" operator="lessThan">
      <formula>0.8</formula>
    </cfRule>
    <cfRule type="cellIs" dxfId="762" priority="1621" operator="greaterThan">
      <formula>0.8</formula>
    </cfRule>
  </conditionalFormatting>
  <conditionalFormatting sqref="P235">
    <cfRule type="notContainsText" dxfId="761" priority="1618" operator="notContains" text="Caida">
      <formula>ISERROR(SEARCH("Caida",P235))</formula>
    </cfRule>
    <cfRule type="containsText" dxfId="760" priority="1619" operator="containsText" text="Caida">
      <formula>NOT(ISERROR(SEARCH("Caida",P235)))</formula>
    </cfRule>
  </conditionalFormatting>
  <conditionalFormatting sqref="P335">
    <cfRule type="cellIs" dxfId="759" priority="1616" operator="lessThan">
      <formula>0.8</formula>
    </cfRule>
    <cfRule type="cellIs" dxfId="758" priority="1617" operator="greaterThan">
      <formula>0.8</formula>
    </cfRule>
  </conditionalFormatting>
  <conditionalFormatting sqref="P335">
    <cfRule type="notContainsText" dxfId="757" priority="1614" operator="notContains" text="Caida">
      <formula>ISERROR(SEARCH("Caida",P335))</formula>
    </cfRule>
    <cfRule type="containsText" dxfId="756" priority="1615" operator="containsText" text="Caida">
      <formula>NOT(ISERROR(SEARCH("Caida",P335)))</formula>
    </cfRule>
  </conditionalFormatting>
  <conditionalFormatting sqref="Q6:Q92 Q96:Q230">
    <cfRule type="cellIs" dxfId="755" priority="1608" operator="lessThan">
      <formula>0.8</formula>
    </cfRule>
    <cfRule type="cellIs" dxfId="754" priority="1609" operator="greaterThan">
      <formula>0.8</formula>
    </cfRule>
  </conditionalFormatting>
  <conditionalFormatting sqref="Q6:Q92 Q96:Q230">
    <cfRule type="notContainsText" dxfId="753" priority="1606" operator="notContains" text="Caida">
      <formula>ISERROR(SEARCH("Caida",Q6))</formula>
    </cfRule>
    <cfRule type="containsText" dxfId="752" priority="1607" operator="containsText" text="Caida">
      <formula>NOT(ISERROR(SEARCH("Caida",Q6)))</formula>
    </cfRule>
  </conditionalFormatting>
  <conditionalFormatting sqref="Q336">
    <cfRule type="cellIs" dxfId="751" priority="1563" operator="lessThan">
      <formula>0.8</formula>
    </cfRule>
    <cfRule type="cellIs" dxfId="750" priority="1564" operator="greaterThan">
      <formula>0.8</formula>
    </cfRule>
  </conditionalFormatting>
  <conditionalFormatting sqref="Q336">
    <cfRule type="notContainsText" dxfId="749" priority="1561" operator="notContains" text="Caida">
      <formula>ISERROR(SEARCH("Caida",Q336))</formula>
    </cfRule>
    <cfRule type="containsText" dxfId="748" priority="1562" operator="containsText" text="Caida">
      <formula>NOT(ISERROR(SEARCH("Caida",Q336)))</formula>
    </cfRule>
  </conditionalFormatting>
  <conditionalFormatting sqref="Q337:Q366 Q284:Q334">
    <cfRule type="cellIs" dxfId="747" priority="1604" operator="lessThan">
      <formula>0.8</formula>
    </cfRule>
    <cfRule type="cellIs" dxfId="746" priority="1605" operator="greaterThan">
      <formula>0.8</formula>
    </cfRule>
  </conditionalFormatting>
  <conditionalFormatting sqref="Q337:Q366 Q284:Q334 Q397:Q1048576">
    <cfRule type="notContainsText" dxfId="745" priority="1602" operator="notContains" text="Caida">
      <formula>ISERROR(SEARCH("Caida",Q284))</formula>
    </cfRule>
    <cfRule type="containsText" dxfId="744" priority="1603" operator="containsText" text="Caida">
      <formula>NOT(ISERROR(SEARCH("Caida",Q284)))</formula>
    </cfRule>
  </conditionalFormatting>
  <conditionalFormatting sqref="Q22">
    <cfRule type="containsText" dxfId="743" priority="1601" operator="containsText" text="Instaladas en Funcionamiento Caida">
      <formula>NOT(ISERROR(SEARCH("Instaladas en Funcionamiento Caida",Q22)))</formula>
    </cfRule>
  </conditionalFormatting>
  <conditionalFormatting sqref="Q282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282">
    <cfRule type="notContainsText" dxfId="740" priority="1597" operator="notContains" text="Caida">
      <formula>ISERROR(SEARCH("Caida",Q282))</formula>
    </cfRule>
    <cfRule type="containsText" dxfId="739" priority="1598" operator="containsText" text="Caida">
      <formula>NOT(ISERROR(SEARCH("Caida",Q282)))</formula>
    </cfRule>
  </conditionalFormatting>
  <conditionalFormatting sqref="Q283">
    <cfRule type="cellIs" dxfId="738" priority="1595" operator="lessThan">
      <formula>0.8</formula>
    </cfRule>
    <cfRule type="cellIs" dxfId="737" priority="1596" operator="greaterThan">
      <formula>0.8</formula>
    </cfRule>
  </conditionalFormatting>
  <conditionalFormatting sqref="Q283">
    <cfRule type="notContainsText" dxfId="736" priority="1593" operator="notContains" text="Caida">
      <formula>ISERROR(SEARCH("Caida",Q283))</formula>
    </cfRule>
    <cfRule type="containsText" dxfId="735" priority="1594" operator="containsText" text="Caida">
      <formula>NOT(ISERROR(SEARCH("Caida",Q283)))</formula>
    </cfRule>
  </conditionalFormatting>
  <conditionalFormatting sqref="Q5">
    <cfRule type="cellIs" dxfId="734" priority="1591" operator="lessThan">
      <formula>0.8</formula>
    </cfRule>
    <cfRule type="cellIs" dxfId="733" priority="1592" operator="greaterThan">
      <formula>0.8</formula>
    </cfRule>
  </conditionalFormatting>
  <conditionalFormatting sqref="Q5">
    <cfRule type="notContainsText" dxfId="732" priority="1589" operator="notContains" text="Caida">
      <formula>ISERROR(SEARCH("Caida",Q5))</formula>
    </cfRule>
    <cfRule type="containsText" dxfId="731" priority="1590" operator="containsText" text="Caida">
      <formula>NOT(ISERROR(SEARCH("Caida",Q5)))</formula>
    </cfRule>
  </conditionalFormatting>
  <conditionalFormatting sqref="Q231">
    <cfRule type="cellIs" dxfId="730" priority="1587" operator="lessThan">
      <formula>0.8</formula>
    </cfRule>
    <cfRule type="cellIs" dxfId="729" priority="1588" operator="greaterThan">
      <formula>0.8</formula>
    </cfRule>
  </conditionalFormatting>
  <conditionalFormatting sqref="Q231">
    <cfRule type="notContainsText" dxfId="728" priority="1585" operator="notContains" text="Caida">
      <formula>ISERROR(SEARCH("Caida",Q231))</formula>
    </cfRule>
    <cfRule type="containsText" dxfId="727" priority="1586" operator="containsText" text="Caida">
      <formula>NOT(ISERROR(SEARCH("Caida",Q231)))</formula>
    </cfRule>
  </conditionalFormatting>
  <conditionalFormatting sqref="Q232">
    <cfRule type="cellIs" dxfId="726" priority="1583" operator="lessThan">
      <formula>0.8</formula>
    </cfRule>
    <cfRule type="cellIs" dxfId="725" priority="1584" operator="greaterThan">
      <formula>0.8</formula>
    </cfRule>
  </conditionalFormatting>
  <conditionalFormatting sqref="Q232">
    <cfRule type="notContainsText" dxfId="724" priority="1581" operator="notContains" text="Caida">
      <formula>ISERROR(SEARCH("Caida",Q232))</formula>
    </cfRule>
    <cfRule type="containsText" dxfId="723" priority="1582" operator="containsText" text="Caida">
      <formula>NOT(ISERROR(SEARCH("Caida",Q232)))</formula>
    </cfRule>
  </conditionalFormatting>
  <conditionalFormatting sqref="Q233">
    <cfRule type="cellIs" dxfId="722" priority="1579" operator="lessThan">
      <formula>0.8</formula>
    </cfRule>
    <cfRule type="cellIs" dxfId="721" priority="1580" operator="greaterThan">
      <formula>0.8</formula>
    </cfRule>
  </conditionalFormatting>
  <conditionalFormatting sqref="Q233">
    <cfRule type="notContainsText" dxfId="720" priority="1577" operator="notContains" text="Caida">
      <formula>ISERROR(SEARCH("Caida",Q233))</formula>
    </cfRule>
    <cfRule type="containsText" dxfId="719" priority="1578" operator="containsText" text="Caida">
      <formula>NOT(ISERROR(SEARCH("Caida",Q233)))</formula>
    </cfRule>
  </conditionalFormatting>
  <conditionalFormatting sqref="Q234">
    <cfRule type="cellIs" dxfId="718" priority="1575" operator="lessThan">
      <formula>0.8</formula>
    </cfRule>
    <cfRule type="cellIs" dxfId="717" priority="1576" operator="greaterThan">
      <formula>0.8</formula>
    </cfRule>
  </conditionalFormatting>
  <conditionalFormatting sqref="Q234">
    <cfRule type="notContainsText" dxfId="716" priority="1573" operator="notContains" text="Caida">
      <formula>ISERROR(SEARCH("Caida",Q234))</formula>
    </cfRule>
    <cfRule type="containsText" dxfId="715" priority="1574" operator="containsText" text="Caida">
      <formula>NOT(ISERROR(SEARCH("Caida",Q234)))</formula>
    </cfRule>
  </conditionalFormatting>
  <conditionalFormatting sqref="Q235">
    <cfRule type="cellIs" dxfId="714" priority="1571" operator="lessThan">
      <formula>0.8</formula>
    </cfRule>
    <cfRule type="cellIs" dxfId="713" priority="1572" operator="greaterThan">
      <formula>0.8</formula>
    </cfRule>
  </conditionalFormatting>
  <conditionalFormatting sqref="Q235">
    <cfRule type="notContainsText" dxfId="712" priority="1569" operator="notContains" text="Caida">
      <formula>ISERROR(SEARCH("Caida",Q235))</formula>
    </cfRule>
    <cfRule type="containsText" dxfId="711" priority="1570" operator="containsText" text="Caida">
      <formula>NOT(ISERROR(SEARCH("Caida",Q235)))</formula>
    </cfRule>
  </conditionalFormatting>
  <conditionalFormatting sqref="Q335">
    <cfRule type="cellIs" dxfId="710" priority="1567" operator="lessThan">
      <formula>0.8</formula>
    </cfRule>
    <cfRule type="cellIs" dxfId="709" priority="1568" operator="greaterThan">
      <formula>0.8</formula>
    </cfRule>
  </conditionalFormatting>
  <conditionalFormatting sqref="Q335">
    <cfRule type="notContainsText" dxfId="708" priority="1565" operator="notContains" text="Caida">
      <formula>ISERROR(SEARCH("Caida",Q335))</formula>
    </cfRule>
    <cfRule type="containsText" dxfId="707" priority="1566" operator="containsText" text="Caida">
      <formula>NOT(ISERROR(SEARCH("Caida",Q335)))</formula>
    </cfRule>
  </conditionalFormatting>
  <conditionalFormatting sqref="R6:R92 R96:R230">
    <cfRule type="cellIs" dxfId="706" priority="1559" operator="lessThan">
      <formula>0.8</formula>
    </cfRule>
    <cfRule type="cellIs" dxfId="705" priority="1560" operator="greaterThan">
      <formula>0.8</formula>
    </cfRule>
  </conditionalFormatting>
  <conditionalFormatting sqref="R6:R92 R96:R230">
    <cfRule type="notContainsText" dxfId="704" priority="1557" operator="notContains" text="Caida">
      <formula>ISERROR(SEARCH("Caida",R6))</formula>
    </cfRule>
    <cfRule type="containsText" dxfId="703" priority="1558" operator="containsText" text="Caida">
      <formula>NOT(ISERROR(SEARCH("Caida",R6)))</formula>
    </cfRule>
  </conditionalFormatting>
  <conditionalFormatting sqref="R336:T336">
    <cfRule type="cellIs" dxfId="702" priority="1514" operator="lessThan">
      <formula>0.8</formula>
    </cfRule>
    <cfRule type="cellIs" dxfId="701" priority="1515" operator="greaterThan">
      <formula>0.8</formula>
    </cfRule>
  </conditionalFormatting>
  <conditionalFormatting sqref="R336:T336">
    <cfRule type="notContainsText" dxfId="700" priority="1512" operator="notContains" text="Caida">
      <formula>ISERROR(SEARCH("Caida",R336))</formula>
    </cfRule>
    <cfRule type="containsText" dxfId="699" priority="1513" operator="containsText" text="Caida">
      <formula>NOT(ISERROR(SEARCH("Caida",R336)))</formula>
    </cfRule>
  </conditionalFormatting>
  <conditionalFormatting sqref="R337:R366 R284:R334">
    <cfRule type="cellIs" dxfId="698" priority="1555" operator="lessThan">
      <formula>0.8</formula>
    </cfRule>
    <cfRule type="cellIs" dxfId="697" priority="1556" operator="greaterThan">
      <formula>0.8</formula>
    </cfRule>
  </conditionalFormatting>
  <conditionalFormatting sqref="R337:R366 R284:R334 R397:R1048576">
    <cfRule type="notContainsText" dxfId="696" priority="1553" operator="notContains" text="Caida">
      <formula>ISERROR(SEARCH("Caida",R284))</formula>
    </cfRule>
    <cfRule type="containsText" dxfId="695" priority="1554" operator="containsText" text="Caida">
      <formula>NOT(ISERROR(SEARCH("Caida",R284)))</formula>
    </cfRule>
  </conditionalFormatting>
  <conditionalFormatting sqref="R22:T22">
    <cfRule type="containsText" dxfId="694" priority="1552" operator="containsText" text="Instaladas en Funcionamiento Caida">
      <formula>NOT(ISERROR(SEARCH("Instaladas en Funcionamiento Caida",R22)))</formula>
    </cfRule>
  </conditionalFormatting>
  <conditionalFormatting sqref="R282:T282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282:T282">
    <cfRule type="notContainsText" dxfId="691" priority="1548" operator="notContains" text="Caida">
      <formula>ISERROR(SEARCH("Caida",R282))</formula>
    </cfRule>
    <cfRule type="containsText" dxfId="690" priority="1549" operator="containsText" text="Caida">
      <formula>NOT(ISERROR(SEARCH("Caida",R282)))</formula>
    </cfRule>
  </conditionalFormatting>
  <conditionalFormatting sqref="R283:T283">
    <cfRule type="cellIs" dxfId="689" priority="1546" operator="lessThan">
      <formula>0.8</formula>
    </cfRule>
    <cfRule type="cellIs" dxfId="688" priority="1547" operator="greaterThan">
      <formula>0.8</formula>
    </cfRule>
  </conditionalFormatting>
  <conditionalFormatting sqref="R283:T283">
    <cfRule type="notContainsText" dxfId="687" priority="1544" operator="notContains" text="Caida">
      <formula>ISERROR(SEARCH("Caida",R283))</formula>
    </cfRule>
    <cfRule type="containsText" dxfId="686" priority="1545" operator="containsText" text="Caida">
      <formula>NOT(ISERROR(SEARCH("Caida",R283)))</formula>
    </cfRule>
  </conditionalFormatting>
  <conditionalFormatting sqref="R5:T5">
    <cfRule type="cellIs" dxfId="685" priority="1542" operator="lessThan">
      <formula>0.8</formula>
    </cfRule>
    <cfRule type="cellIs" dxfId="684" priority="1543" operator="greaterThan">
      <formula>0.8</formula>
    </cfRule>
  </conditionalFormatting>
  <conditionalFormatting sqref="R5:T5">
    <cfRule type="notContainsText" dxfId="683" priority="1540" operator="notContains" text="Caida">
      <formula>ISERROR(SEARCH("Caida",R5))</formula>
    </cfRule>
    <cfRule type="containsText" dxfId="682" priority="1541" operator="containsText" text="Caida">
      <formula>NOT(ISERROR(SEARCH("Caida",R5)))</formula>
    </cfRule>
  </conditionalFormatting>
  <conditionalFormatting sqref="R231:T231">
    <cfRule type="cellIs" dxfId="681" priority="1538" operator="lessThan">
      <formula>0.8</formula>
    </cfRule>
    <cfRule type="cellIs" dxfId="680" priority="1539" operator="greaterThan">
      <formula>0.8</formula>
    </cfRule>
  </conditionalFormatting>
  <conditionalFormatting sqref="R231:T231">
    <cfRule type="notContainsText" dxfId="679" priority="1536" operator="notContains" text="Caida">
      <formula>ISERROR(SEARCH("Caida",R231))</formula>
    </cfRule>
    <cfRule type="containsText" dxfId="678" priority="1537" operator="containsText" text="Caida">
      <formula>NOT(ISERROR(SEARCH("Caida",R231)))</formula>
    </cfRule>
  </conditionalFormatting>
  <conditionalFormatting sqref="R232:T232">
    <cfRule type="cellIs" dxfId="677" priority="1534" operator="lessThan">
      <formula>0.8</formula>
    </cfRule>
    <cfRule type="cellIs" dxfId="676" priority="1535" operator="greaterThan">
      <formula>0.8</formula>
    </cfRule>
  </conditionalFormatting>
  <conditionalFormatting sqref="R232:T232">
    <cfRule type="notContainsText" dxfId="675" priority="1532" operator="notContains" text="Caida">
      <formula>ISERROR(SEARCH("Caida",R232))</formula>
    </cfRule>
    <cfRule type="containsText" dxfId="674" priority="1533" operator="containsText" text="Caida">
      <formula>NOT(ISERROR(SEARCH("Caida",R232)))</formula>
    </cfRule>
  </conditionalFormatting>
  <conditionalFormatting sqref="R233:T233">
    <cfRule type="cellIs" dxfId="673" priority="1530" operator="lessThan">
      <formula>0.8</formula>
    </cfRule>
    <cfRule type="cellIs" dxfId="672" priority="1531" operator="greaterThan">
      <formula>0.8</formula>
    </cfRule>
  </conditionalFormatting>
  <conditionalFormatting sqref="R233:T233">
    <cfRule type="notContainsText" dxfId="671" priority="1528" operator="notContains" text="Caida">
      <formula>ISERROR(SEARCH("Caida",R233))</formula>
    </cfRule>
    <cfRule type="containsText" dxfId="670" priority="1529" operator="containsText" text="Caida">
      <formula>NOT(ISERROR(SEARCH("Caida",R233)))</formula>
    </cfRule>
  </conditionalFormatting>
  <conditionalFormatting sqref="R234:T234">
    <cfRule type="cellIs" dxfId="669" priority="1526" operator="lessThan">
      <formula>0.8</formula>
    </cfRule>
    <cfRule type="cellIs" dxfId="668" priority="1527" operator="greaterThan">
      <formula>0.8</formula>
    </cfRule>
  </conditionalFormatting>
  <conditionalFormatting sqref="R234:T234">
    <cfRule type="notContainsText" dxfId="667" priority="1524" operator="notContains" text="Caida">
      <formula>ISERROR(SEARCH("Caida",R234))</formula>
    </cfRule>
    <cfRule type="containsText" dxfId="666" priority="1525" operator="containsText" text="Caida">
      <formula>NOT(ISERROR(SEARCH("Caida",R234)))</formula>
    </cfRule>
  </conditionalFormatting>
  <conditionalFormatting sqref="R235:T235">
    <cfRule type="cellIs" dxfId="665" priority="1522" operator="lessThan">
      <formula>0.8</formula>
    </cfRule>
    <cfRule type="cellIs" dxfId="664" priority="1523" operator="greaterThan">
      <formula>0.8</formula>
    </cfRule>
  </conditionalFormatting>
  <conditionalFormatting sqref="R235:T235">
    <cfRule type="notContainsText" dxfId="663" priority="1520" operator="notContains" text="Caida">
      <formula>ISERROR(SEARCH("Caida",R235))</formula>
    </cfRule>
    <cfRule type="containsText" dxfId="662" priority="1521" operator="containsText" text="Caida">
      <formula>NOT(ISERROR(SEARCH("Caida",R235)))</formula>
    </cfRule>
  </conditionalFormatting>
  <conditionalFormatting sqref="R335:T335">
    <cfRule type="cellIs" dxfId="661" priority="1518" operator="lessThan">
      <formula>0.8</formula>
    </cfRule>
    <cfRule type="cellIs" dxfId="660" priority="1519" operator="greaterThan">
      <formula>0.8</formula>
    </cfRule>
  </conditionalFormatting>
  <conditionalFormatting sqref="R335:T335">
    <cfRule type="notContainsText" dxfId="659" priority="1516" operator="notContains" text="Caida">
      <formula>ISERROR(SEARCH("Caida",R335))</formula>
    </cfRule>
    <cfRule type="containsText" dxfId="658" priority="1517" operator="containsText" text="Caida">
      <formula>NOT(ISERROR(SEARCH("Caida",R335)))</formula>
    </cfRule>
  </conditionalFormatting>
  <conditionalFormatting sqref="S397:S1048576">
    <cfRule type="notContainsText" dxfId="657" priority="1504" operator="notContains" text="Caida">
      <formula>ISERROR(SEARCH("Caida",S397))</formula>
    </cfRule>
    <cfRule type="containsText" dxfId="656" priority="1505" operator="containsText" text="Caida">
      <formula>NOT(ISERROR(SEARCH("Caida",S397)))</formula>
    </cfRule>
  </conditionalFormatting>
  <conditionalFormatting sqref="T397:T1048576">
    <cfRule type="notContainsText" dxfId="655" priority="1455" operator="notContains" text="Caida">
      <formula>ISERROR(SEARCH("Caida",T397))</formula>
    </cfRule>
    <cfRule type="containsText" dxfId="654" priority="1456" operator="containsText" text="Caida">
      <formula>NOT(ISERROR(SEARCH("Caida",T397)))</formula>
    </cfRule>
  </conditionalFormatting>
  <conditionalFormatting sqref="E92:K93">
    <cfRule type="containsText" dxfId="653" priority="1411" operator="containsText" text="Radio">
      <formula>NOT(ISERROR(SEARCH("Radio",E92)))</formula>
    </cfRule>
  </conditionalFormatting>
  <conditionalFormatting sqref="P93:P95">
    <cfRule type="cellIs" dxfId="652" priority="1381" operator="lessThan">
      <formula>0.8</formula>
    </cfRule>
    <cfRule type="cellIs" dxfId="651" priority="1382" operator="greaterThan">
      <formula>0.8</formula>
    </cfRule>
  </conditionalFormatting>
  <conditionalFormatting sqref="P93:P95">
    <cfRule type="notContainsText" dxfId="650" priority="1379" operator="notContains" text="Caida">
      <formula>ISERROR(SEARCH("Caida",P93))</formula>
    </cfRule>
    <cfRule type="containsText" dxfId="649" priority="1380" operator="containsText" text="Caida">
      <formula>NOT(ISERROR(SEARCH("Caida",P93)))</formula>
    </cfRule>
  </conditionalFormatting>
  <conditionalFormatting sqref="Q93:Q95">
    <cfRule type="cellIs" dxfId="648" priority="1377" operator="lessThan">
      <formula>0.8</formula>
    </cfRule>
    <cfRule type="cellIs" dxfId="647" priority="1378" operator="greaterThan">
      <formula>0.8</formula>
    </cfRule>
  </conditionalFormatting>
  <conditionalFormatting sqref="Q93:Q95">
    <cfRule type="notContainsText" dxfId="646" priority="1375" operator="notContains" text="Caida">
      <formula>ISERROR(SEARCH("Caida",Q93))</formula>
    </cfRule>
    <cfRule type="containsText" dxfId="645" priority="1376" operator="containsText" text="Caida">
      <formula>NOT(ISERROR(SEARCH("Caida",Q93)))</formula>
    </cfRule>
  </conditionalFormatting>
  <conditionalFormatting sqref="R93:R95">
    <cfRule type="cellIs" dxfId="644" priority="1373" operator="lessThan">
      <formula>0.8</formula>
    </cfRule>
    <cfRule type="cellIs" dxfId="643" priority="1374" operator="greaterThan">
      <formula>0.8</formula>
    </cfRule>
  </conditionalFormatting>
  <conditionalFormatting sqref="R93:R95">
    <cfRule type="notContainsText" dxfId="642" priority="1371" operator="notContains" text="Caida">
      <formula>ISERROR(SEARCH("Caida",R93))</formula>
    </cfRule>
    <cfRule type="containsText" dxfId="641" priority="1372" operator="containsText" text="Caida">
      <formula>NOT(ISERROR(SEARCH("Caida",R93)))</formula>
    </cfRule>
  </conditionalFormatting>
  <conditionalFormatting sqref="E365:K365">
    <cfRule type="containsText" dxfId="640" priority="1360" operator="containsText" text="Radio">
      <formula>NOT(ISERROR(SEARCH("Radio",E365)))</formula>
    </cfRule>
  </conditionalFormatting>
  <conditionalFormatting sqref="P367">
    <cfRule type="cellIs" dxfId="639" priority="1342" operator="lessThan">
      <formula>0.8</formula>
    </cfRule>
    <cfRule type="cellIs" dxfId="638" priority="1343" operator="greaterThan">
      <formula>0.8</formula>
    </cfRule>
  </conditionalFormatting>
  <conditionalFormatting sqref="P367">
    <cfRule type="notContainsText" dxfId="637" priority="1340" operator="notContains" text="Caida">
      <formula>ISERROR(SEARCH("Caida",P367))</formula>
    </cfRule>
    <cfRule type="containsText" dxfId="636" priority="1341" operator="containsText" text="Caida">
      <formula>NOT(ISERROR(SEARCH("Caida",P367)))</formula>
    </cfRule>
  </conditionalFormatting>
  <conditionalFormatting sqref="Q367">
    <cfRule type="cellIs" dxfId="635" priority="1338" operator="lessThan">
      <formula>0.8</formula>
    </cfRule>
    <cfRule type="cellIs" dxfId="634" priority="1339" operator="greaterThan">
      <formula>0.8</formula>
    </cfRule>
  </conditionalFormatting>
  <conditionalFormatting sqref="Q367">
    <cfRule type="notContainsText" dxfId="633" priority="1336" operator="notContains" text="Caida">
      <formula>ISERROR(SEARCH("Caida",Q367))</formula>
    </cfRule>
    <cfRule type="containsText" dxfId="632" priority="1337" operator="containsText" text="Caida">
      <formula>NOT(ISERROR(SEARCH("Caida",Q367)))</formula>
    </cfRule>
  </conditionalFormatting>
  <conditionalFormatting sqref="R367:T367">
    <cfRule type="cellIs" dxfId="631" priority="1334" operator="lessThan">
      <formula>0.8</formula>
    </cfRule>
    <cfRule type="cellIs" dxfId="630" priority="1335" operator="greaterThan">
      <formula>0.8</formula>
    </cfRule>
  </conditionalFormatting>
  <conditionalFormatting sqref="R367:T367">
    <cfRule type="notContainsText" dxfId="629" priority="1332" operator="notContains" text="Caida">
      <formula>ISERROR(SEARCH("Caida",R367))</formula>
    </cfRule>
    <cfRule type="containsText" dxfId="628" priority="1333" operator="containsText" text="Caida">
      <formula>NOT(ISERROR(SEARCH("Caida",R367)))</formula>
    </cfRule>
  </conditionalFormatting>
  <conditionalFormatting sqref="E366:K366">
    <cfRule type="containsText" dxfId="627" priority="1321" operator="containsText" text="Radio">
      <formula>NOT(ISERROR(SEARCH("Radio",E366)))</formula>
    </cfRule>
  </conditionalFormatting>
  <conditionalFormatting sqref="P368">
    <cfRule type="cellIs" dxfId="626" priority="1303" operator="lessThan">
      <formula>0.8</formula>
    </cfRule>
    <cfRule type="cellIs" dxfId="625" priority="1304" operator="greaterThan">
      <formula>0.8</formula>
    </cfRule>
  </conditionalFormatting>
  <conditionalFormatting sqref="P368">
    <cfRule type="notContainsText" dxfId="624" priority="1301" operator="notContains" text="Caida">
      <formula>ISERROR(SEARCH("Caida",P368))</formula>
    </cfRule>
    <cfRule type="containsText" dxfId="623" priority="1302" operator="containsText" text="Caida">
      <formula>NOT(ISERROR(SEARCH("Caida",P368)))</formula>
    </cfRule>
  </conditionalFormatting>
  <conditionalFormatting sqref="Q368">
    <cfRule type="cellIs" dxfId="622" priority="1299" operator="lessThan">
      <formula>0.8</formula>
    </cfRule>
    <cfRule type="cellIs" dxfId="621" priority="1300" operator="greaterThan">
      <formula>0.8</formula>
    </cfRule>
  </conditionalFormatting>
  <conditionalFormatting sqref="Q368">
    <cfRule type="notContainsText" dxfId="620" priority="1297" operator="notContains" text="Caida">
      <formula>ISERROR(SEARCH("Caida",Q368))</formula>
    </cfRule>
    <cfRule type="containsText" dxfId="619" priority="1298" operator="containsText" text="Caida">
      <formula>NOT(ISERROR(SEARCH("Caida",Q368)))</formula>
    </cfRule>
  </conditionalFormatting>
  <conditionalFormatting sqref="R368:T368">
    <cfRule type="cellIs" dxfId="618" priority="1295" operator="lessThan">
      <formula>0.8</formula>
    </cfRule>
    <cfRule type="cellIs" dxfId="617" priority="1296" operator="greaterThan">
      <formula>0.8</formula>
    </cfRule>
  </conditionalFormatting>
  <conditionalFormatting sqref="R368:T368">
    <cfRule type="notContainsText" dxfId="616" priority="1293" operator="notContains" text="Caida">
      <formula>ISERROR(SEARCH("Caida",R368))</formula>
    </cfRule>
    <cfRule type="containsText" dxfId="615" priority="1294" operator="containsText" text="Caida">
      <formula>NOT(ISERROR(SEARCH("Caida",R368)))</formula>
    </cfRule>
  </conditionalFormatting>
  <conditionalFormatting sqref="E367:K367">
    <cfRule type="containsText" dxfId="614" priority="1282" operator="containsText" text="Radio">
      <formula>NOT(ISERROR(SEARCH("Radio",E367)))</formula>
    </cfRule>
  </conditionalFormatting>
  <conditionalFormatting sqref="P369">
    <cfRule type="cellIs" dxfId="613" priority="1264" operator="lessThan">
      <formula>0.8</formula>
    </cfRule>
    <cfRule type="cellIs" dxfId="612" priority="1265" operator="greaterThan">
      <formula>0.8</formula>
    </cfRule>
  </conditionalFormatting>
  <conditionalFormatting sqref="P369">
    <cfRule type="notContainsText" dxfId="611" priority="1262" operator="notContains" text="Caida">
      <formula>ISERROR(SEARCH("Caida",P369))</formula>
    </cfRule>
    <cfRule type="containsText" dxfId="610" priority="1263" operator="containsText" text="Caida">
      <formula>NOT(ISERROR(SEARCH("Caida",P369)))</formula>
    </cfRule>
  </conditionalFormatting>
  <conditionalFormatting sqref="Q369">
    <cfRule type="cellIs" dxfId="609" priority="1260" operator="lessThan">
      <formula>0.8</formula>
    </cfRule>
    <cfRule type="cellIs" dxfId="608" priority="1261" operator="greaterThan">
      <formula>0.8</formula>
    </cfRule>
  </conditionalFormatting>
  <conditionalFormatting sqref="Q369">
    <cfRule type="notContainsText" dxfId="607" priority="1258" operator="notContains" text="Caida">
      <formula>ISERROR(SEARCH("Caida",Q369))</formula>
    </cfRule>
    <cfRule type="containsText" dxfId="606" priority="1259" operator="containsText" text="Caida">
      <formula>NOT(ISERROR(SEARCH("Caida",Q369)))</formula>
    </cfRule>
  </conditionalFormatting>
  <conditionalFormatting sqref="R369:T369">
    <cfRule type="cellIs" dxfId="605" priority="1256" operator="lessThan">
      <formula>0.8</formula>
    </cfRule>
    <cfRule type="cellIs" dxfId="604" priority="1257" operator="greaterThan">
      <formula>0.8</formula>
    </cfRule>
  </conditionalFormatting>
  <conditionalFormatting sqref="R369:T369">
    <cfRule type="notContainsText" dxfId="603" priority="1254" operator="notContains" text="Caida">
      <formula>ISERROR(SEARCH("Caida",R369))</formula>
    </cfRule>
    <cfRule type="containsText" dxfId="602" priority="1255" operator="containsText" text="Caida">
      <formula>NOT(ISERROR(SEARCH("Caida",R369)))</formula>
    </cfRule>
  </conditionalFormatting>
  <conditionalFormatting sqref="E368:K368">
    <cfRule type="containsText" dxfId="601" priority="1243" operator="containsText" text="Radio">
      <formula>NOT(ISERROR(SEARCH("Radio",E368)))</formula>
    </cfRule>
  </conditionalFormatting>
  <conditionalFormatting sqref="U231">
    <cfRule type="cellIs" dxfId="600" priority="1184" operator="lessThan">
      <formula>0.8</formula>
    </cfRule>
    <cfRule type="cellIs" dxfId="599" priority="1185" operator="greaterThan">
      <formula>0.8</formula>
    </cfRule>
  </conditionalFormatting>
  <conditionalFormatting sqref="U231">
    <cfRule type="notContainsText" dxfId="598" priority="1182" operator="notContains" text="Caida">
      <formula>ISERROR(SEARCH("Caida",U231))</formula>
    </cfRule>
    <cfRule type="containsText" dxfId="597" priority="1183" operator="containsText" text="Caida">
      <formula>NOT(ISERROR(SEARCH("Caida",U231)))</formula>
    </cfRule>
  </conditionalFormatting>
  <conditionalFormatting sqref="U232">
    <cfRule type="cellIs" dxfId="596" priority="1180" operator="lessThan">
      <formula>0.8</formula>
    </cfRule>
    <cfRule type="cellIs" dxfId="595" priority="1181" operator="greaterThan">
      <formula>0.8</formula>
    </cfRule>
  </conditionalFormatting>
  <conditionalFormatting sqref="U232">
    <cfRule type="notContainsText" dxfId="594" priority="1178" operator="notContains" text="Caida">
      <formula>ISERROR(SEARCH("Caida",U232))</formula>
    </cfRule>
    <cfRule type="containsText" dxfId="593" priority="1179" operator="containsText" text="Caida">
      <formula>NOT(ISERROR(SEARCH("Caida",U232)))</formula>
    </cfRule>
  </conditionalFormatting>
  <conditionalFormatting sqref="P370:P372">
    <cfRule type="cellIs" dxfId="592" priority="1225" operator="lessThan">
      <formula>0.8</formula>
    </cfRule>
    <cfRule type="cellIs" dxfId="591" priority="1226" operator="greaterThan">
      <formula>0.8</formula>
    </cfRule>
  </conditionalFormatting>
  <conditionalFormatting sqref="P370:P372">
    <cfRule type="notContainsText" dxfId="590" priority="1223" operator="notContains" text="Caida">
      <formula>ISERROR(SEARCH("Caida",P370))</formula>
    </cfRule>
    <cfRule type="containsText" dxfId="589" priority="1224" operator="containsText" text="Caida">
      <formula>NOT(ISERROR(SEARCH("Caida",P370)))</formula>
    </cfRule>
  </conditionalFormatting>
  <conditionalFormatting sqref="Q370:Q372">
    <cfRule type="cellIs" dxfId="588" priority="1221" operator="lessThan">
      <formula>0.8</formula>
    </cfRule>
    <cfRule type="cellIs" dxfId="587" priority="1222" operator="greaterThan">
      <formula>0.8</formula>
    </cfRule>
  </conditionalFormatting>
  <conditionalFormatting sqref="Q370:Q372">
    <cfRule type="notContainsText" dxfId="586" priority="1219" operator="notContains" text="Caida">
      <formula>ISERROR(SEARCH("Caida",Q370))</formula>
    </cfRule>
    <cfRule type="containsText" dxfId="585" priority="1220" operator="containsText" text="Caida">
      <formula>NOT(ISERROR(SEARCH("Caida",Q370)))</formula>
    </cfRule>
  </conditionalFormatting>
  <conditionalFormatting sqref="R370:T370">
    <cfRule type="cellIs" dxfId="584" priority="1217" operator="lessThan">
      <formula>0.8</formula>
    </cfRule>
    <cfRule type="cellIs" dxfId="583" priority="1218" operator="greaterThan">
      <formula>0.8</formula>
    </cfRule>
  </conditionalFormatting>
  <conditionalFormatting sqref="R370:T370">
    <cfRule type="notContainsText" dxfId="582" priority="1215" operator="notContains" text="Caida">
      <formula>ISERROR(SEARCH("Caida",R370))</formula>
    </cfRule>
    <cfRule type="containsText" dxfId="581" priority="1216" operator="containsText" text="Caida">
      <formula>NOT(ISERROR(SEARCH("Caida",R370)))</formula>
    </cfRule>
  </conditionalFormatting>
  <conditionalFormatting sqref="U368">
    <cfRule type="cellIs" dxfId="580" priority="1148" operator="lessThan">
      <formula>0.8</formula>
    </cfRule>
    <cfRule type="cellIs" dxfId="579" priority="1149" operator="greaterThan">
      <formula>0.8</formula>
    </cfRule>
  </conditionalFormatting>
  <conditionalFormatting sqref="U368">
    <cfRule type="notContainsText" dxfId="578" priority="1146" operator="notContains" text="Caida">
      <formula>ISERROR(SEARCH("Caida",U368))</formula>
    </cfRule>
    <cfRule type="containsText" dxfId="577" priority="1147" operator="containsText" text="Caida">
      <formula>NOT(ISERROR(SEARCH("Caida",U368)))</formula>
    </cfRule>
  </conditionalFormatting>
  <conditionalFormatting sqref="U369">
    <cfRule type="cellIs" dxfId="576" priority="1144" operator="lessThan">
      <formula>0.8</formula>
    </cfRule>
    <cfRule type="cellIs" dxfId="575" priority="1145" operator="greaterThan">
      <formula>0.8</formula>
    </cfRule>
  </conditionalFormatting>
  <conditionalFormatting sqref="U369">
    <cfRule type="notContainsText" dxfId="574" priority="1142" operator="notContains" text="Caida">
      <formula>ISERROR(SEARCH("Caida",U369))</formula>
    </cfRule>
    <cfRule type="containsText" dxfId="573" priority="1143" operator="containsText" text="Caida">
      <formula>NOT(ISERROR(SEARCH("Caida",U369)))</formula>
    </cfRule>
  </conditionalFormatting>
  <conditionalFormatting sqref="U370:U372">
    <cfRule type="cellIs" dxfId="572" priority="1140" operator="lessThan">
      <formula>0.8</formula>
    </cfRule>
    <cfRule type="cellIs" dxfId="571" priority="1141" operator="greaterThan">
      <formula>0.8</formula>
    </cfRule>
  </conditionalFormatting>
  <conditionalFormatting sqref="U370:U372">
    <cfRule type="notContainsText" dxfId="570" priority="1138" operator="notContains" text="Caida">
      <formula>ISERROR(SEARCH("Caida",U370))</formula>
    </cfRule>
    <cfRule type="containsText" dxfId="569" priority="1139" operator="containsText" text="Caida">
      <formula>NOT(ISERROR(SEARCH("Caida",U370)))</formula>
    </cfRule>
  </conditionalFormatting>
  <conditionalFormatting sqref="U6:U92 U96:U230">
    <cfRule type="cellIs" dxfId="568" priority="1205" operator="lessThan">
      <formula>0.8</formula>
    </cfRule>
    <cfRule type="cellIs" dxfId="567" priority="1206" operator="greaterThan">
      <formula>0.8</formula>
    </cfRule>
  </conditionalFormatting>
  <conditionalFormatting sqref="U6:U92 U96:U230">
    <cfRule type="notContainsText" dxfId="566" priority="1203" operator="notContains" text="Caida">
      <formula>ISERROR(SEARCH("Caida",U6))</formula>
    </cfRule>
    <cfRule type="containsText" dxfId="565" priority="1204" operator="containsText" text="Caida">
      <formula>NOT(ISERROR(SEARCH("Caida",U6)))</formula>
    </cfRule>
  </conditionalFormatting>
  <conditionalFormatting sqref="U336">
    <cfRule type="cellIs" dxfId="564" priority="1160" operator="lessThan">
      <formula>0.8</formula>
    </cfRule>
    <cfRule type="cellIs" dxfId="563" priority="1161" operator="greaterThan">
      <formula>0.8</formula>
    </cfRule>
  </conditionalFormatting>
  <conditionalFormatting sqref="U336">
    <cfRule type="notContainsText" dxfId="562" priority="1158" operator="notContains" text="Caida">
      <formula>ISERROR(SEARCH("Caida",U336))</formula>
    </cfRule>
    <cfRule type="containsText" dxfId="561" priority="1159" operator="containsText" text="Caida">
      <formula>NOT(ISERROR(SEARCH("Caida",U336)))</formula>
    </cfRule>
  </conditionalFormatting>
  <conditionalFormatting sqref="U337:U366 U284:U334">
    <cfRule type="cellIs" dxfId="560" priority="1201" operator="lessThan">
      <formula>0.8</formula>
    </cfRule>
    <cfRule type="cellIs" dxfId="559" priority="1202" operator="greaterThan">
      <formula>0.8</formula>
    </cfRule>
  </conditionalFormatting>
  <conditionalFormatting sqref="U337:U366 U284:U334 U397:U1048576">
    <cfRule type="notContainsText" dxfId="558" priority="1199" operator="notContains" text="Caida">
      <formula>ISERROR(SEARCH("Caida",U284))</formula>
    </cfRule>
    <cfRule type="containsText" dxfId="557" priority="1200" operator="containsText" text="Caida">
      <formula>NOT(ISERROR(SEARCH("Caida",U284)))</formula>
    </cfRule>
  </conditionalFormatting>
  <conditionalFormatting sqref="U22">
    <cfRule type="containsText" dxfId="556" priority="1198" operator="containsText" text="Instaladas en Funcionamiento Caida">
      <formula>NOT(ISERROR(SEARCH("Instaladas en Funcionamiento Caida",U22)))</formula>
    </cfRule>
  </conditionalFormatting>
  <conditionalFormatting sqref="U282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282">
    <cfRule type="notContainsText" dxfId="553" priority="1194" operator="notContains" text="Caida">
      <formula>ISERROR(SEARCH("Caida",U282))</formula>
    </cfRule>
    <cfRule type="containsText" dxfId="552" priority="1195" operator="containsText" text="Caida">
      <formula>NOT(ISERROR(SEARCH("Caida",U282)))</formula>
    </cfRule>
  </conditionalFormatting>
  <conditionalFormatting sqref="U283">
    <cfRule type="cellIs" dxfId="551" priority="1192" operator="lessThan">
      <formula>0.8</formula>
    </cfRule>
    <cfRule type="cellIs" dxfId="550" priority="1193" operator="greaterThan">
      <formula>0.8</formula>
    </cfRule>
  </conditionalFormatting>
  <conditionalFormatting sqref="U283">
    <cfRule type="notContainsText" dxfId="549" priority="1190" operator="notContains" text="Caida">
      <formula>ISERROR(SEARCH("Caida",U283))</formula>
    </cfRule>
    <cfRule type="containsText" dxfId="548" priority="1191" operator="containsText" text="Caida">
      <formula>NOT(ISERROR(SEARCH("Caida",U283)))</formula>
    </cfRule>
  </conditionalFormatting>
  <conditionalFormatting sqref="U5">
    <cfRule type="cellIs" dxfId="547" priority="1188" operator="lessThan">
      <formula>0.8</formula>
    </cfRule>
    <cfRule type="cellIs" dxfId="546" priority="1189" operator="greaterThan">
      <formula>0.8</formula>
    </cfRule>
  </conditionalFormatting>
  <conditionalFormatting sqref="U5">
    <cfRule type="notContainsText" dxfId="545" priority="1186" operator="notContains" text="Caida">
      <formula>ISERROR(SEARCH("Caida",U5))</formula>
    </cfRule>
    <cfRule type="containsText" dxfId="544" priority="1187" operator="containsText" text="Caida">
      <formula>NOT(ISERROR(SEARCH("Caida",U5)))</formula>
    </cfRule>
  </conditionalFormatting>
  <conditionalFormatting sqref="U233">
    <cfRule type="cellIs" dxfId="543" priority="1176" operator="lessThan">
      <formula>0.8</formula>
    </cfRule>
    <cfRule type="cellIs" dxfId="542" priority="1177" operator="greaterThan">
      <formula>0.8</formula>
    </cfRule>
  </conditionalFormatting>
  <conditionalFormatting sqref="U233">
    <cfRule type="notContainsText" dxfId="541" priority="1174" operator="notContains" text="Caida">
      <formula>ISERROR(SEARCH("Caida",U233))</formula>
    </cfRule>
    <cfRule type="containsText" dxfId="540" priority="1175" operator="containsText" text="Caida">
      <formula>NOT(ISERROR(SEARCH("Caida",U233)))</formula>
    </cfRule>
  </conditionalFormatting>
  <conditionalFormatting sqref="U234">
    <cfRule type="cellIs" dxfId="539" priority="1172" operator="lessThan">
      <formula>0.8</formula>
    </cfRule>
    <cfRule type="cellIs" dxfId="538" priority="1173" operator="greaterThan">
      <formula>0.8</formula>
    </cfRule>
  </conditionalFormatting>
  <conditionalFormatting sqref="U234">
    <cfRule type="notContainsText" dxfId="537" priority="1170" operator="notContains" text="Caida">
      <formula>ISERROR(SEARCH("Caida",U234))</formula>
    </cfRule>
    <cfRule type="containsText" dxfId="536" priority="1171" operator="containsText" text="Caida">
      <formula>NOT(ISERROR(SEARCH("Caida",U234)))</formula>
    </cfRule>
  </conditionalFormatting>
  <conditionalFormatting sqref="U235">
    <cfRule type="cellIs" dxfId="535" priority="1168" operator="lessThan">
      <formula>0.8</formula>
    </cfRule>
    <cfRule type="cellIs" dxfId="534" priority="1169" operator="greaterThan">
      <formula>0.8</formula>
    </cfRule>
  </conditionalFormatting>
  <conditionalFormatting sqref="U235">
    <cfRule type="notContainsText" dxfId="533" priority="1166" operator="notContains" text="Caida">
      <formula>ISERROR(SEARCH("Caida",U235))</formula>
    </cfRule>
    <cfRule type="containsText" dxfId="532" priority="1167" operator="containsText" text="Caida">
      <formula>NOT(ISERROR(SEARCH("Caida",U235)))</formula>
    </cfRule>
  </conditionalFormatting>
  <conditionalFormatting sqref="U335">
    <cfRule type="cellIs" dxfId="531" priority="1164" operator="lessThan">
      <formula>0.8</formula>
    </cfRule>
    <cfRule type="cellIs" dxfId="530" priority="1165" operator="greaterThan">
      <formula>0.8</formula>
    </cfRule>
  </conditionalFormatting>
  <conditionalFormatting sqref="U335">
    <cfRule type="notContainsText" dxfId="529" priority="1162" operator="notContains" text="Caida">
      <formula>ISERROR(SEARCH("Caida",U335))</formula>
    </cfRule>
    <cfRule type="containsText" dxfId="528" priority="1163" operator="containsText" text="Caida">
      <formula>NOT(ISERROR(SEARCH("Caida",U335)))</formula>
    </cfRule>
  </conditionalFormatting>
  <conditionalFormatting sqref="U93:U95">
    <cfRule type="cellIs" dxfId="527" priority="1156" operator="lessThan">
      <formula>0.8</formula>
    </cfRule>
    <cfRule type="cellIs" dxfId="526" priority="1157" operator="greaterThan">
      <formula>0.8</formula>
    </cfRule>
  </conditionalFormatting>
  <conditionalFormatting sqref="U93:U95">
    <cfRule type="notContainsText" dxfId="525" priority="1154" operator="notContains" text="Caida">
      <formula>ISERROR(SEARCH("Caida",U93))</formula>
    </cfRule>
    <cfRule type="containsText" dxfId="524" priority="1155" operator="containsText" text="Caida">
      <formula>NOT(ISERROR(SEARCH("Caida",U93)))</formula>
    </cfRule>
  </conditionalFormatting>
  <conditionalFormatting sqref="U367">
    <cfRule type="cellIs" dxfId="523" priority="1152" operator="lessThan">
      <formula>0.8</formula>
    </cfRule>
    <cfRule type="cellIs" dxfId="522" priority="1153" operator="greaterThan">
      <formula>0.8</formula>
    </cfRule>
  </conditionalFormatting>
  <conditionalFormatting sqref="U367">
    <cfRule type="notContainsText" dxfId="521" priority="1150" operator="notContains" text="Caida">
      <formula>ISERROR(SEARCH("Caida",U367))</formula>
    </cfRule>
    <cfRule type="containsText" dxfId="520" priority="1151" operator="containsText" text="Caida">
      <formula>NOT(ISERROR(SEARCH("Caida",U367)))</formula>
    </cfRule>
  </conditionalFormatting>
  <conditionalFormatting sqref="V6:X92">
    <cfRule type="cellIs" dxfId="519" priority="1136" operator="lessThan">
      <formula>0.8</formula>
    </cfRule>
    <cfRule type="cellIs" dxfId="518" priority="1137" operator="greaterThan">
      <formula>0.8</formula>
    </cfRule>
  </conditionalFormatting>
  <conditionalFormatting sqref="V6:X92">
    <cfRule type="notContainsText" dxfId="517" priority="1134" operator="notContains" text="Caida">
      <formula>ISERROR(SEARCH("Caida",V6))</formula>
    </cfRule>
    <cfRule type="containsText" dxfId="516" priority="1135" operator="containsText" text="Caida">
      <formula>NOT(ISERROR(SEARCH("Caida",V6)))</formula>
    </cfRule>
  </conditionalFormatting>
  <conditionalFormatting sqref="V22:X22 AA22:AJ22">
    <cfRule type="containsText" dxfId="515" priority="1133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5:X5 AA5:AJ5">
    <cfRule type="notContainsText" dxfId="512" priority="1129" operator="notContains" text="Caida">
      <formula>ISERROR(SEARCH("Caida",V5))</formula>
    </cfRule>
    <cfRule type="containsText" dxfId="511" priority="1130" operator="containsText" text="Caida">
      <formula>NOT(ISERROR(SEARCH("Caida",V5)))</formula>
    </cfRule>
  </conditionalFormatting>
  <conditionalFormatting sqref="V93:X95">
    <cfRule type="cellIs" dxfId="510" priority="1127" operator="lessThan">
      <formula>0.8</formula>
    </cfRule>
    <cfRule type="cellIs" dxfId="509" priority="1128" operator="greaterThan">
      <formula>0.8</formula>
    </cfRule>
  </conditionalFormatting>
  <conditionalFormatting sqref="V93:X95">
    <cfRule type="notContainsText" dxfId="508" priority="1125" operator="notContains" text="Caida">
      <formula>ISERROR(SEARCH("Caida",V93))</formula>
    </cfRule>
    <cfRule type="containsText" dxfId="507" priority="1126" operator="containsText" text="Caida">
      <formula>NOT(ISERROR(SEARCH("Caida",V93)))</formula>
    </cfRule>
  </conditionalFormatting>
  <conditionalFormatting sqref="E1:E372 E391:E1048576">
    <cfRule type="containsText" dxfId="506" priority="985" operator="containsText" text="fija">
      <formula>NOT(ISERROR(SEARCH("fija",E1)))</formula>
    </cfRule>
    <cfRule type="containsText" dxfId="505" priority="986" operator="containsText" text="domo">
      <formula>NOT(ISERROR(SEARCH("domo",E1)))</formula>
    </cfRule>
  </conditionalFormatting>
  <conditionalFormatting sqref="AK6:AP92">
    <cfRule type="cellIs" dxfId="504" priority="961" operator="lessThan">
      <formula>0.8</formula>
    </cfRule>
    <cfRule type="cellIs" dxfId="503" priority="962" operator="greaterThan">
      <formula>0.8</formula>
    </cfRule>
  </conditionalFormatting>
  <conditionalFormatting sqref="AK6:AP92">
    <cfRule type="notContainsText" dxfId="502" priority="959" operator="notContains" text="Caida">
      <formula>ISERROR(SEARCH("Caida",AK6))</formula>
    </cfRule>
    <cfRule type="containsText" dxfId="501" priority="960" operator="containsText" text="Caida">
      <formula>NOT(ISERROR(SEARCH("Caida",AK6)))</formula>
    </cfRule>
  </conditionalFormatting>
  <conditionalFormatting sqref="AK22:AR22">
    <cfRule type="containsText" dxfId="500" priority="958" operator="containsText" text="Instaladas en Funcionamiento Caida">
      <formula>NOT(ISERROR(SEARCH("Instaladas en Funcionamiento Caida",AK22)))</formula>
    </cfRule>
  </conditionalFormatting>
  <conditionalFormatting sqref="AK5:AR5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5:AR5">
    <cfRule type="notContainsText" dxfId="497" priority="954" operator="notContains" text="Caida">
      <formula>ISERROR(SEARCH("Caida",AK5))</formula>
    </cfRule>
    <cfRule type="containsText" dxfId="496" priority="955" operator="containsText" text="Caida">
      <formula>NOT(ISERROR(SEARCH("Caida",AK5)))</formula>
    </cfRule>
  </conditionalFormatting>
  <conditionalFormatting sqref="AK93:AP94">
    <cfRule type="cellIs" dxfId="495" priority="952" operator="lessThan">
      <formula>0.8</formula>
    </cfRule>
    <cfRule type="cellIs" dxfId="494" priority="953" operator="greaterThan">
      <formula>0.8</formula>
    </cfRule>
  </conditionalFormatting>
  <conditionalFormatting sqref="AK93:AP94">
    <cfRule type="notContainsText" dxfId="493" priority="950" operator="notContains" text="Caida">
      <formula>ISERROR(SEARCH("Caida",AK93))</formula>
    </cfRule>
    <cfRule type="containsText" dxfId="492" priority="951" operator="containsText" text="Caida">
      <formula>NOT(ISERROR(SEARCH("Caida",AK93)))</formula>
    </cfRule>
  </conditionalFormatting>
  <conditionalFormatting sqref="O247:O372 O5:X369 AK1:AR1 AK397:AR1048576 AK5:AR372 AA5:AJ369">
    <cfRule type="cellIs" dxfId="491" priority="949" operator="equal">
      <formula>"APAGADO"</formula>
    </cfRule>
  </conditionalFormatting>
  <conditionalFormatting sqref="S6:S92 S96:S230">
    <cfRule type="cellIs" dxfId="490" priority="933" operator="lessThan">
      <formula>0.8</formula>
    </cfRule>
    <cfRule type="cellIs" dxfId="489" priority="934" operator="greaterThan">
      <formula>0.8</formula>
    </cfRule>
  </conditionalFormatting>
  <conditionalFormatting sqref="S6:S92 S96:S230">
    <cfRule type="notContainsText" dxfId="488" priority="931" operator="notContains" text="Caida">
      <formula>ISERROR(SEARCH("Caida",S6))</formula>
    </cfRule>
    <cfRule type="containsText" dxfId="487" priority="932" operator="containsText" text="Caida">
      <formula>NOT(ISERROR(SEARCH("Caida",S6)))</formula>
    </cfRule>
  </conditionalFormatting>
  <conditionalFormatting sqref="S337:S366 S284:S334">
    <cfRule type="cellIs" dxfId="486" priority="929" operator="lessThan">
      <formula>0.8</formula>
    </cfRule>
    <cfRule type="cellIs" dxfId="485" priority="930" operator="greaterThan">
      <formula>0.8</formula>
    </cfRule>
  </conditionalFormatting>
  <conditionalFormatting sqref="S337:S366 S284:S334">
    <cfRule type="notContainsText" dxfId="484" priority="927" operator="notContains" text="Caida">
      <formula>ISERROR(SEARCH("Caida",S284))</formula>
    </cfRule>
    <cfRule type="containsText" dxfId="483" priority="928" operator="containsText" text="Caida">
      <formula>NOT(ISERROR(SEARCH("Caida",S284)))</formula>
    </cfRule>
  </conditionalFormatting>
  <conditionalFormatting sqref="S93:S95">
    <cfRule type="cellIs" dxfId="482" priority="925" operator="lessThan">
      <formula>0.8</formula>
    </cfRule>
    <cfRule type="cellIs" dxfId="481" priority="926" operator="greaterThan">
      <formula>0.8</formula>
    </cfRule>
  </conditionalFormatting>
  <conditionalFormatting sqref="S93:S95">
    <cfRule type="notContainsText" dxfId="480" priority="923" operator="notContains" text="Caida">
      <formula>ISERROR(SEARCH("Caida",S93))</formula>
    </cfRule>
    <cfRule type="containsText" dxfId="479" priority="924" operator="containsText" text="Caida">
      <formula>NOT(ISERROR(SEARCH("Caida",S93)))</formula>
    </cfRule>
  </conditionalFormatting>
  <conditionalFormatting sqref="T6:T92 T96:T230">
    <cfRule type="cellIs" dxfId="478" priority="921" operator="lessThan">
      <formula>0.8</formula>
    </cfRule>
    <cfRule type="cellIs" dxfId="477" priority="922" operator="greaterThan">
      <formula>0.8</formula>
    </cfRule>
  </conditionalFormatting>
  <conditionalFormatting sqref="T6:T92 T96:T230">
    <cfRule type="notContainsText" dxfId="476" priority="919" operator="notContains" text="Caida">
      <formula>ISERROR(SEARCH("Caida",T6))</formula>
    </cfRule>
    <cfRule type="containsText" dxfId="475" priority="920" operator="containsText" text="Caida">
      <formula>NOT(ISERROR(SEARCH("Caida",T6)))</formula>
    </cfRule>
  </conditionalFormatting>
  <conditionalFormatting sqref="T337:T366 T284:T334">
    <cfRule type="cellIs" dxfId="474" priority="917" operator="lessThan">
      <formula>0.8</formula>
    </cfRule>
    <cfRule type="cellIs" dxfId="473" priority="918" operator="greaterThan">
      <formula>0.8</formula>
    </cfRule>
  </conditionalFormatting>
  <conditionalFormatting sqref="T337:T366 T284:T334">
    <cfRule type="notContainsText" dxfId="472" priority="915" operator="notContains" text="Caida">
      <formula>ISERROR(SEARCH("Caida",T284))</formula>
    </cfRule>
    <cfRule type="containsText" dxfId="471" priority="916" operator="containsText" text="Caida">
      <formula>NOT(ISERROR(SEARCH("Caida",T284)))</formula>
    </cfRule>
  </conditionalFormatting>
  <conditionalFormatting sqref="T93:T95">
    <cfRule type="cellIs" dxfId="470" priority="913" operator="lessThan">
      <formula>0.8</formula>
    </cfRule>
    <cfRule type="cellIs" dxfId="469" priority="914" operator="greaterThan">
      <formula>0.8</formula>
    </cfRule>
  </conditionalFormatting>
  <conditionalFormatting sqref="T93:T95">
    <cfRule type="notContainsText" dxfId="468" priority="911" operator="notContains" text="Caida">
      <formula>ISERROR(SEARCH("Caida",T93))</formula>
    </cfRule>
    <cfRule type="containsText" dxfId="467" priority="912" operator="containsText" text="Caida">
      <formula>NOT(ISERROR(SEARCH("Caida",T93)))</formula>
    </cfRule>
  </conditionalFormatting>
  <conditionalFormatting sqref="F1:F372 F391:F1048576">
    <cfRule type="cellIs" dxfId="466" priority="840" operator="equal">
      <formula>"PTP A FO"</formula>
    </cfRule>
  </conditionalFormatting>
  <conditionalFormatting sqref="R371:T372">
    <cfRule type="cellIs" dxfId="465" priority="469" operator="lessThan">
      <formula>0.8</formula>
    </cfRule>
    <cfRule type="cellIs" dxfId="464" priority="470" operator="greaterThan">
      <formula>0.8</formula>
    </cfRule>
  </conditionalFormatting>
  <conditionalFormatting sqref="R371:T372">
    <cfRule type="notContainsText" dxfId="463" priority="467" operator="notContains" text="Caida">
      <formula>ISERROR(SEARCH("Caida",R371))</formula>
    </cfRule>
    <cfRule type="containsText" dxfId="462" priority="468" operator="containsText" text="Caida">
      <formula>NOT(ISERROR(SEARCH("Caida",R371)))</formula>
    </cfRule>
  </conditionalFormatting>
  <conditionalFormatting sqref="O6:O92">
    <cfRule type="cellIs" dxfId="461" priority="457" operator="lessThan">
      <formula>0.8</formula>
    </cfRule>
    <cfRule type="cellIs" dxfId="460" priority="458" operator="greaterThan">
      <formula>0.8</formula>
    </cfRule>
  </conditionalFormatting>
  <conditionalFormatting sqref="O6:O92">
    <cfRule type="notContainsText" dxfId="459" priority="455" operator="notContains" text="Caida">
      <formula>ISERROR(SEARCH("Caida",O6))</formula>
    </cfRule>
    <cfRule type="containsText" dxfId="458" priority="456" operator="containsText" text="Caida">
      <formula>NOT(ISERROR(SEARCH("Caida",O6)))</formula>
    </cfRule>
  </conditionalFormatting>
  <conditionalFormatting sqref="O22">
    <cfRule type="containsText" dxfId="457" priority="454" operator="containsText" text="Instaladas en Funcionamiento Caida">
      <formula>NOT(ISERROR(SEARCH("Instaladas en Funcionamiento Caida",O22)))</formula>
    </cfRule>
  </conditionalFormatting>
  <conditionalFormatting sqref="O5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5">
    <cfRule type="notContainsText" dxfId="454" priority="450" operator="notContains" text="Caida">
      <formula>ISERROR(SEARCH("Caida",O5))</formula>
    </cfRule>
    <cfRule type="containsText" dxfId="453" priority="451" operator="containsText" text="Caida">
      <formula>NOT(ISERROR(SEARCH("Caida",O5)))</formula>
    </cfRule>
  </conditionalFormatting>
  <conditionalFormatting sqref="O93:O94">
    <cfRule type="cellIs" dxfId="452" priority="448" operator="lessThan">
      <formula>0.8</formula>
    </cfRule>
    <cfRule type="cellIs" dxfId="451" priority="449" operator="greaterThan">
      <formula>0.8</formula>
    </cfRule>
  </conditionalFormatting>
  <conditionalFormatting sqref="O93:O94">
    <cfRule type="notContainsText" dxfId="450" priority="446" operator="notContains" text="Caida">
      <formula>ISERROR(SEARCH("Caida",O93))</formula>
    </cfRule>
    <cfRule type="containsText" dxfId="449" priority="447" operator="containsText" text="Caida">
      <formula>NOT(ISERROR(SEARCH("Caida",O93)))</formula>
    </cfRule>
  </conditionalFormatting>
  <conditionalFormatting sqref="AR6:AR92">
    <cfRule type="cellIs" dxfId="448" priority="439" operator="lessThan">
      <formula>0.8</formula>
    </cfRule>
    <cfRule type="cellIs" dxfId="447" priority="440" operator="greaterThan">
      <formula>0.8</formula>
    </cfRule>
  </conditionalFormatting>
  <conditionalFormatting sqref="AR6:AR92">
    <cfRule type="notContainsText" dxfId="446" priority="437" operator="notContains" text="Caida">
      <formula>ISERROR(SEARCH("Caida",AR6))</formula>
    </cfRule>
    <cfRule type="containsText" dxfId="445" priority="438" operator="containsText" text="Caida">
      <formula>NOT(ISERROR(SEARCH("Caida",AR6)))</formula>
    </cfRule>
  </conditionalFormatting>
  <conditionalFormatting sqref="AR93:AR94">
    <cfRule type="cellIs" dxfId="444" priority="435" operator="lessThan">
      <formula>0.8</formula>
    </cfRule>
    <cfRule type="cellIs" dxfId="443" priority="436" operator="greaterThan">
      <formula>0.8</formula>
    </cfRule>
  </conditionalFormatting>
  <conditionalFormatting sqref="AR93:AR94">
    <cfRule type="notContainsText" dxfId="442" priority="433" operator="notContains" text="Caida">
      <formula>ISERROR(SEARCH("Caida",AR93))</formula>
    </cfRule>
    <cfRule type="containsText" dxfId="441" priority="434" operator="containsText" text="Caida">
      <formula>NOT(ISERROR(SEARCH("Caida",AR93)))</formula>
    </cfRule>
  </conditionalFormatting>
  <conditionalFormatting sqref="AA6:AF92">
    <cfRule type="cellIs" dxfId="440" priority="374" operator="lessThan">
      <formula>0.8</formula>
    </cfRule>
    <cfRule type="cellIs" dxfId="439" priority="375" operator="greaterThan">
      <formula>0.8</formula>
    </cfRule>
  </conditionalFormatting>
  <conditionalFormatting sqref="AA6:AF92">
    <cfRule type="notContainsText" dxfId="438" priority="372" operator="notContains" text="Caida">
      <formula>ISERROR(SEARCH("Caida",AA6))</formula>
    </cfRule>
    <cfRule type="containsText" dxfId="437" priority="373" operator="containsText" text="Caida">
      <formula>NOT(ISERROR(SEARCH("Caida",AA6)))</formula>
    </cfRule>
  </conditionalFormatting>
  <conditionalFormatting sqref="AA93:AF95">
    <cfRule type="cellIs" dxfId="436" priority="370" operator="lessThan">
      <formula>0.8</formula>
    </cfRule>
    <cfRule type="cellIs" dxfId="435" priority="371" operator="greaterThan">
      <formula>0.8</formula>
    </cfRule>
  </conditionalFormatting>
  <conditionalFormatting sqref="AA93:AF95">
    <cfRule type="notContainsText" dxfId="434" priority="368" operator="notContains" text="Caida">
      <formula>ISERROR(SEARCH("Caida",AA93))</formula>
    </cfRule>
    <cfRule type="containsText" dxfId="433" priority="369" operator="containsText" text="Caida">
      <formula>NOT(ISERROR(SEARCH("Caida",AA93)))</formula>
    </cfRule>
  </conditionalFormatting>
  <conditionalFormatting sqref="AF1 AF5:AF372 AF397:AF1048576 AF3">
    <cfRule type="cellIs" dxfId="432" priority="367" operator="equal">
      <formula>"apagado"</formula>
    </cfRule>
  </conditionalFormatting>
  <conditionalFormatting sqref="AE1 AE5:AE372 AE397:AE1048576 AE3">
    <cfRule type="cellIs" dxfId="431" priority="366" operator="equal">
      <formula>"apagado"</formula>
    </cfRule>
  </conditionalFormatting>
  <conditionalFormatting sqref="AD1 AD5:AD372 AD397:AD1048576 AD3">
    <cfRule type="cellIs" dxfId="430" priority="365" operator="equal">
      <formula>"apagado"</formula>
    </cfRule>
  </conditionalFormatting>
  <conditionalFormatting sqref="AC1 AC5:AC372 AC397:AC1048576 AC3">
    <cfRule type="cellIs" dxfId="429" priority="364" operator="equal">
      <formula>"apagado"</formula>
    </cfRule>
  </conditionalFormatting>
  <conditionalFormatting sqref="AB1 AB5:AB372 AB397:AB1048576 AB3">
    <cfRule type="cellIs" dxfId="428" priority="363" operator="equal">
      <formula>"apagado"</formula>
    </cfRule>
  </conditionalFormatting>
  <conditionalFormatting sqref="AA1 AA5:AA372 AA397:AA1048576 AA3">
    <cfRule type="cellIs" dxfId="427" priority="362" operator="equal">
      <formula>"apagado"</formula>
    </cfRule>
  </conditionalFormatting>
  <conditionalFormatting sqref="Z1 Z397:Z1048576 Z3">
    <cfRule type="cellIs" dxfId="426" priority="361" operator="equal">
      <formula>"apagado"</formula>
    </cfRule>
  </conditionalFormatting>
  <conditionalFormatting sqref="Y1 Y397:Y1048576 Y3">
    <cfRule type="cellIs" dxfId="425" priority="360" operator="equal">
      <formula>"apagado"</formula>
    </cfRule>
  </conditionalFormatting>
  <conditionalFormatting sqref="AG6:AG92">
    <cfRule type="cellIs" dxfId="424" priority="358" operator="lessThan">
      <formula>0.8</formula>
    </cfRule>
    <cfRule type="cellIs" dxfId="423" priority="359" operator="greaterThan">
      <formula>0.8</formula>
    </cfRule>
  </conditionalFormatting>
  <conditionalFormatting sqref="AG6:AG92">
    <cfRule type="notContainsText" dxfId="422" priority="356" operator="notContains" text="Caida">
      <formula>ISERROR(SEARCH("Caida",AG6))</formula>
    </cfRule>
    <cfRule type="containsText" dxfId="421" priority="357" operator="containsText" text="Caida">
      <formula>NOT(ISERROR(SEARCH("Caida",AG6)))</formula>
    </cfRule>
  </conditionalFormatting>
  <conditionalFormatting sqref="AG93:AG95">
    <cfRule type="cellIs" dxfId="420" priority="354" operator="lessThan">
      <formula>0.8</formula>
    </cfRule>
    <cfRule type="cellIs" dxfId="419" priority="355" operator="greaterThan">
      <formula>0.8</formula>
    </cfRule>
  </conditionalFormatting>
  <conditionalFormatting sqref="AG93:AG95">
    <cfRule type="notContainsText" dxfId="418" priority="352" operator="notContains" text="Caida">
      <formula>ISERROR(SEARCH("Caida",AG93))</formula>
    </cfRule>
    <cfRule type="containsText" dxfId="417" priority="353" operator="containsText" text="Caida">
      <formula>NOT(ISERROR(SEARCH("Caida",AG93)))</formula>
    </cfRule>
  </conditionalFormatting>
  <conditionalFormatting sqref="AG1 AG5:AG372 AG397:AG1048576 AG3">
    <cfRule type="cellIs" dxfId="416" priority="351" operator="equal">
      <formula>"apagado"</formula>
    </cfRule>
  </conditionalFormatting>
  <conditionalFormatting sqref="AH6:AH92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H6:AH92">
    <cfRule type="notContainsText" dxfId="413" priority="347" operator="notContains" text="Caida">
      <formula>ISERROR(SEARCH("Caida",AH6))</formula>
    </cfRule>
    <cfRule type="containsText" dxfId="412" priority="348" operator="containsText" text="Caida">
      <formula>NOT(ISERROR(SEARCH("Caida",AH6)))</formula>
    </cfRule>
  </conditionalFormatting>
  <conditionalFormatting sqref="AH93:AH95">
    <cfRule type="cellIs" dxfId="411" priority="345" operator="lessThan">
      <formula>0.8</formula>
    </cfRule>
    <cfRule type="cellIs" dxfId="410" priority="346" operator="greaterThan">
      <formula>0.8</formula>
    </cfRule>
  </conditionalFormatting>
  <conditionalFormatting sqref="AH93:AH95">
    <cfRule type="notContainsText" dxfId="409" priority="343" operator="notContains" text="Caida">
      <formula>ISERROR(SEARCH("Caida",AH93))</formula>
    </cfRule>
    <cfRule type="containsText" dxfId="408" priority="344" operator="containsText" text="Caida">
      <formula>NOT(ISERROR(SEARCH("Caida",AH93)))</formula>
    </cfRule>
  </conditionalFormatting>
  <conditionalFormatting sqref="AH1 AH397:AH1048576 AH3 AH5:AH372">
    <cfRule type="cellIs" dxfId="407" priority="342" operator="equal">
      <formula>"apagado"</formula>
    </cfRule>
  </conditionalFormatting>
  <conditionalFormatting sqref="AI6:AI92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I6:AI92">
    <cfRule type="notContainsText" dxfId="404" priority="338" operator="notContains" text="Caida">
      <formula>ISERROR(SEARCH("Caida",AI6))</formula>
    </cfRule>
    <cfRule type="containsText" dxfId="403" priority="339" operator="containsText" text="Caida">
      <formula>NOT(ISERROR(SEARCH("Caida",AI6)))</formula>
    </cfRule>
  </conditionalFormatting>
  <conditionalFormatting sqref="AI93:AI95">
    <cfRule type="cellIs" dxfId="402" priority="336" operator="lessThan">
      <formula>0.8</formula>
    </cfRule>
    <cfRule type="cellIs" dxfId="401" priority="337" operator="greaterThan">
      <formula>0.8</formula>
    </cfRule>
  </conditionalFormatting>
  <conditionalFormatting sqref="AI93:AI95">
    <cfRule type="notContainsText" dxfId="400" priority="334" operator="notContains" text="Caida">
      <formula>ISERROR(SEARCH("Caida",AI93))</formula>
    </cfRule>
    <cfRule type="containsText" dxfId="399" priority="335" operator="containsText" text="Caida">
      <formula>NOT(ISERROR(SEARCH("Caida",AI93)))</formula>
    </cfRule>
  </conditionalFormatting>
  <conditionalFormatting sqref="AI1 AI5:AI372 AI397:AI1048576 AI3">
    <cfRule type="cellIs" dxfId="398" priority="333" operator="equal">
      <formula>"apagado"</formula>
    </cfRule>
  </conditionalFormatting>
  <conditionalFormatting sqref="AJ6:AJ92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J6:AJ92">
    <cfRule type="notContainsText" dxfId="395" priority="329" operator="notContains" text="Caida">
      <formula>ISERROR(SEARCH("Caida",AJ6))</formula>
    </cfRule>
    <cfRule type="containsText" dxfId="394" priority="330" operator="containsText" text="Caida">
      <formula>NOT(ISERROR(SEARCH("Caida",AJ6)))</formula>
    </cfRule>
  </conditionalFormatting>
  <conditionalFormatting sqref="AJ93:AJ95">
    <cfRule type="cellIs" dxfId="393" priority="327" operator="lessThan">
      <formula>0.8</formula>
    </cfRule>
    <cfRule type="cellIs" dxfId="392" priority="328" operator="greaterThan">
      <formula>0.8</formula>
    </cfRule>
  </conditionalFormatting>
  <conditionalFormatting sqref="AJ93:AJ95">
    <cfRule type="notContainsText" dxfId="391" priority="325" operator="notContains" text="Caida">
      <formula>ISERROR(SEARCH("Caida",AJ93))</formula>
    </cfRule>
    <cfRule type="containsText" dxfId="390" priority="326" operator="containsText" text="Caida">
      <formula>NOT(ISERROR(SEARCH("Caida",AJ93)))</formula>
    </cfRule>
  </conditionalFormatting>
  <conditionalFormatting sqref="AJ1 AJ5:AJ372 AJ397:AJ1048576 AJ3">
    <cfRule type="cellIs" dxfId="389" priority="324" operator="equal">
      <formula>"apagado"</formula>
    </cfRule>
  </conditionalFormatting>
  <conditionalFormatting sqref="AQ95:AQ369">
    <cfRule type="cellIs" dxfId="388" priority="305" operator="lessThan">
      <formula>0.8</formula>
    </cfRule>
    <cfRule type="cellIs" dxfId="387" priority="306" operator="greaterThan">
      <formula>0.8</formula>
    </cfRule>
  </conditionalFormatting>
  <conditionalFormatting sqref="AQ95:AQ372 AQ397:AQ1048576">
    <cfRule type="notContainsText" dxfId="386" priority="303" operator="notContains" text="Caida">
      <formula>ISERROR(SEARCH("Caida",AQ95))</formula>
    </cfRule>
    <cfRule type="containsText" dxfId="385" priority="304" operator="containsText" text="Caida">
      <formula>NOT(ISERROR(SEARCH("Caida",AQ95)))</formula>
    </cfRule>
  </conditionalFormatting>
  <conditionalFormatting sqref="AQ6:AQ92">
    <cfRule type="cellIs" dxfId="384" priority="301" operator="lessThan">
      <formula>0.8</formula>
    </cfRule>
    <cfRule type="cellIs" dxfId="383" priority="302" operator="greaterThan">
      <formula>0.8</formula>
    </cfRule>
  </conditionalFormatting>
  <conditionalFormatting sqref="AQ6:AQ92">
    <cfRule type="notContainsText" dxfId="382" priority="299" operator="notContains" text="Caida">
      <formula>ISERROR(SEARCH("Caida",AQ6))</formula>
    </cfRule>
    <cfRule type="containsText" dxfId="381" priority="300" operator="containsText" text="Caida">
      <formula>NOT(ISERROR(SEARCH("Caida",AQ6)))</formula>
    </cfRule>
  </conditionalFormatting>
  <conditionalFormatting sqref="AQ93:AQ94">
    <cfRule type="cellIs" dxfId="380" priority="297" operator="lessThan">
      <formula>0.8</formula>
    </cfRule>
    <cfRule type="cellIs" dxfId="379" priority="298" operator="greaterThan">
      <formula>0.8</formula>
    </cfRule>
  </conditionalFormatting>
  <conditionalFormatting sqref="AQ93:AQ94">
    <cfRule type="notContainsText" dxfId="378" priority="295" operator="notContains" text="Caida">
      <formula>ISERROR(SEARCH("Caida",AQ93))</formula>
    </cfRule>
    <cfRule type="containsText" dxfId="377" priority="296" operator="containsText" text="Caida">
      <formula>NOT(ISERROR(SEARCH("Caida",AQ93)))</formula>
    </cfRule>
  </conditionalFormatting>
  <conditionalFormatting sqref="AQ10">
    <cfRule type="cellIs" dxfId="376" priority="290" operator="equal">
      <formula>"apagado"</formula>
    </cfRule>
    <cfRule type="cellIs" dxfId="375" priority="293" operator="lessThan">
      <formula>0.8</formula>
    </cfRule>
    <cfRule type="cellIs" dxfId="374" priority="294" operator="greaterThan">
      <formula>0.8</formula>
    </cfRule>
  </conditionalFormatting>
  <conditionalFormatting sqref="AQ10">
    <cfRule type="notContainsText" dxfId="373" priority="291" operator="notContains" text="Caida">
      <formula>ISERROR(SEARCH("Caida",AQ10))</formula>
    </cfRule>
    <cfRule type="containsText" dxfId="372" priority="292" operator="containsText" text="Caida">
      <formula>NOT(ISERROR(SEARCH("Caida",AQ10)))</formula>
    </cfRule>
  </conditionalFormatting>
  <conditionalFormatting sqref="AQ1 AQ5:AQ372 AQ397:AQ1048576 AQ3">
    <cfRule type="cellIs" dxfId="371" priority="289" operator="equal">
      <formula>"apagado"</formula>
    </cfRule>
  </conditionalFormatting>
  <conditionalFormatting sqref="O5:X372 AA5:AR372">
    <cfRule type="cellIs" dxfId="370" priority="288" operator="equal">
      <formula>"APAGADO"</formula>
    </cfRule>
  </conditionalFormatting>
  <conditionalFormatting sqref="Y96:Y372">
    <cfRule type="cellIs" dxfId="369" priority="250" operator="lessThan">
      <formula>0.8</formula>
    </cfRule>
    <cfRule type="cellIs" dxfId="368" priority="251" operator="greaterThan">
      <formula>0.8</formula>
    </cfRule>
  </conditionalFormatting>
  <conditionalFormatting sqref="Y96:Y372">
    <cfRule type="notContainsText" dxfId="367" priority="248" operator="notContains" text="Caida">
      <formula>ISERROR(SEARCH("Caida",Y96))</formula>
    </cfRule>
    <cfRule type="containsText" dxfId="366" priority="249" operator="containsText" text="Caida">
      <formula>NOT(ISERROR(SEARCH("Caida",Y96)))</formula>
    </cfRule>
  </conditionalFormatting>
  <conditionalFormatting sqref="Y22">
    <cfRule type="containsText" dxfId="365" priority="247" operator="containsText" text="Instaladas en Funcionamiento Caida">
      <formula>NOT(ISERROR(SEARCH("Instaladas en Funcionamiento Caida",Y22)))</formula>
    </cfRule>
  </conditionalFormatting>
  <conditionalFormatting sqref="Y5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5">
    <cfRule type="notContainsText" dxfId="362" priority="243" operator="notContains" text="Caida">
      <formula>ISERROR(SEARCH("Caida",Y5))</formula>
    </cfRule>
    <cfRule type="containsText" dxfId="361" priority="244" operator="containsText" text="Caida">
      <formula>NOT(ISERROR(SEARCH("Caida",Y5)))</formula>
    </cfRule>
  </conditionalFormatting>
  <conditionalFormatting sqref="Y5:Y372">
    <cfRule type="cellIs" dxfId="360" priority="242" operator="equal">
      <formula>"APAGADO"</formula>
    </cfRule>
  </conditionalFormatting>
  <conditionalFormatting sqref="Y6:Y92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6:Y92">
    <cfRule type="notContainsText" dxfId="357" priority="238" operator="notContains" text="Caida">
      <formula>ISERROR(SEARCH("Caida",Y6))</formula>
    </cfRule>
    <cfRule type="containsText" dxfId="356" priority="239" operator="containsText" text="Caida">
      <formula>NOT(ISERROR(SEARCH("Caida",Y6)))</formula>
    </cfRule>
  </conditionalFormatting>
  <conditionalFormatting sqref="Y93:Y95">
    <cfRule type="cellIs" dxfId="355" priority="236" operator="lessThan">
      <formula>0.8</formula>
    </cfRule>
    <cfRule type="cellIs" dxfId="354" priority="237" operator="greaterThan">
      <formula>0.8</formula>
    </cfRule>
  </conditionalFormatting>
  <conditionalFormatting sqref="Y93:Y95">
    <cfRule type="notContainsText" dxfId="353" priority="234" operator="notContains" text="Caida">
      <formula>ISERROR(SEARCH("Caida",Y93))</formula>
    </cfRule>
    <cfRule type="containsText" dxfId="352" priority="235" operator="containsText" text="Caida">
      <formula>NOT(ISERROR(SEARCH("Caida",Y93)))</formula>
    </cfRule>
  </conditionalFormatting>
  <conditionalFormatting sqref="Y5:Y372">
    <cfRule type="cellIs" dxfId="351" priority="233" operator="equal">
      <formula>"apagado"</formula>
    </cfRule>
  </conditionalFormatting>
  <conditionalFormatting sqref="Z96:Z372">
    <cfRule type="cellIs" dxfId="350" priority="230" operator="lessThan">
      <formula>0.8</formula>
    </cfRule>
    <cfRule type="cellIs" dxfId="349" priority="231" operator="greaterThan">
      <formula>0.8</formula>
    </cfRule>
  </conditionalFormatting>
  <conditionalFormatting sqref="Z96:Z372">
    <cfRule type="notContainsText" dxfId="348" priority="228" operator="notContains" text="Caida">
      <formula>ISERROR(SEARCH("Caida",Z96))</formula>
    </cfRule>
    <cfRule type="containsText" dxfId="347" priority="229" operator="containsText" text="Caida">
      <formula>NOT(ISERROR(SEARCH("Caida",Z96)))</formula>
    </cfRule>
  </conditionalFormatting>
  <conditionalFormatting sqref="Z22">
    <cfRule type="containsText" dxfId="346" priority="227" operator="containsText" text="Instaladas en Funcionamiento Caida">
      <formula>NOT(ISERROR(SEARCH("Instaladas en Funcionamiento Caida",Z22)))</formula>
    </cfRule>
  </conditionalFormatting>
  <conditionalFormatting sqref="Z5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5">
    <cfRule type="notContainsText" dxfId="343" priority="223" operator="notContains" text="Caida">
      <formula>ISERROR(SEARCH("Caida",Z5))</formula>
    </cfRule>
    <cfRule type="containsText" dxfId="342" priority="224" operator="containsText" text="Caida">
      <formula>NOT(ISERROR(SEARCH("Caida",Z5)))</formula>
    </cfRule>
  </conditionalFormatting>
  <conditionalFormatting sqref="Z5:Z372">
    <cfRule type="cellIs" dxfId="341" priority="222" operator="equal">
      <formula>"APAGADO"</formula>
    </cfRule>
  </conditionalFormatting>
  <conditionalFormatting sqref="Z6:Z92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6:Z92">
    <cfRule type="notContainsText" dxfId="338" priority="218" operator="notContains" text="Caida">
      <formula>ISERROR(SEARCH("Caida",Z6))</formula>
    </cfRule>
    <cfRule type="containsText" dxfId="337" priority="219" operator="containsText" text="Caida">
      <formula>NOT(ISERROR(SEARCH("Caida",Z6)))</formula>
    </cfRule>
  </conditionalFormatting>
  <conditionalFormatting sqref="Z93:Z95">
    <cfRule type="cellIs" dxfId="336" priority="216" operator="lessThan">
      <formula>0.8</formula>
    </cfRule>
    <cfRule type="cellIs" dxfId="335" priority="217" operator="greaterThan">
      <formula>0.8</formula>
    </cfRule>
  </conditionalFormatting>
  <conditionalFormatting sqref="Z93:Z95">
    <cfRule type="notContainsText" dxfId="334" priority="214" operator="notContains" text="Caida">
      <formula>ISERROR(SEARCH("Caida",Z93))</formula>
    </cfRule>
    <cfRule type="containsText" dxfId="333" priority="215" operator="containsText" text="Caida">
      <formula>NOT(ISERROR(SEARCH("Caida",Z93)))</formula>
    </cfRule>
  </conditionalFormatting>
  <conditionalFormatting sqref="Z5:Z372">
    <cfRule type="cellIs" dxfId="332" priority="213" operator="equal">
      <formula>"apagado"</formula>
    </cfRule>
  </conditionalFormatting>
  <conditionalFormatting sqref="AH94">
    <cfRule type="cellIs" dxfId="331" priority="210" operator="lessThan">
      <formula>0.8</formula>
    </cfRule>
    <cfRule type="cellIs" dxfId="330" priority="211" operator="greaterThan">
      <formula>0.8</formula>
    </cfRule>
  </conditionalFormatting>
  <conditionalFormatting sqref="AH94">
    <cfRule type="notContainsText" dxfId="329" priority="208" operator="notContains" text="Caida">
      <formula>ISERROR(SEARCH("Caida",AH94))</formula>
    </cfRule>
    <cfRule type="containsText" dxfId="328" priority="209" operator="containsText" text="Caida">
      <formula>NOT(ISERROR(SEARCH("Caida",AH94)))</formula>
    </cfRule>
  </conditionalFormatting>
  <conditionalFormatting sqref="AH96">
    <cfRule type="cellIs" dxfId="327" priority="206" operator="lessThan">
      <formula>0.8</formula>
    </cfRule>
    <cfRule type="cellIs" dxfId="326" priority="207" operator="greaterThan">
      <formula>0.8</formula>
    </cfRule>
  </conditionalFormatting>
  <conditionalFormatting sqref="AH96">
    <cfRule type="notContainsText" dxfId="325" priority="204" operator="notContains" text="Caida">
      <formula>ISERROR(SEARCH("Caida",AH96))</formula>
    </cfRule>
    <cfRule type="containsText" dxfId="324" priority="205" operator="containsText" text="Caida">
      <formula>NOT(ISERROR(SEARCH("Caida",AH96)))</formula>
    </cfRule>
  </conditionalFormatting>
  <conditionalFormatting sqref="AH99">
    <cfRule type="cellIs" dxfId="323" priority="202" operator="lessThan">
      <formula>0.8</formula>
    </cfRule>
    <cfRule type="cellIs" dxfId="322" priority="203" operator="greaterThan">
      <formula>0.8</formula>
    </cfRule>
  </conditionalFormatting>
  <conditionalFormatting sqref="AH99">
    <cfRule type="notContainsText" dxfId="321" priority="200" operator="notContains" text="Caida">
      <formula>ISERROR(SEARCH("Caida",AH99))</formula>
    </cfRule>
    <cfRule type="containsText" dxfId="320" priority="201" operator="containsText" text="Caida">
      <formula>NOT(ISERROR(SEARCH("Caida",AH99)))</formula>
    </cfRule>
  </conditionalFormatting>
  <conditionalFormatting sqref="AH115">
    <cfRule type="cellIs" dxfId="319" priority="198" operator="lessThan">
      <formula>0.8</formula>
    </cfRule>
    <cfRule type="cellIs" dxfId="318" priority="199" operator="greaterThan">
      <formula>0.8</formula>
    </cfRule>
  </conditionalFormatting>
  <conditionalFormatting sqref="AH115">
    <cfRule type="notContainsText" dxfId="317" priority="196" operator="notContains" text="Caida">
      <formula>ISERROR(SEARCH("Caida",AH115))</formula>
    </cfRule>
    <cfRule type="containsText" dxfId="316" priority="197" operator="containsText" text="Caida">
      <formula>NOT(ISERROR(SEARCH("Caida",AH115)))</formula>
    </cfRule>
  </conditionalFormatting>
  <conditionalFormatting sqref="AH116">
    <cfRule type="cellIs" dxfId="315" priority="194" operator="lessThan">
      <formula>0.8</formula>
    </cfRule>
    <cfRule type="cellIs" dxfId="314" priority="195" operator="greaterThan">
      <formula>0.8</formula>
    </cfRule>
  </conditionalFormatting>
  <conditionalFormatting sqref="AH116">
    <cfRule type="notContainsText" dxfId="313" priority="192" operator="notContains" text="Caida">
      <formula>ISERROR(SEARCH("Caida",AH116))</formula>
    </cfRule>
    <cfRule type="containsText" dxfId="312" priority="193" operator="containsText" text="Caida">
      <formula>NOT(ISERROR(SEARCH("Caida",AH116)))</formula>
    </cfRule>
  </conditionalFormatting>
  <conditionalFormatting sqref="AH120">
    <cfRule type="cellIs" dxfId="311" priority="190" operator="lessThan">
      <formula>0.8</formula>
    </cfRule>
    <cfRule type="cellIs" dxfId="310" priority="191" operator="greaterThan">
      <formula>0.8</formula>
    </cfRule>
  </conditionalFormatting>
  <conditionalFormatting sqref="AH120">
    <cfRule type="notContainsText" dxfId="309" priority="188" operator="notContains" text="Caida">
      <formula>ISERROR(SEARCH("Caida",AH120))</formula>
    </cfRule>
    <cfRule type="containsText" dxfId="308" priority="189" operator="containsText" text="Caida">
      <formula>NOT(ISERROR(SEARCH("Caida",AH120)))</formula>
    </cfRule>
  </conditionalFormatting>
  <conditionalFormatting sqref="AH121">
    <cfRule type="cellIs" dxfId="307" priority="186" operator="lessThan">
      <formula>0.8</formula>
    </cfRule>
    <cfRule type="cellIs" dxfId="306" priority="187" operator="greaterThan">
      <formula>0.8</formula>
    </cfRule>
  </conditionalFormatting>
  <conditionalFormatting sqref="AH121">
    <cfRule type="notContainsText" dxfId="305" priority="184" operator="notContains" text="Caida">
      <formula>ISERROR(SEARCH("Caida",AH121))</formula>
    </cfRule>
    <cfRule type="containsText" dxfId="304" priority="185" operator="containsText" text="Caida">
      <formula>NOT(ISERROR(SEARCH("Caida",AH121)))</formula>
    </cfRule>
  </conditionalFormatting>
  <conditionalFormatting sqref="AH133">
    <cfRule type="cellIs" dxfId="303" priority="182" operator="lessThan">
      <formula>0.8</formula>
    </cfRule>
    <cfRule type="cellIs" dxfId="302" priority="183" operator="greaterThan">
      <formula>0.8</formula>
    </cfRule>
  </conditionalFormatting>
  <conditionalFormatting sqref="AH133">
    <cfRule type="notContainsText" dxfId="301" priority="180" operator="notContains" text="Caida">
      <formula>ISERROR(SEARCH("Caida",AH133))</formula>
    </cfRule>
    <cfRule type="containsText" dxfId="300" priority="181" operator="containsText" text="Caida">
      <formula>NOT(ISERROR(SEARCH("Caida",AH133)))</formula>
    </cfRule>
  </conditionalFormatting>
  <conditionalFormatting sqref="AH135">
    <cfRule type="cellIs" dxfId="299" priority="178" operator="lessThan">
      <formula>0.8</formula>
    </cfRule>
    <cfRule type="cellIs" dxfId="298" priority="179" operator="greaterThan">
      <formula>0.8</formula>
    </cfRule>
  </conditionalFormatting>
  <conditionalFormatting sqref="AH135">
    <cfRule type="notContainsText" dxfId="297" priority="176" operator="notContains" text="Caida">
      <formula>ISERROR(SEARCH("Caida",AH135))</formula>
    </cfRule>
    <cfRule type="containsText" dxfId="296" priority="177" operator="containsText" text="Caida">
      <formula>NOT(ISERROR(SEARCH("Caida",AH135)))</formula>
    </cfRule>
  </conditionalFormatting>
  <conditionalFormatting sqref="AH142">
    <cfRule type="cellIs" dxfId="295" priority="174" operator="lessThan">
      <formula>0.8</formula>
    </cfRule>
    <cfRule type="cellIs" dxfId="294" priority="175" operator="greaterThan">
      <formula>0.8</formula>
    </cfRule>
  </conditionalFormatting>
  <conditionalFormatting sqref="AH142">
    <cfRule type="notContainsText" dxfId="293" priority="172" operator="notContains" text="Caida">
      <formula>ISERROR(SEARCH("Caida",AH142))</formula>
    </cfRule>
    <cfRule type="containsText" dxfId="292" priority="173" operator="containsText" text="Caida">
      <formula>NOT(ISERROR(SEARCH("Caida",AH142)))</formula>
    </cfRule>
  </conditionalFormatting>
  <conditionalFormatting sqref="AH143">
    <cfRule type="cellIs" dxfId="291" priority="170" operator="lessThan">
      <formula>0.8</formula>
    </cfRule>
    <cfRule type="cellIs" dxfId="290" priority="171" operator="greaterThan">
      <formula>0.8</formula>
    </cfRule>
  </conditionalFormatting>
  <conditionalFormatting sqref="AH143">
    <cfRule type="notContainsText" dxfId="289" priority="168" operator="notContains" text="Caida">
      <formula>ISERROR(SEARCH("Caida",AH143))</formula>
    </cfRule>
    <cfRule type="containsText" dxfId="288" priority="169" operator="containsText" text="Caida">
      <formula>NOT(ISERROR(SEARCH("Caida",AH143)))</formula>
    </cfRule>
  </conditionalFormatting>
  <conditionalFormatting sqref="AH144">
    <cfRule type="cellIs" dxfId="287" priority="166" operator="lessThan">
      <formula>0.8</formula>
    </cfRule>
    <cfRule type="cellIs" dxfId="286" priority="167" operator="greaterThan">
      <formula>0.8</formula>
    </cfRule>
  </conditionalFormatting>
  <conditionalFormatting sqref="AH144">
    <cfRule type="notContainsText" dxfId="285" priority="164" operator="notContains" text="Caida">
      <formula>ISERROR(SEARCH("Caida",AH144))</formula>
    </cfRule>
    <cfRule type="containsText" dxfId="284" priority="165" operator="containsText" text="Caida">
      <formula>NOT(ISERROR(SEARCH("Caida",AH144)))</formula>
    </cfRule>
  </conditionalFormatting>
  <conditionalFormatting sqref="AH163">
    <cfRule type="cellIs" dxfId="283" priority="162" operator="lessThan">
      <formula>0.8</formula>
    </cfRule>
    <cfRule type="cellIs" dxfId="282" priority="163" operator="greaterThan">
      <formula>0.8</formula>
    </cfRule>
  </conditionalFormatting>
  <conditionalFormatting sqref="AH163">
    <cfRule type="notContainsText" dxfId="281" priority="160" operator="notContains" text="Caida">
      <formula>ISERROR(SEARCH("Caida",AH163))</formula>
    </cfRule>
    <cfRule type="containsText" dxfId="280" priority="161" operator="containsText" text="Caida">
      <formula>NOT(ISERROR(SEARCH("Caida",AH163)))</formula>
    </cfRule>
  </conditionalFormatting>
  <conditionalFormatting sqref="AH164">
    <cfRule type="cellIs" dxfId="279" priority="158" operator="lessThan">
      <formula>0.8</formula>
    </cfRule>
    <cfRule type="cellIs" dxfId="278" priority="159" operator="greaterThan">
      <formula>0.8</formula>
    </cfRule>
  </conditionalFormatting>
  <conditionalFormatting sqref="AH164">
    <cfRule type="notContainsText" dxfId="277" priority="156" operator="notContains" text="Caida">
      <formula>ISERROR(SEARCH("Caida",AH164))</formula>
    </cfRule>
    <cfRule type="containsText" dxfId="276" priority="157" operator="containsText" text="Caida">
      <formula>NOT(ISERROR(SEARCH("Caida",AH164)))</formula>
    </cfRule>
  </conditionalFormatting>
  <conditionalFormatting sqref="AH166">
    <cfRule type="cellIs" dxfId="275" priority="154" operator="lessThan">
      <formula>0.8</formula>
    </cfRule>
    <cfRule type="cellIs" dxfId="274" priority="155" operator="greaterThan">
      <formula>0.8</formula>
    </cfRule>
  </conditionalFormatting>
  <conditionalFormatting sqref="AH166">
    <cfRule type="notContainsText" dxfId="273" priority="152" operator="notContains" text="Caida">
      <formula>ISERROR(SEARCH("Caida",AH166))</formula>
    </cfRule>
    <cfRule type="containsText" dxfId="272" priority="153" operator="containsText" text="Caida">
      <formula>NOT(ISERROR(SEARCH("Caida",AH166)))</formula>
    </cfRule>
  </conditionalFormatting>
  <conditionalFormatting sqref="AH177">
    <cfRule type="cellIs" dxfId="271" priority="150" operator="lessThan">
      <formula>0.8</formula>
    </cfRule>
    <cfRule type="cellIs" dxfId="270" priority="151" operator="greaterThan">
      <formula>0.8</formula>
    </cfRule>
  </conditionalFormatting>
  <conditionalFormatting sqref="AH177">
    <cfRule type="notContainsText" dxfId="269" priority="148" operator="notContains" text="Caida">
      <formula>ISERROR(SEARCH("Caida",AH177))</formula>
    </cfRule>
    <cfRule type="containsText" dxfId="268" priority="149" operator="containsText" text="Caida">
      <formula>NOT(ISERROR(SEARCH("Caida",AH177)))</formula>
    </cfRule>
  </conditionalFormatting>
  <conditionalFormatting sqref="AH191">
    <cfRule type="cellIs" dxfId="267" priority="146" operator="lessThan">
      <formula>0.8</formula>
    </cfRule>
    <cfRule type="cellIs" dxfId="266" priority="147" operator="greaterThan">
      <formula>0.8</formula>
    </cfRule>
  </conditionalFormatting>
  <conditionalFormatting sqref="AH191">
    <cfRule type="notContainsText" dxfId="265" priority="144" operator="notContains" text="Caida">
      <formula>ISERROR(SEARCH("Caida",AH191))</formula>
    </cfRule>
    <cfRule type="containsText" dxfId="264" priority="145" operator="containsText" text="Caida">
      <formula>NOT(ISERROR(SEARCH("Caida",AH191)))</formula>
    </cfRule>
  </conditionalFormatting>
  <conditionalFormatting sqref="AH192">
    <cfRule type="cellIs" dxfId="263" priority="142" operator="lessThan">
      <formula>0.8</formula>
    </cfRule>
    <cfRule type="cellIs" dxfId="262" priority="143" operator="greaterThan">
      <formula>0.8</formula>
    </cfRule>
  </conditionalFormatting>
  <conditionalFormatting sqref="AH192">
    <cfRule type="notContainsText" dxfId="261" priority="140" operator="notContains" text="Caida">
      <formula>ISERROR(SEARCH("Caida",AH192))</formula>
    </cfRule>
    <cfRule type="containsText" dxfId="260" priority="141" operator="containsText" text="Caida">
      <formula>NOT(ISERROR(SEARCH("Caida",AH192)))</formula>
    </cfRule>
  </conditionalFormatting>
  <conditionalFormatting sqref="AH198">
    <cfRule type="cellIs" dxfId="259" priority="138" operator="lessThan">
      <formula>0.8</formula>
    </cfRule>
    <cfRule type="cellIs" dxfId="258" priority="139" operator="greaterThan">
      <formula>0.8</formula>
    </cfRule>
  </conditionalFormatting>
  <conditionalFormatting sqref="AH198">
    <cfRule type="notContainsText" dxfId="257" priority="136" operator="notContains" text="Caida">
      <formula>ISERROR(SEARCH("Caida",AH198))</formula>
    </cfRule>
    <cfRule type="containsText" dxfId="256" priority="137" operator="containsText" text="Caida">
      <formula>NOT(ISERROR(SEARCH("Caida",AH198)))</formula>
    </cfRule>
  </conditionalFormatting>
  <conditionalFormatting sqref="AH206">
    <cfRule type="cellIs" dxfId="255" priority="134" operator="lessThan">
      <formula>0.8</formula>
    </cfRule>
    <cfRule type="cellIs" dxfId="254" priority="135" operator="greaterThan">
      <formula>0.8</formula>
    </cfRule>
  </conditionalFormatting>
  <conditionalFormatting sqref="AH206">
    <cfRule type="notContainsText" dxfId="253" priority="132" operator="notContains" text="Caida">
      <formula>ISERROR(SEARCH("Caida",AH206))</formula>
    </cfRule>
    <cfRule type="containsText" dxfId="252" priority="133" operator="containsText" text="Caida">
      <formula>NOT(ISERROR(SEARCH("Caida",AH206)))</formula>
    </cfRule>
  </conditionalFormatting>
  <conditionalFormatting sqref="AH211">
    <cfRule type="cellIs" dxfId="251" priority="130" operator="lessThan">
      <formula>0.8</formula>
    </cfRule>
    <cfRule type="cellIs" dxfId="250" priority="131" operator="greaterThan">
      <formula>0.8</formula>
    </cfRule>
  </conditionalFormatting>
  <conditionalFormatting sqref="AH211">
    <cfRule type="notContainsText" dxfId="249" priority="128" operator="notContains" text="Caida">
      <formula>ISERROR(SEARCH("Caida",AH211))</formula>
    </cfRule>
    <cfRule type="containsText" dxfId="248" priority="129" operator="containsText" text="Caida">
      <formula>NOT(ISERROR(SEARCH("Caida",AH211)))</formula>
    </cfRule>
  </conditionalFormatting>
  <conditionalFormatting sqref="AH212">
    <cfRule type="cellIs" dxfId="247" priority="126" operator="lessThan">
      <formula>0.8</formula>
    </cfRule>
    <cfRule type="cellIs" dxfId="246" priority="127" operator="greaterThan">
      <formula>0.8</formula>
    </cfRule>
  </conditionalFormatting>
  <conditionalFormatting sqref="AH212">
    <cfRule type="notContainsText" dxfId="245" priority="124" operator="notContains" text="Caida">
      <formula>ISERROR(SEARCH("Caida",AH212))</formula>
    </cfRule>
    <cfRule type="containsText" dxfId="244" priority="125" operator="containsText" text="Caida">
      <formula>NOT(ISERROR(SEARCH("Caida",AH212)))</formula>
    </cfRule>
  </conditionalFormatting>
  <conditionalFormatting sqref="AH359">
    <cfRule type="cellIs" dxfId="243" priority="123" operator="equal">
      <formula>"apagado"</formula>
    </cfRule>
  </conditionalFormatting>
  <conditionalFormatting sqref="AH360">
    <cfRule type="cellIs" dxfId="242" priority="122" operator="equal">
      <formula>"apagado"</formula>
    </cfRule>
  </conditionalFormatting>
  <conditionalFormatting sqref="AH361">
    <cfRule type="cellIs" dxfId="241" priority="121" operator="equal">
      <formula>"apagado"</formula>
    </cfRule>
  </conditionalFormatting>
  <conditionalFormatting sqref="AH362">
    <cfRule type="cellIs" dxfId="240" priority="120" operator="equal">
      <formula>"apagado"</formula>
    </cfRule>
  </conditionalFormatting>
  <conditionalFormatting sqref="AH206">
    <cfRule type="cellIs" dxfId="239" priority="119" operator="equal">
      <formula>"apagado"</formula>
    </cfRule>
  </conditionalFormatting>
  <conditionalFormatting sqref="AH211">
    <cfRule type="cellIs" dxfId="238" priority="118" operator="equal">
      <formula>"apagado"</formula>
    </cfRule>
  </conditionalFormatting>
  <conditionalFormatting sqref="AH212">
    <cfRule type="cellIs" dxfId="237" priority="117" operator="equal">
      <formula>"apagado"</formula>
    </cfRule>
  </conditionalFormatting>
  <conditionalFormatting sqref="AH198">
    <cfRule type="cellIs" dxfId="236" priority="116" operator="equal">
      <formula>"apagado"</formula>
    </cfRule>
  </conditionalFormatting>
  <conditionalFormatting sqref="AH192">
    <cfRule type="cellIs" dxfId="235" priority="115" operator="equal">
      <formula>"apagado"</formula>
    </cfRule>
  </conditionalFormatting>
  <conditionalFormatting sqref="AH191">
    <cfRule type="cellIs" dxfId="234" priority="114" operator="equal">
      <formula>"apagado"</formula>
    </cfRule>
  </conditionalFormatting>
  <conditionalFormatting sqref="AH177">
    <cfRule type="cellIs" dxfId="233" priority="113" operator="equal">
      <formula>"apagado"</formula>
    </cfRule>
  </conditionalFormatting>
  <conditionalFormatting sqref="AH166">
    <cfRule type="cellIs" dxfId="232" priority="112" operator="equal">
      <formula>"apagado"</formula>
    </cfRule>
  </conditionalFormatting>
  <conditionalFormatting sqref="AH163">
    <cfRule type="cellIs" dxfId="231" priority="111" operator="equal">
      <formula>"apagado"</formula>
    </cfRule>
  </conditionalFormatting>
  <conditionalFormatting sqref="AH164">
    <cfRule type="cellIs" dxfId="230" priority="110" operator="equal">
      <formula>"apagado"</formula>
    </cfRule>
  </conditionalFormatting>
  <conditionalFormatting sqref="AH142">
    <cfRule type="cellIs" dxfId="229" priority="109" operator="equal">
      <formula>"apagado"</formula>
    </cfRule>
  </conditionalFormatting>
  <conditionalFormatting sqref="AH143">
    <cfRule type="cellIs" dxfId="228" priority="108" operator="equal">
      <formula>"apagado"</formula>
    </cfRule>
  </conditionalFormatting>
  <conditionalFormatting sqref="AH144">
    <cfRule type="cellIs" dxfId="227" priority="107" operator="equal">
      <formula>"apagado"</formula>
    </cfRule>
  </conditionalFormatting>
  <conditionalFormatting sqref="AH133">
    <cfRule type="cellIs" dxfId="226" priority="106" operator="equal">
      <formula>"apagado"</formula>
    </cfRule>
  </conditionalFormatting>
  <conditionalFormatting sqref="AH135">
    <cfRule type="cellIs" dxfId="225" priority="105" operator="equal">
      <formula>"apagado"</formula>
    </cfRule>
  </conditionalFormatting>
  <conditionalFormatting sqref="AH115">
    <cfRule type="cellIs" dxfId="224" priority="104" operator="equal">
      <formula>"apagado"</formula>
    </cfRule>
  </conditionalFormatting>
  <conditionalFormatting sqref="AH116">
    <cfRule type="cellIs" dxfId="223" priority="103" operator="equal">
      <formula>"apagado"</formula>
    </cfRule>
  </conditionalFormatting>
  <conditionalFormatting sqref="AH120">
    <cfRule type="cellIs" dxfId="222" priority="102" operator="equal">
      <formula>"apagado"</formula>
    </cfRule>
  </conditionalFormatting>
  <conditionalFormatting sqref="AH121">
    <cfRule type="cellIs" dxfId="221" priority="101" operator="equal">
      <formula>"apagado"</formula>
    </cfRule>
  </conditionalFormatting>
  <conditionalFormatting sqref="AH99">
    <cfRule type="cellIs" dxfId="220" priority="100" operator="equal">
      <formula>"apagado"</formula>
    </cfRule>
  </conditionalFormatting>
  <conditionalFormatting sqref="AH94">
    <cfRule type="cellIs" dxfId="219" priority="98" operator="lessThan">
      <formula>0.8</formula>
    </cfRule>
    <cfRule type="cellIs" dxfId="218" priority="99" operator="greaterThan">
      <formula>0.8</formula>
    </cfRule>
  </conditionalFormatting>
  <conditionalFormatting sqref="AH94">
    <cfRule type="notContainsText" dxfId="217" priority="96" operator="notContains" text="Caida">
      <formula>ISERROR(SEARCH("Caida",AH94))</formula>
    </cfRule>
    <cfRule type="containsText" dxfId="216" priority="97" operator="containsText" text="Caida">
      <formula>NOT(ISERROR(SEARCH("Caida",AH94)))</formula>
    </cfRule>
  </conditionalFormatting>
  <conditionalFormatting sqref="AH94">
    <cfRule type="cellIs" dxfId="215" priority="95" operator="equal">
      <formula>"apagado"</formula>
    </cfRule>
  </conditionalFormatting>
  <conditionalFormatting sqref="AH96">
    <cfRule type="cellIs" dxfId="214" priority="94" operator="equal">
      <formula>"apagado"</formula>
    </cfRule>
  </conditionalFormatting>
  <conditionalFormatting sqref="V373:X396 AA373:AJ396 N373:N396">
    <cfRule type="cellIs" dxfId="213" priority="78" operator="lessThan">
      <formula>0.8</formula>
    </cfRule>
    <cfRule type="cellIs" dxfId="212" priority="79" operator="greaterThan">
      <formula>0.8</formula>
    </cfRule>
  </conditionalFormatting>
  <conditionalFormatting sqref="E373:K379">
    <cfRule type="containsText" dxfId="211" priority="77" operator="containsText" text="Radio">
      <formula>NOT(ISERROR(SEARCH("Radio",E373)))</formula>
    </cfRule>
  </conditionalFormatting>
  <conditionalFormatting sqref="O373:O396 V373:X396 AA373:AP396 AR373:AR396">
    <cfRule type="notContainsText" dxfId="210" priority="75" operator="notContains" text="Caida">
      <formula>ISERROR(SEARCH("Caida",O373))</formula>
    </cfRule>
    <cfRule type="containsText" dxfId="209" priority="76" operator="containsText" text="Caida">
      <formula>NOT(ISERROR(SEARCH("Caida",O373)))</formula>
    </cfRule>
  </conditionalFormatting>
  <conditionalFormatting sqref="P373:P396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P373:P396">
    <cfRule type="notContainsText" dxfId="206" priority="71" operator="notContains" text="Caida">
      <formula>ISERROR(SEARCH("Caida",P373))</formula>
    </cfRule>
    <cfRule type="containsText" dxfId="205" priority="72" operator="containsText" text="Caida">
      <formula>NOT(ISERROR(SEARCH("Caida",P373)))</formula>
    </cfRule>
  </conditionalFormatting>
  <conditionalFormatting sqref="Q373:Q396">
    <cfRule type="cellIs" dxfId="204" priority="69" operator="lessThan">
      <formula>0.8</formula>
    </cfRule>
    <cfRule type="cellIs" dxfId="203" priority="70" operator="greaterThan">
      <formula>0.8</formula>
    </cfRule>
  </conditionalFormatting>
  <conditionalFormatting sqref="Q373:Q396">
    <cfRule type="notContainsText" dxfId="202" priority="67" operator="notContains" text="Caida">
      <formula>ISERROR(SEARCH("Caida",Q373))</formula>
    </cfRule>
    <cfRule type="containsText" dxfId="201" priority="68" operator="containsText" text="Caida">
      <formula>NOT(ISERROR(SEARCH("Caida",Q373)))</formula>
    </cfRule>
  </conditionalFormatting>
  <conditionalFormatting sqref="U373:U396">
    <cfRule type="cellIs" dxfId="200" priority="65" operator="lessThan">
      <formula>0.8</formula>
    </cfRule>
    <cfRule type="cellIs" dxfId="199" priority="66" operator="greaterThan">
      <formula>0.8</formula>
    </cfRule>
  </conditionalFormatting>
  <conditionalFormatting sqref="U373:U396">
    <cfRule type="notContainsText" dxfId="198" priority="63" operator="notContains" text="Caida">
      <formula>ISERROR(SEARCH("Caida",U373))</formula>
    </cfRule>
    <cfRule type="containsText" dxfId="197" priority="64" operator="containsText" text="Caida">
      <formula>NOT(ISERROR(SEARCH("Caida",U373)))</formula>
    </cfRule>
  </conditionalFormatting>
  <conditionalFormatting sqref="E373:E379">
    <cfRule type="containsText" dxfId="196" priority="61" operator="containsText" text="fija">
      <formula>NOT(ISERROR(SEARCH("fija",E373)))</formula>
    </cfRule>
    <cfRule type="containsText" dxfId="195" priority="62" operator="containsText" text="domo">
      <formula>NOT(ISERROR(SEARCH("domo",E373)))</formula>
    </cfRule>
  </conditionalFormatting>
  <conditionalFormatting sqref="O373:O396 AK373:AR396">
    <cfRule type="cellIs" dxfId="194" priority="60" operator="equal">
      <formula>"APAGADO"</formula>
    </cfRule>
  </conditionalFormatting>
  <conditionalFormatting sqref="F373:F379">
    <cfRule type="cellIs" dxfId="193" priority="59" operator="equal">
      <formula>"PTP A FO"</formula>
    </cfRule>
  </conditionalFormatting>
  <conditionalFormatting sqref="R373:T396">
    <cfRule type="cellIs" dxfId="192" priority="57" operator="lessThan">
      <formula>0.8</formula>
    </cfRule>
    <cfRule type="cellIs" dxfId="191" priority="58" operator="greaterThan">
      <formula>0.8</formula>
    </cfRule>
  </conditionalFormatting>
  <conditionalFormatting sqref="R373:T396">
    <cfRule type="notContainsText" dxfId="190" priority="55" operator="notContains" text="Caida">
      <formula>ISERROR(SEARCH("Caida",R373))</formula>
    </cfRule>
    <cfRule type="containsText" dxfId="189" priority="56" operator="containsText" text="Caida">
      <formula>NOT(ISERROR(SEARCH("Caida",R373)))</formula>
    </cfRule>
  </conditionalFormatting>
  <conditionalFormatting sqref="AF373:AF396">
    <cfRule type="cellIs" dxfId="188" priority="54" operator="equal">
      <formula>"apagado"</formula>
    </cfRule>
  </conditionalFormatting>
  <conditionalFormatting sqref="AE373:AE396">
    <cfRule type="cellIs" dxfId="187" priority="53" operator="equal">
      <formula>"apagado"</formula>
    </cfRule>
  </conditionalFormatting>
  <conditionalFormatting sqref="AD373:AD396">
    <cfRule type="cellIs" dxfId="186" priority="52" operator="equal">
      <formula>"apagado"</formula>
    </cfRule>
  </conditionalFormatting>
  <conditionalFormatting sqref="AC373:AC396">
    <cfRule type="cellIs" dxfId="185" priority="51" operator="equal">
      <formula>"apagado"</formula>
    </cfRule>
  </conditionalFormatting>
  <conditionalFormatting sqref="AB373:AB396">
    <cfRule type="cellIs" dxfId="184" priority="50" operator="equal">
      <formula>"apagado"</formula>
    </cfRule>
  </conditionalFormatting>
  <conditionalFormatting sqref="AA373:AA396">
    <cfRule type="cellIs" dxfId="183" priority="49" operator="equal">
      <formula>"apagado"</formula>
    </cfRule>
  </conditionalFormatting>
  <conditionalFormatting sqref="AG373:AG396">
    <cfRule type="cellIs" dxfId="182" priority="48" operator="equal">
      <formula>"apagado"</formula>
    </cfRule>
  </conditionalFormatting>
  <conditionalFormatting sqref="AH373:AH396">
    <cfRule type="cellIs" dxfId="181" priority="47" operator="equal">
      <formula>"apagado"</formula>
    </cfRule>
  </conditionalFormatting>
  <conditionalFormatting sqref="AI373:AI396">
    <cfRule type="cellIs" dxfId="180" priority="46" operator="equal">
      <formula>"apagado"</formula>
    </cfRule>
  </conditionalFormatting>
  <conditionalFormatting sqref="AJ373:AJ396">
    <cfRule type="cellIs" dxfId="179" priority="45" operator="equal">
      <formula>"apagado"</formula>
    </cfRule>
  </conditionalFormatting>
  <conditionalFormatting sqref="AQ373:AQ396">
    <cfRule type="notContainsText" dxfId="178" priority="43" operator="notContains" text="Caida">
      <formula>ISERROR(SEARCH("Caida",AQ373))</formula>
    </cfRule>
    <cfRule type="containsText" dxfId="177" priority="44" operator="containsText" text="Caida">
      <formula>NOT(ISERROR(SEARCH("Caida",AQ373)))</formula>
    </cfRule>
  </conditionalFormatting>
  <conditionalFormatting sqref="AQ373:AQ396">
    <cfRule type="cellIs" dxfId="176" priority="42" operator="equal">
      <formula>"apagado"</formula>
    </cfRule>
  </conditionalFormatting>
  <conditionalFormatting sqref="O373:X396 AA373:AR396">
    <cfRule type="cellIs" dxfId="175" priority="41" operator="equal">
      <formula>"APAGADO"</formula>
    </cfRule>
  </conditionalFormatting>
  <conditionalFormatting sqref="Y373:Y396">
    <cfRule type="cellIs" dxfId="174" priority="39" operator="lessThan">
      <formula>0.8</formula>
    </cfRule>
    <cfRule type="cellIs" dxfId="173" priority="40" operator="greaterThan">
      <formula>0.8</formula>
    </cfRule>
  </conditionalFormatting>
  <conditionalFormatting sqref="Y373:Y396">
    <cfRule type="notContainsText" dxfId="172" priority="37" operator="notContains" text="Caida">
      <formula>ISERROR(SEARCH("Caida",Y373))</formula>
    </cfRule>
    <cfRule type="containsText" dxfId="171" priority="38" operator="containsText" text="Caida">
      <formula>NOT(ISERROR(SEARCH("Caida",Y373)))</formula>
    </cfRule>
  </conditionalFormatting>
  <conditionalFormatting sqref="Y373:Y396">
    <cfRule type="cellIs" dxfId="170" priority="36" operator="equal">
      <formula>"APAGADO"</formula>
    </cfRule>
  </conditionalFormatting>
  <conditionalFormatting sqref="Y373:Y396">
    <cfRule type="cellIs" dxfId="169" priority="35" operator="equal">
      <formula>"apagado"</formula>
    </cfRule>
  </conditionalFormatting>
  <conditionalFormatting sqref="Z373:Z396">
    <cfRule type="cellIs" dxfId="168" priority="33" operator="lessThan">
      <formula>0.8</formula>
    </cfRule>
    <cfRule type="cellIs" dxfId="167" priority="34" operator="greaterThan">
      <formula>0.8</formula>
    </cfRule>
  </conditionalFormatting>
  <conditionalFormatting sqref="Z373:Z396">
    <cfRule type="notContainsText" dxfId="166" priority="31" operator="notContains" text="Caida">
      <formula>ISERROR(SEARCH("Caida",Z373))</formula>
    </cfRule>
    <cfRule type="containsText" dxfId="165" priority="32" operator="containsText" text="Caida">
      <formula>NOT(ISERROR(SEARCH("Caida",Z373)))</formula>
    </cfRule>
  </conditionalFormatting>
  <conditionalFormatting sqref="Z373:Z396">
    <cfRule type="cellIs" dxfId="164" priority="30" operator="equal">
      <formula>"APAGADO"</formula>
    </cfRule>
  </conditionalFormatting>
  <conditionalFormatting sqref="Z373:Z396">
    <cfRule type="cellIs" dxfId="163" priority="29" operator="equal">
      <formula>"apagado"</formula>
    </cfRule>
  </conditionalFormatting>
  <conditionalFormatting sqref="AS95:AS369">
    <cfRule type="cellIs" dxfId="162" priority="27" operator="lessThan">
      <formula>0.8</formula>
    </cfRule>
    <cfRule type="cellIs" dxfId="161" priority="28" operator="greaterThan">
      <formula>0.8</formula>
    </cfRule>
  </conditionalFormatting>
  <conditionalFormatting sqref="AS95:AS372">
    <cfRule type="notContainsText" dxfId="160" priority="25" operator="notContains" text="Caida">
      <formula>ISERROR(SEARCH("Caida",AS95))</formula>
    </cfRule>
    <cfRule type="containsText" dxfId="159" priority="26" operator="containsText" text="Caida">
      <formula>NOT(ISERROR(SEARCH("Caida",AS95)))</formula>
    </cfRule>
  </conditionalFormatting>
  <conditionalFormatting sqref="AS22">
    <cfRule type="containsText" dxfId="158" priority="24" operator="containsText" text="Instaladas en Funcionamiento Caida">
      <formula>NOT(ISERROR(SEARCH("Instaladas en Funcionamiento Caida",AS22)))</formula>
    </cfRule>
  </conditionalFormatting>
  <conditionalFormatting sqref="AS5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5">
    <cfRule type="notContainsText" dxfId="155" priority="20" operator="notContains" text="Caida">
      <formula>ISERROR(SEARCH("Caida",AS5))</formula>
    </cfRule>
    <cfRule type="containsText" dxfId="154" priority="21" operator="containsText" text="Caida">
      <formula>NOT(ISERROR(SEARCH("Caida",AS5)))</formula>
    </cfRule>
  </conditionalFormatting>
  <conditionalFormatting sqref="AS1 AS5:AS372">
    <cfRule type="cellIs" dxfId="153" priority="19" operator="equal">
      <formula>"APAGADO"</formula>
    </cfRule>
  </conditionalFormatting>
  <conditionalFormatting sqref="AS6:AS92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6:AS92">
    <cfRule type="notContainsText" dxfId="150" priority="15" operator="notContains" text="Caida">
      <formula>ISERROR(SEARCH("Caida",AS6))</formula>
    </cfRule>
    <cfRule type="containsText" dxfId="149" priority="16" operator="containsText" text="Caida">
      <formula>NOT(ISERROR(SEARCH("Caida",AS6)))</formula>
    </cfRule>
  </conditionalFormatting>
  <conditionalFormatting sqref="AS93:AS94">
    <cfRule type="cellIs" dxfId="148" priority="13" operator="lessThan">
      <formula>0.8</formula>
    </cfRule>
    <cfRule type="cellIs" dxfId="147" priority="14" operator="greaterThan">
      <formula>0.8</formula>
    </cfRule>
  </conditionalFormatting>
  <conditionalFormatting sqref="AS93:AS94">
    <cfRule type="notContainsText" dxfId="146" priority="11" operator="notContains" text="Caida">
      <formula>ISERROR(SEARCH("Caida",AS93))</formula>
    </cfRule>
    <cfRule type="containsText" dxfId="145" priority="12" operator="containsText" text="Caida">
      <formula>NOT(ISERROR(SEARCH("Caida",AS93)))</formula>
    </cfRule>
  </conditionalFormatting>
  <conditionalFormatting sqref="AS5:AS372">
    <cfRule type="cellIs" dxfId="144" priority="10" operator="equal">
      <formula>"APAGADO"</formula>
    </cfRule>
  </conditionalFormatting>
  <conditionalFormatting sqref="AS373:AS396">
    <cfRule type="notContainsText" dxfId="143" priority="8" operator="notContains" text="Caida">
      <formula>ISERROR(SEARCH("Caida",AS373))</formula>
    </cfRule>
    <cfRule type="containsText" dxfId="142" priority="9" operator="containsText" text="Caida">
      <formula>NOT(ISERROR(SEARCH("Caida",AS373)))</formula>
    </cfRule>
  </conditionalFormatting>
  <conditionalFormatting sqref="AS373:AS396">
    <cfRule type="cellIs" dxfId="141" priority="7" operator="equal">
      <formula>"APAGADO"</formula>
    </cfRule>
  </conditionalFormatting>
  <conditionalFormatting sqref="AS373:AS396">
    <cfRule type="cellIs" dxfId="140" priority="6" operator="equal">
      <formula>"APAGADO"</formula>
    </cfRule>
  </conditionalFormatting>
  <conditionalFormatting sqref="F1:F1048576">
    <cfRule type="cellIs" dxfId="139" priority="5" operator="equal">
      <formula>"PTP A FO"</formula>
    </cfRule>
    <cfRule type="cellIs" dxfId="138" priority="4" operator="equal">
      <formula>$F$7</formula>
    </cfRule>
  </conditionalFormatting>
  <conditionalFormatting sqref="E1:E1048576">
    <cfRule type="cellIs" dxfId="137" priority="3" operator="equal">
      <formula>$E$5</formula>
    </cfRule>
  </conditionalFormatting>
  <conditionalFormatting sqref="C1:C1048576">
    <cfRule type="cellIs" dxfId="136" priority="2" operator="equal">
      <formula>$C$182</formula>
    </cfRule>
    <cfRule type="cellIs" dxfId="135" priority="1" operator="equal">
      <formula>$C$194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</row>
    <row r="385" spans="1:33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</row>
    <row r="386" spans="1:33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</row>
    <row r="387" spans="1:33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1191</v>
      </c>
      <c r="D1" s="49">
        <f>COUNTIFS(E4:E400,"=Fibra Optica")</f>
        <v>260</v>
      </c>
    </row>
    <row r="2" spans="1:35" ht="21" x14ac:dyDescent="0.4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4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367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1400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I454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V365" activePane="bottomRight" state="frozenSplit"/>
      <selection pane="topRight" activeCell="F1" sqref="F1"/>
      <selection pane="bottomLeft" activeCell="A3" sqref="A3"/>
      <selection pane="bottomRight" activeCell="Z381" sqref="Z381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1192</v>
      </c>
      <c r="D1" s="50">
        <f>COUNTIFS(E4:E400,"=radio")</f>
        <v>95</v>
      </c>
    </row>
    <row r="2" spans="1:35" ht="21" x14ac:dyDescent="0.4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I400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21" sqref="B21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3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3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3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3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3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3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3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3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3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3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3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3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3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3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3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3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3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3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3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3">
      <c r="A22" s="25">
        <f>'APAGADOS RADIO'!Z3</f>
        <v>44763</v>
      </c>
      <c r="B22" s="51"/>
      <c r="C22" s="51"/>
      <c r="D22" s="51"/>
      <c r="E22" s="51"/>
      <c r="F22" s="51"/>
    </row>
    <row r="23" spans="1:7" x14ac:dyDescent="0.3">
      <c r="A23" s="25">
        <f>'APAGADOS RADIO'!AA3</f>
        <v>44764</v>
      </c>
      <c r="B23" s="51"/>
      <c r="C23" s="51"/>
      <c r="D23" s="51"/>
      <c r="E23" s="51"/>
      <c r="F23" s="51"/>
    </row>
    <row r="24" spans="1:7" x14ac:dyDescent="0.3">
      <c r="A24" s="25">
        <f>'APAGADOS RADIO'!AB3</f>
        <v>44765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44766</v>
      </c>
      <c r="B25" s="51"/>
      <c r="C25" s="51"/>
      <c r="D25" s="51"/>
      <c r="E25" s="51"/>
    </row>
    <row r="26" spans="1:7" x14ac:dyDescent="0.3">
      <c r="A26" s="25">
        <f>'APAGADOS RADIO'!AD3</f>
        <v>44767</v>
      </c>
      <c r="B26" s="51"/>
      <c r="C26" s="51"/>
      <c r="D26" s="51"/>
      <c r="E26" s="51"/>
    </row>
    <row r="27" spans="1:7" x14ac:dyDescent="0.3">
      <c r="A27" s="25">
        <f>'APAGADOS RADIO'!AE3</f>
        <v>44768</v>
      </c>
      <c r="B27" s="51"/>
      <c r="C27" s="51"/>
      <c r="D27" s="51"/>
      <c r="E27" s="51"/>
    </row>
    <row r="28" spans="1:7" x14ac:dyDescent="0.3">
      <c r="A28" s="25">
        <f>'APAGADOS RADIO'!AF3</f>
        <v>44769</v>
      </c>
      <c r="B28" s="51"/>
      <c r="C28" s="51"/>
      <c r="D28" s="51"/>
      <c r="E28" s="51"/>
    </row>
    <row r="29" spans="1:7" x14ac:dyDescent="0.3">
      <c r="A29" s="25">
        <f>'APAGADOS RADIO'!AG3</f>
        <v>44770</v>
      </c>
      <c r="B29" s="51"/>
      <c r="C29" s="51"/>
      <c r="D29" s="51"/>
      <c r="E29" s="51"/>
    </row>
    <row r="30" spans="1:7" x14ac:dyDescent="0.3">
      <c r="A30" s="25">
        <f>'APAGADOS RADIO'!AH3</f>
        <v>44771</v>
      </c>
      <c r="B30" s="51"/>
      <c r="C30" s="51"/>
      <c r="D30" s="51"/>
      <c r="E30" s="51"/>
    </row>
    <row r="31" spans="1:7" x14ac:dyDescent="0.3">
      <c r="A31" s="25">
        <f>'APAGADOS RADIO'!AI3</f>
        <v>44772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7" sqref="A17:E21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1207</v>
      </c>
      <c r="D1" s="61" t="s">
        <v>1208</v>
      </c>
    </row>
    <row r="2" spans="1:13" ht="15.6" thickTop="1" thickBot="1" x14ac:dyDescent="0.35">
      <c r="A2" s="58" t="s">
        <v>1204</v>
      </c>
      <c r="B2" s="69">
        <v>375</v>
      </c>
      <c r="C2" s="65"/>
      <c r="D2" s="62"/>
      <c r="E2" s="106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07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03">
        <v>44753</v>
      </c>
    </row>
    <row r="4" spans="1:13" x14ac:dyDescent="0.3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07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04"/>
    </row>
    <row r="5" spans="1:13" x14ac:dyDescent="0.3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07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04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08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04"/>
    </row>
    <row r="7" spans="1:13" ht="15" customHeight="1" thickTop="1" x14ac:dyDescent="0.3">
      <c r="A7" s="58" t="s">
        <v>1204</v>
      </c>
      <c r="B7" s="69">
        <v>375</v>
      </c>
      <c r="C7" s="65"/>
      <c r="D7" s="62"/>
      <c r="E7" s="106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04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07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09"/>
    </row>
    <row r="9" spans="1:13" ht="15.6" thickTop="1" thickBot="1" x14ac:dyDescent="0.35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07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07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03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08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04"/>
    </row>
    <row r="12" spans="1:13" ht="15" thickTop="1" x14ac:dyDescent="0.3">
      <c r="A12" s="58" t="s">
        <v>1204</v>
      </c>
      <c r="B12" s="69">
        <v>375</v>
      </c>
      <c r="C12" s="65"/>
      <c r="D12" s="62"/>
      <c r="E12" s="106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04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07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04"/>
    </row>
    <row r="14" spans="1:13" x14ac:dyDescent="0.3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07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04"/>
    </row>
    <row r="15" spans="1:13" ht="15" customHeight="1" thickBot="1" x14ac:dyDescent="0.35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07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05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08"/>
      <c r="G16" s="72"/>
      <c r="H16" s="73"/>
      <c r="I16" s="73"/>
      <c r="J16" s="73"/>
      <c r="K16" s="74"/>
      <c r="L16" s="75"/>
      <c r="M16" s="103"/>
    </row>
    <row r="17" spans="1:13" ht="15" thickTop="1" x14ac:dyDescent="0.3">
      <c r="A17" s="58" t="s">
        <v>1204</v>
      </c>
      <c r="B17" s="69">
        <v>392</v>
      </c>
      <c r="C17" s="65"/>
      <c r="D17" s="62"/>
      <c r="E17" s="106">
        <v>44762</v>
      </c>
      <c r="G17" s="76"/>
      <c r="H17" s="77"/>
      <c r="I17" s="77"/>
      <c r="J17" s="77"/>
      <c r="K17" s="78"/>
      <c r="L17" s="79"/>
      <c r="M17" s="104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07"/>
      <c r="G18" s="76"/>
      <c r="H18" s="77"/>
      <c r="I18" s="77"/>
      <c r="J18" s="77"/>
      <c r="K18" s="78"/>
      <c r="L18" s="79"/>
      <c r="M18" s="104"/>
    </row>
    <row r="19" spans="1:13" x14ac:dyDescent="0.3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07"/>
      <c r="G19" s="76"/>
      <c r="H19" s="77"/>
      <c r="I19" s="77"/>
      <c r="J19" s="77"/>
      <c r="K19" s="78"/>
      <c r="L19" s="79"/>
      <c r="M19" s="104"/>
    </row>
    <row r="20" spans="1:13" x14ac:dyDescent="0.3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07"/>
      <c r="G20" s="76"/>
      <c r="H20" s="77"/>
      <c r="I20" s="77"/>
      <c r="J20" s="77"/>
      <c r="K20" s="78"/>
      <c r="L20" s="79"/>
      <c r="M20" s="104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08"/>
      <c r="G21" s="80"/>
      <c r="H21" s="81"/>
      <c r="I21" s="81"/>
      <c r="J21" s="81"/>
      <c r="K21" s="81"/>
      <c r="L21" s="82"/>
      <c r="M21" s="105"/>
    </row>
    <row r="22" spans="1:13" ht="15" thickTop="1" x14ac:dyDescent="0.3">
      <c r="A22" s="58"/>
      <c r="B22" s="69"/>
      <c r="C22" s="65"/>
      <c r="D22" s="62"/>
      <c r="E22" s="106"/>
    </row>
    <row r="23" spans="1:13" ht="15" thickBot="1" x14ac:dyDescent="0.35">
      <c r="A23" s="59"/>
      <c r="B23" s="70"/>
      <c r="C23" s="66"/>
      <c r="D23" s="63"/>
      <c r="E23" s="107"/>
    </row>
    <row r="24" spans="1:13" ht="15" thickTop="1" x14ac:dyDescent="0.3">
      <c r="A24" s="59"/>
      <c r="B24" s="70"/>
      <c r="C24" s="66"/>
      <c r="D24" s="63"/>
      <c r="E24" s="107"/>
      <c r="G24" s="72"/>
      <c r="H24" s="73"/>
      <c r="I24" s="73"/>
      <c r="J24" s="73"/>
      <c r="K24" s="74"/>
      <c r="L24" s="75"/>
      <c r="M24" s="103"/>
    </row>
    <row r="25" spans="1:13" x14ac:dyDescent="0.3">
      <c r="A25" s="59"/>
      <c r="B25" s="70"/>
      <c r="C25" s="66"/>
      <c r="D25" s="63"/>
      <c r="E25" s="107"/>
      <c r="G25" s="76"/>
      <c r="H25" s="77"/>
      <c r="I25" s="77"/>
      <c r="J25" s="77"/>
      <c r="K25" s="78"/>
      <c r="L25" s="79"/>
      <c r="M25" s="104"/>
    </row>
    <row r="26" spans="1:13" ht="15" thickBot="1" x14ac:dyDescent="0.35">
      <c r="A26" s="60"/>
      <c r="B26" s="71"/>
      <c r="C26" s="67"/>
      <c r="D26" s="64"/>
      <c r="E26" s="108"/>
      <c r="G26" s="76"/>
      <c r="H26" s="77"/>
      <c r="I26" s="77"/>
      <c r="J26" s="77"/>
      <c r="K26" s="78"/>
      <c r="L26" s="79"/>
      <c r="M26" s="104"/>
    </row>
    <row r="27" spans="1:13" ht="15" thickTop="1" x14ac:dyDescent="0.3">
      <c r="A27" s="58"/>
      <c r="B27" s="69"/>
      <c r="C27" s="65"/>
      <c r="D27" s="62"/>
      <c r="E27" s="106"/>
      <c r="G27" s="76"/>
      <c r="H27" s="77"/>
      <c r="I27" s="77"/>
      <c r="J27" s="77"/>
      <c r="K27" s="78"/>
      <c r="L27" s="79"/>
      <c r="M27" s="104"/>
    </row>
    <row r="28" spans="1:13" x14ac:dyDescent="0.3">
      <c r="A28" s="59"/>
      <c r="B28" s="70"/>
      <c r="C28" s="66"/>
      <c r="D28" s="63"/>
      <c r="E28" s="107"/>
      <c r="G28" s="76"/>
      <c r="H28" s="77"/>
      <c r="I28" s="77"/>
      <c r="J28" s="77"/>
      <c r="K28" s="78"/>
      <c r="L28" s="79"/>
      <c r="M28" s="104"/>
    </row>
    <row r="29" spans="1:13" ht="15" thickBot="1" x14ac:dyDescent="0.35">
      <c r="A29" s="59"/>
      <c r="B29" s="70"/>
      <c r="C29" s="66"/>
      <c r="D29" s="63"/>
      <c r="E29" s="107"/>
      <c r="G29" s="80"/>
      <c r="H29" s="81"/>
      <c r="I29" s="81"/>
      <c r="J29" s="81"/>
      <c r="K29" s="81"/>
      <c r="L29" s="82"/>
      <c r="M29" s="105"/>
    </row>
    <row r="30" spans="1:13" ht="15" thickTop="1" x14ac:dyDescent="0.3">
      <c r="A30" s="59"/>
      <c r="B30" s="70"/>
      <c r="C30" s="66"/>
      <c r="D30" s="63"/>
      <c r="E30" s="107"/>
    </row>
    <row r="31" spans="1:13" ht="15" thickBot="1" x14ac:dyDescent="0.35">
      <c r="A31" s="60"/>
      <c r="B31" s="71"/>
      <c r="C31" s="67"/>
      <c r="D31" s="64"/>
      <c r="E31" s="108"/>
    </row>
    <row r="32" spans="1:13" ht="15" thickTop="1" x14ac:dyDescent="0.3">
      <c r="A32" s="58"/>
      <c r="B32" s="69"/>
      <c r="C32" s="65"/>
      <c r="D32" s="62"/>
      <c r="E32" s="106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07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07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07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08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06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07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07"/>
    </row>
    <row r="40" spans="1:13" ht="15" thickTop="1" x14ac:dyDescent="0.3">
      <c r="A40" s="59"/>
      <c r="B40" s="70"/>
      <c r="C40" s="66"/>
      <c r="D40" s="63"/>
      <c r="E40" s="107"/>
      <c r="G40" s="72"/>
      <c r="H40" s="73"/>
      <c r="I40" s="73"/>
      <c r="J40" s="73"/>
      <c r="K40" s="74"/>
      <c r="L40" s="75"/>
      <c r="M40" s="103"/>
    </row>
    <row r="41" spans="1:13" ht="15" thickBot="1" x14ac:dyDescent="0.35">
      <c r="A41" s="60"/>
      <c r="B41" s="71"/>
      <c r="C41" s="67"/>
      <c r="D41" s="64"/>
      <c r="E41" s="108"/>
      <c r="G41" s="76"/>
      <c r="H41" s="77"/>
      <c r="I41" s="77"/>
      <c r="J41" s="77"/>
      <c r="K41" s="78"/>
      <c r="L41" s="79"/>
      <c r="M41" s="104"/>
    </row>
    <row r="42" spans="1:13" ht="15" thickTop="1" x14ac:dyDescent="0.3">
      <c r="G42" s="76"/>
      <c r="H42" s="77"/>
      <c r="I42" s="77"/>
      <c r="J42" s="77"/>
      <c r="K42" s="78"/>
      <c r="L42" s="79"/>
      <c r="M42" s="104"/>
    </row>
    <row r="43" spans="1:13" x14ac:dyDescent="0.3">
      <c r="G43" s="76"/>
      <c r="H43" s="77"/>
      <c r="I43" s="77"/>
      <c r="J43" s="77"/>
      <c r="K43" s="78"/>
      <c r="L43" s="79"/>
      <c r="M43" s="104"/>
    </row>
    <row r="44" spans="1:13" x14ac:dyDescent="0.3">
      <c r="G44" s="76"/>
      <c r="H44" s="77"/>
      <c r="I44" s="77"/>
      <c r="J44" s="77"/>
      <c r="K44" s="78"/>
      <c r="L44" s="79"/>
      <c r="M44" s="104"/>
    </row>
    <row r="45" spans="1:13" ht="15" thickBot="1" x14ac:dyDescent="0.35">
      <c r="G45" s="80"/>
      <c r="H45" s="81"/>
      <c r="I45" s="81"/>
      <c r="J45" s="81"/>
      <c r="K45" s="81"/>
      <c r="L45" s="82"/>
      <c r="M45" s="105"/>
    </row>
    <row r="46" spans="1:13" ht="15" thickTop="1" x14ac:dyDescent="0.3"/>
    <row r="47" spans="1:13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2022-07-20T17:14:08Z</dcterms:modified>
</cp:coreProperties>
</file>