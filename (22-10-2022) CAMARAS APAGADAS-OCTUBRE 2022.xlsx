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1F06EFAE-AB57-4E0A-A4CF-68B5DBE17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22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1" i="14" l="1"/>
  <c r="F17" i="14"/>
  <c r="F20" i="14"/>
  <c r="F16" i="14"/>
  <c r="F19" i="14"/>
  <c r="F18" i="14"/>
  <c r="G18" i="14" s="1"/>
  <c r="F14" i="14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C2" i="11"/>
  <c r="U2" i="11"/>
  <c r="B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l="1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<sst xmlns="http://schemas.openxmlformats.org/spreadsheetml/2006/main" count="4078" uniqueCount="1282">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</sst>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33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0.14732142857142858</c:v>
                      </c:pt>
                      <c:pt idx="21">
                        <c:v>0.15178571428571427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4.4334975369458129E-2</c:v>
                      </c:pt>
                      <c:pt idx="21">
                        <c:v>5.4187192118226604E-2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0.14732142857142858</c:v>
                </c:pt>
                <c:pt idx="21">
                  <c:v>0.15178571428571427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4.4334975369458129E-2</c:v>
                </c:pt>
                <c:pt idx="21">
                  <c:v>5.4187192118226604E-2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33</c:v>
                      </c:pt>
                      <c:pt idx="21">
                        <c:v>34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F363" activePane="bottomRight" state="frozen"/>
      <selection pane="topRight" activeCell="M1" sqref="M1"/>
      <selection pane="bottomLeft" activeCell="A5" sqref="A5"/>
      <selection pane="bottomRight" activeCell="AF376" sqref="AF376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0.10120481927710843</v>
      </c>
      <c r="AF1" s="4">
        <f t="shared" si="0"/>
        <v>0.1076555023923445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373</v>
      </c>
      <c r="AF2" s="10">
        <f t="shared" ref="AF2:AN2" si="3">COUNTIF(AF5:AF422, "")</f>
        <v>373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42</v>
      </c>
      <c r="AF3" s="14">
        <f t="shared" si="5"/>
        <v>45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11</v>
      </c>
      <c r="I9" s="16">
        <f>COUNTIF(K9:AL9,"APAGADO")</f>
        <v>19</v>
      </c>
      <c r="J9" s="17">
        <f>(H9)/(I9+H9)</f>
        <v>0.36666666666666664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 t="s">
        <v>1277</v>
      </c>
      <c r="AF9" s="26" t="s">
        <v>1277</v>
      </c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11</v>
      </c>
      <c r="I14" s="16">
        <f t="shared" si="6"/>
        <v>19</v>
      </c>
      <c r="J14" s="17">
        <f t="shared" si="7"/>
        <v>0.36666666666666664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 t="s">
        <v>1277</v>
      </c>
      <c r="AF14" s="26" t="s">
        <v>1277</v>
      </c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12</v>
      </c>
      <c r="I16" s="16">
        <f t="shared" si="6"/>
        <v>18</v>
      </c>
      <c r="J16" s="17">
        <f t="shared" si="7"/>
        <v>0.4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 t="s">
        <v>1277</v>
      </c>
      <c r="AF16" s="26" t="s">
        <v>1277</v>
      </c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19</v>
      </c>
      <c r="I28" s="16">
        <f>COUNTIF(K28:AL28,"APAGADO")</f>
        <v>11</v>
      </c>
      <c r="J28" s="17">
        <f>(H28)/(I28+H28)</f>
        <v>0.6333333333333333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 t="s">
        <v>1277</v>
      </c>
      <c r="AF28" s="26" t="s">
        <v>1277</v>
      </c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12</v>
      </c>
      <c r="I31" s="16">
        <f t="shared" si="6"/>
        <v>18</v>
      </c>
      <c r="J31" s="17">
        <f t="shared" si="7"/>
        <v>0.4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 t="s">
        <v>1277</v>
      </c>
      <c r="AF31" s="26" t="s">
        <v>1277</v>
      </c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11</v>
      </c>
      <c r="I34" s="16">
        <f t="shared" si="6"/>
        <v>19</v>
      </c>
      <c r="J34" s="17">
        <f t="shared" si="7"/>
        <v>0.36666666666666664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 t="s">
        <v>1277</v>
      </c>
      <c r="AF34" s="26" t="s">
        <v>1277</v>
      </c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11</v>
      </c>
      <c r="I42" s="16">
        <f t="shared" si="6"/>
        <v>19</v>
      </c>
      <c r="J42" s="17">
        <f t="shared" si="7"/>
        <v>0.36666666666666664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 t="s">
        <v>1277</v>
      </c>
      <c r="AF42" s="26" t="s">
        <v>1277</v>
      </c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25</v>
      </c>
      <c r="I43" s="16">
        <f t="shared" si="6"/>
        <v>5</v>
      </c>
      <c r="J43" s="17">
        <f t="shared" si="7"/>
        <v>0.83333333333333337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 t="s">
        <v>1277</v>
      </c>
      <c r="AF43" s="26" t="s">
        <v>1277</v>
      </c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24</v>
      </c>
      <c r="I45" s="16">
        <f t="shared" si="6"/>
        <v>6</v>
      </c>
      <c r="J45" s="17">
        <f t="shared" si="7"/>
        <v>0.8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 t="s">
        <v>1277</v>
      </c>
      <c r="AF45" s="26" t="s">
        <v>1277</v>
      </c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24</v>
      </c>
      <c r="I48" s="16">
        <f t="shared" si="6"/>
        <v>6</v>
      </c>
      <c r="J48" s="17">
        <f t="shared" si="7"/>
        <v>0.8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 t="s">
        <v>1277</v>
      </c>
      <c r="AF48" s="26" t="s">
        <v>1277</v>
      </c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13</v>
      </c>
      <c r="I50" s="16">
        <f t="shared" si="6"/>
        <v>17</v>
      </c>
      <c r="J50" s="17">
        <f t="shared" si="7"/>
        <v>0.43333333333333335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 t="s">
        <v>1277</v>
      </c>
      <c r="AF50" s="26" t="s">
        <v>1277</v>
      </c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11</v>
      </c>
      <c r="I63" s="16">
        <f t="shared" si="9"/>
        <v>19</v>
      </c>
      <c r="J63" s="17">
        <f t="shared" si="10"/>
        <v>0.36666666666666664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 t="s">
        <v>1277</v>
      </c>
      <c r="AF63" s="26" t="s">
        <v>1277</v>
      </c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25</v>
      </c>
      <c r="I81" s="16">
        <f>COUNTIF(K81:AL81,"APAGADO")</f>
        <v>5</v>
      </c>
      <c r="J81" s="17">
        <f>(H81)/(I81+H81)</f>
        <v>0.83333333333333337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 t="s">
        <v>1277</v>
      </c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25</v>
      </c>
      <c r="I82" s="16">
        <f t="shared" si="9"/>
        <v>5</v>
      </c>
      <c r="J82" s="17">
        <f t="shared" si="10"/>
        <v>0.83333333333333337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 t="s">
        <v>1277</v>
      </c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11</v>
      </c>
      <c r="I88" s="16">
        <f>COUNTIF(K88:AL88,"APAGADO")</f>
        <v>19</v>
      </c>
      <c r="J88" s="17">
        <f>(H88)/(I88+H88)</f>
        <v>0.36666666666666664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 t="s">
        <v>1277</v>
      </c>
      <c r="AF88" s="26" t="s">
        <v>1277</v>
      </c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24</v>
      </c>
      <c r="I92" s="16">
        <f>COUNTIF(K92:AL92,"APAGADO")</f>
        <v>6</v>
      </c>
      <c r="J92" s="17">
        <f>(H92)/(I92+H92)</f>
        <v>0.8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 t="s">
        <v>1277</v>
      </c>
      <c r="AF92" s="26" t="s">
        <v>1277</v>
      </c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11</v>
      </c>
      <c r="I95" s="52">
        <f t="shared" si="16"/>
        <v>19</v>
      </c>
      <c r="J95" s="53">
        <f t="shared" si="17"/>
        <v>0.36666666666666664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 t="s">
        <v>1277</v>
      </c>
      <c r="AF95" s="26" t="s">
        <v>1277</v>
      </c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11</v>
      </c>
      <c r="I96" s="52">
        <f t="shared" si="16"/>
        <v>19</v>
      </c>
      <c r="J96" s="53">
        <f t="shared" si="17"/>
        <v>0.36666666666666664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 t="s">
        <v>1277</v>
      </c>
      <c r="AF96" s="26" t="s">
        <v>1277</v>
      </c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26</v>
      </c>
      <c r="I116" s="16">
        <f t="shared" si="9"/>
        <v>4</v>
      </c>
      <c r="J116" s="17">
        <f t="shared" si="10"/>
        <v>0.8666666666666667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 t="s">
        <v>1277</v>
      </c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28</v>
      </c>
      <c r="I132" s="16">
        <f t="shared" si="9"/>
        <v>2</v>
      </c>
      <c r="J132" s="17">
        <f t="shared" si="10"/>
        <v>0.93333333333333335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 t="s">
        <v>1277</v>
      </c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23</v>
      </c>
      <c r="I142" s="16">
        <f t="shared" si="9"/>
        <v>7</v>
      </c>
      <c r="J142" s="17">
        <f t="shared" si="10"/>
        <v>0.76666666666666672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 t="s">
        <v>1277</v>
      </c>
      <c r="AF142" s="26" t="s">
        <v>1277</v>
      </c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17</v>
      </c>
      <c r="I156" s="16">
        <f t="shared" si="21"/>
        <v>13</v>
      </c>
      <c r="J156" s="17">
        <f t="shared" si="22"/>
        <v>0.56666666666666665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 t="s">
        <v>1277</v>
      </c>
      <c r="AF156" s="26" t="s">
        <v>1277</v>
      </c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17</v>
      </c>
      <c r="I157" s="16">
        <f t="shared" si="21"/>
        <v>13</v>
      </c>
      <c r="J157" s="17">
        <f t="shared" si="22"/>
        <v>0.56666666666666665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 t="s">
        <v>1277</v>
      </c>
      <c r="AF157" s="26" t="s">
        <v>1277</v>
      </c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12</v>
      </c>
      <c r="I166" s="16">
        <f t="shared" si="21"/>
        <v>18</v>
      </c>
      <c r="J166" s="17">
        <f t="shared" si="22"/>
        <v>0.4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 t="s">
        <v>1277</v>
      </c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13</v>
      </c>
      <c r="I168" s="16">
        <f t="shared" si="21"/>
        <v>17</v>
      </c>
      <c r="J168" s="17">
        <f t="shared" si="22"/>
        <v>0.43333333333333335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 t="s">
        <v>1277</v>
      </c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15</v>
      </c>
      <c r="I173" s="16">
        <f t="shared" si="21"/>
        <v>15</v>
      </c>
      <c r="J173" s="17">
        <f t="shared" si="22"/>
        <v>0.5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 t="s">
        <v>1277</v>
      </c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28</v>
      </c>
      <c r="I175" s="16">
        <f t="shared" si="21"/>
        <v>2</v>
      </c>
      <c r="J175" s="17">
        <f t="shared" si="22"/>
        <v>0.93333333333333335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12</v>
      </c>
      <c r="I176" s="16">
        <f t="shared" si="21"/>
        <v>18</v>
      </c>
      <c r="J176" s="17">
        <f t="shared" si="22"/>
        <v>0.4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 t="s">
        <v>1277</v>
      </c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12</v>
      </c>
      <c r="I189" s="16">
        <f>COUNTIF(K189:AL189,"APAGADO")</f>
        <v>18</v>
      </c>
      <c r="J189" s="17">
        <f>(H189)/(I189+H189)</f>
        <v>0.4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 t="s">
        <v>1277</v>
      </c>
      <c r="AF189" s="26" t="s">
        <v>1277</v>
      </c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25</v>
      </c>
      <c r="I200" s="16">
        <f t="shared" si="21"/>
        <v>5</v>
      </c>
      <c r="J200" s="17">
        <f t="shared" si="22"/>
        <v>0.83333333333333337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 t="s">
        <v>1277</v>
      </c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11</v>
      </c>
      <c r="I220" s="16">
        <f t="shared" si="24"/>
        <v>19</v>
      </c>
      <c r="J220" s="17">
        <f t="shared" si="25"/>
        <v>0.36666666666666664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 t="s">
        <v>1277</v>
      </c>
      <c r="AF220" s="26" t="s">
        <v>1277</v>
      </c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24</v>
      </c>
      <c r="I224" s="16">
        <f t="shared" si="24"/>
        <v>6</v>
      </c>
      <c r="J224" s="17">
        <f t="shared" si="25"/>
        <v>0.8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 t="s">
        <v>1277</v>
      </c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15</v>
      </c>
      <c r="I227" s="16">
        <f t="shared" si="24"/>
        <v>15</v>
      </c>
      <c r="J227" s="17">
        <f t="shared" si="25"/>
        <v>0.5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 t="s">
        <v>1277</v>
      </c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25</v>
      </c>
      <c r="I234" s="16">
        <f t="shared" si="24"/>
        <v>5</v>
      </c>
      <c r="J234" s="17">
        <f t="shared" si="25"/>
        <v>0.83333333333333337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 t="s">
        <v>1277</v>
      </c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28</v>
      </c>
      <c r="I292" s="16">
        <f t="shared" si="28"/>
        <v>2</v>
      </c>
      <c r="J292" s="17">
        <f t="shared" si="29"/>
        <v>0.93333333333333335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29</v>
      </c>
      <c r="I315" s="16">
        <f t="shared" si="28"/>
        <v>1</v>
      </c>
      <c r="J315" s="17">
        <f t="shared" si="29"/>
        <v>0.96666666666666667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 t="s">
        <v>1277</v>
      </c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11</v>
      </c>
      <c r="I335" s="16">
        <f t="shared" si="28"/>
        <v>19</v>
      </c>
      <c r="J335" s="17">
        <f t="shared" si="29"/>
        <v>0.36666666666666664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 t="s">
        <v>1277</v>
      </c>
      <c r="AF335" s="26" t="s">
        <v>1277</v>
      </c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11</v>
      </c>
      <c r="I336" s="16">
        <f t="shared" si="28"/>
        <v>19</v>
      </c>
      <c r="J336" s="17">
        <f t="shared" si="29"/>
        <v>0.36666666666666664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 t="s">
        <v>1277</v>
      </c>
      <c r="AF336" s="26" t="s">
        <v>1277</v>
      </c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11</v>
      </c>
      <c r="I337" s="16">
        <f t="shared" si="28"/>
        <v>19</v>
      </c>
      <c r="J337" s="17">
        <f t="shared" si="29"/>
        <v>0.36666666666666664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 t="s">
        <v>1277</v>
      </c>
      <c r="AF337" s="26" t="s">
        <v>1277</v>
      </c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11</v>
      </c>
      <c r="I338" s="16">
        <f t="shared" si="28"/>
        <v>19</v>
      </c>
      <c r="J338" s="17">
        <f t="shared" si="29"/>
        <v>0.36666666666666664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 t="s">
        <v>1277</v>
      </c>
      <c r="AF338" s="26" t="s">
        <v>1277</v>
      </c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11</v>
      </c>
      <c r="I339" s="16">
        <f t="shared" si="28"/>
        <v>19</v>
      </c>
      <c r="J339" s="17">
        <f t="shared" si="29"/>
        <v>0.36666666666666664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 t="s">
        <v>1277</v>
      </c>
      <c r="AF339" s="26" t="s">
        <v>1277</v>
      </c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11</v>
      </c>
      <c r="I340" s="16">
        <f t="shared" si="28"/>
        <v>19</v>
      </c>
      <c r="J340" s="17">
        <f t="shared" si="29"/>
        <v>0.36666666666666664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 t="s">
        <v>1277</v>
      </c>
      <c r="AF340" s="26" t="s">
        <v>1277</v>
      </c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11</v>
      </c>
      <c r="I341" s="16">
        <f t="shared" si="28"/>
        <v>19</v>
      </c>
      <c r="J341" s="17">
        <f t="shared" si="29"/>
        <v>0.36666666666666664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 t="s">
        <v>1277</v>
      </c>
      <c r="AF341" s="26" t="s">
        <v>1277</v>
      </c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24</v>
      </c>
      <c r="I348" s="16">
        <f t="shared" si="37"/>
        <v>6</v>
      </c>
      <c r="J348" s="17">
        <f t="shared" si="38"/>
        <v>0.8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 t="s">
        <v>1277</v>
      </c>
      <c r="AF348" s="26" t="s">
        <v>1277</v>
      </c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26</v>
      </c>
      <c r="I362" s="16">
        <f t="shared" si="37"/>
        <v>4</v>
      </c>
      <c r="J362" s="17">
        <f t="shared" si="38"/>
        <v>0.8666666666666667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 t="s">
        <v>1277</v>
      </c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14</v>
      </c>
      <c r="I367" s="16">
        <f t="shared" si="37"/>
        <v>16</v>
      </c>
      <c r="J367" s="17">
        <f t="shared" si="38"/>
        <v>0.46666666666666667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 t="s">
        <v>1277</v>
      </c>
      <c r="AF367" s="26" t="s">
        <v>1277</v>
      </c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27</v>
      </c>
      <c r="I368" s="16">
        <f t="shared" si="37"/>
        <v>3</v>
      </c>
      <c r="J368" s="17">
        <f t="shared" si="38"/>
        <v>0.9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 t="s">
        <v>1277</v>
      </c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28</v>
      </c>
      <c r="I375" s="16">
        <f>COUNTIF(K375:AL375,"APAGADO")</f>
        <v>2</v>
      </c>
      <c r="J375" s="17">
        <f>(H375)/(I375+H375)</f>
        <v>0.93333333333333335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 t="s">
        <v>1277</v>
      </c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26</v>
      </c>
      <c r="I378" s="16">
        <f t="shared" si="37"/>
        <v>4</v>
      </c>
      <c r="J378" s="17">
        <f t="shared" si="38"/>
        <v>0.8666666666666667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 t="s">
        <v>1277</v>
      </c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26</v>
      </c>
      <c r="I379" s="16">
        <f t="shared" si="37"/>
        <v>4</v>
      </c>
      <c r="J379" s="17">
        <f t="shared" si="38"/>
        <v>0.8666666666666667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 t="s">
        <v>1277</v>
      </c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13</v>
      </c>
      <c r="I390" s="16">
        <f t="shared" si="37"/>
        <v>17</v>
      </c>
      <c r="J390" s="17">
        <f t="shared" si="38"/>
        <v>0.43333333333333335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 t="s">
        <v>1277</v>
      </c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11</v>
      </c>
      <c r="I393" s="16">
        <f t="shared" si="37"/>
        <v>19</v>
      </c>
      <c r="J393" s="17">
        <f t="shared" si="38"/>
        <v>0.36666666666666664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 t="s">
        <v>1277</v>
      </c>
      <c r="AF393" s="26" t="s">
        <v>1277</v>
      </c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28</v>
      </c>
      <c r="I395" s="16">
        <f t="shared" si="37"/>
        <v>2</v>
      </c>
      <c r="J395" s="17">
        <f t="shared" si="38"/>
        <v>0.93333333333333335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 t="s">
        <v>1277</v>
      </c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28</v>
      </c>
      <c r="I396" s="16">
        <f t="shared" si="37"/>
        <v>2</v>
      </c>
      <c r="J396" s="17">
        <f t="shared" si="38"/>
        <v>0.93333333333333335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 t="s">
        <v>1277</v>
      </c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27</v>
      </c>
      <c r="I397" s="52">
        <f t="shared" ref="I397:I403" si="42">COUNTIF(K397:AL397,"APAGADO")</f>
        <v>3</v>
      </c>
      <c r="J397" s="53">
        <f t="shared" ref="J397:J403" si="43">(H397)/(I397+H397)</f>
        <v>0.9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 t="s">
        <v>1277</v>
      </c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27</v>
      </c>
      <c r="I398" s="52">
        <f t="shared" si="42"/>
        <v>3</v>
      </c>
      <c r="J398" s="53">
        <f t="shared" si="43"/>
        <v>0.9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 t="s">
        <v>1277</v>
      </c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27</v>
      </c>
      <c r="I408" s="52">
        <f t="shared" si="45"/>
        <v>3</v>
      </c>
      <c r="J408" s="53">
        <f t="shared" si="46"/>
        <v>0.9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 t="s">
        <v>1277</v>
      </c>
      <c r="AF408" s="26" t="s">
        <v>1277</v>
      </c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1279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1278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51" t="s">
        <v>1280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51" t="s">
        <v>1281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B431" s="44" t="s">
        <v>1271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 t="str">
        <f>'RESUMEN TOTAL'!AE28</f>
        <v>APAGADO</v>
      </c>
      <c r="AA25" s="29" t="str">
        <f>'RESUMEN TOTAL'!AF28</f>
        <v>APAGADO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 t="str">
        <f>'RESUMEN TOTAL'!AE31</f>
        <v>APAGADO</v>
      </c>
      <c r="AA28" s="29" t="str">
        <f>'RESUMEN TOTAL'!AF31</f>
        <v>APAGADO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 t="str">
        <f>'RESUMEN TOTAL'!AE34</f>
        <v>APAGADO</v>
      </c>
      <c r="AA31" s="29" t="str">
        <f>'RESUMEN TOTAL'!AF34</f>
        <v>APAGADO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 t="str">
        <f>'RESUMEN TOTAL'!AE43</f>
        <v>APAGADO</v>
      </c>
      <c r="AA40" s="29" t="str">
        <f>'RESUMEN TOTAL'!AF43</f>
        <v>APAGADO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 t="str">
        <f>'RESUMEN TOTAL'!AE45</f>
        <v>APAGADO</v>
      </c>
      <c r="AA42" s="29" t="str">
        <f>'RESUMEN TOTAL'!AF45</f>
        <v>APAGADO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 t="str">
        <f>'RESUMEN TOTAL'!AE48</f>
        <v>APAGADO</v>
      </c>
      <c r="AA45" s="29" t="str">
        <f>'RESUMEN TOTAL'!AF48</f>
        <v>APAGADO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 t="str">
        <f>'RESUMEN TOTAL'!AE50</f>
        <v>APAGADO</v>
      </c>
      <c r="AA47" s="29" t="str">
        <f>'RESUMEN TOTAL'!AF50</f>
        <v>APAGADO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 t="str">
        <f>'RESUMEN TOTAL'!AF81</f>
        <v>APAGADO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 t="str">
        <f>'RESUMEN TOTAL'!AF82</f>
        <v>APAGADO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 t="str">
        <f>'RESUMEN TOTAL'!AE92</f>
        <v>APAGADO</v>
      </c>
      <c r="AA89" s="29" t="str">
        <f>'RESUMEN TOTAL'!AF92</f>
        <v>APAGADO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 t="str">
        <f>'RESUMEN TOTAL'!AE95</f>
        <v>APAGADO</v>
      </c>
      <c r="AA92" s="29" t="str">
        <f>'RESUMEN TOTAL'!AF95</f>
        <v>APAGADO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 t="str">
        <f>'RESUMEN TOTAL'!AE96</f>
        <v>APAGADO</v>
      </c>
      <c r="AA93" s="29" t="str">
        <f>'RESUMEN TOTAL'!AF96</f>
        <v>APAGADO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 t="str">
        <f>'RESUMEN TOTAL'!AF116</f>
        <v>APAGADO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 t="str">
        <f>'RESUMEN TOTAL'!AF132</f>
        <v>APAGADO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 t="str">
        <f>'RESUMEN TOTAL'!AE142</f>
        <v>APAGADO</v>
      </c>
      <c r="AA135" s="29" t="str">
        <f>'RESUMEN TOTAL'!AF142</f>
        <v>APAGADO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 t="str">
        <f>'RESUMEN TOTAL'!AE156</f>
        <v>APAGADO</v>
      </c>
      <c r="AA149" s="29" t="str">
        <f>'RESUMEN TOTAL'!AF156</f>
        <v>APAGADO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 t="str">
        <f>'RESUMEN TOTAL'!AE157</f>
        <v>APAGADO</v>
      </c>
      <c r="AA150" s="29" t="str">
        <f>'RESUMEN TOTAL'!AF157</f>
        <v>APAGADO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 t="str">
        <f>'RESUMEN TOTAL'!AE189</f>
        <v>APAGADO</v>
      </c>
      <c r="AA182" s="29" t="str">
        <f>'RESUMEN TOTAL'!AF189</f>
        <v>APAGADO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 t="str">
        <f>'RESUMEN TOTAL'!AF200</f>
        <v>APAGADO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 t="str">
        <f>'RESUMEN TOTAL'!AF220</f>
        <v>APAGADO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 t="str">
        <f>'RESUMEN TOTAL'!AE224</f>
        <v>APAGADO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 t="str">
        <f>'RESUMEN TOTAL'!AE227</f>
        <v>APAGADO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 t="str">
        <f>'RESUMEN TOTAL'!AE234</f>
        <v>APAGADO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 t="str">
        <f>'RESUMEN TOTAL'!AF315</f>
        <v>APAGADO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 t="str">
        <f>'RESUMEN TOTAL'!AF335</f>
        <v>APAGADO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 t="str">
        <f>'RESUMEN TOTAL'!AF336</f>
        <v>APAGADO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 t="str">
        <f>'RESUMEN TOTAL'!AF337</f>
        <v>APAGADO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 t="str">
        <f>'RESUMEN TOTAL'!AF338</f>
        <v>APAGADO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 t="str">
        <f>'RESUMEN TOTAL'!AF339</f>
        <v>APAGADO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 t="str">
        <f>'RESUMEN TOTAL'!AF340</f>
        <v>APAGADO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 t="str">
        <f>'RESUMEN TOTAL'!AF341</f>
        <v>APAGADO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 t="str">
        <f>'RESUMEN TOTAL'!AE348</f>
        <v>APAGADO</v>
      </c>
      <c r="AA339" s="29" t="str">
        <f>'RESUMEN TOTAL'!AF348</f>
        <v>APAGADO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 t="str">
        <f>'RESUMEN TOTAL'!AF362</f>
        <v>APAGADO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 t="str">
        <f>'RESUMEN TOTAL'!AE367</f>
        <v>APAGADO</v>
      </c>
      <c r="AA358" s="29" t="str">
        <f>'RESUMEN TOTAL'!AF367</f>
        <v>APAGADO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 t="str">
        <f>'RESUMEN TOTAL'!AF368</f>
        <v>APAGADO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 t="str">
        <f>'RESUMEN TOTAL'!AF375</f>
        <v>APAGADO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 t="str">
        <f>'RESUMEN TOTAL'!AF378</f>
        <v>APAGADO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 t="str">
        <f>'RESUMEN TOTAL'!AF379</f>
        <v>APAGADO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 t="str">
        <f>'RESUMEN TOTAL'!AF393</f>
        <v>APAGADO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 t="str">
        <f>'RESUMEN TOTAL'!AE395</f>
        <v>APAGADO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 t="str">
        <f>'RESUMEN TOTAL'!AE396</f>
        <v>APAGADO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 t="str">
        <f>'RESUMEN TOTAL'!AF397</f>
        <v>APAGADO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 t="str">
        <f>'RESUMEN TOTAL'!AF398</f>
        <v>APAGADO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 t="str">
        <f>'RESUMEN TOTAL'!AE408</f>
        <v>APAGADO</v>
      </c>
      <c r="AA397" s="29" t="str">
        <f>'RESUMEN TOTAL'!AF408</f>
        <v>APAGADO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BOSQC 03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BOSQC 04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BOSQC 01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BOSQC 02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 t="str">
        <f>'RESUMEN TOTAL'!B431</f>
        <v>X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42</v>
      </c>
      <c r="AA1" s="25">
        <f t="shared" si="0"/>
        <v>45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 t="str">
        <f>ESTADISTICA!AA28</f>
        <v>APAGADO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 t="str">
        <f>ESTADISTICA!Z40</f>
        <v>APAGADO</v>
      </c>
      <c r="AA41" t="str">
        <f>ESTADISTICA!AA40</f>
        <v>APAGADO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 t="str">
        <f>ESTADISTICA!AA79</f>
        <v>APAGADO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 t="str">
        <f>ESTADISTICA!AA113</f>
        <v>APAGADO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 t="str">
        <f>ESTADISTICA!Z217</f>
        <v>APAGADO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 t="str">
        <f>ESTADISTICA!Z384</f>
        <v>APAGADO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 t="str">
        <f>ESTADISTICA!Z385</f>
        <v>APAGADO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 t="str">
        <f>ESTADISTICA!AA386</f>
        <v>APAGADO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 t="str">
        <f>ESTADISTICA!AA387</f>
        <v>APAGADO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 t="str">
        <f>ESTADISTICA!Z397</f>
        <v>APAGADO</v>
      </c>
      <c r="AA398" s="50" t="str">
        <f>ESTADISTICA!AA397</f>
        <v>APAGADO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36</v>
      </c>
      <c r="AA2" s="25">
        <f>COUNTIFS(AA4:AA400, "=APAGADO",E4:E400,"=Fibra Optica")</f>
        <v>34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4</v>
      </c>
      <c r="AA2" s="25">
        <f>COUNTIFS(AA4:AA400, "=APAGADO",E4:E400,"=PTO A FO")</f>
        <v>6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BOSQC 03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BOSQC 04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BOSQC 01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BOSQC 02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 t="str">
        <f>ESTADISTICA!B428</f>
        <v>X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2</v>
      </c>
      <c r="AA2" s="25">
        <f>COUNTIFS(AA4:AA367, "=APAGADO",E4:E367,"=radio")</f>
        <v>4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B2" sqref="B2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427</v>
      </c>
      <c r="G2" s="54">
        <f t="shared" ref="G2" si="1">E2/F2</f>
        <v>9.1334894613583142E-2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427</v>
      </c>
      <c r="G3" s="54">
        <f t="shared" ref="G3:G6" si="3">E3/F3</f>
        <v>9.1334894613583142E-2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427</v>
      </c>
      <c r="G4" s="54">
        <f t="shared" si="3"/>
        <v>0.35831381733021078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427</v>
      </c>
      <c r="G5" s="54">
        <f t="shared" si="3"/>
        <v>0.10070257611241218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427</v>
      </c>
      <c r="G6" s="54">
        <f t="shared" si="3"/>
        <v>8.6651053864168617E-2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427</v>
      </c>
      <c r="G8" s="54">
        <f t="shared" ref="G8" si="5">E8/F8</f>
        <v>8.1967213114754092E-2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427</v>
      </c>
      <c r="G10" s="54">
        <f t="shared" ref="G10" si="7">E10/F10</f>
        <v>0.11007025761124122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427</v>
      </c>
      <c r="G11" s="54">
        <f t="shared" ref="G11" si="9">E11/F11</f>
        <v>0.10070257611241218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427</v>
      </c>
      <c r="G12" s="54">
        <f t="shared" ref="G12" si="11">E12/F12</f>
        <v>0.10070257611241218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427</v>
      </c>
      <c r="G13" s="54">
        <f t="shared" ref="G13:G15" si="13">E13/F13</f>
        <v>8.6651053864168617E-2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427</v>
      </c>
      <c r="G14" s="54">
        <f t="shared" si="13"/>
        <v>0.12412177985948478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427</v>
      </c>
      <c r="G15" s="54">
        <f t="shared" si="13"/>
        <v>7.7283372365339581E-2</v>
      </c>
    </row>
    <row r="16" spans="1:7" x14ac:dyDescent="0.25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427</v>
      </c>
      <c r="G16" s="54">
        <f t="shared" ref="G16:G21" si="15">E16/F16</f>
        <v>7.4941451990632318E-2</v>
      </c>
    </row>
    <row r="17" spans="1:7" x14ac:dyDescent="0.25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427</v>
      </c>
      <c r="G17" s="54">
        <f t="shared" si="15"/>
        <v>0.13348946135831383</v>
      </c>
    </row>
    <row r="18" spans="1:7" x14ac:dyDescent="0.25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427</v>
      </c>
      <c r="G18" s="54">
        <f t="shared" si="15"/>
        <v>0.13348946135831383</v>
      </c>
    </row>
    <row r="19" spans="1:7" x14ac:dyDescent="0.25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427</v>
      </c>
      <c r="G19" s="54">
        <f t="shared" si="15"/>
        <v>0.1053864168618267</v>
      </c>
    </row>
    <row r="20" spans="1:7" x14ac:dyDescent="0.25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427</v>
      </c>
      <c r="G20" s="54">
        <f t="shared" si="15"/>
        <v>0.21779859484777517</v>
      </c>
    </row>
    <row r="21" spans="1:7" x14ac:dyDescent="0.25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427</v>
      </c>
      <c r="G21" s="54">
        <f t="shared" si="15"/>
        <v>0.12177985948477751</v>
      </c>
    </row>
    <row r="22" spans="1:7" x14ac:dyDescent="0.25">
      <c r="A22" s="24">
        <f>'APAGADOS RADIO'!Z3</f>
        <v>44855</v>
      </c>
      <c r="B22" s="50">
        <f>'APAGADOS RADIO'!Z2+D22</f>
        <v>6</v>
      </c>
      <c r="C22" s="50">
        <f>'APAGADOS FIBRA'!Z2</f>
        <v>36</v>
      </c>
      <c r="D22" s="50">
        <f>'APAGADOS ANTENA'!Z2</f>
        <v>4</v>
      </c>
      <c r="E22" s="50">
        <f t="shared" ref="E22" si="16">B22+C22</f>
        <v>42</v>
      </c>
      <c r="F22" s="50">
        <f>'RESUMEN TOTAL'!B1</f>
        <v>427</v>
      </c>
      <c r="G22" s="54">
        <f t="shared" ref="G22" si="17">E22/F22</f>
        <v>9.8360655737704916E-2</v>
      </c>
    </row>
    <row r="23" spans="1:7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7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25">
      <c r="A31" s="24"/>
      <c r="B31" s="50"/>
      <c r="C31" s="50"/>
      <c r="D31" s="50"/>
      <c r="E31" s="50"/>
      <c r="F31" s="50"/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33</v>
      </c>
      <c r="AA3" s="75">
        <f>COUNTIFS('RESUMEN TOTAL'!C7:C501, "=BONOMO",'RESUMEN TOTAL'!AF7:AF501,"=APAGADO")</f>
        <v>34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0.14732142857142858</v>
      </c>
      <c r="AA4" s="82">
        <f t="shared" si="0"/>
        <v>0.15178571428571427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9</v>
      </c>
      <c r="AA5" s="77">
        <f>COUNTIFS('RESUMEN TOTAL'!C10:C421, "=COSEIDI",'RESUMEN TOTAL'!AF10:AF421,"=APAGADO")</f>
        <v>11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4.4334975369458129E-2</v>
      </c>
      <c r="AA6" s="81">
        <f t="shared" si="2"/>
        <v>5.4187192118226604E-2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2022-10-24T10:30:44Z</dcterms:modified>
</cp:coreProperties>
</file>