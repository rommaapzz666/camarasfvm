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8_{1586E471-7BD3-477E-89D2-8FCA9F6213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25" l="1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9" i="14" l="1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0" i="24" l="1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W2" i="21" l="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Z2" i="21"/>
  <c r="Y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W2" i="11" l="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X2" i="11"/>
  <c r="AD2" i="11"/>
  <c r="Y2" i="11"/>
  <c r="Z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J386" i="2"/>
  <c r="H386" i="2"/>
  <c r="X384" i="9"/>
  <c r="X1" i="9" s="1"/>
  <c r="X383" i="8"/>
  <c r="X385" i="10" s="1"/>
  <c r="X2" i="10" s="1"/>
  <c r="X385" i="11"/>
  <c r="AC3" i="2"/>
  <c r="AC2" i="2" s="1"/>
  <c r="AC1" i="2" s="1"/>
  <c r="I386" i="2"/>
  <c r="X385" i="21" l="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<sst xmlns="http://schemas.openxmlformats.org/spreadsheetml/2006/main" count="4072" uniqueCount="1294">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</sst>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D220" activePane="bottomRight" state="frozen"/>
      <selection pane="topRight" activeCell="M1" sqref="M1"/>
      <selection pane="bottomLeft" activeCell="A5" sqref="A5"/>
      <selection pane="bottomRight" activeCell="AD237" sqref="AD237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12</v>
      </c>
      <c r="I16" s="42">
        <f t="shared" si="3"/>
        <v>18</v>
      </c>
      <c r="J16" s="43">
        <f t="shared" si="4"/>
        <v>0.4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11</v>
      </c>
      <c r="I34" s="42">
        <f>COUNTIF(K34:AL34,"APAGADO")</f>
        <v>19</v>
      </c>
      <c r="J34" s="43">
        <f>(H34)/(I34+H34)</f>
        <v>0.36666666666666664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27</v>
      </c>
      <c r="I37" s="42">
        <f t="shared" si="3"/>
        <v>3</v>
      </c>
      <c r="J37" s="43">
        <f t="shared" si="4"/>
        <v>0.9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10</v>
      </c>
      <c r="I40" s="42">
        <f t="shared" si="3"/>
        <v>20</v>
      </c>
      <c r="J40" s="43">
        <f t="shared" si="4"/>
        <v>0.33333333333333331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10</v>
      </c>
      <c r="I48" s="42">
        <f t="shared" si="3"/>
        <v>20</v>
      </c>
      <c r="J48" s="43">
        <f t="shared" si="4"/>
        <v>0.33333333333333331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11</v>
      </c>
      <c r="I49" s="42">
        <f t="shared" si="3"/>
        <v>19</v>
      </c>
      <c r="J49" s="43">
        <f t="shared" si="4"/>
        <v>0.36666666666666664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10</v>
      </c>
      <c r="I51" s="42">
        <f t="shared" si="3"/>
        <v>20</v>
      </c>
      <c r="J51" s="43">
        <f t="shared" si="4"/>
        <v>0.33333333333333331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10</v>
      </c>
      <c r="I54" s="42">
        <f t="shared" si="3"/>
        <v>20</v>
      </c>
      <c r="J54" s="43">
        <f t="shared" si="4"/>
        <v>0.33333333333333331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10</v>
      </c>
      <c r="I56" s="42">
        <f t="shared" si="3"/>
        <v>20</v>
      </c>
      <c r="J56" s="43">
        <f t="shared" si="4"/>
        <v>0.33333333333333331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12</v>
      </c>
      <c r="I75" s="42">
        <f t="shared" si="3"/>
        <v>18</v>
      </c>
      <c r="J75" s="43">
        <f t="shared" si="4"/>
        <v>0.4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27</v>
      </c>
      <c r="I77" s="42">
        <f t="shared" ref="I77:I140" si="10">COUNTIF(K77:AL77,"APAGADO")</f>
        <v>3</v>
      </c>
      <c r="J77" s="43">
        <f t="shared" ref="J77:J140" si="11">(H77)/(I77+H77)</f>
        <v>0.9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19</v>
      </c>
      <c r="I87" s="42">
        <f>COUNTIF(K87:AL87,"APAGADO")</f>
        <v>11</v>
      </c>
      <c r="J87" s="43">
        <f>(H87)/(I87+H87)</f>
        <v>0.6333333333333333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19</v>
      </c>
      <c r="I88" s="42">
        <f t="shared" si="10"/>
        <v>11</v>
      </c>
      <c r="J88" s="43">
        <f t="shared" si="11"/>
        <v>0.6333333333333333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11</v>
      </c>
      <c r="I94" s="42">
        <f>COUNTIF(K94:AL94,"APAGADO")</f>
        <v>19</v>
      </c>
      <c r="J94" s="43">
        <f>(H94)/(I94+H94)</f>
        <v>0.36666666666666664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10</v>
      </c>
      <c r="I98" s="42">
        <f>COUNTIF(K98:AL98,"APAGADO")</f>
        <v>20</v>
      </c>
      <c r="J98" s="43">
        <f>(H98)/(I98+H98)</f>
        <v>0.33333333333333331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11</v>
      </c>
      <c r="I101" s="42">
        <f t="shared" si="10"/>
        <v>19</v>
      </c>
      <c r="J101" s="43">
        <f t="shared" si="11"/>
        <v>0.36666666666666664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11</v>
      </c>
      <c r="I102" s="42">
        <f t="shared" si="10"/>
        <v>19</v>
      </c>
      <c r="J102" s="43">
        <f t="shared" si="11"/>
        <v>0.36666666666666664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23</v>
      </c>
      <c r="I122" s="42">
        <f t="shared" si="10"/>
        <v>7</v>
      </c>
      <c r="J122" s="43">
        <f t="shared" si="11"/>
        <v>0.76666666666666672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19</v>
      </c>
      <c r="I125" s="42">
        <f t="shared" si="10"/>
        <v>11</v>
      </c>
      <c r="J125" s="43">
        <f t="shared" si="11"/>
        <v>0.6333333333333333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10</v>
      </c>
      <c r="I165" s="42">
        <f t="shared" si="12"/>
        <v>20</v>
      </c>
      <c r="J165" s="43">
        <f t="shared" si="13"/>
        <v>0.33333333333333331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11</v>
      </c>
      <c r="I166" s="42">
        <f t="shared" si="12"/>
        <v>19</v>
      </c>
      <c r="J166" s="43">
        <f t="shared" si="13"/>
        <v>0.36666666666666664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10</v>
      </c>
      <c r="I175" s="42">
        <f t="shared" si="12"/>
        <v>20</v>
      </c>
      <c r="J175" s="43">
        <f t="shared" si="13"/>
        <v>0.33333333333333331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10</v>
      </c>
      <c r="I177" s="42">
        <f t="shared" si="12"/>
        <v>20</v>
      </c>
      <c r="J177" s="43">
        <f t="shared" si="13"/>
        <v>0.33333333333333331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10</v>
      </c>
      <c r="I182" s="42">
        <f t="shared" si="12"/>
        <v>20</v>
      </c>
      <c r="J182" s="43">
        <f t="shared" si="13"/>
        <v>0.33333333333333331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25</v>
      </c>
      <c r="I184" s="42">
        <f t="shared" si="12"/>
        <v>5</v>
      </c>
      <c r="J184" s="43">
        <f t="shared" si="13"/>
        <v>0.83333333333333337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10</v>
      </c>
      <c r="I185" s="42">
        <f t="shared" si="12"/>
        <v>20</v>
      </c>
      <c r="J185" s="43">
        <f t="shared" si="13"/>
        <v>0.33333333333333331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10</v>
      </c>
      <c r="I187" s="42">
        <f t="shared" si="12"/>
        <v>20</v>
      </c>
      <c r="J187" s="43">
        <f t="shared" si="13"/>
        <v>0.33333333333333331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10</v>
      </c>
      <c r="I198" s="42">
        <f>COUNTIF(K198:AL198,"APAGADO")</f>
        <v>20</v>
      </c>
      <c r="J198" s="43">
        <f>(H198)/(I198+H198)</f>
        <v>0.33333333333333331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29</v>
      </c>
      <c r="I220" s="42">
        <f t="shared" si="12"/>
        <v>1</v>
      </c>
      <c r="J220" s="43">
        <f t="shared" si="13"/>
        <v>0.96666666666666667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11</v>
      </c>
      <c r="I229" s="42">
        <f t="shared" si="12"/>
        <v>19</v>
      </c>
      <c r="J229" s="43">
        <f t="shared" si="13"/>
        <v>0.36666666666666664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12</v>
      </c>
      <c r="I236" s="42">
        <f t="shared" si="19"/>
        <v>18</v>
      </c>
      <c r="J236" s="43">
        <f t="shared" si="20"/>
        <v>0.4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10</v>
      </c>
      <c r="I256" s="42">
        <f t="shared" si="19"/>
        <v>20</v>
      </c>
      <c r="J256" s="43">
        <f t="shared" si="20"/>
        <v>0.33333333333333331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24</v>
      </c>
      <c r="I302" s="42">
        <f t="shared" si="22"/>
        <v>6</v>
      </c>
      <c r="J302" s="43">
        <f t="shared" si="23"/>
        <v>0.8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24</v>
      </c>
      <c r="I325" s="42">
        <f t="shared" si="22"/>
        <v>6</v>
      </c>
      <c r="J325" s="43">
        <f t="shared" si="23"/>
        <v>0.8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11</v>
      </c>
      <c r="I360" s="42">
        <f t="shared" si="22"/>
        <v>19</v>
      </c>
      <c r="J360" s="43">
        <f t="shared" si="23"/>
        <v>0.36666666666666664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20</v>
      </c>
      <c r="I371" s="42">
        <f t="shared" si="22"/>
        <v>10</v>
      </c>
      <c r="J371" s="43">
        <f t="shared" si="23"/>
        <v>0.66666666666666663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16</v>
      </c>
      <c r="I374" s="42">
        <f t="shared" si="22"/>
        <v>14</v>
      </c>
      <c r="J374" s="43">
        <f t="shared" si="23"/>
        <v>0.53333333333333333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10</v>
      </c>
      <c r="I379" s="42">
        <f t="shared" si="28"/>
        <v>20</v>
      </c>
      <c r="J379" s="43">
        <f t="shared" si="29"/>
        <v>0.33333333333333331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21</v>
      </c>
      <c r="I390" s="42">
        <f t="shared" si="28"/>
        <v>9</v>
      </c>
      <c r="J390" s="43">
        <f t="shared" si="29"/>
        <v>0.7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21</v>
      </c>
      <c r="I391" s="42">
        <f t="shared" si="28"/>
        <v>9</v>
      </c>
      <c r="J391" s="43">
        <f t="shared" si="29"/>
        <v>0.7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16</v>
      </c>
      <c r="I409" s="42">
        <f t="shared" si="28"/>
        <v>14</v>
      </c>
      <c r="J409" s="43">
        <f t="shared" si="29"/>
        <v>0.53333333333333333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16</v>
      </c>
      <c r="I410" s="42">
        <f t="shared" si="28"/>
        <v>14</v>
      </c>
      <c r="J410" s="43">
        <f t="shared" si="29"/>
        <v>0.53333333333333333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10</v>
      </c>
      <c r="I420" s="42">
        <f t="shared" si="28"/>
        <v>20</v>
      </c>
      <c r="J420" s="43">
        <f t="shared" si="29"/>
        <v>0.33333333333333331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S198" activePane="bottomRight" state="frozen"/>
      <selection pane="topRight" activeCell="F1" sqref="F1"/>
      <selection pane="bottomLeft" activeCell="A8" sqref="A8"/>
      <selection pane="bottomRight" activeCell="V2" sqref="V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COUNTIFS(X4:X400, "=APAGADO",E4:E400,"=Fibra Optica")</f>
        <v>33</v>
      </c>
      <c r="Y2" s="19">
        <f>COUNTIFS(Y4:Y400, "=APAGADO",E4:E400,"=Fibra Optica")</f>
        <v>30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Q343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COUNTIFS(X4:X400, "=APAGADO",E4:E400,"=PTO A FO")</f>
        <v>4</v>
      </c>
      <c r="Y2" s="19">
        <f>COUNTIFS(Y4:Y400, "=APAGADO",E4:E400,"=PTO A FO")</f>
        <v>2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COUNTIFS(X4:X367, "=APAGADO",E4:E367,"=radio")</f>
        <v>7</v>
      </c>
      <c r="Y2" s="19">
        <f>COUNTIFS(Y4:Y367, "=APAGADO",E4:E367,"=radio")</f>
        <v>2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C45" sqref="C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36">
        <v>44882</v>
      </c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37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37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38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36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37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/>
      <c r="C46" s="93"/>
      <c r="D46" s="94"/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0" sqref="F20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7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7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7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2022-11-22T13:31:44Z</dcterms:modified>
</cp:coreProperties>
</file>