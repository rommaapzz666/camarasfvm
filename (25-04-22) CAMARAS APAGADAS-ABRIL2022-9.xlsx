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13_ncr:1_{CB716BC6-992C-4847-99A7-084FFA26D627}" xr6:coauthVersionLast="47" xr6:coauthVersionMax="47" xr10:uidLastSave="{00000000-0000-0000-0000-000000000000}"/>
  <bookViews>
    <workbookView xWindow="-108" yWindow="-108" windowWidth="23256" windowHeight="13176" firstSheet="5" activeTab="8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4" l="1"/>
  <c r="B25" i="14"/>
  <c r="B24" i="14"/>
  <c r="B23" i="14"/>
  <c r="B22" i="14"/>
  <c r="D26" i="14"/>
  <c r="D25" i="14"/>
  <c r="D24" i="14"/>
  <c r="D23" i="14"/>
  <c r="D22" i="14"/>
  <c r="C26" i="14"/>
  <c r="C25" i="14"/>
  <c r="C24" i="14"/>
  <c r="C23" i="14"/>
  <c r="C22" i="14"/>
  <c r="G3" i="14"/>
  <c r="G4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N377" i="2" l="1"/>
  <c r="M377" i="2"/>
  <c r="L377" i="2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M328" i="2"/>
  <c r="M329" i="2"/>
  <c r="M330" i="2"/>
  <c r="M331" i="2"/>
  <c r="M332" i="2"/>
  <c r="N332" i="2" s="1"/>
  <c r="M333" i="2"/>
  <c r="M334" i="2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4" i="2"/>
  <c r="N265" i="2"/>
  <c r="N266" i="2"/>
  <c r="N267" i="2"/>
  <c r="N269" i="2"/>
  <c r="N273" i="2"/>
  <c r="N274" i="2"/>
  <c r="N275" i="2"/>
  <c r="N277" i="2"/>
  <c r="N280" i="2"/>
  <c r="N288" i="2"/>
  <c r="N290" i="2"/>
  <c r="N298" i="2"/>
  <c r="N299" i="2"/>
  <c r="N301" i="2"/>
  <c r="N312" i="2"/>
  <c r="N313" i="2"/>
  <c r="N314" i="2"/>
  <c r="N315" i="2"/>
  <c r="N317" i="2"/>
  <c r="N320" i="2"/>
  <c r="N322" i="2"/>
  <c r="N323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N261" i="2" s="1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N304" i="2" s="1"/>
  <c r="L305" i="2"/>
  <c r="N305" i="2" s="1"/>
  <c r="L306" i="2"/>
  <c r="N306" i="2" s="1"/>
  <c r="L307" i="2"/>
  <c r="N307" i="2" s="1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297" i="2" l="1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O2" i="21"/>
  <c r="D11" i="14" s="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D19" i="14" l="1"/>
  <c r="D20" i="14"/>
  <c r="D21" i="14"/>
  <c r="D18" i="14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Y2" i="10"/>
  <c r="W2" i="10"/>
  <c r="V2" i="10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G2" i="11"/>
  <c r="Q2" i="11"/>
  <c r="B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AD2" i="11"/>
  <c r="Y2" i="11"/>
  <c r="Z2" i="11"/>
  <c r="S2" i="11"/>
  <c r="B15" i="14" s="1"/>
  <c r="M2" i="11"/>
  <c r="B9" i="14" s="1"/>
  <c r="H2" i="11"/>
  <c r="T2" i="11"/>
  <c r="B16" i="14" s="1"/>
  <c r="N2" i="11"/>
  <c r="B10" i="14" s="1"/>
  <c r="I2" i="11"/>
  <c r="B5" i="14" s="1"/>
  <c r="J2" i="11"/>
  <c r="B6" i="14" s="1"/>
  <c r="W2" i="11"/>
  <c r="I2" i="10"/>
  <c r="C5" i="14" s="1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C19" i="14" l="1"/>
  <c r="E19" i="14" s="1"/>
  <c r="G19" i="14" s="1"/>
  <c r="C21" i="14"/>
  <c r="E26" i="14"/>
  <c r="G26" i="14" s="1"/>
  <c r="C20" i="14"/>
  <c r="B21" i="14"/>
  <c r="E21" i="14" s="1"/>
  <c r="G21" i="14" s="1"/>
  <c r="E25" i="14"/>
  <c r="G25" i="14" s="1"/>
  <c r="B20" i="14"/>
  <c r="B19" i="14"/>
  <c r="E5" i="14"/>
  <c r="G5" i="14" s="1"/>
  <c r="E15" i="14"/>
  <c r="G15" i="14" s="1"/>
  <c r="E13" i="14"/>
  <c r="G13" i="14" s="1"/>
  <c r="E8" i="14"/>
  <c r="G8" i="14" s="1"/>
  <c r="E14" i="14"/>
  <c r="G14" i="14" s="1"/>
  <c r="E9" i="14"/>
  <c r="G9" i="14" s="1"/>
  <c r="E10" i="14"/>
  <c r="G10" i="14" s="1"/>
  <c r="E16" i="14"/>
  <c r="G16" i="14" s="1"/>
  <c r="E7" i="14"/>
  <c r="G7" i="14" s="1"/>
  <c r="E11" i="14"/>
  <c r="G11" i="14" s="1"/>
  <c r="E17" i="14"/>
  <c r="G17" i="14" s="1"/>
  <c r="E6" i="14"/>
  <c r="G6" i="14" s="1"/>
  <c r="B18" i="14"/>
  <c r="E12" i="14"/>
  <c r="G12" i="14" s="1"/>
  <c r="C18" i="14"/>
  <c r="E2" i="14"/>
  <c r="G2" i="14" s="1"/>
  <c r="E24" i="14" l="1"/>
  <c r="G24" i="14" s="1"/>
  <c r="E20" i="14"/>
  <c r="G20" i="14" s="1"/>
  <c r="E23" i="14"/>
  <c r="G23" i="14" s="1"/>
  <c r="E18" i="14"/>
  <c r="G18" i="14" s="1"/>
  <c r="E22" i="14"/>
  <c r="G2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<sst xmlns="http://schemas.openxmlformats.org/spreadsheetml/2006/main" count="3449" uniqueCount="1351">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</sst>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9.1152815013404831E-2</c:v>
                </c:pt>
                <c:pt idx="21">
                  <c:v>8.8471849865951746E-2</c:v>
                </c:pt>
                <c:pt idx="22">
                  <c:v>7.2386058981233251E-2</c:v>
                </c:pt>
                <c:pt idx="23">
                  <c:v>6.9705093833780166E-2</c:v>
                </c:pt>
                <c:pt idx="24">
                  <c:v>0.16621983914209115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9.1152815013404831E-2</c:v>
                </c:pt>
                <c:pt idx="21">
                  <c:v>8.8471849865951746E-2</c:v>
                </c:pt>
                <c:pt idx="22">
                  <c:v>7.2386058981233251E-2</c:v>
                </c:pt>
                <c:pt idx="23">
                  <c:v>6.9705093833780166E-2</c:v>
                </c:pt>
                <c:pt idx="24">
                  <c:v>0.16621983914209115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90" zoomScaleNormal="90" workbookViewId="0">
      <pane xSplit="14" ySplit="4" topLeftCell="AK5" activePane="bottomRight" state="frozen"/>
      <selection pane="topRight" activeCell="M1" sqref="M1"/>
      <selection pane="bottomLeft" activeCell="A5" sqref="A5"/>
      <selection pane="bottomRight" activeCell="AM5" sqref="AM5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4" width="8.6640625" style="22" customWidth="1"/>
  </cols>
  <sheetData>
    <row r="1" spans="1:44" s="5" customFormat="1" ht="27.75" customHeight="1" thickTop="1" x14ac:dyDescent="0.3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6.5217391304347824E-2</v>
      </c>
      <c r="AD1" s="4">
        <f t="shared" si="0"/>
        <v>6.5217391304347824E-2</v>
      </c>
      <c r="AE1" s="4">
        <f t="shared" si="0"/>
        <v>7.0652173913043473E-2</v>
      </c>
      <c r="AF1" s="4">
        <f t="shared" si="0"/>
        <v>6.7934782608695649E-2</v>
      </c>
      <c r="AG1" s="4">
        <f t="shared" si="0"/>
        <v>0.11141304347826086</v>
      </c>
      <c r="AH1" s="4">
        <f t="shared" si="0"/>
        <v>0.10054347826086957</v>
      </c>
      <c r="AI1" s="4">
        <f t="shared" si="0"/>
        <v>9.2391304347826081E-2</v>
      </c>
      <c r="AJ1" s="4">
        <f t="shared" si="0"/>
        <v>8.9673913043478257E-2</v>
      </c>
      <c r="AK1" s="4">
        <f t="shared" si="0"/>
        <v>7.3369565217391311E-2</v>
      </c>
      <c r="AL1" s="4">
        <f t="shared" si="0"/>
        <v>7.3369565217391311E-2</v>
      </c>
      <c r="AM1" s="4">
        <f t="shared" si="0"/>
        <v>0.16847826086956522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344</v>
      </c>
      <c r="AD2" s="10">
        <f t="shared" si="2"/>
        <v>344</v>
      </c>
      <c r="AE2" s="10">
        <f t="shared" si="2"/>
        <v>342</v>
      </c>
      <c r="AF2" s="10">
        <f t="shared" si="2"/>
        <v>343</v>
      </c>
      <c r="AG2" s="10">
        <f t="shared" si="2"/>
        <v>327</v>
      </c>
      <c r="AH2" s="10">
        <f t="shared" si="2"/>
        <v>331</v>
      </c>
      <c r="AI2" s="10">
        <f t="shared" si="2"/>
        <v>334</v>
      </c>
      <c r="AJ2" s="10">
        <f t="shared" si="2"/>
        <v>335</v>
      </c>
      <c r="AK2" s="10">
        <f t="shared" si="2"/>
        <v>341</v>
      </c>
      <c r="AL2" s="10">
        <f t="shared" si="2"/>
        <v>341</v>
      </c>
      <c r="AM2" s="10">
        <f t="shared" si="2"/>
        <v>306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24</v>
      </c>
      <c r="AD3" s="14">
        <f t="shared" si="3"/>
        <v>24</v>
      </c>
      <c r="AE3" s="14">
        <f t="shared" si="3"/>
        <v>26</v>
      </c>
      <c r="AF3" s="14">
        <f t="shared" si="3"/>
        <v>25</v>
      </c>
      <c r="AG3" s="14">
        <f t="shared" si="3"/>
        <v>41</v>
      </c>
      <c r="AH3" s="14">
        <f t="shared" si="3"/>
        <v>37</v>
      </c>
      <c r="AI3" s="14">
        <f t="shared" si="3"/>
        <v>34</v>
      </c>
      <c r="AJ3" s="14">
        <f t="shared" si="3"/>
        <v>33</v>
      </c>
      <c r="AK3" s="14">
        <f t="shared" si="3"/>
        <v>27</v>
      </c>
      <c r="AL3" s="14">
        <f t="shared" si="3"/>
        <v>27</v>
      </c>
      <c r="AM3" s="14">
        <f t="shared" si="3"/>
        <v>62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0" thickTop="1" thickBot="1" x14ac:dyDescent="0.4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7</v>
      </c>
      <c r="M7" s="17">
        <f t="shared" si="6"/>
        <v>21</v>
      </c>
      <c r="N7" s="18">
        <f t="shared" si="7"/>
        <v>0.25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 t="s">
        <v>1343</v>
      </c>
      <c r="AD7" s="27" t="s">
        <v>1343</v>
      </c>
      <c r="AE7" s="27"/>
      <c r="AF7" s="27" t="s">
        <v>1343</v>
      </c>
      <c r="AG7" s="27" t="s">
        <v>1343</v>
      </c>
      <c r="AH7" s="27" t="s">
        <v>1343</v>
      </c>
      <c r="AI7" s="27" t="s">
        <v>1343</v>
      </c>
      <c r="AJ7" s="27" t="s">
        <v>1343</v>
      </c>
      <c r="AK7" s="8" t="s">
        <v>1343</v>
      </c>
      <c r="AL7" s="8" t="s">
        <v>1343</v>
      </c>
      <c r="AM7" s="8" t="s">
        <v>1343</v>
      </c>
      <c r="AN7" s="27"/>
      <c r="AO7" s="8"/>
      <c r="AP7" s="8"/>
      <c r="AQ7" s="27"/>
      <c r="AR7" s="27"/>
    </row>
    <row r="8" spans="1:44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18</v>
      </c>
      <c r="M10" s="17">
        <f t="shared" si="6"/>
        <v>10</v>
      </c>
      <c r="N10" s="18">
        <f t="shared" si="7"/>
        <v>0.6428571428571429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 t="s">
        <v>1343</v>
      </c>
      <c r="AH10" s="27" t="s">
        <v>1343</v>
      </c>
      <c r="AI10" s="27" t="s">
        <v>1343</v>
      </c>
      <c r="AJ10" s="27" t="s">
        <v>1343</v>
      </c>
      <c r="AK10" s="8" t="s">
        <v>1343</v>
      </c>
      <c r="AL10" s="8" t="s">
        <v>1343</v>
      </c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21</v>
      </c>
      <c r="M12" s="17">
        <f t="shared" si="6"/>
        <v>7</v>
      </c>
      <c r="N12" s="18">
        <f t="shared" si="7"/>
        <v>0.75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 t="s">
        <v>1343</v>
      </c>
      <c r="AH12" s="27" t="s">
        <v>1343</v>
      </c>
      <c r="AI12" s="27" t="s">
        <v>1343</v>
      </c>
      <c r="AJ12" s="27" t="s">
        <v>1343</v>
      </c>
      <c r="AK12" s="8" t="s">
        <v>1343</v>
      </c>
      <c r="AL12" s="8"/>
      <c r="AM12" s="8" t="s">
        <v>1343</v>
      </c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25</v>
      </c>
      <c r="M13" s="17">
        <f t="shared" si="6"/>
        <v>3</v>
      </c>
      <c r="N13" s="18">
        <f t="shared" si="7"/>
        <v>0.8928571428571429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 t="s">
        <v>1343</v>
      </c>
      <c r="AH13" s="27"/>
      <c r="AI13" s="27"/>
      <c r="AJ13" s="27"/>
      <c r="AK13" s="8"/>
      <c r="AL13" s="8"/>
      <c r="AM13" s="8" t="s">
        <v>1343</v>
      </c>
      <c r="AN13" s="27"/>
      <c r="AO13" s="8"/>
      <c r="AP13" s="8"/>
      <c r="AQ13" s="27"/>
      <c r="AR13" s="27"/>
    </row>
    <row r="14" spans="1:44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24</v>
      </c>
      <c r="M14" s="17">
        <f t="shared" si="6"/>
        <v>4</v>
      </c>
      <c r="N14" s="18">
        <f t="shared" si="7"/>
        <v>0.8571428571428571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 t="s">
        <v>1343</v>
      </c>
      <c r="AH14" s="27" t="s">
        <v>1343</v>
      </c>
      <c r="AI14" s="27"/>
      <c r="AJ14" s="27"/>
      <c r="AK14" s="8"/>
      <c r="AL14" s="8"/>
      <c r="AM14" s="8" t="s">
        <v>1343</v>
      </c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26</v>
      </c>
      <c r="M19" s="17">
        <f t="shared" si="6"/>
        <v>2</v>
      </c>
      <c r="N19" s="18">
        <f t="shared" si="7"/>
        <v>0.9285714285714286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 t="s">
        <v>1343</v>
      </c>
      <c r="AM19" s="8" t="s">
        <v>1343</v>
      </c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20</v>
      </c>
      <c r="M21" s="17">
        <f t="shared" si="6"/>
        <v>8</v>
      </c>
      <c r="N21" s="18">
        <f t="shared" si="7"/>
        <v>0.7142857142857143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 t="s">
        <v>1343</v>
      </c>
      <c r="AH21" s="27"/>
      <c r="AI21" s="27" t="s">
        <v>1343</v>
      </c>
      <c r="AJ21" s="27"/>
      <c r="AK21" s="8"/>
      <c r="AL21" s="8"/>
      <c r="AM21" s="8" t="s">
        <v>1343</v>
      </c>
      <c r="AN21" s="27"/>
      <c r="AO21" s="8"/>
      <c r="AP21" s="8"/>
      <c r="AQ21" s="27"/>
      <c r="AR21" s="27"/>
    </row>
    <row r="22" spans="1:44" ht="15" thickBot="1" x14ac:dyDescent="0.35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23</v>
      </c>
      <c r="M22" s="17">
        <f t="shared" si="6"/>
        <v>5</v>
      </c>
      <c r="N22" s="18">
        <f t="shared" si="7"/>
        <v>0.8214285714285714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1343</v>
      </c>
      <c r="AH22" s="27"/>
      <c r="AI22" s="27"/>
      <c r="AJ22" s="27"/>
      <c r="AK22" s="8"/>
      <c r="AL22" s="8"/>
      <c r="AM22" s="8" t="s">
        <v>1343</v>
      </c>
      <c r="AN22" s="27"/>
      <c r="AO22" s="8"/>
      <c r="AP22" s="8"/>
      <c r="AQ22" s="27"/>
      <c r="AR22" s="27"/>
    </row>
    <row r="23" spans="1:44" ht="15" thickBot="1" x14ac:dyDescent="0.35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24</v>
      </c>
      <c r="M24" s="17">
        <f t="shared" si="6"/>
        <v>4</v>
      </c>
      <c r="N24" s="18">
        <f t="shared" si="7"/>
        <v>0.8571428571428571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 t="s">
        <v>1343</v>
      </c>
      <c r="AF24" s="27" t="s">
        <v>1343</v>
      </c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27</v>
      </c>
      <c r="M32" s="17">
        <f t="shared" si="6"/>
        <v>1</v>
      </c>
      <c r="N32" s="18">
        <f t="shared" si="7"/>
        <v>0.9642857142857143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 t="s">
        <v>1343</v>
      </c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26</v>
      </c>
      <c r="M45" s="17">
        <f t="shared" si="6"/>
        <v>2</v>
      </c>
      <c r="N45" s="18">
        <f t="shared" si="7"/>
        <v>0.9285714285714286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 t="s">
        <v>1343</v>
      </c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26</v>
      </c>
      <c r="M49" s="17">
        <f t="shared" si="6"/>
        <v>2</v>
      </c>
      <c r="N49" s="18">
        <f t="shared" si="7"/>
        <v>0.9285714285714286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 t="s">
        <v>1343</v>
      </c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22</v>
      </c>
      <c r="M53" s="17">
        <f t="shared" si="6"/>
        <v>6</v>
      </c>
      <c r="N53" s="18">
        <f t="shared" si="7"/>
        <v>0.7857142857142857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 t="s">
        <v>1343</v>
      </c>
      <c r="AH53" s="27" t="s">
        <v>1343</v>
      </c>
      <c r="AI53" s="27" t="s">
        <v>1343</v>
      </c>
      <c r="AJ53" s="27" t="s">
        <v>1343</v>
      </c>
      <c r="AK53" s="8" t="s">
        <v>1343</v>
      </c>
      <c r="AL53" s="8"/>
      <c r="AM53" s="8" t="s">
        <v>1343</v>
      </c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 t="s">
        <v>1343</v>
      </c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 t="s">
        <v>1343</v>
      </c>
      <c r="AE66" s="27" t="s">
        <v>1343</v>
      </c>
      <c r="AF66" s="27" t="s">
        <v>1343</v>
      </c>
      <c r="AG66" s="27" t="s">
        <v>1343</v>
      </c>
      <c r="AH66" s="27" t="s">
        <v>1343</v>
      </c>
      <c r="AI66" s="27" t="s">
        <v>1343</v>
      </c>
      <c r="AJ66" s="27" t="s">
        <v>1343</v>
      </c>
      <c r="AK66" s="8" t="s">
        <v>1343</v>
      </c>
      <c r="AL66" s="8" t="s">
        <v>1343</v>
      </c>
      <c r="AM66" s="8" t="s">
        <v>1343</v>
      </c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25</v>
      </c>
      <c r="M73" s="17">
        <f t="shared" si="9"/>
        <v>3</v>
      </c>
      <c r="N73" s="18">
        <f t="shared" si="10"/>
        <v>0.8928571428571429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 t="s">
        <v>1343</v>
      </c>
      <c r="AH73" s="27" t="s">
        <v>1343</v>
      </c>
      <c r="AI73" s="27"/>
      <c r="AJ73" s="27"/>
      <c r="AK73" s="8"/>
      <c r="AL73" s="8"/>
      <c r="AM73" s="8" t="s">
        <v>1343</v>
      </c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5</v>
      </c>
      <c r="M80" s="17">
        <f t="shared" si="9"/>
        <v>23</v>
      </c>
      <c r="N80" s="18">
        <f t="shared" si="10"/>
        <v>0.17857142857142858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 t="s">
        <v>1343</v>
      </c>
      <c r="AD80" s="27" t="s">
        <v>1343</v>
      </c>
      <c r="AE80" s="27" t="s">
        <v>1343</v>
      </c>
      <c r="AF80" s="27" t="s">
        <v>1343</v>
      </c>
      <c r="AG80" s="27" t="s">
        <v>1343</v>
      </c>
      <c r="AH80" s="27" t="s">
        <v>1343</v>
      </c>
      <c r="AI80" s="27" t="s">
        <v>1343</v>
      </c>
      <c r="AJ80" s="27" t="s">
        <v>1343</v>
      </c>
      <c r="AK80" s="8" t="s">
        <v>1343</v>
      </c>
      <c r="AL80" s="8" t="s">
        <v>1343</v>
      </c>
      <c r="AM80" s="8" t="s">
        <v>1343</v>
      </c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 t="s">
        <v>1343</v>
      </c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27</v>
      </c>
      <c r="M104" s="17">
        <f t="shared" si="9"/>
        <v>1</v>
      </c>
      <c r="N104" s="18">
        <f t="shared" si="10"/>
        <v>0.9642857142857143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 t="s">
        <v>1343</v>
      </c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27</v>
      </c>
      <c r="M105" s="17">
        <f t="shared" si="9"/>
        <v>1</v>
      </c>
      <c r="N105" s="18">
        <f t="shared" si="10"/>
        <v>0.9642857142857143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 t="s">
        <v>1343</v>
      </c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19</v>
      </c>
      <c r="M115" s="17">
        <f t="shared" si="9"/>
        <v>9</v>
      </c>
      <c r="N115" s="18">
        <f t="shared" si="10"/>
        <v>0.6785714285714286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 t="s">
        <v>1343</v>
      </c>
      <c r="AH115" s="27" t="s">
        <v>1343</v>
      </c>
      <c r="AI115" s="27" t="s">
        <v>1343</v>
      </c>
      <c r="AJ115" s="27" t="s">
        <v>1343</v>
      </c>
      <c r="AK115" s="8"/>
      <c r="AL115" s="8"/>
      <c r="AM115" s="8" t="s">
        <v>1343</v>
      </c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21</v>
      </c>
      <c r="M116" s="17">
        <f t="shared" si="9"/>
        <v>7</v>
      </c>
      <c r="N116" s="18">
        <f t="shared" si="10"/>
        <v>0.75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 t="s">
        <v>1343</v>
      </c>
      <c r="AH116" s="27" t="s">
        <v>1343</v>
      </c>
      <c r="AI116" s="27" t="s">
        <v>1343</v>
      </c>
      <c r="AJ116" s="27" t="s">
        <v>1343</v>
      </c>
      <c r="AK116" s="8" t="s">
        <v>1343</v>
      </c>
      <c r="AL116" s="8"/>
      <c r="AM116" s="8" t="s">
        <v>1343</v>
      </c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24</v>
      </c>
      <c r="M124" s="17">
        <f t="shared" si="9"/>
        <v>4</v>
      </c>
      <c r="N124" s="18">
        <f t="shared" si="10"/>
        <v>0.8571428571428571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 t="s">
        <v>1343</v>
      </c>
      <c r="AH124" s="27" t="s">
        <v>1343</v>
      </c>
      <c r="AI124" s="27" t="s">
        <v>1343</v>
      </c>
      <c r="AJ124" s="27"/>
      <c r="AK124" s="8"/>
      <c r="AL124" s="8"/>
      <c r="AM124" s="8" t="s">
        <v>1343</v>
      </c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27</v>
      </c>
      <c r="M129" s="17">
        <f t="shared" si="9"/>
        <v>1</v>
      </c>
      <c r="N129" s="18">
        <f t="shared" si="10"/>
        <v>0.9642857142857143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 t="s">
        <v>1343</v>
      </c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27</v>
      </c>
      <c r="M130" s="17">
        <f t="shared" si="9"/>
        <v>1</v>
      </c>
      <c r="N130" s="18">
        <f t="shared" si="10"/>
        <v>0.9642857142857143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 t="s">
        <v>1343</v>
      </c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5</v>
      </c>
      <c r="M133" s="17">
        <f t="shared" ref="M133:M196" si="12">COUNTIF(O133:AP133,"APAGADO")</f>
        <v>23</v>
      </c>
      <c r="N133" s="18">
        <f t="shared" ref="N133:N196" si="13">(L133)/(M133+L133)</f>
        <v>0.17857142857142858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 t="s">
        <v>1343</v>
      </c>
      <c r="AD133" s="27" t="s">
        <v>1343</v>
      </c>
      <c r="AE133" s="27" t="s">
        <v>1343</v>
      </c>
      <c r="AF133" s="27" t="s">
        <v>1343</v>
      </c>
      <c r="AG133" s="27" t="s">
        <v>1343</v>
      </c>
      <c r="AH133" s="27" t="s">
        <v>1343</v>
      </c>
      <c r="AI133" s="27" t="s">
        <v>1343</v>
      </c>
      <c r="AJ133" s="27" t="s">
        <v>1343</v>
      </c>
      <c r="AK133" s="8" t="s">
        <v>1343</v>
      </c>
      <c r="AL133" s="8" t="s">
        <v>1343</v>
      </c>
      <c r="AM133" s="8" t="s">
        <v>1343</v>
      </c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27</v>
      </c>
      <c r="M138" s="17">
        <f t="shared" si="12"/>
        <v>1</v>
      </c>
      <c r="N138" s="18">
        <f t="shared" si="13"/>
        <v>0.9642857142857143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 t="s">
        <v>1343</v>
      </c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27</v>
      </c>
      <c r="M139" s="17">
        <f t="shared" si="12"/>
        <v>1</v>
      </c>
      <c r="N139" s="18">
        <f t="shared" si="13"/>
        <v>0.9642857142857143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 t="s">
        <v>1343</v>
      </c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27</v>
      </c>
      <c r="M140" s="17">
        <f t="shared" si="12"/>
        <v>1</v>
      </c>
      <c r="N140" s="18">
        <f t="shared" si="13"/>
        <v>0.9642857142857143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 t="s">
        <v>1343</v>
      </c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27</v>
      </c>
      <c r="M141" s="17">
        <f t="shared" si="12"/>
        <v>1</v>
      </c>
      <c r="N141" s="18">
        <f t="shared" si="13"/>
        <v>0.9642857142857143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 t="s">
        <v>1343</v>
      </c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22</v>
      </c>
      <c r="M153" s="17">
        <f t="shared" si="12"/>
        <v>5</v>
      </c>
      <c r="N153" s="18">
        <f t="shared" si="13"/>
        <v>0.81481481481481477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 t="s">
        <v>1343</v>
      </c>
      <c r="AJ153" s="27" t="s">
        <v>1343</v>
      </c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20</v>
      </c>
      <c r="M157" s="17">
        <f t="shared" si="12"/>
        <v>8</v>
      </c>
      <c r="N157" s="18">
        <f t="shared" si="13"/>
        <v>0.7142857142857143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 t="s">
        <v>1343</v>
      </c>
      <c r="AD157" s="27" t="s">
        <v>1343</v>
      </c>
      <c r="AE157" s="27" t="s">
        <v>1343</v>
      </c>
      <c r="AF157" s="27" t="s">
        <v>1343</v>
      </c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23</v>
      </c>
      <c r="M161" s="17">
        <f t="shared" si="12"/>
        <v>5</v>
      </c>
      <c r="N161" s="18">
        <f t="shared" si="13"/>
        <v>0.8214285714285714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 t="s">
        <v>1343</v>
      </c>
      <c r="AD161" s="27" t="s">
        <v>1343</v>
      </c>
      <c r="AE161" s="27" t="s">
        <v>1343</v>
      </c>
      <c r="AF161" s="27" t="s">
        <v>1343</v>
      </c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24</v>
      </c>
      <c r="M168" s="17">
        <f t="shared" si="12"/>
        <v>4</v>
      </c>
      <c r="N168" s="18">
        <f t="shared" si="13"/>
        <v>0.8571428571428571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 t="s">
        <v>1343</v>
      </c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13</v>
      </c>
      <c r="M177" s="17">
        <f t="shared" si="12"/>
        <v>15</v>
      </c>
      <c r="N177" s="18">
        <f t="shared" si="13"/>
        <v>0.4642857142857143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 t="s">
        <v>1343</v>
      </c>
      <c r="AE177" s="27" t="s">
        <v>1343</v>
      </c>
      <c r="AF177" s="27" t="s">
        <v>1343</v>
      </c>
      <c r="AG177" s="27" t="s">
        <v>1343</v>
      </c>
      <c r="AH177" s="27" t="s">
        <v>1343</v>
      </c>
      <c r="AI177" s="27" t="s">
        <v>1343</v>
      </c>
      <c r="AJ177" s="27" t="s">
        <v>1343</v>
      </c>
      <c r="AK177" s="8" t="s">
        <v>1343</v>
      </c>
      <c r="AL177" s="8" t="s">
        <v>1343</v>
      </c>
      <c r="AM177" s="8" t="s">
        <v>1343</v>
      </c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23</v>
      </c>
      <c r="M186" s="17">
        <f t="shared" si="12"/>
        <v>5</v>
      </c>
      <c r="N186" s="18">
        <f t="shared" si="13"/>
        <v>0.8214285714285714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 t="s">
        <v>1343</v>
      </c>
      <c r="AH186" s="27" t="s">
        <v>1343</v>
      </c>
      <c r="AI186" s="27"/>
      <c r="AJ186" s="27" t="s">
        <v>1343</v>
      </c>
      <c r="AK186" s="8" t="s">
        <v>1343</v>
      </c>
      <c r="AL186" s="8"/>
      <c r="AM186" s="8" t="s">
        <v>1343</v>
      </c>
      <c r="AN186" s="27"/>
      <c r="AO186" s="8"/>
      <c r="AP186" s="8"/>
      <c r="AQ186" s="27"/>
      <c r="AR186" s="27"/>
    </row>
    <row r="187" spans="1:44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25</v>
      </c>
      <c r="M190" s="17">
        <f t="shared" si="12"/>
        <v>3</v>
      </c>
      <c r="N190" s="18">
        <f t="shared" si="13"/>
        <v>0.8928571428571429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 t="s">
        <v>1343</v>
      </c>
      <c r="AI190" s="27" t="s">
        <v>1343</v>
      </c>
      <c r="AJ190" s="27" t="s">
        <v>1343</v>
      </c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5</v>
      </c>
      <c r="M191" s="17">
        <f t="shared" si="12"/>
        <v>23</v>
      </c>
      <c r="N191" s="18">
        <f t="shared" si="13"/>
        <v>0.17857142857142858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 t="s">
        <v>1343</v>
      </c>
      <c r="AD191" s="27" t="s">
        <v>1343</v>
      </c>
      <c r="AE191" s="27" t="s">
        <v>1343</v>
      </c>
      <c r="AF191" s="27" t="s">
        <v>1343</v>
      </c>
      <c r="AG191" s="27" t="s">
        <v>1343</v>
      </c>
      <c r="AH191" s="27" t="s">
        <v>1343</v>
      </c>
      <c r="AI191" s="27" t="s">
        <v>1343</v>
      </c>
      <c r="AJ191" s="27" t="s">
        <v>1343</v>
      </c>
      <c r="AK191" s="8" t="s">
        <v>1343</v>
      </c>
      <c r="AL191" s="8" t="s">
        <v>1343</v>
      </c>
      <c r="AM191" s="8" t="s">
        <v>1343</v>
      </c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5</v>
      </c>
      <c r="M192" s="17">
        <f t="shared" si="12"/>
        <v>23</v>
      </c>
      <c r="N192" s="18">
        <f t="shared" si="13"/>
        <v>0.17857142857142858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 t="s">
        <v>1343</v>
      </c>
      <c r="AD192" s="27" t="s">
        <v>1343</v>
      </c>
      <c r="AE192" s="27" t="s">
        <v>1343</v>
      </c>
      <c r="AF192" s="27" t="s">
        <v>1343</v>
      </c>
      <c r="AG192" s="27" t="s">
        <v>1343</v>
      </c>
      <c r="AH192" s="27" t="s">
        <v>1343</v>
      </c>
      <c r="AI192" s="27" t="s">
        <v>1343</v>
      </c>
      <c r="AJ192" s="27" t="s">
        <v>1343</v>
      </c>
      <c r="AK192" s="8" t="s">
        <v>1343</v>
      </c>
      <c r="AL192" s="8" t="s">
        <v>1343</v>
      </c>
      <c r="AM192" s="8" t="s">
        <v>1343</v>
      </c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11</v>
      </c>
      <c r="M194" s="17">
        <f t="shared" si="12"/>
        <v>17</v>
      </c>
      <c r="N194" s="18">
        <f t="shared" si="13"/>
        <v>0.39285714285714285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 t="s">
        <v>1343</v>
      </c>
      <c r="AD194" s="27" t="s">
        <v>1343</v>
      </c>
      <c r="AE194" s="27"/>
      <c r="AF194" s="27" t="s">
        <v>1343</v>
      </c>
      <c r="AG194" s="27" t="s">
        <v>1343</v>
      </c>
      <c r="AH194" s="27" t="s">
        <v>1343</v>
      </c>
      <c r="AI194" s="27" t="s">
        <v>1343</v>
      </c>
      <c r="AJ194" s="27" t="s">
        <v>1343</v>
      </c>
      <c r="AK194" s="8" t="s">
        <v>1343</v>
      </c>
      <c r="AL194" s="8" t="s">
        <v>1343</v>
      </c>
      <c r="AM194" s="8" t="s">
        <v>1343</v>
      </c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26</v>
      </c>
      <c r="M195" s="17">
        <f t="shared" si="12"/>
        <v>2</v>
      </c>
      <c r="N195" s="18">
        <f t="shared" si="13"/>
        <v>0.9285714285714286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 t="s">
        <v>1343</v>
      </c>
      <c r="AM195" s="8" t="s">
        <v>1343</v>
      </c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26</v>
      </c>
      <c r="M196" s="17">
        <f t="shared" si="12"/>
        <v>2</v>
      </c>
      <c r="N196" s="18">
        <f t="shared" si="13"/>
        <v>0.9285714285714286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 t="s">
        <v>1343</v>
      </c>
      <c r="AM196" s="8" t="s">
        <v>1343</v>
      </c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16</v>
      </c>
      <c r="M199" s="17">
        <f t="shared" si="15"/>
        <v>12</v>
      </c>
      <c r="N199" s="18">
        <f t="shared" si="16"/>
        <v>0.5714285714285714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 t="s">
        <v>1343</v>
      </c>
      <c r="AD199" s="27" t="s">
        <v>1343</v>
      </c>
      <c r="AE199" s="27" t="s">
        <v>1343</v>
      </c>
      <c r="AF199" s="27" t="s">
        <v>1343</v>
      </c>
      <c r="AG199" s="27" t="s">
        <v>1343</v>
      </c>
      <c r="AH199" s="27" t="s">
        <v>1343</v>
      </c>
      <c r="AI199" s="27" t="s">
        <v>1343</v>
      </c>
      <c r="AJ199" s="27" t="s">
        <v>1343</v>
      </c>
      <c r="AK199" s="8" t="s">
        <v>1343</v>
      </c>
      <c r="AL199" s="8" t="s">
        <v>1343</v>
      </c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19</v>
      </c>
      <c r="M200" s="17">
        <f t="shared" si="15"/>
        <v>9</v>
      </c>
      <c r="N200" s="18">
        <f t="shared" si="16"/>
        <v>0.6785714285714286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 t="s">
        <v>1343</v>
      </c>
      <c r="AD200" s="27" t="s">
        <v>1343</v>
      </c>
      <c r="AE200" s="27" t="s">
        <v>1343</v>
      </c>
      <c r="AF200" s="27" t="s">
        <v>1343</v>
      </c>
      <c r="AG200" s="27" t="s">
        <v>1343</v>
      </c>
      <c r="AH200" s="27" t="s">
        <v>1343</v>
      </c>
      <c r="AI200" s="27" t="s">
        <v>1343</v>
      </c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21</v>
      </c>
      <c r="M201" s="17">
        <f t="shared" si="15"/>
        <v>7</v>
      </c>
      <c r="N201" s="18">
        <f t="shared" si="16"/>
        <v>0.75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 t="s">
        <v>1343</v>
      </c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24</v>
      </c>
      <c r="M203" s="17">
        <f t="shared" si="15"/>
        <v>4</v>
      </c>
      <c r="N203" s="18">
        <f t="shared" si="16"/>
        <v>0.8571428571428571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 t="s">
        <v>1343</v>
      </c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27</v>
      </c>
      <c r="M204" s="17">
        <f t="shared" si="15"/>
        <v>1</v>
      </c>
      <c r="N204" s="18">
        <f t="shared" si="16"/>
        <v>0.9642857142857143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 t="s">
        <v>1343</v>
      </c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 t="s">
        <v>1343</v>
      </c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5</v>
      </c>
      <c r="M206" s="17">
        <f t="shared" si="15"/>
        <v>23</v>
      </c>
      <c r="N206" s="18">
        <f t="shared" si="16"/>
        <v>0.17857142857142858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 t="s">
        <v>1343</v>
      </c>
      <c r="AD206" s="27" t="s">
        <v>1343</v>
      </c>
      <c r="AE206" s="27" t="s">
        <v>1343</v>
      </c>
      <c r="AF206" s="27" t="s">
        <v>1343</v>
      </c>
      <c r="AG206" s="27" t="s">
        <v>1343</v>
      </c>
      <c r="AH206" s="27" t="s">
        <v>1343</v>
      </c>
      <c r="AI206" s="27" t="s">
        <v>1343</v>
      </c>
      <c r="AJ206" s="27" t="s">
        <v>1343</v>
      </c>
      <c r="AK206" s="8" t="s">
        <v>1343</v>
      </c>
      <c r="AL206" s="8" t="s">
        <v>1343</v>
      </c>
      <c r="AM206" s="8" t="s">
        <v>1343</v>
      </c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12</v>
      </c>
      <c r="M207" s="17">
        <f t="shared" si="15"/>
        <v>16</v>
      </c>
      <c r="N207" s="18">
        <f t="shared" si="16"/>
        <v>0.42857142857142855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 t="s">
        <v>1343</v>
      </c>
      <c r="AD207" s="27" t="s">
        <v>1343</v>
      </c>
      <c r="AE207" s="27" t="s">
        <v>1343</v>
      </c>
      <c r="AF207" s="27" t="s">
        <v>1343</v>
      </c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24</v>
      </c>
      <c r="M213" s="17">
        <f t="shared" si="15"/>
        <v>4</v>
      </c>
      <c r="N213" s="18">
        <f t="shared" si="16"/>
        <v>0.8571428571428571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 t="s">
        <v>1343</v>
      </c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27</v>
      </c>
      <c r="M218" s="17">
        <f t="shared" si="15"/>
        <v>1</v>
      </c>
      <c r="N218" s="18">
        <f t="shared" si="16"/>
        <v>0.9642857142857143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 t="s">
        <v>1343</v>
      </c>
      <c r="AN218" s="27"/>
      <c r="AO218" s="8"/>
      <c r="AP218" s="8"/>
      <c r="AQ218" s="27"/>
      <c r="AR218" s="27"/>
    </row>
    <row r="219" spans="1:44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27</v>
      </c>
      <c r="M219" s="17">
        <f t="shared" si="15"/>
        <v>1</v>
      </c>
      <c r="N219" s="18">
        <f t="shared" si="16"/>
        <v>0.9642857142857143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 t="s">
        <v>1343</v>
      </c>
      <c r="AN219" s="27"/>
      <c r="AO219" s="8"/>
      <c r="AP219" s="8"/>
      <c r="AQ219" s="27"/>
      <c r="AR219" s="27"/>
    </row>
    <row r="220" spans="1:44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21</v>
      </c>
      <c r="M227" s="17">
        <f t="shared" si="15"/>
        <v>7</v>
      </c>
      <c r="N227" s="18">
        <f t="shared" si="16"/>
        <v>0.75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 t="s">
        <v>1343</v>
      </c>
      <c r="AH227" s="27" t="s">
        <v>1343</v>
      </c>
      <c r="AI227" s="27" t="s">
        <v>1343</v>
      </c>
      <c r="AJ227" s="27" t="s">
        <v>1343</v>
      </c>
      <c r="AK227" s="8" t="s">
        <v>1343</v>
      </c>
      <c r="AL227" s="8" t="s">
        <v>1343</v>
      </c>
      <c r="AM227" s="8" t="s">
        <v>1343</v>
      </c>
      <c r="AN227" s="27"/>
      <c r="AO227" s="8"/>
      <c r="AP227" s="8"/>
      <c r="AQ227" s="27"/>
      <c r="AR227" s="27"/>
    </row>
    <row r="228" spans="1:44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26</v>
      </c>
      <c r="M230" s="17">
        <f t="shared" si="15"/>
        <v>2</v>
      </c>
      <c r="N230" s="18">
        <f t="shared" si="16"/>
        <v>0.9285714285714286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 t="s">
        <v>1343</v>
      </c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 t="s">
        <v>1343</v>
      </c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16</v>
      </c>
      <c r="M241" s="17">
        <f t="shared" si="15"/>
        <v>12</v>
      </c>
      <c r="N241" s="18">
        <f t="shared" si="16"/>
        <v>0.5714285714285714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 t="s">
        <v>1343</v>
      </c>
      <c r="AD241" s="27" t="s">
        <v>1343</v>
      </c>
      <c r="AE241" s="27" t="s">
        <v>1343</v>
      </c>
      <c r="AF241" s="27" t="s">
        <v>1343</v>
      </c>
      <c r="AG241" s="27" t="s">
        <v>1343</v>
      </c>
      <c r="AH241" s="27" t="s">
        <v>1343</v>
      </c>
      <c r="AI241" s="27" t="s">
        <v>1343</v>
      </c>
      <c r="AJ241" s="27" t="s">
        <v>1343</v>
      </c>
      <c r="AK241" s="8" t="s">
        <v>1343</v>
      </c>
      <c r="AL241" s="8" t="s">
        <v>1343</v>
      </c>
      <c r="AM241" s="8" t="s">
        <v>1343</v>
      </c>
      <c r="AN241" s="27"/>
      <c r="AO241" s="8"/>
      <c r="AP241" s="8"/>
      <c r="AQ241" s="27"/>
      <c r="AR241" s="27"/>
    </row>
    <row r="242" spans="1:44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17</v>
      </c>
      <c r="M242" s="17">
        <f t="shared" si="15"/>
        <v>11</v>
      </c>
      <c r="N242" s="18">
        <f t="shared" si="16"/>
        <v>0.6071428571428571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 t="s">
        <v>1343</v>
      </c>
      <c r="AD242" s="27" t="s">
        <v>1343</v>
      </c>
      <c r="AE242" s="27" t="s">
        <v>1343</v>
      </c>
      <c r="AF242" s="27" t="s">
        <v>1343</v>
      </c>
      <c r="AG242" s="27" t="s">
        <v>1343</v>
      </c>
      <c r="AH242" s="27" t="s">
        <v>1343</v>
      </c>
      <c r="AI242" s="27" t="s">
        <v>1343</v>
      </c>
      <c r="AJ242" s="27" t="s">
        <v>1343</v>
      </c>
      <c r="AK242" s="8" t="s">
        <v>1343</v>
      </c>
      <c r="AL242" s="8" t="s">
        <v>1343</v>
      </c>
      <c r="AM242" s="8" t="s">
        <v>1343</v>
      </c>
      <c r="AN242" s="27"/>
      <c r="AO242" s="8"/>
      <c r="AP242" s="8"/>
      <c r="AQ242" s="27"/>
      <c r="AR242" s="27"/>
    </row>
    <row r="243" spans="1:44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17</v>
      </c>
      <c r="M243" s="17">
        <f t="shared" si="15"/>
        <v>11</v>
      </c>
      <c r="N243" s="18">
        <f t="shared" si="16"/>
        <v>0.6071428571428571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 t="s">
        <v>1343</v>
      </c>
      <c r="AD243" s="27" t="s">
        <v>1343</v>
      </c>
      <c r="AE243" s="27" t="s">
        <v>1343</v>
      </c>
      <c r="AF243" s="27" t="s">
        <v>1343</v>
      </c>
      <c r="AG243" s="27" t="s">
        <v>1343</v>
      </c>
      <c r="AH243" s="27" t="s">
        <v>1343</v>
      </c>
      <c r="AI243" s="27" t="s">
        <v>1343</v>
      </c>
      <c r="AJ243" s="27" t="s">
        <v>1343</v>
      </c>
      <c r="AK243" s="8" t="s">
        <v>1343</v>
      </c>
      <c r="AL243" s="8" t="s">
        <v>1343</v>
      </c>
      <c r="AM243" s="8" t="s">
        <v>1343</v>
      </c>
      <c r="AN243" s="27"/>
      <c r="AO243" s="8"/>
      <c r="AP243" s="8"/>
      <c r="AQ243" s="27"/>
      <c r="AR243" s="27"/>
    </row>
    <row r="244" spans="1:44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16</v>
      </c>
      <c r="M244" s="17">
        <f t="shared" si="15"/>
        <v>12</v>
      </c>
      <c r="N244" s="18">
        <f t="shared" si="16"/>
        <v>0.5714285714285714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 t="s">
        <v>1343</v>
      </c>
      <c r="AD244" s="27" t="s">
        <v>1343</v>
      </c>
      <c r="AE244" s="27" t="s">
        <v>1343</v>
      </c>
      <c r="AF244" s="27" t="s">
        <v>1343</v>
      </c>
      <c r="AG244" s="27" t="s">
        <v>1343</v>
      </c>
      <c r="AH244" s="27" t="s">
        <v>1343</v>
      </c>
      <c r="AI244" s="27" t="s">
        <v>1343</v>
      </c>
      <c r="AJ244" s="27" t="s">
        <v>1343</v>
      </c>
      <c r="AK244" s="8" t="s">
        <v>1343</v>
      </c>
      <c r="AL244" s="8" t="s">
        <v>1343</v>
      </c>
      <c r="AM244" s="8" t="s">
        <v>1343</v>
      </c>
      <c r="AN244" s="27"/>
      <c r="AO244" s="8"/>
      <c r="AP244" s="8"/>
      <c r="AQ244" s="27"/>
      <c r="AR244" s="27"/>
    </row>
    <row r="245" spans="1:44" ht="15" thickBot="1" x14ac:dyDescent="0.35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16</v>
      </c>
      <c r="M246" s="17">
        <f t="shared" si="15"/>
        <v>12</v>
      </c>
      <c r="N246" s="18">
        <f t="shared" si="16"/>
        <v>0.5714285714285714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 t="s">
        <v>1343</v>
      </c>
      <c r="AD246" s="27" t="s">
        <v>1343</v>
      </c>
      <c r="AE246" s="27" t="s">
        <v>1343</v>
      </c>
      <c r="AF246" s="27" t="s">
        <v>1343</v>
      </c>
      <c r="AG246" s="27" t="s">
        <v>1343</v>
      </c>
      <c r="AH246" s="27" t="s">
        <v>1343</v>
      </c>
      <c r="AI246" s="27" t="s">
        <v>1343</v>
      </c>
      <c r="AJ246" s="27" t="s">
        <v>1343</v>
      </c>
      <c r="AK246" s="27" t="s">
        <v>1343</v>
      </c>
      <c r="AL246" s="27" t="s">
        <v>1343</v>
      </c>
      <c r="AM246" s="27" t="s">
        <v>1343</v>
      </c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 t="s">
        <v>1343</v>
      </c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27</v>
      </c>
      <c r="M250" s="17">
        <f t="shared" si="15"/>
        <v>1</v>
      </c>
      <c r="N250" s="18">
        <f t="shared" si="16"/>
        <v>0.9642857142857143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 t="s">
        <v>1343</v>
      </c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27</v>
      </c>
      <c r="M261" s="17">
        <f t="shared" si="15"/>
        <v>1</v>
      </c>
      <c r="N261" s="18">
        <f t="shared" si="16"/>
        <v>0.9642857142857143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 t="s">
        <v>1343</v>
      </c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26</v>
      </c>
      <c r="M270" s="17">
        <f t="shared" si="18"/>
        <v>2</v>
      </c>
      <c r="N270" s="18">
        <f t="shared" si="19"/>
        <v>0.9285714285714286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 t="s">
        <v>1343</v>
      </c>
      <c r="AH270" s="27"/>
      <c r="AI270" s="27"/>
      <c r="AJ270" s="27"/>
      <c r="AK270" s="8"/>
      <c r="AL270" s="8"/>
      <c r="AM270" s="8" t="s">
        <v>1343</v>
      </c>
      <c r="AN270" s="27"/>
      <c r="AO270" s="8"/>
      <c r="AP270" s="8"/>
      <c r="AQ270" s="27"/>
      <c r="AR270" s="27"/>
    </row>
    <row r="271" spans="1:44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 t="s">
        <v>1343</v>
      </c>
      <c r="AD288" s="27"/>
      <c r="AE288" s="27" t="s">
        <v>1343</v>
      </c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15</v>
      </c>
      <c r="M289" s="17">
        <f t="shared" si="18"/>
        <v>13</v>
      </c>
      <c r="N289" s="18">
        <f t="shared" si="19"/>
        <v>0.5357142857142857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 t="s">
        <v>1343</v>
      </c>
      <c r="AD289" s="27" t="s">
        <v>1343</v>
      </c>
      <c r="AE289" s="27" t="s">
        <v>1343</v>
      </c>
      <c r="AF289" s="27" t="s">
        <v>1343</v>
      </c>
      <c r="AG289" s="27" t="s">
        <v>1343</v>
      </c>
      <c r="AH289" s="27" t="s">
        <v>1343</v>
      </c>
      <c r="AI289" s="27" t="s">
        <v>1343</v>
      </c>
      <c r="AJ289" s="27" t="s">
        <v>1343</v>
      </c>
      <c r="AK289" s="8" t="s">
        <v>1343</v>
      </c>
      <c r="AL289" s="8" t="s">
        <v>1343</v>
      </c>
      <c r="AM289" s="8" t="s">
        <v>1343</v>
      </c>
      <c r="AN289" s="27"/>
      <c r="AO289" s="8"/>
      <c r="AP289" s="8"/>
      <c r="AQ289" s="27"/>
      <c r="AR289" s="27"/>
    </row>
    <row r="290" spans="1:44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20</v>
      </c>
      <c r="M296" s="17">
        <f t="shared" si="18"/>
        <v>8</v>
      </c>
      <c r="N296" s="18">
        <f t="shared" si="19"/>
        <v>0.7142857142857143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 t="s">
        <v>1343</v>
      </c>
      <c r="AH296" s="27" t="s">
        <v>1343</v>
      </c>
      <c r="AI296" s="27"/>
      <c r="AJ296" s="27"/>
      <c r="AK296" s="8"/>
      <c r="AL296" s="8"/>
      <c r="AM296" s="8" t="s">
        <v>1343</v>
      </c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23</v>
      </c>
      <c r="M297" s="17">
        <f t="shared" si="18"/>
        <v>5</v>
      </c>
      <c r="N297" s="18">
        <f t="shared" si="19"/>
        <v>0.8214285714285714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 t="s">
        <v>1343</v>
      </c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5</v>
      </c>
      <c r="M303" s="17">
        <f t="shared" si="18"/>
        <v>23</v>
      </c>
      <c r="N303" s="18">
        <f t="shared" si="19"/>
        <v>0.17857142857142858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 t="s">
        <v>1343</v>
      </c>
      <c r="AD303" s="27" t="s">
        <v>1343</v>
      </c>
      <c r="AE303" s="27" t="s">
        <v>1343</v>
      </c>
      <c r="AF303" s="27" t="s">
        <v>1343</v>
      </c>
      <c r="AG303" s="27" t="s">
        <v>1343</v>
      </c>
      <c r="AH303" s="27" t="s">
        <v>1343</v>
      </c>
      <c r="AI303" s="27" t="s">
        <v>1343</v>
      </c>
      <c r="AJ303" s="27" t="s">
        <v>1343</v>
      </c>
      <c r="AK303" s="8" t="s">
        <v>1343</v>
      </c>
      <c r="AL303" s="8" t="s">
        <v>1343</v>
      </c>
      <c r="AM303" s="8" t="s">
        <v>1343</v>
      </c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27</v>
      </c>
      <c r="M304" s="17">
        <f t="shared" si="18"/>
        <v>1</v>
      </c>
      <c r="N304" s="18">
        <f t="shared" si="19"/>
        <v>0.9642857142857143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 t="s">
        <v>1343</v>
      </c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27</v>
      </c>
      <c r="M305" s="17">
        <f t="shared" si="18"/>
        <v>1</v>
      </c>
      <c r="N305" s="18">
        <f t="shared" si="19"/>
        <v>0.9642857142857143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 t="s">
        <v>1343</v>
      </c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27</v>
      </c>
      <c r="M306" s="17">
        <f t="shared" si="18"/>
        <v>1</v>
      </c>
      <c r="N306" s="18">
        <f t="shared" si="19"/>
        <v>0.9642857142857143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 t="s">
        <v>1343</v>
      </c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27</v>
      </c>
      <c r="M307" s="17">
        <f t="shared" si="18"/>
        <v>1</v>
      </c>
      <c r="N307" s="18">
        <f t="shared" si="19"/>
        <v>0.9642857142857143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 t="s">
        <v>1343</v>
      </c>
      <c r="AN307" s="27"/>
      <c r="AO307" s="8"/>
      <c r="AP307" s="8"/>
      <c r="AQ307" s="27"/>
      <c r="AR307" s="27"/>
    </row>
    <row r="308" spans="1:44" ht="15" thickBot="1" x14ac:dyDescent="0.35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22</v>
      </c>
      <c r="M309" s="17">
        <f t="shared" si="18"/>
        <v>6</v>
      </c>
      <c r="N309" s="18">
        <f t="shared" si="19"/>
        <v>0.7857142857142857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 t="s">
        <v>1343</v>
      </c>
      <c r="AH309" s="27" t="s">
        <v>1343</v>
      </c>
      <c r="AI309" s="27" t="s">
        <v>1343</v>
      </c>
      <c r="AJ309" s="27" t="s">
        <v>1343</v>
      </c>
      <c r="AK309" s="8"/>
      <c r="AL309" s="8"/>
      <c r="AM309" s="8" t="s">
        <v>1343</v>
      </c>
      <c r="AN309" s="27"/>
      <c r="AO309" s="8"/>
      <c r="AP309" s="8"/>
      <c r="AQ309" s="27"/>
      <c r="AR309" s="27"/>
    </row>
    <row r="310" spans="1:44" ht="15" thickBot="1" x14ac:dyDescent="0.35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26</v>
      </c>
      <c r="M310" s="17">
        <f t="shared" si="18"/>
        <v>2</v>
      </c>
      <c r="N310" s="18">
        <f t="shared" si="19"/>
        <v>0.9285714285714286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 t="s">
        <v>1343</v>
      </c>
      <c r="AH310" s="27"/>
      <c r="AI310" s="27"/>
      <c r="AJ310" s="27"/>
      <c r="AK310" s="8"/>
      <c r="AL310" s="8"/>
      <c r="AM310" s="8" t="s">
        <v>1343</v>
      </c>
      <c r="AN310" s="27"/>
      <c r="AO310" s="8"/>
      <c r="AP310" s="8"/>
      <c r="AQ310" s="27"/>
      <c r="AR310" s="27"/>
    </row>
    <row r="311" spans="1:44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 t="s">
        <v>1343</v>
      </c>
      <c r="AH325" s="27" t="s">
        <v>1343</v>
      </c>
      <c r="AI325" s="27" t="s">
        <v>1343</v>
      </c>
      <c r="AJ325" s="27"/>
      <c r="AK325" s="8" t="s">
        <v>1343</v>
      </c>
      <c r="AL325" s="8"/>
      <c r="AM325" s="8" t="s">
        <v>1343</v>
      </c>
      <c r="AN325" s="27"/>
      <c r="AO325" s="8"/>
      <c r="AP325" s="8"/>
      <c r="AQ325" s="27"/>
      <c r="AR325" s="27"/>
    </row>
    <row r="326" spans="1:44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24</v>
      </c>
      <c r="M327" s="17">
        <f t="shared" ref="M327:M372" si="21">COUNTIF(O327:AP327,"APAGADO")</f>
        <v>4</v>
      </c>
      <c r="N327" s="18">
        <f t="shared" ref="N327:N372" si="22">(L327)/(M327+L327)</f>
        <v>0.8571428571428571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 t="s">
        <v>1343</v>
      </c>
      <c r="AH327" s="27" t="s">
        <v>1343</v>
      </c>
      <c r="AI327" s="27"/>
      <c r="AJ327" s="27"/>
      <c r="AK327" s="8"/>
      <c r="AL327" s="8"/>
      <c r="AM327" s="8" t="s">
        <v>1343</v>
      </c>
      <c r="AN327" s="27"/>
      <c r="AO327" s="8"/>
      <c r="AP327" s="8"/>
      <c r="AQ327" s="27"/>
      <c r="AR327" s="27"/>
    </row>
    <row r="328" spans="1:44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25</v>
      </c>
      <c r="M334" s="17">
        <f t="shared" si="21"/>
        <v>3</v>
      </c>
      <c r="N334" s="18">
        <f t="shared" si="22"/>
        <v>0.8928571428571429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 t="s">
        <v>1343</v>
      </c>
      <c r="AH334" s="27" t="s">
        <v>1343</v>
      </c>
      <c r="AI334" s="27"/>
      <c r="AJ334" s="27"/>
      <c r="AK334" s="8"/>
      <c r="AL334" s="8"/>
      <c r="AM334" s="8" t="s">
        <v>1343</v>
      </c>
      <c r="AN334" s="27"/>
      <c r="AO334" s="8"/>
      <c r="AP334" s="8"/>
      <c r="AQ334" s="27"/>
      <c r="AR334" s="27"/>
    </row>
    <row r="335" spans="1:44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15</v>
      </c>
      <c r="M343" s="17">
        <f t="shared" si="21"/>
        <v>13</v>
      </c>
      <c r="N343" s="18">
        <f t="shared" si="22"/>
        <v>0.5357142857142857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 t="s">
        <v>1343</v>
      </c>
      <c r="AD343" s="27" t="s">
        <v>1343</v>
      </c>
      <c r="AE343" s="27" t="s">
        <v>1343</v>
      </c>
      <c r="AF343" s="27" t="s">
        <v>1343</v>
      </c>
      <c r="AG343" s="27" t="s">
        <v>1343</v>
      </c>
      <c r="AH343" s="27" t="s">
        <v>1343</v>
      </c>
      <c r="AI343" s="27" t="s">
        <v>1343</v>
      </c>
      <c r="AJ343" s="27" t="s">
        <v>1343</v>
      </c>
      <c r="AK343" s="8" t="s">
        <v>1343</v>
      </c>
      <c r="AL343" s="8" t="s">
        <v>1343</v>
      </c>
      <c r="AM343" s="8" t="s">
        <v>1343</v>
      </c>
      <c r="AN343" s="27"/>
      <c r="AO343" s="8"/>
      <c r="AP343" s="8"/>
      <c r="AQ343" s="27"/>
      <c r="AR343" s="27"/>
    </row>
    <row r="344" spans="1:44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5</v>
      </c>
      <c r="M352" s="17">
        <f t="shared" si="21"/>
        <v>23</v>
      </c>
      <c r="N352" s="18">
        <f t="shared" si="22"/>
        <v>0.17857142857142858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 t="s">
        <v>1343</v>
      </c>
      <c r="AD352" s="27" t="s">
        <v>1343</v>
      </c>
      <c r="AE352" s="27" t="s">
        <v>1343</v>
      </c>
      <c r="AF352" s="27" t="s">
        <v>1343</v>
      </c>
      <c r="AG352" s="27" t="s">
        <v>1343</v>
      </c>
      <c r="AH352" s="27" t="s">
        <v>1343</v>
      </c>
      <c r="AI352" s="27" t="s">
        <v>1343</v>
      </c>
      <c r="AJ352" s="27" t="s">
        <v>1343</v>
      </c>
      <c r="AK352" s="8" t="s">
        <v>1343</v>
      </c>
      <c r="AL352" s="8" t="s">
        <v>1343</v>
      </c>
      <c r="AM352" s="8" t="s">
        <v>1343</v>
      </c>
      <c r="AN352" s="27"/>
      <c r="AO352" s="8"/>
      <c r="AP352" s="8"/>
      <c r="AQ352" s="27"/>
      <c r="AR352" s="27"/>
    </row>
    <row r="353" spans="1:44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21</v>
      </c>
      <c r="M355" s="17">
        <f t="shared" si="21"/>
        <v>7</v>
      </c>
      <c r="N355" s="18">
        <f t="shared" si="22"/>
        <v>0.75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 t="s">
        <v>1343</v>
      </c>
      <c r="AD355" s="27" t="s">
        <v>1343</v>
      </c>
      <c r="AE355" s="27" t="s">
        <v>1343</v>
      </c>
      <c r="AF355" s="27"/>
      <c r="AG355" s="27"/>
      <c r="AH355" s="27"/>
      <c r="AI355" s="27"/>
      <c r="AJ355" s="27"/>
      <c r="AK355" s="8"/>
      <c r="AL355" s="8" t="s">
        <v>1343</v>
      </c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22</v>
      </c>
      <c r="M363" s="17">
        <f t="shared" si="21"/>
        <v>6</v>
      </c>
      <c r="N363" s="18">
        <f t="shared" si="22"/>
        <v>0.7857142857142857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 t="s">
        <v>1343</v>
      </c>
      <c r="AH363" s="27" t="s">
        <v>1343</v>
      </c>
      <c r="AI363" s="27" t="s">
        <v>1343</v>
      </c>
      <c r="AJ363" s="27" t="s">
        <v>1343</v>
      </c>
      <c r="AK363" s="8" t="s">
        <v>1343</v>
      </c>
      <c r="AL363" s="8"/>
      <c r="AM363" s="8" t="s">
        <v>1343</v>
      </c>
      <c r="AN363" s="27"/>
      <c r="AO363" s="8"/>
      <c r="AP363" s="8"/>
      <c r="AQ363" s="27"/>
      <c r="AR363" s="27"/>
    </row>
    <row r="364" spans="1:44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" thickBot="1" x14ac:dyDescent="0.35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28</v>
      </c>
      <c r="M373" s="73">
        <f t="shared" ref="M373:M377" si="24">COUNTIF(O373:AP373,"APAGADO")</f>
        <v>0</v>
      </c>
      <c r="N373" s="74">
        <f t="shared" ref="N373:N377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" thickBot="1" x14ac:dyDescent="0.35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" thickBot="1" x14ac:dyDescent="0.35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" thickBot="1" x14ac:dyDescent="0.35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s="70" customFormat="1" ht="15" thickBot="1" x14ac:dyDescent="0.35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28</v>
      </c>
      <c r="M377" s="73">
        <f t="shared" si="24"/>
        <v>0</v>
      </c>
      <c r="N377" s="74">
        <f t="shared" si="25"/>
        <v>1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</row>
    <row r="378" spans="1:44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4.4" x14ac:dyDescent="0.3"/>
  <cols>
    <col min="2" max="2" width="22.33203125" bestFit="1" customWidth="1"/>
    <col min="3" max="3" width="37.6640625" bestFit="1" customWidth="1"/>
    <col min="4" max="4" width="34.33203125" bestFit="1" customWidth="1"/>
    <col min="7" max="7" width="9.6640625" bestFit="1" customWidth="1"/>
  </cols>
  <sheetData>
    <row r="1" spans="1:8" ht="19.2" thickTop="1" thickBot="1" x14ac:dyDescent="0.4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" thickTop="1" x14ac:dyDescent="0.3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3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3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3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3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3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3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3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3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3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3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3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1310</v>
      </c>
    </row>
    <row r="2" spans="1:1" ht="15" thickBot="1" x14ac:dyDescent="0.35"/>
    <row r="3" spans="1:1" ht="19.2" thickTop="1" thickBot="1" x14ac:dyDescent="0.35">
      <c r="A3" s="48">
        <v>44652</v>
      </c>
    </row>
    <row r="4" spans="1:1" ht="19.2" thickTop="1" thickBot="1" x14ac:dyDescent="0.35">
      <c r="A4" s="48">
        <v>44653</v>
      </c>
    </row>
    <row r="5" spans="1:1" ht="19.2" thickTop="1" thickBot="1" x14ac:dyDescent="0.35">
      <c r="A5" s="48">
        <v>44654</v>
      </c>
    </row>
    <row r="6" spans="1:1" ht="19.2" thickTop="1" thickBot="1" x14ac:dyDescent="0.35">
      <c r="A6" s="48">
        <v>44655</v>
      </c>
    </row>
    <row r="7" spans="1:1" ht="19.2" thickTop="1" thickBot="1" x14ac:dyDescent="0.35">
      <c r="A7" s="48">
        <v>44656</v>
      </c>
    </row>
    <row r="8" spans="1:1" ht="19.2" thickTop="1" thickBot="1" x14ac:dyDescent="0.35">
      <c r="A8" s="48">
        <v>44657</v>
      </c>
    </row>
    <row r="9" spans="1:1" ht="19.2" thickTop="1" thickBot="1" x14ac:dyDescent="0.35">
      <c r="A9" s="48">
        <v>44658</v>
      </c>
    </row>
    <row r="10" spans="1:1" ht="19.2" thickTop="1" thickBot="1" x14ac:dyDescent="0.35">
      <c r="A10" s="48">
        <v>44659</v>
      </c>
    </row>
    <row r="11" spans="1:1" ht="19.2" thickTop="1" thickBot="1" x14ac:dyDescent="0.35">
      <c r="A11" s="48">
        <v>44660</v>
      </c>
    </row>
    <row r="12" spans="1:1" ht="19.2" thickTop="1" thickBot="1" x14ac:dyDescent="0.35">
      <c r="A12" s="48">
        <v>44661</v>
      </c>
    </row>
    <row r="13" spans="1:1" ht="19.2" thickTop="1" thickBot="1" x14ac:dyDescent="0.35">
      <c r="A13" s="48">
        <v>44662</v>
      </c>
    </row>
    <row r="14" spans="1:1" ht="19.2" thickTop="1" thickBot="1" x14ac:dyDescent="0.35">
      <c r="A14" s="48">
        <v>44663</v>
      </c>
    </row>
    <row r="15" spans="1:1" ht="19.2" thickTop="1" thickBot="1" x14ac:dyDescent="0.35">
      <c r="A15" s="48">
        <v>44664</v>
      </c>
    </row>
    <row r="16" spans="1:1" ht="19.2" thickTop="1" thickBot="1" x14ac:dyDescent="0.35">
      <c r="A16" s="48">
        <v>44665</v>
      </c>
    </row>
    <row r="17" spans="1:2" ht="19.2" thickTop="1" thickBot="1" x14ac:dyDescent="0.35">
      <c r="A17" s="48">
        <v>44666</v>
      </c>
    </row>
    <row r="18" spans="1:2" ht="19.2" thickTop="1" thickBot="1" x14ac:dyDescent="0.35">
      <c r="A18" s="48">
        <v>44667</v>
      </c>
    </row>
    <row r="19" spans="1:2" ht="19.2" thickTop="1" thickBot="1" x14ac:dyDescent="0.35">
      <c r="A19" s="48">
        <v>44668</v>
      </c>
    </row>
    <row r="20" spans="1:2" ht="19.2" thickTop="1" thickBot="1" x14ac:dyDescent="0.35">
      <c r="A20" s="48">
        <v>44669</v>
      </c>
    </row>
    <row r="21" spans="1:2" ht="19.2" thickTop="1" thickBot="1" x14ac:dyDescent="0.35">
      <c r="A21" s="48">
        <v>44670</v>
      </c>
    </row>
    <row r="22" spans="1:2" ht="19.2" thickTop="1" thickBot="1" x14ac:dyDescent="0.35">
      <c r="A22" s="48">
        <v>44671</v>
      </c>
    </row>
    <row r="23" spans="1:2" ht="19.2" thickTop="1" thickBot="1" x14ac:dyDescent="0.35">
      <c r="A23" s="48">
        <v>44672</v>
      </c>
      <c r="B23" s="49"/>
    </row>
    <row r="24" spans="1:2" ht="19.2" thickTop="1" thickBot="1" x14ac:dyDescent="0.35">
      <c r="A24" s="48">
        <v>44673</v>
      </c>
      <c r="B24" s="50"/>
    </row>
    <row r="25" spans="1:2" ht="19.2" thickTop="1" thickBot="1" x14ac:dyDescent="0.35">
      <c r="A25" s="48">
        <v>44674</v>
      </c>
    </row>
    <row r="26" spans="1:2" ht="19.2" thickTop="1" thickBot="1" x14ac:dyDescent="0.35">
      <c r="A26" s="48">
        <v>44675</v>
      </c>
    </row>
    <row r="27" spans="1:2" ht="19.2" thickTop="1" thickBot="1" x14ac:dyDescent="0.35">
      <c r="A27" s="48">
        <v>44676</v>
      </c>
    </row>
    <row r="28" spans="1:2" ht="19.2" thickTop="1" thickBot="1" x14ac:dyDescent="0.35">
      <c r="A28" s="48">
        <v>44677</v>
      </c>
    </row>
    <row r="29" spans="1:2" ht="19.2" thickTop="1" thickBot="1" x14ac:dyDescent="0.35">
      <c r="A29" s="48">
        <v>44678</v>
      </c>
    </row>
    <row r="30" spans="1:2" ht="19.2" thickTop="1" thickBot="1" x14ac:dyDescent="0.35">
      <c r="A30" s="48">
        <v>44679</v>
      </c>
    </row>
    <row r="31" spans="1:2" ht="19.2" thickTop="1" thickBot="1" x14ac:dyDescent="0.35">
      <c r="A31" s="48">
        <v>44680</v>
      </c>
    </row>
    <row r="32" spans="1:2" ht="19.2" thickTop="1" thickBot="1" x14ac:dyDescent="0.35">
      <c r="A32" s="48">
        <v>44681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T1" workbookViewId="0">
      <selection activeCell="AD1" sqref="AD1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 t="str">
        <f>'RESUMEN TOTAL'!AG10</f>
        <v>APAGADO</v>
      </c>
      <c r="Y7" t="str">
        <f>'RESUMEN TOTAL'!AH10</f>
        <v>APAGADO</v>
      </c>
      <c r="Z7" t="str">
        <f>'RESUMEN TOTAL'!AI10</f>
        <v>APAGADO</v>
      </c>
      <c r="AA7" t="str">
        <f>'RESUMEN TOTAL'!AJ10</f>
        <v>APAGADO</v>
      </c>
      <c r="AB7" t="str">
        <f>'RESUMEN TOTAL'!AK10</f>
        <v>APAGADO</v>
      </c>
      <c r="AC7" t="str">
        <f>'RESUMEN TOTAL'!AL10</f>
        <v>APAGADO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 t="str">
        <f>'RESUMEN TOTAL'!AG12</f>
        <v>APAGADO</v>
      </c>
      <c r="Y9" t="str">
        <f>'RESUMEN TOTAL'!AH12</f>
        <v>APAGADO</v>
      </c>
      <c r="Z9" t="str">
        <f>'RESUMEN TOTAL'!AI12</f>
        <v>APAGADO</v>
      </c>
      <c r="AA9" t="str">
        <f>'RESUMEN TOTAL'!AJ12</f>
        <v>APAGADO</v>
      </c>
      <c r="AB9" t="str">
        <f>'RESUMEN TOTAL'!AK12</f>
        <v>APAGADO</v>
      </c>
      <c r="AC9">
        <f>'RESUMEN TOTAL'!AL12</f>
        <v>0</v>
      </c>
      <c r="AD9" t="str">
        <f>'RESUMEN TOTAL'!AM12</f>
        <v>APAGADO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 t="str">
        <f>'RESUMEN TOTAL'!AG13</f>
        <v>APAGADO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 t="str">
        <f>'RESUMEN TOTAL'!AM13</f>
        <v>APAGADO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 t="str">
        <f>'RESUMEN TOTAL'!AH14</f>
        <v>APAGADO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 t="str">
        <f>'RESUMEN TOTAL'!AM14</f>
        <v>APAGADO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 t="str">
        <f>'RESUMEN TOTAL'!AL19</f>
        <v>APAGADO</v>
      </c>
      <c r="AD16" t="str">
        <f>'RESUMEN TOTAL'!AM19</f>
        <v>APAGADO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 t="str">
        <f>'RESUMEN TOTAL'!AG21</f>
        <v>APAGADO</v>
      </c>
      <c r="Y18">
        <f>'RESUMEN TOTAL'!AH21</f>
        <v>0</v>
      </c>
      <c r="Z18" t="str">
        <f>'RESUMEN TOTAL'!AI21</f>
        <v>APAGADO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 t="str">
        <f>'RESUMEN TOTAL'!AM21</f>
        <v>APAGADO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 t="str">
        <f>'RESUMEN TOTAL'!AM22</f>
        <v>APAGADO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 t="str">
        <f>'RESUMEN TOTAL'!AE24</f>
        <v>APAGADO</v>
      </c>
      <c r="W21" t="str">
        <f>'RESUMEN TOTAL'!AF24</f>
        <v>APAGADO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 t="str">
        <f>'RESUMEN TOTAL'!AF32</f>
        <v>APAGADO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 t="str">
        <f>'RESUMEN TOTAL'!AM45</f>
        <v>APAGADO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 t="str">
        <f>'RESUMEN TOTAL'!AM49</f>
        <v>APAGADO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 t="str">
        <f>'RESUMEN TOTAL'!AG53</f>
        <v>APAGADO</v>
      </c>
      <c r="Y50" t="str">
        <f>'RESUMEN TOTAL'!AH53</f>
        <v>APAGADO</v>
      </c>
      <c r="Z50" t="str">
        <f>'RESUMEN TOTAL'!AI53</f>
        <v>APAGADO</v>
      </c>
      <c r="AA50" t="str">
        <f>'RESUMEN TOTAL'!AJ53</f>
        <v>APAGADO</v>
      </c>
      <c r="AB50" t="str">
        <f>'RESUMEN TOTAL'!AK53</f>
        <v>APAGADO</v>
      </c>
      <c r="AC50">
        <f>'RESUMEN TOTAL'!AL53</f>
        <v>0</v>
      </c>
      <c r="AD50" t="str">
        <f>'RESUMEN TOTAL'!AM53</f>
        <v>APAGADO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 t="str">
        <f>'RESUMEN TOTAL'!AM55</f>
        <v>APAGADO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 t="str">
        <f>'RESUMEN TOTAL'!AD66</f>
        <v>APAGADO</v>
      </c>
      <c r="V63" t="str">
        <f>'RESUMEN TOTAL'!AE66</f>
        <v>APAGADO</v>
      </c>
      <c r="W63" t="str">
        <f>'RESUMEN TOTAL'!AF66</f>
        <v>APAGADO</v>
      </c>
      <c r="X63" t="str">
        <f>'RESUMEN TOTAL'!AG66</f>
        <v>APAGADO</v>
      </c>
      <c r="Y63" t="str">
        <f>'RESUMEN TOTAL'!AH66</f>
        <v>APAGADO</v>
      </c>
      <c r="Z63" t="str">
        <f>'RESUMEN TOTAL'!AI66</f>
        <v>APAGADO</v>
      </c>
      <c r="AA63" t="str">
        <f>'RESUMEN TOTAL'!AJ66</f>
        <v>APAGADO</v>
      </c>
      <c r="AB63" t="str">
        <f>'RESUMEN TOTAL'!AK66</f>
        <v>APAGADO</v>
      </c>
      <c r="AC63" t="str">
        <f>'RESUMEN TOTAL'!AL66</f>
        <v>APAGADO</v>
      </c>
      <c r="AD63" t="str">
        <f>'RESUMEN TOTAL'!AM66</f>
        <v>APAGADO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 t="str">
        <f>'RESUMEN TOTAL'!AG73</f>
        <v>APAGADO</v>
      </c>
      <c r="Y70" t="str">
        <f>'RESUMEN TOTAL'!AH73</f>
        <v>APAGADO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 t="str">
        <f>'RESUMEN TOTAL'!AM73</f>
        <v>APAGADO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 t="str">
        <f>'RESUMEN TOTAL'!AE102</f>
        <v>APAGADO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 t="str">
        <f>'RESUMEN TOTAL'!AM104</f>
        <v>APAGADO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 t="str">
        <f>'RESUMEN TOTAL'!AM105</f>
        <v>APAGADO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>
        <f>'RESUMEN TOTAL'!AK115</f>
        <v>0</v>
      </c>
      <c r="AC112">
        <f>'RESUMEN TOTAL'!AL115</f>
        <v>0</v>
      </c>
      <c r="AD112" t="str">
        <f>'RESUMEN TOTAL'!AM115</f>
        <v>APAGADO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 t="str">
        <f>'RESUMEN TOTAL'!AM116</f>
        <v>APAGADO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 t="str">
        <f>'RESUMEN TOTAL'!AG124</f>
        <v>APAGADO</v>
      </c>
      <c r="Y121" t="str">
        <f>'RESUMEN TOTAL'!AH124</f>
        <v>APAGADO</v>
      </c>
      <c r="Z121" t="str">
        <f>'RESUMEN TOTAL'!AI124</f>
        <v>APAGADO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 t="str">
        <f>'RESUMEN TOTAL'!AM124</f>
        <v>APAGADO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 t="str">
        <f>'RESUMEN TOTAL'!AM129</f>
        <v>APAGADO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 t="str">
        <f>'RESUMEN TOTAL'!AM130</f>
        <v>APAGADO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 t="str">
        <f>'RESUMEN TOTAL'!AM138</f>
        <v>APAGADO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 t="str">
        <f>'RESUMEN TOTAL'!AM139</f>
        <v>APAGADO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 t="str">
        <f>'RESUMEN TOTAL'!AM140</f>
        <v>APAGADO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 t="str">
        <f>'RESUMEN TOTAL'!AM141</f>
        <v>APAGADO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 t="str">
        <f>'RESUMEN TOTAL'!AI153</f>
        <v>APAGADO</v>
      </c>
      <c r="AA150" t="str">
        <f>'RESUMEN TOTAL'!AJ153</f>
        <v>APAGADO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 t="str">
        <f>'RESUMEN TOTAL'!AC157</f>
        <v>APAGADO</v>
      </c>
      <c r="U154" t="str">
        <f>'RESUMEN TOTAL'!AD157</f>
        <v>APAGADO</v>
      </c>
      <c r="V154" t="str">
        <f>'RESUMEN TOTAL'!AE157</f>
        <v>APAGADO</v>
      </c>
      <c r="W154" t="str">
        <f>'RESUMEN TOTAL'!AF157</f>
        <v>APAGADO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 t="str">
        <f>'RESUMEN TOTAL'!AC161</f>
        <v>APAGADO</v>
      </c>
      <c r="U158" t="str">
        <f>'RESUMEN TOTAL'!AD161</f>
        <v>APAGADO</v>
      </c>
      <c r="V158" t="str">
        <f>'RESUMEN TOTAL'!AE161</f>
        <v>APAGADO</v>
      </c>
      <c r="W158" t="str">
        <f>'RESUMEN TOTAL'!AF161</f>
        <v>APAGADO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 t="str">
        <f>'RESUMEN TOTAL'!AJ168</f>
        <v>APAGADO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 t="str">
        <f>'RESUMEN TOTAL'!AG186</f>
        <v>APAGADO</v>
      </c>
      <c r="Y183" t="str">
        <f>'RESUMEN TOTAL'!AH186</f>
        <v>APAGADO</v>
      </c>
      <c r="Z183">
        <f>'RESUMEN TOTAL'!AI186</f>
        <v>0</v>
      </c>
      <c r="AA183" t="str">
        <f>'RESUMEN TOTAL'!AJ186</f>
        <v>APAGADO</v>
      </c>
      <c r="AB183" t="str">
        <f>'RESUMEN TOTAL'!AK186</f>
        <v>APAGADO</v>
      </c>
      <c r="AC183">
        <f>'RESUMEN TOTAL'!AL186</f>
        <v>0</v>
      </c>
      <c r="AD183" t="str">
        <f>'RESUMEN TOTAL'!AM186</f>
        <v>APAGADO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 t="str">
        <f>'RESUMEN TOTAL'!AH190</f>
        <v>APAGADO</v>
      </c>
      <c r="Z187" t="str">
        <f>'RESUMEN TOTAL'!AI190</f>
        <v>APAGADO</v>
      </c>
      <c r="AA187" t="str">
        <f>'RESUMEN TOTAL'!AJ190</f>
        <v>APAGADO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 t="str">
        <f>'RESUMEN TOTAL'!AG194</f>
        <v>APAGADO</v>
      </c>
      <c r="Y191" t="str">
        <f>'RESUMEN TOTAL'!AH194</f>
        <v>APAGADO</v>
      </c>
      <c r="Z191" t="str">
        <f>'RESUMEN TOTAL'!AI194</f>
        <v>APAGADO</v>
      </c>
      <c r="AA191" t="str">
        <f>'RESUMEN TOTAL'!AJ194</f>
        <v>APAGADO</v>
      </c>
      <c r="AB191" t="str">
        <f>'RESUMEN TOTAL'!AK194</f>
        <v>APAGADO</v>
      </c>
      <c r="AC191" t="str">
        <f>'RESUMEN TOTAL'!AL194</f>
        <v>APAGADO</v>
      </c>
      <c r="AD191" t="str">
        <f>'RESUMEN TOTAL'!AM194</f>
        <v>APAGADO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 t="str">
        <f>'RESUMEN TOTAL'!AL195</f>
        <v>APAGADO</v>
      </c>
      <c r="AD192" t="str">
        <f>'RESUMEN TOTAL'!AM195</f>
        <v>APAGADO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 t="str">
        <f>'RESUMEN TOTAL'!AL196</f>
        <v>APAGADO</v>
      </c>
      <c r="AD193" t="str">
        <f>'RESUMEN TOTAL'!AM196</f>
        <v>APAGADO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 t="str">
        <f>'RESUMEN TOTAL'!AC199</f>
        <v>APAGADO</v>
      </c>
      <c r="U196" t="str">
        <f>'RESUMEN TOTAL'!AD199</f>
        <v>APAGADO</v>
      </c>
      <c r="V196" t="str">
        <f>'RESUMEN TOTAL'!AE199</f>
        <v>APAGADO</v>
      </c>
      <c r="W196" t="str">
        <f>'RESUMEN TOTAL'!AF199</f>
        <v>APAGADO</v>
      </c>
      <c r="X196" t="str">
        <f>'RESUMEN TOTAL'!AG199</f>
        <v>APAGADO</v>
      </c>
      <c r="Y196" t="str">
        <f>'RESUMEN TOTAL'!AH199</f>
        <v>APAGADO</v>
      </c>
      <c r="Z196" t="str">
        <f>'RESUMEN TOTAL'!AI199</f>
        <v>APAGADO</v>
      </c>
      <c r="AA196" t="str">
        <f>'RESUMEN TOTAL'!AJ199</f>
        <v>APAGADO</v>
      </c>
      <c r="AB196" t="str">
        <f>'RESUMEN TOTAL'!AK199</f>
        <v>APAGADO</v>
      </c>
      <c r="AC196" t="str">
        <f>'RESUMEN TOTAL'!AL199</f>
        <v>APAGADO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 t="str">
        <f>'RESUMEN TOTAL'!AC200</f>
        <v>APAGADO</v>
      </c>
      <c r="U197" t="str">
        <f>'RESUMEN TOTAL'!AD200</f>
        <v>APAGADO</v>
      </c>
      <c r="V197" t="str">
        <f>'RESUMEN TOTAL'!AE200</f>
        <v>APAGADO</v>
      </c>
      <c r="W197" t="str">
        <f>'RESUMEN TOTAL'!AF200</f>
        <v>APAGADO</v>
      </c>
      <c r="X197" t="str">
        <f>'RESUMEN TOTAL'!AG200</f>
        <v>APAGADO</v>
      </c>
      <c r="Y197" t="str">
        <f>'RESUMEN TOTAL'!AH200</f>
        <v>APAGADO</v>
      </c>
      <c r="Z197" t="str">
        <f>'RESUMEN TOTAL'!AI200</f>
        <v>APAGADO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 t="str">
        <f>'RESUMEN TOTAL'!AM201</f>
        <v>APAGADO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 t="str">
        <f>'RESUMEN TOTAL'!AJ203</f>
        <v>APAGADO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 t="str">
        <f>'RESUMEN TOTAL'!AM204</f>
        <v>APAGADO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 t="str">
        <f>'RESUMEN TOTAL'!AM205</f>
        <v>APAGADO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 t="str">
        <f>'RESUMEN TOTAL'!AJ213</f>
        <v>APAGADO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 t="str">
        <f>'RESUMEN TOTAL'!AM218</f>
        <v>APAGADO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 t="str">
        <f>'RESUMEN TOTAL'!AM219</f>
        <v>APAGADO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 t="str">
        <f>'RESUMEN TOTAL'!AG227</f>
        <v>APAGADO</v>
      </c>
      <c r="Y224" t="str">
        <f>'RESUMEN TOTAL'!AH227</f>
        <v>APAGADO</v>
      </c>
      <c r="Z224" t="str">
        <f>'RESUMEN TOTAL'!AI227</f>
        <v>APAGADO</v>
      </c>
      <c r="AA224" t="str">
        <f>'RESUMEN TOTAL'!AJ227</f>
        <v>APAGADO</v>
      </c>
      <c r="AB224" t="str">
        <f>'RESUMEN TOTAL'!AK227</f>
        <v>APAGADO</v>
      </c>
      <c r="AC224" t="str">
        <f>'RESUMEN TOTAL'!AL227</f>
        <v>APAGADO</v>
      </c>
      <c r="AD224" t="str">
        <f>'RESUMEN TOTAL'!AM227</f>
        <v>APAGADO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 t="str">
        <f>'RESUMEN TOTAL'!AM230</f>
        <v>APAGADO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 t="str">
        <f>'RESUMEN TOTAL'!AI233</f>
        <v>APAGADO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 t="str">
        <f>'RESUMEN TOTAL'!AC241</f>
        <v>APAGADO</v>
      </c>
      <c r="U238" t="str">
        <f>'RESUMEN TOTAL'!AD241</f>
        <v>APAGADO</v>
      </c>
      <c r="V238" t="str">
        <f>'RESUMEN TOTAL'!AE241</f>
        <v>APAGADO</v>
      </c>
      <c r="W238" t="str">
        <f>'RESUMEN TOTAL'!AF241</f>
        <v>APAGADO</v>
      </c>
      <c r="X238" t="str">
        <f>'RESUMEN TOTAL'!AG241</f>
        <v>APAGADO</v>
      </c>
      <c r="Y238" t="str">
        <f>'RESUMEN TOTAL'!AH241</f>
        <v>APAGADO</v>
      </c>
      <c r="Z238" t="str">
        <f>'RESUMEN TOTAL'!AI241</f>
        <v>APAGADO</v>
      </c>
      <c r="AA238" t="str">
        <f>'RESUMEN TOTAL'!AJ241</f>
        <v>APAGADO</v>
      </c>
      <c r="AB238" t="str">
        <f>'RESUMEN TOTAL'!AK241</f>
        <v>APAGADO</v>
      </c>
      <c r="AC238" t="str">
        <f>'RESUMEN TOTAL'!AL241</f>
        <v>APAGADO</v>
      </c>
      <c r="AD238" t="str">
        <f>'RESUMEN TOTAL'!AM241</f>
        <v>APAGADO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 t="str">
        <f>'RESUMEN TOTAL'!AC242</f>
        <v>APAGADO</v>
      </c>
      <c r="U239" t="str">
        <f>'RESUMEN TOTAL'!AD242</f>
        <v>APAGADO</v>
      </c>
      <c r="V239" t="str">
        <f>'RESUMEN TOTAL'!AE242</f>
        <v>APAGADO</v>
      </c>
      <c r="W239" t="str">
        <f>'RESUMEN TOTAL'!AF242</f>
        <v>APAGADO</v>
      </c>
      <c r="X239" t="str">
        <f>'RESUMEN TOTAL'!AG242</f>
        <v>APAGADO</v>
      </c>
      <c r="Y239" t="str">
        <f>'RESUMEN TOTAL'!AH242</f>
        <v>APAGADO</v>
      </c>
      <c r="Z239" t="str">
        <f>'RESUMEN TOTAL'!AI242</f>
        <v>APAGADO</v>
      </c>
      <c r="AA239" t="str">
        <f>'RESUMEN TOTAL'!AJ242</f>
        <v>APAGADO</v>
      </c>
      <c r="AB239" t="str">
        <f>'RESUMEN TOTAL'!AK242</f>
        <v>APAGADO</v>
      </c>
      <c r="AC239" t="str">
        <f>'RESUMEN TOTAL'!AL242</f>
        <v>APAGADO</v>
      </c>
      <c r="AD239" t="str">
        <f>'RESUMEN TOTAL'!AM242</f>
        <v>APAGADO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 t="str">
        <f>'RESUMEN TOTAL'!AC243</f>
        <v>APAGADO</v>
      </c>
      <c r="U240" t="str">
        <f>'RESUMEN TOTAL'!AD243</f>
        <v>APAGADO</v>
      </c>
      <c r="V240" t="str">
        <f>'RESUMEN TOTAL'!AE243</f>
        <v>APAGADO</v>
      </c>
      <c r="W240" t="str">
        <f>'RESUMEN TOTAL'!AF243</f>
        <v>APAGADO</v>
      </c>
      <c r="X240" t="str">
        <f>'RESUMEN TOTAL'!AG243</f>
        <v>APAGADO</v>
      </c>
      <c r="Y240" t="str">
        <f>'RESUMEN TOTAL'!AH243</f>
        <v>APAGADO</v>
      </c>
      <c r="Z240" t="str">
        <f>'RESUMEN TOTAL'!AI243</f>
        <v>APAGADO</v>
      </c>
      <c r="AA240" t="str">
        <f>'RESUMEN TOTAL'!AJ243</f>
        <v>APAGADO</v>
      </c>
      <c r="AB240" t="str">
        <f>'RESUMEN TOTAL'!AK243</f>
        <v>APAGADO</v>
      </c>
      <c r="AC240" t="str">
        <f>'RESUMEN TOTAL'!AL243</f>
        <v>APAGADO</v>
      </c>
      <c r="AD240" t="str">
        <f>'RESUMEN TOTAL'!AM243</f>
        <v>APAGADO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 t="str">
        <f>'RESUMEN TOTAL'!AC244</f>
        <v>APAGADO</v>
      </c>
      <c r="U241" t="str">
        <f>'RESUMEN TOTAL'!AD244</f>
        <v>APAGADO</v>
      </c>
      <c r="V241" t="str">
        <f>'RESUMEN TOTAL'!AE244</f>
        <v>APAGADO</v>
      </c>
      <c r="W241" t="str">
        <f>'RESUMEN TOTAL'!AF244</f>
        <v>APAGADO</v>
      </c>
      <c r="X241" t="str">
        <f>'RESUMEN TOTAL'!AG244</f>
        <v>APAGADO</v>
      </c>
      <c r="Y241" t="str">
        <f>'RESUMEN TOTAL'!AH244</f>
        <v>APAGADO</v>
      </c>
      <c r="Z241" t="str">
        <f>'RESUMEN TOTAL'!AI244</f>
        <v>APAGADO</v>
      </c>
      <c r="AA241" t="str">
        <f>'RESUMEN TOTAL'!AJ244</f>
        <v>APAGADO</v>
      </c>
      <c r="AB241" t="str">
        <f>'RESUMEN TOTAL'!AK244</f>
        <v>APAGADO</v>
      </c>
      <c r="AC241" t="str">
        <f>'RESUMEN TOTAL'!AL244</f>
        <v>APAGADO</v>
      </c>
      <c r="AD241" t="str">
        <f>'RESUMEN TOTAL'!AM244</f>
        <v>APAGADO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 t="str">
        <f>'RESUMEN TOTAL'!AC246</f>
        <v>APAGADO</v>
      </c>
      <c r="U243" t="str">
        <f>'RESUMEN TOTAL'!AD246</f>
        <v>APAGADO</v>
      </c>
      <c r="V243" t="str">
        <f>'RESUMEN TOTAL'!AE246</f>
        <v>APAGADO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 t="str">
        <f>'RESUMEN TOTAL'!AL246</f>
        <v>APAGADO</v>
      </c>
      <c r="AD243" t="str">
        <f>'RESUMEN TOTAL'!AM246</f>
        <v>APAGADO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 t="str">
        <f>'RESUMEN TOTAL'!AE247</f>
        <v>APAGADO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 t="str">
        <f>'RESUMEN TOTAL'!AL250</f>
        <v>APAGADO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 t="str">
        <f>'RESUMEN TOTAL'!AC261</f>
        <v>APAGADO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 t="str">
        <f>'RESUMEN TOTAL'!AG270</f>
        <v>APAGADO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 t="str">
        <f>'RESUMEN TOTAL'!AM270</f>
        <v>APAGADO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 t="str">
        <f>'RESUMEN TOTAL'!AC288</f>
        <v>APAGADO</v>
      </c>
      <c r="U285">
        <f>'RESUMEN TOTAL'!AD288</f>
        <v>0</v>
      </c>
      <c r="V285" t="str">
        <f>'RESUMEN TOTAL'!AE288</f>
        <v>APAGADO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 t="str">
        <f>'RESUMEN TOTAL'!AH289</f>
        <v>APAGADO</v>
      </c>
      <c r="Z286" t="str">
        <f>'RESUMEN TOTAL'!AI289</f>
        <v>APAGADO</v>
      </c>
      <c r="AA286" t="str">
        <f>'RESUMEN TOTAL'!AJ289</f>
        <v>APAGADO</v>
      </c>
      <c r="AB286" t="str">
        <f>'RESUMEN TOTAL'!AK289</f>
        <v>APAGADO</v>
      </c>
      <c r="AC286" t="str">
        <f>'RESUMEN TOTAL'!AL289</f>
        <v>APAGADO</v>
      </c>
      <c r="AD286" t="str">
        <f>'RESUMEN TOTAL'!AM289</f>
        <v>APAGADO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 t="str">
        <f>'RESUMEN TOTAL'!AG296</f>
        <v>APAGADO</v>
      </c>
      <c r="Y293" t="str">
        <f>'RESUMEN TOTAL'!AH296</f>
        <v>APAGADO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 t="str">
        <f>'RESUMEN TOTAL'!AM296</f>
        <v>APAGADO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 t="str">
        <f>'RESUMEN TOTAL'!AL297</f>
        <v>APAGADO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 t="str">
        <f>'RESUMEN TOTAL'!AE303</f>
        <v>APAGADO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 t="str">
        <f>'RESUMEN TOTAL'!AL303</f>
        <v>APAGADO</v>
      </c>
      <c r="AD300" t="str">
        <f>'RESUMEN TOTAL'!AM303</f>
        <v>APAGADO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 t="str">
        <f>'RESUMEN TOTAL'!AM304</f>
        <v>APAGADO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 t="str">
        <f>'RESUMEN TOTAL'!AM305</f>
        <v>APAGADO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 t="str">
        <f>'RESUMEN TOTAL'!AM306</f>
        <v>APAGADO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 t="str">
        <f>'RESUMEN TOTAL'!AM307</f>
        <v>APAGADO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 t="str">
        <f>'RESUMEN TOTAL'!AG309</f>
        <v>APAGADO</v>
      </c>
      <c r="Y306" t="str">
        <f>'RESUMEN TOTAL'!AH309</f>
        <v>APAGADO</v>
      </c>
      <c r="Z306" t="str">
        <f>'RESUMEN TOTAL'!AI309</f>
        <v>APAGADO</v>
      </c>
      <c r="AA306" t="str">
        <f>'RESUMEN TOTAL'!AJ309</f>
        <v>APAGADO</v>
      </c>
      <c r="AB306">
        <f>'RESUMEN TOTAL'!AK309</f>
        <v>0</v>
      </c>
      <c r="AC306">
        <f>'RESUMEN TOTAL'!AL309</f>
        <v>0</v>
      </c>
      <c r="AD306" t="str">
        <f>'RESUMEN TOTAL'!AM309</f>
        <v>APAGADO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 t="str">
        <f>'RESUMEN TOTAL'!AG310</f>
        <v>APAGADO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 t="str">
        <f>'RESUMEN TOTAL'!AM310</f>
        <v>APAGADO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>
        <f>'RESUMEN TOTAL'!AJ325</f>
        <v>0</v>
      </c>
      <c r="AB322" t="str">
        <f>'RESUMEN TOTAL'!AK325</f>
        <v>APAGADO</v>
      </c>
      <c r="AC322">
        <f>'RESUMEN TOTAL'!AL325</f>
        <v>0</v>
      </c>
      <c r="AD322" t="str">
        <f>'RESUMEN TOTAL'!AM325</f>
        <v>APAGADO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 t="str">
        <f>'RESUMEN TOTAL'!AG327</f>
        <v>APAGADO</v>
      </c>
      <c r="Y324" t="str">
        <f>'RESUMEN TOTAL'!AH327</f>
        <v>APAGADO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 t="str">
        <f>'RESUMEN TOTAL'!AM327</f>
        <v>APAGADO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 t="str">
        <f>'RESUMEN TOTAL'!AG334</f>
        <v>APAGADO</v>
      </c>
      <c r="Y331" t="str">
        <f>'RESUMEN TOTAL'!AH334</f>
        <v>APAGADO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 t="str">
        <f>'RESUMEN TOTAL'!AM334</f>
        <v>APAGADO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 t="str">
        <f>'RESUMEN TOTAL'!AH343</f>
        <v>APAGADO</v>
      </c>
      <c r="Z340" t="str">
        <f>'RESUMEN TOTAL'!AI343</f>
        <v>APAGADO</v>
      </c>
      <c r="AA340" t="str">
        <f>'RESUMEN TOTAL'!AJ343</f>
        <v>APAGADO</v>
      </c>
      <c r="AB340" t="str">
        <f>'RESUMEN TOTAL'!AK343</f>
        <v>APAGADO</v>
      </c>
      <c r="AC340" t="str">
        <f>'RESUMEN TOTAL'!AL343</f>
        <v>APAGADO</v>
      </c>
      <c r="AD340" t="str">
        <f>'RESUMEN TOTAL'!AM343</f>
        <v>APAGADO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 t="str">
        <f>'RESUMEN TOTAL'!AK352</f>
        <v>APAGADO</v>
      </c>
      <c r="AC349" t="str">
        <f>'RESUMEN TOTAL'!AL352</f>
        <v>APAGADO</v>
      </c>
      <c r="AD349" t="str">
        <f>'RESUMEN TOTAL'!AM352</f>
        <v>APAGADO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 t="str">
        <f>'RESUMEN TOTAL'!AC355</f>
        <v>APAGADO</v>
      </c>
      <c r="U352" t="str">
        <f>'RESUMEN TOTAL'!AD355</f>
        <v>APAGADO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 t="str">
        <f>'RESUMEN TOTAL'!AK363</f>
        <v>APAGADO</v>
      </c>
      <c r="AC360">
        <f>'RESUMEN TOTAL'!AL363</f>
        <v>0</v>
      </c>
      <c r="AD360" t="str">
        <f>'RESUMEN TOTAL'!AM363</f>
        <v>APAGADO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AA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24</v>
      </c>
      <c r="U1" s="26">
        <f t="shared" si="0"/>
        <v>24</v>
      </c>
      <c r="V1" s="26">
        <f t="shared" si="0"/>
        <v>26</v>
      </c>
      <c r="W1" s="26">
        <f>COUNTIF(W3:W447, "APAGADO")</f>
        <v>25</v>
      </c>
      <c r="X1" s="26">
        <f t="shared" si="0"/>
        <v>41</v>
      </c>
      <c r="Y1" s="26">
        <f t="shared" si="0"/>
        <v>37</v>
      </c>
      <c r="Z1" s="26">
        <f t="shared" si="0"/>
        <v>34</v>
      </c>
      <c r="AA1" s="26">
        <f t="shared" si="0"/>
        <v>33</v>
      </c>
      <c r="AB1" s="26">
        <f t="shared" si="0"/>
        <v>27</v>
      </c>
      <c r="AC1" s="26">
        <f t="shared" si="0"/>
        <v>27</v>
      </c>
      <c r="AD1" s="26">
        <f>COUNTIF(AD3:AD366, "APAGADO")</f>
        <v>62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 t="str">
        <f>ESTADISTICA!Z9</f>
        <v>APAGADO</v>
      </c>
      <c r="AA10" t="str">
        <f>ESTADISTICA!AA9</f>
        <v>APAGADO</v>
      </c>
      <c r="AB10" t="str">
        <f>ESTADISTICA!AB9</f>
        <v>APAGADO</v>
      </c>
      <c r="AC10">
        <f>ESTADISTICA!AC9</f>
        <v>0</v>
      </c>
      <c r="AD10" t="str">
        <f>ESTADISTICA!AD9</f>
        <v>APAGADO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 t="str">
        <f>ESTADISTICA!AD11</f>
        <v>APAGADO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 t="str">
        <f>ESTADISTICA!AC16</f>
        <v>APAGADO</v>
      </c>
      <c r="AD17" t="str">
        <f>ESTADISTICA!AD16</f>
        <v>APAGADO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 t="str">
        <f>ESTADISTICA!AD19</f>
        <v>APAGADO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 t="str">
        <f>ESTADISTICA!W29</f>
        <v>APAGADO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 t="str">
        <f>ESTADISTICA!AD42</f>
        <v>APAGADO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 t="str">
        <f>ESTADISTICA!AD46</f>
        <v>APAGADO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>
        <f>ESTADISTICA!AC50</f>
        <v>0</v>
      </c>
      <c r="AD51" t="str">
        <f>ESTADISTICA!AD50</f>
        <v>APAGADO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 t="str">
        <f>ESTADISTICA!AD52</f>
        <v>APAGADO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 t="str">
        <f>ESTADISTICA!AC63</f>
        <v>APAGADO</v>
      </c>
      <c r="AD64" t="str">
        <f>ESTADISTICA!AD63</f>
        <v>APAGADO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 t="str">
        <f>ESTADISTICA!X70</f>
        <v>APAGADO</v>
      </c>
      <c r="Y71" t="str">
        <f>ESTADISTICA!Y70</f>
        <v>APAGADO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 t="str">
        <f>ESTADISTICA!AD70</f>
        <v>APAGADO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 t="str">
        <f>ESTADISTICA!AD101</f>
        <v>APAGADO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 t="str">
        <f>ESTADISTICA!AD112</f>
        <v>APAGADO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 t="str">
        <f>ESTADISTICA!AD113</f>
        <v>APAGADO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 t="str">
        <f>ESTADISTICA!AD121</f>
        <v>APAGADO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 t="str">
        <f>ESTADISTICA!AD126</f>
        <v>APAGADO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 t="str">
        <f>ESTADISTICA!AD135</f>
        <v>APAGADO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 t="str">
        <f>ESTADISTICA!AD138</f>
        <v>APAGADO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 t="str">
        <f>ESTADISTICA!Z150</f>
        <v>APAGADO</v>
      </c>
      <c r="AA151" t="str">
        <f>ESTADISTICA!AA150</f>
        <v>APAGADO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 t="str">
        <f>ESTADISTICA!AA165</f>
        <v>APAGADO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 t="str">
        <f>ESTADISTICA!X183</f>
        <v>APAGADO</v>
      </c>
      <c r="Y184" t="str">
        <f>ESTADISTICA!Y183</f>
        <v>APAGADO</v>
      </c>
      <c r="Z184">
        <f>ESTADISTICA!Z183</f>
        <v>0</v>
      </c>
      <c r="AA184" t="str">
        <f>ESTADISTICA!AA183</f>
        <v>APAGADO</v>
      </c>
      <c r="AB184" t="str">
        <f>ESTADISTICA!AB183</f>
        <v>APAGADO</v>
      </c>
      <c r="AC184">
        <f>ESTADISTICA!AC183</f>
        <v>0</v>
      </c>
      <c r="AD184" t="str">
        <f>ESTADISTICA!AD183</f>
        <v>APAGADO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 t="str">
        <f>ESTADISTICA!Y187</f>
        <v>APAGADO</v>
      </c>
      <c r="Z188" t="str">
        <f>ESTADISTICA!Z187</f>
        <v>APAGADO</v>
      </c>
      <c r="AA188" t="str">
        <f>ESTADISTICA!AA187</f>
        <v>APAGADO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 t="str">
        <f>ESTADISTICA!AC192</f>
        <v>APAGADO</v>
      </c>
      <c r="AD193" t="str">
        <f>ESTADISTICA!AD192</f>
        <v>APAGADO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 t="str">
        <f>ESTADISTICA!AC193</f>
        <v>APAGADO</v>
      </c>
      <c r="AD194" t="str">
        <f>ESTADISTICA!AD193</f>
        <v>APAGADO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 t="str">
        <f>ESTADISTICA!U197</f>
        <v>APAGADO</v>
      </c>
      <c r="V198" t="str">
        <f>ESTADISTICA!V197</f>
        <v>APAGADO</v>
      </c>
      <c r="W198" t="str">
        <f>ESTADISTICA!W197</f>
        <v>APAGADO</v>
      </c>
      <c r="X198" t="str">
        <f>ESTADISTICA!X197</f>
        <v>APAGADO</v>
      </c>
      <c r="Y198" t="str">
        <f>ESTADISTICA!Y197</f>
        <v>APAGADO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 t="str">
        <f>ESTADISTICA!AD198</f>
        <v>APAGADO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 t="str">
        <f>ESTADISTICA!AA200</f>
        <v>APAGADO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 t="str">
        <f>ESTADISTICA!AD201</f>
        <v>APAGADO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 t="str">
        <f>ESTADISTICA!AD202</f>
        <v>APAGADO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 t="str">
        <f>ESTADISTICA!AD215</f>
        <v>APAGADO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 t="str">
        <f>ESTADISTICA!AD216</f>
        <v>APAGADO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 t="str">
        <f>ESTADISTICA!AD227</f>
        <v>APAGADO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 t="str">
        <f>ESTADISTICA!Z230</f>
        <v>APAGADO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 t="str">
        <f>ESTADISTICA!T238</f>
        <v>APAGADO</v>
      </c>
      <c r="U239" t="str">
        <f>ESTADISTICA!U238</f>
        <v>APAGADO</v>
      </c>
      <c r="V239" t="str">
        <f>ESTADISTICA!V238</f>
        <v>APAGADO</v>
      </c>
      <c r="W239" t="str">
        <f>ESTADISTICA!W238</f>
        <v>APAGADO</v>
      </c>
      <c r="X239" t="str">
        <f>ESTADISTICA!X238</f>
        <v>APAGADO</v>
      </c>
      <c r="Y239" t="str">
        <f>ESTADISTICA!Y238</f>
        <v>APAGADO</v>
      </c>
      <c r="Z239" t="str">
        <f>ESTADISTICA!Z238</f>
        <v>APAGADO</v>
      </c>
      <c r="AA239" t="str">
        <f>ESTADISTICA!AA238</f>
        <v>APAGADO</v>
      </c>
      <c r="AB239" t="str">
        <f>ESTADISTICA!AB238</f>
        <v>APAGADO</v>
      </c>
      <c r="AC239" t="str">
        <f>ESTADISTICA!AC238</f>
        <v>APAGADO</v>
      </c>
      <c r="AD239" t="str">
        <f>ESTADISTICA!AD238</f>
        <v>APAGADO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 t="str">
        <f>ESTADISTICA!T239</f>
        <v>APAGADO</v>
      </c>
      <c r="U240" t="str">
        <f>ESTADISTICA!U239</f>
        <v>APAGADO</v>
      </c>
      <c r="V240" t="str">
        <f>ESTADISTICA!V239</f>
        <v>APAGADO</v>
      </c>
      <c r="W240" t="str">
        <f>ESTADISTICA!W239</f>
        <v>APAGADO</v>
      </c>
      <c r="X240" t="str">
        <f>ESTADISTICA!X239</f>
        <v>APAGADO</v>
      </c>
      <c r="Y240" t="str">
        <f>ESTADISTICA!Y239</f>
        <v>APAGADO</v>
      </c>
      <c r="Z240" t="str">
        <f>ESTADISTICA!Z239</f>
        <v>APAGADO</v>
      </c>
      <c r="AA240" t="str">
        <f>ESTADISTICA!AA239</f>
        <v>APAGADO</v>
      </c>
      <c r="AB240" t="str">
        <f>ESTADISTICA!AB239</f>
        <v>APAGADO</v>
      </c>
      <c r="AC240" t="str">
        <f>ESTADISTICA!AC239</f>
        <v>APAGADO</v>
      </c>
      <c r="AD240" t="str">
        <f>ESTADISTICA!AD239</f>
        <v>APAGADO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 t="str">
        <f>ESTADISTICA!AC243</f>
        <v>APAGADO</v>
      </c>
      <c r="AD244" t="str">
        <f>ESTADISTICA!AD243</f>
        <v>APAGADO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 t="str">
        <f>ESTADISTICA!AC247</f>
        <v>APAGADO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 t="str">
        <f>ESTADISTICA!X267</f>
        <v>APAGADO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 t="str">
        <f>ESTADISTICA!AD267</f>
        <v>APAGADO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 t="str">
        <f>ESTADISTICA!T285</f>
        <v>APAGADO</v>
      </c>
      <c r="U286">
        <f>ESTADISTICA!U285</f>
        <v>0</v>
      </c>
      <c r="V286" t="str">
        <f>ESTADISTICA!V285</f>
        <v>APAGADO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 t="str">
        <f>ESTADISTICA!X293</f>
        <v>APAGADO</v>
      </c>
      <c r="Y294" t="str">
        <f>ESTADISTICA!Y293</f>
        <v>APAGADO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 t="str">
        <f>ESTADISTICA!AD293</f>
        <v>APAGADO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 t="str">
        <f>ESTADISTICA!AC294</f>
        <v>APAGADO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 t="str">
        <f>ESTADISTICA!V300</f>
        <v>APAGADO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 t="str">
        <f>ESTADISTICA!AC300</f>
        <v>APAGADO</v>
      </c>
      <c r="AD301" t="str">
        <f>ESTADISTICA!AD300</f>
        <v>APAGADO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 t="str">
        <f>ESTADISTICA!AD301</f>
        <v>APAGADO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 t="str">
        <f>ESTADISTICA!AD302</f>
        <v>APAGADO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 t="str">
        <f>ESTADISTICA!AD303</f>
        <v>APAGADO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 t="str">
        <f>ESTADISTICA!AD304</f>
        <v>APAGADO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 t="str">
        <f>ESTADISTICA!AD307</f>
        <v>APAGADO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>
        <f>ESTADISTICA!AA322</f>
        <v>0</v>
      </c>
      <c r="AB323" t="str">
        <f>ESTADISTICA!AB322</f>
        <v>APAGADO</v>
      </c>
      <c r="AC323">
        <f>ESTADISTICA!AC322</f>
        <v>0</v>
      </c>
      <c r="AD323" t="str">
        <f>ESTADISTICA!AD322</f>
        <v>APAGADO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 t="str">
        <f>ESTADISTICA!AD324</f>
        <v>APAGADO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 t="str">
        <f>ESTADISTICA!X331</f>
        <v>APAGADO</v>
      </c>
      <c r="Y332" t="str">
        <f>ESTADISTICA!Y331</f>
        <v>APAGADO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 t="str">
        <f>ESTADISTICA!AD340</f>
        <v>APAGADO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 t="str">
        <f>ESTADISTICA!AD360</f>
        <v>APAGADO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D217" sqref="AD217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1321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17</v>
      </c>
      <c r="U2" s="26">
        <f>COUNTIFS(U4:U367, "=APAGADO",E4:E367,"=Fibra Optica")</f>
        <v>18</v>
      </c>
      <c r="V2" s="26">
        <f>COUNTIFS(V4:V367, "=APAGADO",E4:E367,"=Fibra Optica")</f>
        <v>17</v>
      </c>
      <c r="W2" s="26">
        <f>COUNTIFS(W4:W367, "=APAGADO",E4:E367,"=Fibra Optica")</f>
        <v>18</v>
      </c>
      <c r="X2" s="26">
        <f>COUNTIFS(X4:X367, "=APAGADO",E4:E367,"=Fibra Optica")</f>
        <v>31</v>
      </c>
      <c r="Y2" s="26">
        <f>COUNTIFS(Y4:Y367, "=APAGADO",E4:E367,"=Fibra Optica")</f>
        <v>28</v>
      </c>
      <c r="Z2" s="26">
        <f>COUNTIFS(Z4:Z367, "=APAGADO",E4:E367,"=Fibra Optica")</f>
        <v>25</v>
      </c>
      <c r="AA2" s="26">
        <f>COUNTIFS(AA4:AA367, "=APAGADO",E4:E367,"=Fibra Optica")</f>
        <v>25</v>
      </c>
      <c r="AB2" s="26">
        <f>COUNTIFS(AB4:AB367, "=APAGADO",E4:E367,"=Fibra Optica")</f>
        <v>20</v>
      </c>
      <c r="AC2" s="26">
        <f>COUNTIFS(AC4:AC367, "=APAGADO",E4:E367,"=Fibra Optica")</f>
        <v>19</v>
      </c>
      <c r="AD2" s="26">
        <f>COUNTIFS(AD4:AD367, "=APAGADO",E4:E367,"=Fibra Optica")</f>
        <v>45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29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Y235" activePane="bottomRight" state="frozenSplit"/>
      <selection pane="topRight" activeCell="F1" sqref="F1"/>
      <selection pane="bottomLeft" activeCell="A3" sqref="A3"/>
      <selection pane="bottomRight" activeCell="AD245" sqref="AD245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1322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3</v>
      </c>
      <c r="U2" s="26">
        <f>COUNTIFS(U4:U367, "=APAGADO",E4:E367,"=PTP A FO")</f>
        <v>2</v>
      </c>
      <c r="V2" s="26">
        <f>COUNTIFS(V4:V367, "=APAGADO",E4:E367,"=PTP A FO")</f>
        <v>3</v>
      </c>
      <c r="W2" s="26">
        <f>COUNTIFS(W4:W367, "=APAGADO",E4:E367,"=PTP A FO")</f>
        <v>3</v>
      </c>
      <c r="X2" s="26">
        <f>COUNTIFS(X4:X367, "=APAGADO",E4:E367,"=PTP A FO")</f>
        <v>7</v>
      </c>
      <c r="Y2" s="26">
        <f>COUNTIFS(Y4:Y367, "=APAGADO",E4:E367,"=PTP A FO")</f>
        <v>6</v>
      </c>
      <c r="Z2" s="26">
        <f>COUNTIFS(Z4:Z367, "=APAGADO",E4:E367,"=PTP A FO")</f>
        <v>5</v>
      </c>
      <c r="AA2" s="26">
        <f>COUNTIFS(AA4:AA367, "=APAGADO",E4:E367,"=PTP A FO")</f>
        <v>5</v>
      </c>
      <c r="AB2" s="26">
        <f>COUNTIFS(AB4:AB367, "=APAGADO",E4:E367,"=PTP A FO")</f>
        <v>4</v>
      </c>
      <c r="AC2" s="26">
        <f>COUNTIFS(AC4:AC367, "=APAGADO",E4:E367,"=PTP A FO")</f>
        <v>2</v>
      </c>
      <c r="AD2" s="26">
        <f>COUNTIFS(AD4:AD367, "=APAGADO",E4:E367,"=PTP A FO")</f>
        <v>14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>
    <filterColumn colId="4">
      <filters>
        <filter val="PTP A F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1323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3</v>
      </c>
      <c r="U2" s="26">
        <f>COUNTIFS(U4:U367, "=APAGADO",E4:E367,"=radio")</f>
        <v>3</v>
      </c>
      <c r="V2" s="26">
        <f>COUNTIFS(V4:V367, "=APAGADO",E4:E367,"=radio")</f>
        <v>5</v>
      </c>
      <c r="W2" s="26">
        <f>COUNTIFS(W4:W367, "=APAGADO",E4:E367,"=radio")</f>
        <v>4</v>
      </c>
      <c r="X2" s="26">
        <f>COUNTIFS(X4:X367, "=APAGADO",E4:E367,"=radio")</f>
        <v>3</v>
      </c>
      <c r="Y2" s="26">
        <f>COUNTIFS(Y4:Y367, "=APAGADO",E4:E367,"=radio")</f>
        <v>3</v>
      </c>
      <c r="Z2" s="26">
        <f>COUNTIFS(Z4:Z367, "=APAGADO",E4:E367,"=radio")</f>
        <v>4</v>
      </c>
      <c r="AA2" s="26">
        <f>COUNTIFS(AA4:AA367, "=APAGADO",E4:E367,"=radio")</f>
        <v>3</v>
      </c>
      <c r="AB2" s="26">
        <f>COUNTIFS(AB4:AB367, "=APAGADO",E4:E367,"=radio")</f>
        <v>3</v>
      </c>
      <c r="AC2" s="26">
        <f>COUNTIFS(AC4:AC367, "=APAGADO",E4:E367,"=radio")</f>
        <v>5</v>
      </c>
      <c r="AD2" s="26">
        <f>COUNTIFS(AD4:AD367, "=APAGADO",E4:E367,"=radio")</f>
        <v>3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>
    <filterColumn colId="4">
      <filters>
        <filter val="Radio"/>
      </filters>
    </filterColumn>
    <filterColumn colId="29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abSelected="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B27" sqref="B27"/>
    </sheetView>
  </sheetViews>
  <sheetFormatPr baseColWidth="10" defaultRowHeight="14.4" x14ac:dyDescent="0.3"/>
  <cols>
    <col min="5" max="5" width="15.6640625" bestFit="1" customWidth="1"/>
    <col min="7" max="7" width="11.5546875" style="77"/>
  </cols>
  <sheetData>
    <row r="1" spans="1:7" x14ac:dyDescent="0.3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3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3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26" si="0">E3/F3</f>
        <v>9.1152815013404831E-2</v>
      </c>
    </row>
    <row r="4" spans="1:7" x14ac:dyDescent="0.3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3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3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3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3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3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3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3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3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3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3">
      <c r="A14" s="25">
        <f>'APAGADOS RADIO'!R3</f>
        <v>44664</v>
      </c>
      <c r="B14" s="70">
        <f>'APAGADOS RADIO'!R2+D14</f>
        <v>5</v>
      </c>
      <c r="C14" s="70">
        <f>'APAGADOS FIBRA'!R2</f>
        <v>18</v>
      </c>
      <c r="D14" s="70">
        <f>'APAGADOS ANTENA'!R2</f>
        <v>2</v>
      </c>
      <c r="E14" s="70">
        <f t="shared" ref="E14:E20" si="6">B14+C14</f>
        <v>23</v>
      </c>
      <c r="F14">
        <f>'RESUMEN TOTAL'!C1</f>
        <v>373</v>
      </c>
      <c r="G14" s="77">
        <f t="shared" si="0"/>
        <v>6.1662198391420911E-2</v>
      </c>
    </row>
    <row r="15" spans="1:7" x14ac:dyDescent="0.3">
      <c r="A15" s="25">
        <f>'APAGADOS RADIO'!S3</f>
        <v>44665</v>
      </c>
      <c r="B15" s="70">
        <f>'APAGADOS RADIO'!S2+D15</f>
        <v>10</v>
      </c>
      <c r="C15" s="70">
        <f>'APAGADOS FIBRA'!S2</f>
        <v>25</v>
      </c>
      <c r="D15" s="70">
        <f>'APAGADOS ANTENA'!S2</f>
        <v>7</v>
      </c>
      <c r="E15" s="70">
        <f t="shared" si="6"/>
        <v>35</v>
      </c>
      <c r="F15">
        <f>'RESUMEN TOTAL'!C1</f>
        <v>373</v>
      </c>
      <c r="G15" s="77">
        <f t="shared" si="0"/>
        <v>9.3833780160857902E-2</v>
      </c>
    </row>
    <row r="16" spans="1:7" x14ac:dyDescent="0.3">
      <c r="A16" s="25">
        <f>'APAGADOS RADIO'!T3</f>
        <v>44666</v>
      </c>
      <c r="B16" s="70">
        <f>'APAGADOS RADIO'!T2+D16</f>
        <v>6</v>
      </c>
      <c r="C16" s="70">
        <f>'APAGADOS FIBRA'!T2</f>
        <v>17</v>
      </c>
      <c r="D16" s="70">
        <f>'APAGADOS ANTENA'!T2</f>
        <v>3</v>
      </c>
      <c r="E16" s="70">
        <f t="shared" si="6"/>
        <v>23</v>
      </c>
      <c r="F16">
        <f>'RESUMEN TOTAL'!C1</f>
        <v>373</v>
      </c>
      <c r="G16" s="77">
        <f t="shared" si="0"/>
        <v>6.1662198391420911E-2</v>
      </c>
    </row>
    <row r="17" spans="1:7" x14ac:dyDescent="0.3">
      <c r="A17" s="25">
        <f>'APAGADOS RADIO'!U3</f>
        <v>44667</v>
      </c>
      <c r="B17" s="70">
        <f>'APAGADOS RADIO'!U2+D17</f>
        <v>5</v>
      </c>
      <c r="C17" s="70">
        <f>'APAGADOS FIBRA'!U2</f>
        <v>18</v>
      </c>
      <c r="D17" s="70">
        <f>'APAGADOS ANTENA'!U2</f>
        <v>2</v>
      </c>
      <c r="E17" s="70">
        <f t="shared" si="6"/>
        <v>23</v>
      </c>
      <c r="F17">
        <f>'RESUMEN TOTAL'!C1</f>
        <v>373</v>
      </c>
      <c r="G17" s="77">
        <f t="shared" si="0"/>
        <v>6.1662198391420911E-2</v>
      </c>
    </row>
    <row r="18" spans="1:7" x14ac:dyDescent="0.3">
      <c r="A18" s="25">
        <f>'APAGADOS RADIO'!V3</f>
        <v>44668</v>
      </c>
      <c r="B18" s="70">
        <f>'APAGADOS RADIO'!V2+D18</f>
        <v>8</v>
      </c>
      <c r="C18" s="70">
        <f>'APAGADOS FIBRA'!V2</f>
        <v>17</v>
      </c>
      <c r="D18" s="70">
        <f>'APAGADOS ANTENA'!V2</f>
        <v>3</v>
      </c>
      <c r="E18" s="70">
        <f t="shared" si="6"/>
        <v>25</v>
      </c>
      <c r="F18">
        <f>'RESUMEN TOTAL'!C1</f>
        <v>373</v>
      </c>
      <c r="G18" s="77">
        <f t="shared" si="0"/>
        <v>6.7024128686327081E-2</v>
      </c>
    </row>
    <row r="19" spans="1:7" x14ac:dyDescent="0.3">
      <c r="A19" s="25">
        <f>'APAGADOS RADIO'!W3</f>
        <v>44669</v>
      </c>
      <c r="B19" s="70">
        <f>'APAGADOS RADIO'!W2+D19</f>
        <v>7</v>
      </c>
      <c r="C19" s="70">
        <f>'APAGADOS FIBRA'!W2</f>
        <v>18</v>
      </c>
      <c r="D19" s="70">
        <f>'APAGADOS ANTENA'!W2</f>
        <v>3</v>
      </c>
      <c r="E19" s="70">
        <f t="shared" si="6"/>
        <v>25</v>
      </c>
      <c r="F19">
        <f>'RESUMEN TOTAL'!C1</f>
        <v>373</v>
      </c>
      <c r="G19" s="77">
        <f t="shared" si="0"/>
        <v>6.7024128686327081E-2</v>
      </c>
    </row>
    <row r="20" spans="1:7" x14ac:dyDescent="0.3">
      <c r="A20" s="25">
        <f>'APAGADOS RADIO'!X3</f>
        <v>44670</v>
      </c>
      <c r="B20" s="70">
        <f>'APAGADOS RADIO'!X2+D20</f>
        <v>10</v>
      </c>
      <c r="C20" s="70">
        <f>'APAGADOS FIBRA'!X2</f>
        <v>31</v>
      </c>
      <c r="D20" s="70">
        <f>'APAGADOS ANTENA'!X2</f>
        <v>7</v>
      </c>
      <c r="E20" s="70">
        <f t="shared" si="6"/>
        <v>41</v>
      </c>
      <c r="F20">
        <f>'RESUMEN TOTAL'!C1</f>
        <v>373</v>
      </c>
      <c r="G20" s="77">
        <f t="shared" si="0"/>
        <v>0.10991957104557641</v>
      </c>
    </row>
    <row r="21" spans="1:7" x14ac:dyDescent="0.3">
      <c r="A21" s="25">
        <f>'APAGADOS RADIO'!Y3</f>
        <v>44671</v>
      </c>
      <c r="B21" s="70">
        <f>'APAGADOS RADIO'!Y2+D21</f>
        <v>9</v>
      </c>
      <c r="C21" s="70">
        <f>'APAGADOS FIBRA'!Y2</f>
        <v>28</v>
      </c>
      <c r="D21" s="70">
        <f>'APAGADOS ANTENA'!Y2</f>
        <v>6</v>
      </c>
      <c r="E21" s="70">
        <f t="shared" ref="E21" si="7">B21+C21</f>
        <v>37</v>
      </c>
      <c r="F21">
        <f>'RESUMEN TOTAL'!C1</f>
        <v>373</v>
      </c>
      <c r="G21" s="77">
        <f t="shared" si="0"/>
        <v>9.9195710455764072E-2</v>
      </c>
    </row>
    <row r="22" spans="1:7" x14ac:dyDescent="0.3">
      <c r="A22" s="25">
        <f>'APAGADOS RADIO'!Z3</f>
        <v>44672</v>
      </c>
      <c r="B22" s="70">
        <f>'APAGADOS RADIO'!Z2+D22</f>
        <v>9</v>
      </c>
      <c r="C22" s="70">
        <f>'APAGADOS FIBRA'!Z2</f>
        <v>25</v>
      </c>
      <c r="D22" s="70">
        <f>'APAGADOS ANTENA'!Z2</f>
        <v>5</v>
      </c>
      <c r="E22" s="70">
        <f t="shared" ref="E22" si="8">B22+C22</f>
        <v>34</v>
      </c>
      <c r="F22">
        <f>'RESUMEN TOTAL'!C1</f>
        <v>373</v>
      </c>
      <c r="G22" s="77">
        <f t="shared" si="0"/>
        <v>9.1152815013404831E-2</v>
      </c>
    </row>
    <row r="23" spans="1:7" x14ac:dyDescent="0.3">
      <c r="A23" s="25">
        <f>'APAGADOS RADIO'!AA3</f>
        <v>44673</v>
      </c>
      <c r="B23" s="70">
        <f>'APAGADOS RADIO'!AA2+D23</f>
        <v>8</v>
      </c>
      <c r="C23" s="70">
        <f>'APAGADOS FIBRA'!AA2</f>
        <v>25</v>
      </c>
      <c r="D23" s="70">
        <f>'APAGADOS ANTENA'!AA2</f>
        <v>5</v>
      </c>
      <c r="E23" s="70">
        <f t="shared" ref="E23:E26" si="9">B23+C23</f>
        <v>33</v>
      </c>
      <c r="F23">
        <f>'RESUMEN TOTAL'!C1</f>
        <v>373</v>
      </c>
      <c r="G23" s="77">
        <f t="shared" si="0"/>
        <v>8.8471849865951746E-2</v>
      </c>
    </row>
    <row r="24" spans="1:7" x14ac:dyDescent="0.3">
      <c r="A24" s="25">
        <f>'APAGADOS RADIO'!AB3</f>
        <v>44674</v>
      </c>
      <c r="B24" s="70">
        <f>'APAGADOS RADIO'!AB2+D24</f>
        <v>7</v>
      </c>
      <c r="C24" s="70">
        <f>'APAGADOS FIBRA'!AB2</f>
        <v>20</v>
      </c>
      <c r="D24" s="70">
        <f>'APAGADOS ANTENA'!AB2</f>
        <v>4</v>
      </c>
      <c r="E24" s="70">
        <f t="shared" si="9"/>
        <v>27</v>
      </c>
      <c r="F24">
        <f>'RESUMEN TOTAL'!C1</f>
        <v>373</v>
      </c>
      <c r="G24" s="77">
        <f t="shared" si="0"/>
        <v>7.2386058981233251E-2</v>
      </c>
    </row>
    <row r="25" spans="1:7" x14ac:dyDescent="0.3">
      <c r="A25" s="25">
        <f>'APAGADOS RADIO'!AC3</f>
        <v>44675</v>
      </c>
      <c r="B25" s="70">
        <f>'APAGADOS RADIO'!AC2+D25</f>
        <v>7</v>
      </c>
      <c r="C25" s="70">
        <f>'APAGADOS FIBRA'!AC2</f>
        <v>19</v>
      </c>
      <c r="D25" s="70">
        <f>'APAGADOS ANTENA'!AC2</f>
        <v>2</v>
      </c>
      <c r="E25" s="70">
        <f t="shared" si="9"/>
        <v>26</v>
      </c>
      <c r="F25">
        <f>'RESUMEN TOTAL'!C1</f>
        <v>373</v>
      </c>
      <c r="G25" s="77">
        <f t="shared" si="0"/>
        <v>6.9705093833780166E-2</v>
      </c>
    </row>
    <row r="26" spans="1:7" x14ac:dyDescent="0.3">
      <c r="A26" s="25">
        <f>'APAGADOS RADIO'!AD3</f>
        <v>44676</v>
      </c>
      <c r="B26" s="70">
        <f>'APAGADOS RADIO'!AD2+D26</f>
        <v>17</v>
      </c>
      <c r="C26" s="70">
        <f>'APAGADOS FIBRA'!AD2</f>
        <v>45</v>
      </c>
      <c r="D26" s="70">
        <f>'APAGADOS ANTENA'!AD2</f>
        <v>14</v>
      </c>
      <c r="E26" s="70">
        <f t="shared" si="9"/>
        <v>62</v>
      </c>
      <c r="F26">
        <f>'RESUMEN TOTAL'!C1</f>
        <v>373</v>
      </c>
      <c r="G26" s="77">
        <f t="shared" si="0"/>
        <v>0.16621983914209115</v>
      </c>
    </row>
    <row r="27" spans="1:7" x14ac:dyDescent="0.3">
      <c r="A27" s="25">
        <f>'APAGADOS RADIO'!AE3</f>
        <v>44677</v>
      </c>
      <c r="C27" s="30"/>
      <c r="F27">
        <f>'RESUMEN TOTAL'!C1</f>
        <v>373</v>
      </c>
    </row>
    <row r="28" spans="1:7" x14ac:dyDescent="0.3">
      <c r="A28" s="25">
        <f>'APAGADOS RADIO'!AF3</f>
        <v>44678</v>
      </c>
      <c r="C28" s="30"/>
      <c r="F28">
        <f>'RESUMEN TOTAL'!C1</f>
        <v>373</v>
      </c>
    </row>
    <row r="29" spans="1:7" x14ac:dyDescent="0.3">
      <c r="A29" s="25">
        <f>'APAGADOS RADIO'!AG3</f>
        <v>44679</v>
      </c>
      <c r="C29" s="30"/>
      <c r="F29">
        <f>'RESUMEN TOTAL'!C1</f>
        <v>373</v>
      </c>
    </row>
    <row r="30" spans="1:7" x14ac:dyDescent="0.3">
      <c r="A30" s="25">
        <f>'APAGADOS RADIO'!AH3</f>
        <v>44680</v>
      </c>
      <c r="C30" s="30"/>
      <c r="F30">
        <f>'RESUMEN TOTAL'!C1</f>
        <v>373</v>
      </c>
    </row>
    <row r="31" spans="1:7" x14ac:dyDescent="0.3">
      <c r="A31" s="25">
        <f>'APAGADOS RADIO'!AI3</f>
        <v>44681</v>
      </c>
      <c r="F31">
        <f>'RESUMEN TOTAL'!C1</f>
        <v>373</v>
      </c>
    </row>
    <row r="32" spans="1:7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77"/>
    </row>
    <row r="36" spans="1:30" s="30" customFormat="1" x14ac:dyDescent="0.3">
      <c r="G36" s="77"/>
    </row>
    <row r="37" spans="1:30" s="20" customFormat="1" x14ac:dyDescent="0.3">
      <c r="G37" s="77"/>
    </row>
    <row r="40" spans="1:30" x14ac:dyDescent="0.3">
      <c r="A40" s="70" t="s">
        <v>938</v>
      </c>
      <c r="B40" s="70" t="s">
        <v>937</v>
      </c>
    </row>
    <row r="41" spans="1:30" x14ac:dyDescent="0.3">
      <c r="A41" s="70">
        <v>38</v>
      </c>
      <c r="B41" s="70">
        <v>373</v>
      </c>
      <c r="D41" s="25">
        <v>44652</v>
      </c>
      <c r="E41" s="77">
        <f t="shared" ref="E41:E60" si="10">A41/B41</f>
        <v>0.10187667560321716</v>
      </c>
    </row>
    <row r="42" spans="1:30" x14ac:dyDescent="0.3">
      <c r="A42" s="70">
        <v>34</v>
      </c>
      <c r="B42" s="70">
        <v>373</v>
      </c>
      <c r="D42" s="25">
        <v>44653</v>
      </c>
      <c r="E42" s="77">
        <f t="shared" si="10"/>
        <v>9.1152815013404831E-2</v>
      </c>
    </row>
    <row r="43" spans="1:30" x14ac:dyDescent="0.3">
      <c r="A43" s="70">
        <v>34</v>
      </c>
      <c r="B43" s="70">
        <v>373</v>
      </c>
      <c r="D43" s="25">
        <v>44654</v>
      </c>
      <c r="E43" s="77">
        <f t="shared" si="10"/>
        <v>9.1152815013404831E-2</v>
      </c>
    </row>
    <row r="44" spans="1:30" x14ac:dyDescent="0.3">
      <c r="A44" s="70">
        <v>36</v>
      </c>
      <c r="B44" s="70">
        <v>373</v>
      </c>
      <c r="D44" s="25">
        <v>44655</v>
      </c>
      <c r="E44" s="77">
        <f t="shared" si="10"/>
        <v>9.6514745308310987E-2</v>
      </c>
    </row>
    <row r="45" spans="1:30" x14ac:dyDescent="0.3">
      <c r="A45" s="70">
        <v>32</v>
      </c>
      <c r="B45" s="70">
        <v>373</v>
      </c>
      <c r="D45" s="25">
        <v>44656</v>
      </c>
      <c r="E45" s="77">
        <f t="shared" si="10"/>
        <v>8.5790884718498661E-2</v>
      </c>
    </row>
    <row r="46" spans="1:30" x14ac:dyDescent="0.3">
      <c r="A46" s="70">
        <v>25</v>
      </c>
      <c r="B46" s="70">
        <v>373</v>
      </c>
      <c r="D46" s="25">
        <v>44657</v>
      </c>
      <c r="E46" s="77">
        <f t="shared" si="10"/>
        <v>6.7024128686327081E-2</v>
      </c>
    </row>
    <row r="47" spans="1:30" x14ac:dyDescent="0.3">
      <c r="A47" s="70">
        <v>34</v>
      </c>
      <c r="B47" s="70">
        <v>373</v>
      </c>
      <c r="D47" s="25">
        <v>44658</v>
      </c>
      <c r="E47" s="77">
        <f t="shared" si="10"/>
        <v>9.1152815013404831E-2</v>
      </c>
    </row>
    <row r="48" spans="1:30" x14ac:dyDescent="0.3">
      <c r="A48" s="70">
        <v>25</v>
      </c>
      <c r="B48" s="70">
        <v>373</v>
      </c>
      <c r="D48" s="25">
        <v>44659</v>
      </c>
      <c r="E48" s="77">
        <f t="shared" si="10"/>
        <v>6.7024128686327081E-2</v>
      </c>
    </row>
    <row r="49" spans="1:5" x14ac:dyDescent="0.3">
      <c r="A49" s="70">
        <v>26</v>
      </c>
      <c r="B49" s="70">
        <v>373</v>
      </c>
      <c r="D49" s="25">
        <v>44660</v>
      </c>
      <c r="E49" s="77">
        <f t="shared" si="10"/>
        <v>6.9705093833780166E-2</v>
      </c>
    </row>
    <row r="50" spans="1:5" x14ac:dyDescent="0.3">
      <c r="A50" s="70">
        <v>26</v>
      </c>
      <c r="B50" s="70">
        <v>373</v>
      </c>
      <c r="D50" s="25">
        <v>44661</v>
      </c>
      <c r="E50" s="77">
        <f t="shared" si="10"/>
        <v>6.9705093833780166E-2</v>
      </c>
    </row>
    <row r="51" spans="1:5" x14ac:dyDescent="0.3">
      <c r="A51" s="70">
        <v>43</v>
      </c>
      <c r="B51" s="70">
        <v>373</v>
      </c>
      <c r="D51" s="25">
        <v>44662</v>
      </c>
      <c r="E51" s="77">
        <f t="shared" si="10"/>
        <v>0.11528150134048257</v>
      </c>
    </row>
    <row r="52" spans="1:5" x14ac:dyDescent="0.3">
      <c r="A52" s="70">
        <v>22</v>
      </c>
      <c r="B52" s="70">
        <v>373</v>
      </c>
      <c r="D52" s="25">
        <v>44663</v>
      </c>
      <c r="E52" s="77">
        <f t="shared" si="10"/>
        <v>5.8981233243967826E-2</v>
      </c>
    </row>
    <row r="53" spans="1:5" x14ac:dyDescent="0.3">
      <c r="A53" s="70"/>
      <c r="B53" s="70">
        <v>373</v>
      </c>
      <c r="D53" s="25">
        <v>44664</v>
      </c>
      <c r="E53" s="77">
        <f t="shared" si="10"/>
        <v>0</v>
      </c>
    </row>
    <row r="54" spans="1:5" x14ac:dyDescent="0.3">
      <c r="A54" s="70"/>
      <c r="B54" s="70">
        <v>373</v>
      </c>
      <c r="D54" s="25">
        <v>44665</v>
      </c>
      <c r="E54" s="77">
        <f t="shared" si="10"/>
        <v>0</v>
      </c>
    </row>
    <row r="55" spans="1:5" x14ac:dyDescent="0.3">
      <c r="A55" s="70"/>
      <c r="B55" s="70">
        <v>373</v>
      </c>
      <c r="D55" s="25">
        <v>44666</v>
      </c>
      <c r="E55" s="77">
        <f t="shared" si="10"/>
        <v>0</v>
      </c>
    </row>
    <row r="56" spans="1:5" x14ac:dyDescent="0.3">
      <c r="A56" s="70"/>
      <c r="B56" s="70">
        <v>373</v>
      </c>
      <c r="D56" s="25">
        <v>44667</v>
      </c>
      <c r="E56" s="77">
        <f t="shared" si="10"/>
        <v>0</v>
      </c>
    </row>
    <row r="57" spans="1:5" x14ac:dyDescent="0.3">
      <c r="A57" s="70"/>
      <c r="B57" s="70">
        <v>373</v>
      </c>
      <c r="D57" s="25">
        <v>44668</v>
      </c>
      <c r="E57" s="77">
        <f t="shared" si="10"/>
        <v>0</v>
      </c>
    </row>
    <row r="58" spans="1:5" x14ac:dyDescent="0.3">
      <c r="A58" s="70"/>
      <c r="B58" s="70">
        <v>373</v>
      </c>
      <c r="D58" s="25">
        <v>44669</v>
      </c>
      <c r="E58" s="77">
        <f t="shared" si="10"/>
        <v>0</v>
      </c>
    </row>
    <row r="59" spans="1:5" x14ac:dyDescent="0.3">
      <c r="A59" s="70"/>
      <c r="B59" s="70">
        <v>373</v>
      </c>
      <c r="D59" s="25">
        <v>44670</v>
      </c>
      <c r="E59" s="77">
        <f t="shared" si="10"/>
        <v>0</v>
      </c>
    </row>
    <row r="60" spans="1:5" x14ac:dyDescent="0.3">
      <c r="A60" s="70"/>
      <c r="B60" s="70">
        <v>373</v>
      </c>
      <c r="D60" s="25">
        <v>44671</v>
      </c>
      <c r="E60" s="77">
        <f t="shared" si="10"/>
        <v>0</v>
      </c>
    </row>
    <row r="61" spans="1:5" x14ac:dyDescent="0.3">
      <c r="A61" s="70"/>
      <c r="B61" s="70">
        <v>373</v>
      </c>
      <c r="D61" s="25">
        <v>44672</v>
      </c>
    </row>
    <row r="62" spans="1:5" x14ac:dyDescent="0.3">
      <c r="A62" s="70"/>
      <c r="B62" s="70">
        <v>373</v>
      </c>
      <c r="D62" s="25">
        <v>44673</v>
      </c>
    </row>
    <row r="63" spans="1:5" x14ac:dyDescent="0.3">
      <c r="A63" s="70"/>
      <c r="B63" s="70">
        <v>373</v>
      </c>
      <c r="D63" s="25">
        <v>44674</v>
      </c>
    </row>
    <row r="64" spans="1:5" x14ac:dyDescent="0.3">
      <c r="A64" s="70"/>
      <c r="B64" s="70">
        <v>373</v>
      </c>
      <c r="D64" s="25">
        <v>44675</v>
      </c>
    </row>
    <row r="65" spans="1:4" x14ac:dyDescent="0.3">
      <c r="A65" s="70"/>
      <c r="B65" s="70">
        <v>373</v>
      </c>
      <c r="D65" s="25">
        <v>44676</v>
      </c>
    </row>
    <row r="66" spans="1:4" x14ac:dyDescent="0.3">
      <c r="A66" s="70"/>
      <c r="B66" s="70">
        <v>373</v>
      </c>
      <c r="D66" s="25">
        <v>44677</v>
      </c>
    </row>
    <row r="67" spans="1:4" x14ac:dyDescent="0.3">
      <c r="A67" s="70"/>
      <c r="B67" s="70">
        <v>373</v>
      </c>
      <c r="D67" s="25">
        <v>44678</v>
      </c>
    </row>
    <row r="68" spans="1:4" x14ac:dyDescent="0.3">
      <c r="A68" s="70"/>
      <c r="B68" s="70">
        <v>373</v>
      </c>
      <c r="D68" s="25">
        <v>44679</v>
      </c>
    </row>
    <row r="69" spans="1:4" x14ac:dyDescent="0.3">
      <c r="A69" s="70"/>
      <c r="B69" s="70">
        <v>373</v>
      </c>
      <c r="D69" s="25">
        <v>44680</v>
      </c>
    </row>
    <row r="70" spans="1:4" x14ac:dyDescent="0.3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2022-04-25T15:01:35Z</dcterms:modified>
</cp:coreProperties>
</file>