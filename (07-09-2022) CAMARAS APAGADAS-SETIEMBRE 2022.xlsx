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C13C98B9-B31D-44EA-B26B-0FC82C6BE716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D8" i="24"/>
  <c r="C9" i="24"/>
  <c r="D9" i="24" s="1"/>
  <c r="O3" i="2"/>
  <c r="P3" i="2"/>
  <c r="Q3" i="2"/>
  <c r="R3" i="2"/>
  <c r="S3" i="2"/>
  <c r="T3" i="2"/>
  <c r="H336" i="2"/>
  <c r="I336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C15" i="24" l="1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15" i="24" l="1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8" i="14" l="1"/>
  <c r="F7" i="14"/>
  <c r="F6" i="14"/>
  <c r="F5" i="14"/>
  <c r="F4" i="14"/>
  <c r="F3" i="14"/>
  <c r="O2" i="21"/>
  <c r="AI2" i="21"/>
  <c r="AH2" i="21"/>
  <c r="AC2" i="21"/>
  <c r="U2" i="21"/>
  <c r="M2" i="2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H2" i="11"/>
  <c r="N2" i="1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7" i="14" l="1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<sst xmlns="http://schemas.openxmlformats.org/spreadsheetml/2006/main" count="3141" uniqueCount="1204">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</sst>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  <c:pt idx="5">
                  <c:v>8.1012658227848103E-2</c:v>
                </c:pt>
                <c:pt idx="6">
                  <c:v>5.3164556962025315E-2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  <c:pt idx="5">
                  <c:v>8.1012658227848103E-2</c:v>
                </c:pt>
                <c:pt idx="6">
                  <c:v>5.3164556962025315E-2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2.185792349726776E-2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2.185792349726776E-2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Q5" activePane="bottomRight" state="frozen"/>
      <selection pane="topRight" activeCell="M1" sqref="M1"/>
      <selection pane="bottomLeft" activeCell="A5" sqref="A5"/>
      <selection pane="bottomRight" activeCell="J15" sqref="J15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0.22278481012658227</v>
      </c>
      <c r="O1" s="4">
        <f t="shared" si="0"/>
        <v>9.6202531645569619E-2</v>
      </c>
      <c r="P1" s="4">
        <f t="shared" si="0"/>
        <v>8.1012658227848103E-2</v>
      </c>
      <c r="Q1" s="4">
        <f t="shared" si="0"/>
        <v>5.3164556962025315E-2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307</v>
      </c>
      <c r="O2" s="10">
        <f t="shared" si="1"/>
        <v>357</v>
      </c>
      <c r="P2" s="10">
        <f t="shared" si="1"/>
        <v>363</v>
      </c>
      <c r="Q2" s="10">
        <f t="shared" si="1"/>
        <v>374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 t="shared" ref="O3:T3" si="2">COUNTIF(O4:O447, "apagado")</f>
        <v>38</v>
      </c>
      <c r="P3" s="14">
        <f t="shared" si="2"/>
        <v>32</v>
      </c>
      <c r="Q3" s="14">
        <f t="shared" si="2"/>
        <v>21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ref="U3:AN3" si="3">COUNTIF(U4:U447, "apagado")</f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4">COUNTIF(K5:AL5,"APAGADO")</f>
        <v>0</v>
      </c>
      <c r="J5" s="17">
        <f t="shared" ref="J5:J68" si="5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6">COUNTIF(K6:AN6,"")</f>
        <v>30</v>
      </c>
      <c r="I6" s="16">
        <f t="shared" si="4"/>
        <v>0</v>
      </c>
      <c r="J6" s="17">
        <f t="shared" si="5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6"/>
        <v>30</v>
      </c>
      <c r="I7" s="16">
        <f t="shared" si="4"/>
        <v>0</v>
      </c>
      <c r="J7" s="17">
        <f t="shared" si="5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6"/>
        <v>30</v>
      </c>
      <c r="I8" s="16">
        <f t="shared" si="4"/>
        <v>0</v>
      </c>
      <c r="J8" s="17">
        <f t="shared" si="5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6"/>
        <v>30</v>
      </c>
      <c r="I9" s="16">
        <f t="shared" si="4"/>
        <v>0</v>
      </c>
      <c r="J9" s="17">
        <f t="shared" si="5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6"/>
        <v>23</v>
      </c>
      <c r="I10" s="16">
        <f t="shared" si="4"/>
        <v>7</v>
      </c>
      <c r="J10" s="17">
        <f t="shared" si="5"/>
        <v>0.76666666666666672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6"/>
        <v>30</v>
      </c>
      <c r="I11" s="16">
        <f t="shared" si="4"/>
        <v>0</v>
      </c>
      <c r="J11" s="17">
        <f t="shared" si="5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6"/>
        <v>30</v>
      </c>
      <c r="I12" s="16">
        <f t="shared" si="4"/>
        <v>0</v>
      </c>
      <c r="J12" s="17">
        <f t="shared" si="5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6"/>
        <v>23</v>
      </c>
      <c r="I13" s="16">
        <f t="shared" si="4"/>
        <v>7</v>
      </c>
      <c r="J13" s="17">
        <f t="shared" si="5"/>
        <v>0.76666666666666672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6"/>
        <v>30</v>
      </c>
      <c r="I14" s="16">
        <f t="shared" si="4"/>
        <v>0</v>
      </c>
      <c r="J14" s="17">
        <f t="shared" si="5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6"/>
        <v>30</v>
      </c>
      <c r="I15" s="16">
        <f t="shared" si="4"/>
        <v>0</v>
      </c>
      <c r="J15" s="17">
        <f t="shared" si="5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6"/>
        <v>25</v>
      </c>
      <c r="I16" s="16">
        <f t="shared" si="4"/>
        <v>5</v>
      </c>
      <c r="J16" s="17">
        <f t="shared" si="5"/>
        <v>0.83333333333333337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6"/>
        <v>30</v>
      </c>
      <c r="I17" s="16">
        <f t="shared" si="4"/>
        <v>0</v>
      </c>
      <c r="J17" s="17">
        <f t="shared" si="5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6"/>
        <v>30</v>
      </c>
      <c r="I18" s="16">
        <f t="shared" si="4"/>
        <v>0</v>
      </c>
      <c r="J18" s="17">
        <f t="shared" si="5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6"/>
        <v>30</v>
      </c>
      <c r="I19" s="16">
        <f t="shared" si="4"/>
        <v>0</v>
      </c>
      <c r="J19" s="17">
        <f t="shared" si="5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6"/>
        <v>30</v>
      </c>
      <c r="I20" s="16">
        <f t="shared" si="4"/>
        <v>0</v>
      </c>
      <c r="J20" s="17">
        <f t="shared" si="5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6"/>
        <v>28</v>
      </c>
      <c r="I21" s="16">
        <f t="shared" si="4"/>
        <v>2</v>
      </c>
      <c r="J21" s="17">
        <f t="shared" si="5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6"/>
        <v>30</v>
      </c>
      <c r="I22" s="16">
        <f t="shared" si="4"/>
        <v>0</v>
      </c>
      <c r="J22" s="17">
        <f t="shared" si="5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6"/>
        <v>30</v>
      </c>
      <c r="I23" s="16">
        <f t="shared" si="4"/>
        <v>0</v>
      </c>
      <c r="J23" s="17">
        <f t="shared" si="5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6"/>
        <v>30</v>
      </c>
      <c r="I24" s="16">
        <f t="shared" si="4"/>
        <v>0</v>
      </c>
      <c r="J24" s="17">
        <f t="shared" si="5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6"/>
        <v>29</v>
      </c>
      <c r="I25" s="16">
        <f t="shared" si="4"/>
        <v>1</v>
      </c>
      <c r="J25" s="17">
        <f t="shared" si="5"/>
        <v>0.96666666666666667</v>
      </c>
      <c r="K25" s="26"/>
      <c r="L25" s="8"/>
      <c r="M25" s="8" t="s">
        <v>1200</v>
      </c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6"/>
        <v>30</v>
      </c>
      <c r="I26" s="16">
        <f t="shared" si="4"/>
        <v>0</v>
      </c>
      <c r="J26" s="17">
        <f t="shared" si="5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6"/>
        <v>30</v>
      </c>
      <c r="I27" s="16">
        <f t="shared" si="4"/>
        <v>0</v>
      </c>
      <c r="J27" s="17">
        <f t="shared" si="5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6"/>
        <v>30</v>
      </c>
      <c r="I28" s="16">
        <f t="shared" si="4"/>
        <v>0</v>
      </c>
      <c r="J28" s="17">
        <f t="shared" si="5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6"/>
        <v>30</v>
      </c>
      <c r="I29" s="16">
        <f t="shared" si="4"/>
        <v>0</v>
      </c>
      <c r="J29" s="17">
        <f t="shared" si="5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6"/>
        <v>30</v>
      </c>
      <c r="I30" s="16">
        <f t="shared" si="4"/>
        <v>0</v>
      </c>
      <c r="J30" s="17">
        <f t="shared" si="5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6"/>
        <v>28</v>
      </c>
      <c r="I31" s="16">
        <f t="shared" si="4"/>
        <v>2</v>
      </c>
      <c r="J31" s="17">
        <f t="shared" si="5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6"/>
        <v>30</v>
      </c>
      <c r="I32" s="16">
        <f t="shared" si="4"/>
        <v>0</v>
      </c>
      <c r="J32" s="17">
        <f t="shared" si="5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6"/>
        <v>30</v>
      </c>
      <c r="I33" s="16">
        <f t="shared" si="4"/>
        <v>0</v>
      </c>
      <c r="J33" s="17">
        <f t="shared" si="5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6"/>
        <v>23</v>
      </c>
      <c r="I34" s="16">
        <f t="shared" si="4"/>
        <v>7</v>
      </c>
      <c r="J34" s="17">
        <f t="shared" si="5"/>
        <v>0.76666666666666672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6"/>
        <v>30</v>
      </c>
      <c r="I35" s="16">
        <f t="shared" si="4"/>
        <v>0</v>
      </c>
      <c r="J35" s="17">
        <f t="shared" si="5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6"/>
        <v>30</v>
      </c>
      <c r="I36" s="16">
        <f t="shared" si="4"/>
        <v>0</v>
      </c>
      <c r="J36" s="17">
        <f t="shared" si="5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6"/>
        <v>28</v>
      </c>
      <c r="I37" s="16">
        <f t="shared" si="4"/>
        <v>2</v>
      </c>
      <c r="J37" s="17">
        <f t="shared" si="5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6"/>
        <v>28</v>
      </c>
      <c r="I38" s="16">
        <f t="shared" si="4"/>
        <v>2</v>
      </c>
      <c r="J38" s="17">
        <f t="shared" si="5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6"/>
        <v>30</v>
      </c>
      <c r="I39" s="16">
        <f t="shared" si="4"/>
        <v>0</v>
      </c>
      <c r="J39" s="17">
        <f t="shared" si="5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6"/>
        <v>30</v>
      </c>
      <c r="I40" s="16">
        <f t="shared" si="4"/>
        <v>0</v>
      </c>
      <c r="J40" s="17">
        <f t="shared" si="5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6"/>
        <v>30</v>
      </c>
      <c r="I41" s="16">
        <f t="shared" si="4"/>
        <v>0</v>
      </c>
      <c r="J41" s="17">
        <f t="shared" si="5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6"/>
        <v>28</v>
      </c>
      <c r="I42" s="16">
        <f t="shared" si="4"/>
        <v>2</v>
      </c>
      <c r="J42" s="17">
        <f t="shared" si="5"/>
        <v>0.93333333333333335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6"/>
        <v>30</v>
      </c>
      <c r="I43" s="16">
        <f t="shared" si="4"/>
        <v>0</v>
      </c>
      <c r="J43" s="17">
        <f t="shared" si="5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6"/>
        <v>30</v>
      </c>
      <c r="I44" s="16">
        <f t="shared" si="4"/>
        <v>0</v>
      </c>
      <c r="J44" s="17">
        <f t="shared" si="5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6"/>
        <v>30</v>
      </c>
      <c r="I45" s="16">
        <f t="shared" si="4"/>
        <v>0</v>
      </c>
      <c r="J45" s="17">
        <f t="shared" si="5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6"/>
        <v>30</v>
      </c>
      <c r="I46" s="16">
        <f t="shared" si="4"/>
        <v>0</v>
      </c>
      <c r="J46" s="17">
        <f t="shared" si="5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6"/>
        <v>30</v>
      </c>
      <c r="I47" s="16">
        <f t="shared" si="4"/>
        <v>0</v>
      </c>
      <c r="J47" s="17">
        <f t="shared" si="5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6"/>
        <v>30</v>
      </c>
      <c r="I48" s="16">
        <f t="shared" si="4"/>
        <v>0</v>
      </c>
      <c r="J48" s="17">
        <f t="shared" si="5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6"/>
        <v>30</v>
      </c>
      <c r="I49" s="16">
        <f t="shared" si="4"/>
        <v>0</v>
      </c>
      <c r="J49" s="17">
        <f t="shared" si="5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6"/>
        <v>28</v>
      </c>
      <c r="I50" s="16">
        <f t="shared" si="4"/>
        <v>2</v>
      </c>
      <c r="J50" s="17">
        <f t="shared" si="5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6"/>
        <v>30</v>
      </c>
      <c r="I51" s="16">
        <f t="shared" si="4"/>
        <v>0</v>
      </c>
      <c r="J51" s="17">
        <f t="shared" si="5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6"/>
        <v>30</v>
      </c>
      <c r="I52" s="16">
        <f t="shared" si="4"/>
        <v>0</v>
      </c>
      <c r="J52" s="17">
        <f t="shared" si="5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6"/>
        <v>30</v>
      </c>
      <c r="I53" s="16">
        <f t="shared" si="4"/>
        <v>0</v>
      </c>
      <c r="J53" s="17">
        <f t="shared" si="5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6"/>
        <v>29</v>
      </c>
      <c r="I54" s="16">
        <f t="shared" si="4"/>
        <v>1</v>
      </c>
      <c r="J54" s="17">
        <f t="shared" si="5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6"/>
        <v>30</v>
      </c>
      <c r="I57" s="16">
        <f t="shared" si="4"/>
        <v>0</v>
      </c>
      <c r="J57" s="17">
        <f t="shared" si="5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6"/>
        <v>28</v>
      </c>
      <c r="I58" s="16">
        <f t="shared" si="4"/>
        <v>2</v>
      </c>
      <c r="J58" s="17">
        <f t="shared" si="5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6"/>
        <v>25</v>
      </c>
      <c r="I59" s="16">
        <f t="shared" si="4"/>
        <v>5</v>
      </c>
      <c r="J59" s="17">
        <f t="shared" si="5"/>
        <v>0.83333333333333337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6"/>
        <v>30</v>
      </c>
      <c r="I60" s="16">
        <f t="shared" si="4"/>
        <v>0</v>
      </c>
      <c r="J60" s="17">
        <f t="shared" si="5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6"/>
        <v>28</v>
      </c>
      <c r="I62" s="16">
        <f t="shared" si="4"/>
        <v>2</v>
      </c>
      <c r="J62" s="17">
        <f t="shared" si="5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6"/>
        <v>28</v>
      </c>
      <c r="I63" s="16">
        <f t="shared" si="4"/>
        <v>2</v>
      </c>
      <c r="J63" s="17">
        <f t="shared" si="5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6"/>
        <v>28</v>
      </c>
      <c r="I65" s="16">
        <f t="shared" si="4"/>
        <v>2</v>
      </c>
      <c r="J65" s="17">
        <f t="shared" si="5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6"/>
        <v>30</v>
      </c>
      <c r="I66" s="16">
        <f t="shared" si="4"/>
        <v>0</v>
      </c>
      <c r="J66" s="17">
        <f t="shared" si="5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6"/>
        <v>23</v>
      </c>
      <c r="I67" s="16">
        <f t="shared" si="4"/>
        <v>7</v>
      </c>
      <c r="J67" s="17">
        <f t="shared" si="5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6"/>
        <v>30</v>
      </c>
      <c r="I69" s="16">
        <f t="shared" ref="I69:I132" si="7">COUNTIF(K69:AL69,"APAGADO")</f>
        <v>0</v>
      </c>
      <c r="J69" s="17">
        <f t="shared" ref="J69:J132" si="8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9">COUNTIF(K70:AN70,"")</f>
        <v>30</v>
      </c>
      <c r="I70" s="16">
        <f t="shared" si="7"/>
        <v>0</v>
      </c>
      <c r="J70" s="17">
        <f t="shared" si="8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9"/>
        <v>30</v>
      </c>
      <c r="I71" s="16">
        <f t="shared" si="7"/>
        <v>0</v>
      </c>
      <c r="J71" s="17">
        <f t="shared" si="8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9"/>
        <v>30</v>
      </c>
      <c r="I72" s="16">
        <f t="shared" si="7"/>
        <v>0</v>
      </c>
      <c r="J72" s="17">
        <f t="shared" si="8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9"/>
        <v>29</v>
      </c>
      <c r="I73" s="16">
        <f t="shared" si="7"/>
        <v>1</v>
      </c>
      <c r="J73" s="17">
        <f t="shared" si="8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9"/>
        <v>30</v>
      </c>
      <c r="I74" s="16">
        <f t="shared" si="7"/>
        <v>0</v>
      </c>
      <c r="J74" s="17">
        <f t="shared" si="8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9"/>
        <v>30</v>
      </c>
      <c r="I75" s="16">
        <f t="shared" si="7"/>
        <v>0</v>
      </c>
      <c r="J75" s="17">
        <f t="shared" si="8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9"/>
        <v>29</v>
      </c>
      <c r="I76" s="16">
        <f t="shared" si="7"/>
        <v>1</v>
      </c>
      <c r="J76" s="17">
        <f t="shared" si="8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9"/>
        <v>30</v>
      </c>
      <c r="I77" s="16">
        <f t="shared" si="7"/>
        <v>0</v>
      </c>
      <c r="J77" s="17">
        <f t="shared" si="8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9"/>
        <v>30</v>
      </c>
      <c r="I78" s="16">
        <f t="shared" si="7"/>
        <v>0</v>
      </c>
      <c r="J78" s="17">
        <f t="shared" si="8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9"/>
        <v>23</v>
      </c>
      <c r="I79" s="16">
        <f t="shared" si="7"/>
        <v>7</v>
      </c>
      <c r="J79" s="17">
        <f t="shared" si="8"/>
        <v>0.76666666666666672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9"/>
        <v>30</v>
      </c>
      <c r="I80" s="16">
        <f t="shared" si="7"/>
        <v>0</v>
      </c>
      <c r="J80" s="17">
        <f t="shared" si="8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9"/>
        <v>30</v>
      </c>
      <c r="I81" s="16">
        <f t="shared" si="7"/>
        <v>0</v>
      </c>
      <c r="J81" s="17">
        <f t="shared" si="8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9"/>
        <v>30</v>
      </c>
      <c r="I82" s="16">
        <f t="shared" si="7"/>
        <v>0</v>
      </c>
      <c r="J82" s="17">
        <f t="shared" si="8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9"/>
        <v>30</v>
      </c>
      <c r="I83" s="16">
        <f t="shared" si="7"/>
        <v>0</v>
      </c>
      <c r="J83" s="17">
        <f t="shared" si="8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9"/>
        <v>30</v>
      </c>
      <c r="I84" s="16">
        <f t="shared" si="7"/>
        <v>0</v>
      </c>
      <c r="J84" s="17">
        <f t="shared" si="8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9"/>
        <v>30</v>
      </c>
      <c r="I85" s="16">
        <f t="shared" si="7"/>
        <v>0</v>
      </c>
      <c r="J85" s="17">
        <f t="shared" si="8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9"/>
        <v>30</v>
      </c>
      <c r="I86" s="16">
        <f t="shared" si="7"/>
        <v>0</v>
      </c>
      <c r="J86" s="17">
        <f t="shared" si="8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9"/>
        <v>28</v>
      </c>
      <c r="I87" s="16">
        <f t="shared" si="7"/>
        <v>2</v>
      </c>
      <c r="J87" s="17">
        <f t="shared" si="8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9"/>
        <v>30</v>
      </c>
      <c r="I88" s="16">
        <f t="shared" si="7"/>
        <v>0</v>
      </c>
      <c r="J88" s="17">
        <f t="shared" si="8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9"/>
        <v>30</v>
      </c>
      <c r="I89" s="16">
        <f t="shared" si="7"/>
        <v>0</v>
      </c>
      <c r="J89" s="17">
        <f t="shared" si="8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9"/>
        <v>30</v>
      </c>
      <c r="I90" s="16">
        <f t="shared" si="7"/>
        <v>0</v>
      </c>
      <c r="J90" s="17">
        <f t="shared" si="8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9"/>
        <v>28</v>
      </c>
      <c r="I91" s="16">
        <f t="shared" si="7"/>
        <v>2</v>
      </c>
      <c r="J91" s="17">
        <f t="shared" si="8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9"/>
        <v>30</v>
      </c>
      <c r="I92" s="16">
        <f t="shared" si="7"/>
        <v>0</v>
      </c>
      <c r="J92" s="17">
        <f t="shared" si="8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9"/>
        <v>30</v>
      </c>
      <c r="I93" s="16">
        <f t="shared" si="7"/>
        <v>0</v>
      </c>
      <c r="J93" s="17">
        <f t="shared" si="8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9"/>
        <v>30</v>
      </c>
      <c r="I94" s="16">
        <f t="shared" si="7"/>
        <v>0</v>
      </c>
      <c r="J94" s="17">
        <f t="shared" si="8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9"/>
        <v>30</v>
      </c>
      <c r="I95" s="16">
        <f t="shared" si="7"/>
        <v>0</v>
      </c>
      <c r="J95" s="17">
        <f t="shared" si="8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9"/>
        <v>24</v>
      </c>
      <c r="I96" s="16">
        <f t="shared" si="7"/>
        <v>6</v>
      </c>
      <c r="J96" s="17">
        <f t="shared" si="8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9"/>
        <v>30</v>
      </c>
      <c r="I97" s="16">
        <f t="shared" si="7"/>
        <v>0</v>
      </c>
      <c r="J97" s="17">
        <f t="shared" si="8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9"/>
        <v>30</v>
      </c>
      <c r="I98" s="16">
        <f t="shared" si="7"/>
        <v>0</v>
      </c>
      <c r="J98" s="17">
        <f t="shared" si="8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9"/>
        <v>30</v>
      </c>
      <c r="I99" s="16">
        <f t="shared" si="7"/>
        <v>0</v>
      </c>
      <c r="J99" s="17">
        <f t="shared" si="8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9"/>
        <v>30</v>
      </c>
      <c r="I100" s="16">
        <f t="shared" si="7"/>
        <v>0</v>
      </c>
      <c r="J100" s="17">
        <f t="shared" si="8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9"/>
        <v>30</v>
      </c>
      <c r="I101" s="16">
        <f t="shared" si="7"/>
        <v>0</v>
      </c>
      <c r="J101" s="17">
        <f t="shared" si="8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9"/>
        <v>28</v>
      </c>
      <c r="I102" s="16">
        <f t="shared" si="7"/>
        <v>2</v>
      </c>
      <c r="J102" s="17">
        <f t="shared" si="8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9"/>
        <v>28</v>
      </c>
      <c r="I103" s="16">
        <f t="shared" si="7"/>
        <v>2</v>
      </c>
      <c r="J103" s="17">
        <f t="shared" si="8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9"/>
        <v>30</v>
      </c>
      <c r="I104" s="16">
        <f t="shared" si="7"/>
        <v>0</v>
      </c>
      <c r="J104" s="17">
        <f t="shared" si="8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9"/>
        <v>30</v>
      </c>
      <c r="I105" s="16">
        <f t="shared" si="7"/>
        <v>0</v>
      </c>
      <c r="J105" s="17">
        <f t="shared" si="8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9"/>
        <v>30</v>
      </c>
      <c r="I106" s="16">
        <f t="shared" si="7"/>
        <v>0</v>
      </c>
      <c r="J106" s="17">
        <f t="shared" si="8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9"/>
        <v>30</v>
      </c>
      <c r="I107" s="16">
        <f t="shared" si="7"/>
        <v>0</v>
      </c>
      <c r="J107" s="17">
        <f t="shared" si="8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9"/>
        <v>30</v>
      </c>
      <c r="I108" s="16">
        <f t="shared" si="7"/>
        <v>0</v>
      </c>
      <c r="J108" s="17">
        <f t="shared" si="8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9"/>
        <v>28</v>
      </c>
      <c r="I109" s="16">
        <f t="shared" si="7"/>
        <v>2</v>
      </c>
      <c r="J109" s="17">
        <f t="shared" si="8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9"/>
        <v>30</v>
      </c>
      <c r="I110" s="16">
        <f t="shared" si="7"/>
        <v>0</v>
      </c>
      <c r="J110" s="17">
        <f t="shared" si="8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9"/>
        <v>30</v>
      </c>
      <c r="I111" s="16">
        <f t="shared" si="7"/>
        <v>0</v>
      </c>
      <c r="J111" s="17">
        <f t="shared" si="8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9"/>
        <v>28</v>
      </c>
      <c r="I112" s="16">
        <f t="shared" si="7"/>
        <v>2</v>
      </c>
      <c r="J112" s="17">
        <f t="shared" si="8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9"/>
        <v>30</v>
      </c>
      <c r="I113" s="16">
        <f t="shared" si="7"/>
        <v>0</v>
      </c>
      <c r="J113" s="17">
        <f t="shared" si="8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9"/>
        <v>30</v>
      </c>
      <c r="I114" s="16">
        <f t="shared" si="7"/>
        <v>0</v>
      </c>
      <c r="J114" s="17">
        <f t="shared" si="8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9"/>
        <v>30</v>
      </c>
      <c r="I115" s="16">
        <f t="shared" si="7"/>
        <v>0</v>
      </c>
      <c r="J115" s="17">
        <f t="shared" si="8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9"/>
        <v>30</v>
      </c>
      <c r="I116" s="16">
        <f t="shared" si="7"/>
        <v>0</v>
      </c>
      <c r="J116" s="17">
        <f t="shared" si="8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9"/>
        <v>30</v>
      </c>
      <c r="I117" s="16">
        <f t="shared" si="7"/>
        <v>0</v>
      </c>
      <c r="J117" s="17">
        <f t="shared" si="8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9"/>
        <v>30</v>
      </c>
      <c r="I118" s="16">
        <f t="shared" si="7"/>
        <v>0</v>
      </c>
      <c r="J118" s="17">
        <f t="shared" si="8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9"/>
        <v>30</v>
      </c>
      <c r="I119" s="16">
        <f t="shared" si="7"/>
        <v>0</v>
      </c>
      <c r="J119" s="17">
        <f t="shared" si="8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9"/>
        <v>30</v>
      </c>
      <c r="I120" s="16">
        <f t="shared" si="7"/>
        <v>0</v>
      </c>
      <c r="J120" s="17">
        <f t="shared" si="8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9"/>
        <v>30</v>
      </c>
      <c r="I121" s="16">
        <f t="shared" si="7"/>
        <v>0</v>
      </c>
      <c r="J121" s="17">
        <f t="shared" si="8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9"/>
        <v>29</v>
      </c>
      <c r="I122" s="16">
        <f t="shared" si="7"/>
        <v>1</v>
      </c>
      <c r="J122" s="17">
        <f t="shared" si="8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9"/>
        <v>30</v>
      </c>
      <c r="I123" s="16">
        <f t="shared" si="7"/>
        <v>0</v>
      </c>
      <c r="J123" s="17">
        <f t="shared" si="8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9"/>
        <v>30</v>
      </c>
      <c r="I124" s="16">
        <f t="shared" si="7"/>
        <v>0</v>
      </c>
      <c r="J124" s="17">
        <f t="shared" si="8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9"/>
        <v>30</v>
      </c>
      <c r="I125" s="16">
        <f t="shared" si="7"/>
        <v>0</v>
      </c>
      <c r="J125" s="17">
        <f t="shared" si="8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9"/>
        <v>30</v>
      </c>
      <c r="I126" s="16">
        <f t="shared" si="7"/>
        <v>0</v>
      </c>
      <c r="J126" s="17">
        <f t="shared" si="8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9"/>
        <v>30</v>
      </c>
      <c r="I127" s="16">
        <f t="shared" si="7"/>
        <v>0</v>
      </c>
      <c r="J127" s="17">
        <f t="shared" si="8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9"/>
        <v>30</v>
      </c>
      <c r="I128" s="16">
        <f t="shared" si="7"/>
        <v>0</v>
      </c>
      <c r="J128" s="17">
        <f t="shared" si="8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9"/>
        <v>30</v>
      </c>
      <c r="I129" s="16">
        <f t="shared" si="7"/>
        <v>0</v>
      </c>
      <c r="J129" s="17">
        <f t="shared" si="8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9"/>
        <v>30</v>
      </c>
      <c r="I130" s="16">
        <f t="shared" si="7"/>
        <v>0</v>
      </c>
      <c r="J130" s="17">
        <f t="shared" si="8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9"/>
        <v>30</v>
      </c>
      <c r="I131" s="16">
        <f t="shared" si="7"/>
        <v>0</v>
      </c>
      <c r="J131" s="17">
        <f t="shared" si="8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9"/>
        <v>30</v>
      </c>
      <c r="I132" s="16">
        <f t="shared" si="7"/>
        <v>0</v>
      </c>
      <c r="J132" s="17">
        <f t="shared" si="8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9"/>
        <v>30</v>
      </c>
      <c r="I133" s="16">
        <f t="shared" ref="I133:I196" si="10">COUNTIF(K133:AL133,"APAGADO")</f>
        <v>0</v>
      </c>
      <c r="J133" s="17">
        <f t="shared" ref="J133:J196" si="11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2">COUNTIF(K134:AN134,"")</f>
        <v>23</v>
      </c>
      <c r="I134" s="16">
        <f t="shared" si="10"/>
        <v>7</v>
      </c>
      <c r="J134" s="17">
        <f t="shared" si="11"/>
        <v>0.76666666666666672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2"/>
        <v>30</v>
      </c>
      <c r="I135" s="16">
        <f t="shared" si="10"/>
        <v>0</v>
      </c>
      <c r="J135" s="17">
        <f t="shared" si="11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2"/>
        <v>30</v>
      </c>
      <c r="I136" s="16">
        <f t="shared" si="10"/>
        <v>0</v>
      </c>
      <c r="J136" s="17">
        <f t="shared" si="11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2"/>
        <v>30</v>
      </c>
      <c r="I137" s="16">
        <f t="shared" si="10"/>
        <v>0</v>
      </c>
      <c r="J137" s="17">
        <f t="shared" si="11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2"/>
        <v>30</v>
      </c>
      <c r="I138" s="16">
        <f t="shared" si="10"/>
        <v>0</v>
      </c>
      <c r="J138" s="17">
        <f t="shared" si="11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2"/>
        <v>30</v>
      </c>
      <c r="I139" s="16">
        <f t="shared" si="10"/>
        <v>0</v>
      </c>
      <c r="J139" s="17">
        <f t="shared" si="11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2"/>
        <v>30</v>
      </c>
      <c r="I140" s="16">
        <f t="shared" si="10"/>
        <v>0</v>
      </c>
      <c r="J140" s="17">
        <f t="shared" si="11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2"/>
        <v>28</v>
      </c>
      <c r="I141" s="16">
        <f t="shared" si="10"/>
        <v>2</v>
      </c>
      <c r="J141" s="17">
        <f t="shared" si="11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2"/>
        <v>28</v>
      </c>
      <c r="I142" s="16">
        <f t="shared" si="10"/>
        <v>2</v>
      </c>
      <c r="J142" s="17">
        <f t="shared" si="11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2"/>
        <v>28</v>
      </c>
      <c r="I143" s="16">
        <f t="shared" si="10"/>
        <v>2</v>
      </c>
      <c r="J143" s="17">
        <f t="shared" si="11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2"/>
        <v>30</v>
      </c>
      <c r="I144" s="16">
        <f t="shared" si="10"/>
        <v>0</v>
      </c>
      <c r="J144" s="17">
        <f t="shared" si="11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2"/>
        <v>30</v>
      </c>
      <c r="I145" s="16">
        <f t="shared" si="10"/>
        <v>0</v>
      </c>
      <c r="J145" s="17">
        <f t="shared" si="1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2"/>
        <v>30</v>
      </c>
      <c r="I146" s="16">
        <f t="shared" si="10"/>
        <v>0</v>
      </c>
      <c r="J146" s="17">
        <f t="shared" si="1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2"/>
        <v>30</v>
      </c>
      <c r="I147" s="16">
        <f t="shared" si="10"/>
        <v>0</v>
      </c>
      <c r="J147" s="17">
        <f t="shared" si="11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2"/>
        <v>30</v>
      </c>
      <c r="I148" s="16">
        <f t="shared" si="10"/>
        <v>0</v>
      </c>
      <c r="J148" s="17">
        <f t="shared" si="11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2"/>
        <v>30</v>
      </c>
      <c r="I149" s="16">
        <f t="shared" si="10"/>
        <v>0</v>
      </c>
      <c r="J149" s="17">
        <f t="shared" si="11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2"/>
        <v>30</v>
      </c>
      <c r="I150" s="16">
        <f t="shared" si="10"/>
        <v>0</v>
      </c>
      <c r="J150" s="17">
        <f t="shared" si="1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2"/>
        <v>30</v>
      </c>
      <c r="I151" s="16">
        <f t="shared" si="10"/>
        <v>0</v>
      </c>
      <c r="J151" s="17">
        <f t="shared" si="1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2"/>
        <v>30</v>
      </c>
      <c r="I152" s="16">
        <f t="shared" si="10"/>
        <v>0</v>
      </c>
      <c r="J152" s="17">
        <f t="shared" si="1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2"/>
        <v>30</v>
      </c>
      <c r="I153" s="16">
        <f t="shared" si="10"/>
        <v>0</v>
      </c>
      <c r="J153" s="17">
        <f t="shared" si="1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2"/>
        <v>28</v>
      </c>
      <c r="I154" s="16">
        <f t="shared" si="10"/>
        <v>2</v>
      </c>
      <c r="J154" s="17">
        <f t="shared" si="11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2"/>
        <v>28</v>
      </c>
      <c r="I155" s="16">
        <f t="shared" si="10"/>
        <v>2</v>
      </c>
      <c r="J155" s="17">
        <f t="shared" si="11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2"/>
        <v>23</v>
      </c>
      <c r="I156" s="16">
        <f t="shared" si="10"/>
        <v>7</v>
      </c>
      <c r="J156" s="17">
        <f t="shared" si="11"/>
        <v>0.76666666666666672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2"/>
        <v>24</v>
      </c>
      <c r="I157" s="16">
        <f t="shared" si="10"/>
        <v>6</v>
      </c>
      <c r="J157" s="17">
        <f t="shared" si="11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2"/>
        <v>23</v>
      </c>
      <c r="I158" s="16">
        <f t="shared" si="10"/>
        <v>7</v>
      </c>
      <c r="J158" s="17">
        <f t="shared" si="11"/>
        <v>0.76666666666666672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2"/>
        <v>28</v>
      </c>
      <c r="I159" s="16">
        <f t="shared" si="10"/>
        <v>2</v>
      </c>
      <c r="J159" s="17">
        <f t="shared" si="11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2"/>
        <v>30</v>
      </c>
      <c r="I160" s="16">
        <f t="shared" si="10"/>
        <v>0</v>
      </c>
      <c r="J160" s="17">
        <f t="shared" si="11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2"/>
        <v>30</v>
      </c>
      <c r="I161" s="16">
        <f t="shared" si="10"/>
        <v>0</v>
      </c>
      <c r="J161" s="17">
        <f t="shared" si="11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2"/>
        <v>25</v>
      </c>
      <c r="I162" s="16">
        <f t="shared" si="10"/>
        <v>5</v>
      </c>
      <c r="J162" s="17">
        <f t="shared" si="11"/>
        <v>0.83333333333333337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2"/>
        <v>23</v>
      </c>
      <c r="I163" s="16">
        <f t="shared" si="10"/>
        <v>7</v>
      </c>
      <c r="J163" s="17">
        <f t="shared" si="11"/>
        <v>0.76666666666666672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2"/>
        <v>30</v>
      </c>
      <c r="I164" s="16">
        <f t="shared" si="10"/>
        <v>0</v>
      </c>
      <c r="J164" s="17">
        <f t="shared" si="11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2"/>
        <v>28</v>
      </c>
      <c r="I165" s="16">
        <f t="shared" si="10"/>
        <v>2</v>
      </c>
      <c r="J165" s="17">
        <f t="shared" si="11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2"/>
        <v>23</v>
      </c>
      <c r="I166" s="16">
        <f t="shared" si="10"/>
        <v>7</v>
      </c>
      <c r="J166" s="17">
        <f t="shared" si="11"/>
        <v>0.76666666666666672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2"/>
        <v>30</v>
      </c>
      <c r="I167" s="16">
        <f t="shared" si="10"/>
        <v>0</v>
      </c>
      <c r="J167" s="17">
        <f t="shared" si="11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2"/>
        <v>30</v>
      </c>
      <c r="I168" s="16">
        <f t="shared" si="10"/>
        <v>0</v>
      </c>
      <c r="J168" s="17">
        <f t="shared" si="11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2"/>
        <v>30</v>
      </c>
      <c r="I169" s="16">
        <f t="shared" si="10"/>
        <v>0</v>
      </c>
      <c r="J169" s="17">
        <f t="shared" si="11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2"/>
        <v>30</v>
      </c>
      <c r="I170" s="16">
        <f t="shared" si="10"/>
        <v>0</v>
      </c>
      <c r="J170" s="17">
        <f t="shared" si="1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2"/>
        <v>30</v>
      </c>
      <c r="I171" s="16">
        <f t="shared" si="10"/>
        <v>0</v>
      </c>
      <c r="J171" s="17">
        <f t="shared" si="11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2"/>
        <v>30</v>
      </c>
      <c r="I172" s="16">
        <f t="shared" si="10"/>
        <v>0</v>
      </c>
      <c r="J172" s="17">
        <f t="shared" si="11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2"/>
        <v>30</v>
      </c>
      <c r="I173" s="16">
        <f t="shared" si="10"/>
        <v>0</v>
      </c>
      <c r="J173" s="17">
        <f t="shared" si="1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2"/>
        <v>28</v>
      </c>
      <c r="I174" s="16">
        <f t="shared" si="10"/>
        <v>2</v>
      </c>
      <c r="J174" s="17">
        <f t="shared" si="11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2"/>
        <v>28</v>
      </c>
      <c r="I175" s="16">
        <f t="shared" si="10"/>
        <v>2</v>
      </c>
      <c r="J175" s="17">
        <f t="shared" si="11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2"/>
        <v>30</v>
      </c>
      <c r="I176" s="16">
        <f t="shared" si="10"/>
        <v>0</v>
      </c>
      <c r="J176" s="17">
        <f t="shared" si="1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2"/>
        <v>29</v>
      </c>
      <c r="I177" s="16">
        <f t="shared" si="10"/>
        <v>1</v>
      </c>
      <c r="J177" s="17">
        <f t="shared" si="11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2"/>
        <v>30</v>
      </c>
      <c r="I178" s="16">
        <f t="shared" si="10"/>
        <v>0</v>
      </c>
      <c r="J178" s="17">
        <f t="shared" si="1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2"/>
        <v>28</v>
      </c>
      <c r="I179" s="16">
        <f t="shared" si="10"/>
        <v>2</v>
      </c>
      <c r="J179" s="17">
        <f t="shared" si="11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2"/>
        <v>30</v>
      </c>
      <c r="I180" s="16">
        <f t="shared" si="10"/>
        <v>0</v>
      </c>
      <c r="J180" s="17">
        <f t="shared" si="11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2"/>
        <v>30</v>
      </c>
      <c r="I181" s="16">
        <f t="shared" si="10"/>
        <v>0</v>
      </c>
      <c r="J181" s="17">
        <f t="shared" si="11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2"/>
        <v>28</v>
      </c>
      <c r="I182" s="16">
        <f t="shared" si="10"/>
        <v>2</v>
      </c>
      <c r="J182" s="17">
        <f t="shared" si="11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2"/>
        <v>28</v>
      </c>
      <c r="I183" s="16">
        <f t="shared" si="10"/>
        <v>2</v>
      </c>
      <c r="J183" s="17">
        <f t="shared" si="11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2"/>
        <v>30</v>
      </c>
      <c r="I184" s="16">
        <f t="shared" si="10"/>
        <v>0</v>
      </c>
      <c r="J184" s="17">
        <f t="shared" si="11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2"/>
        <v>28</v>
      </c>
      <c r="I185" s="16">
        <f t="shared" si="10"/>
        <v>2</v>
      </c>
      <c r="J185" s="17">
        <f t="shared" si="11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2"/>
        <v>28</v>
      </c>
      <c r="I186" s="16">
        <f t="shared" si="10"/>
        <v>2</v>
      </c>
      <c r="J186" s="17">
        <f t="shared" si="11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2"/>
        <v>28</v>
      </c>
      <c r="I187" s="16">
        <f t="shared" si="10"/>
        <v>2</v>
      </c>
      <c r="J187" s="17">
        <f t="shared" si="11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2"/>
        <v>28</v>
      </c>
      <c r="I188" s="16">
        <f t="shared" si="10"/>
        <v>2</v>
      </c>
      <c r="J188" s="17">
        <f t="shared" si="11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2"/>
        <v>30</v>
      </c>
      <c r="I189" s="16">
        <f t="shared" si="10"/>
        <v>0</v>
      </c>
      <c r="J189" s="17">
        <f t="shared" si="11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2"/>
        <v>30</v>
      </c>
      <c r="I190" s="16">
        <f t="shared" si="10"/>
        <v>0</v>
      </c>
      <c r="J190" s="17">
        <f t="shared" si="1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2"/>
        <v>29</v>
      </c>
      <c r="I191" s="16">
        <f t="shared" si="10"/>
        <v>1</v>
      </c>
      <c r="J191" s="17">
        <f t="shared" si="11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2"/>
        <v>30</v>
      </c>
      <c r="I192" s="16">
        <f t="shared" si="10"/>
        <v>0</v>
      </c>
      <c r="J192" s="17">
        <f t="shared" si="11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2"/>
        <v>30</v>
      </c>
      <c r="I193" s="16">
        <f t="shared" si="10"/>
        <v>0</v>
      </c>
      <c r="J193" s="17">
        <f t="shared" si="11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2"/>
        <v>30</v>
      </c>
      <c r="I194" s="16">
        <f t="shared" si="10"/>
        <v>0</v>
      </c>
      <c r="J194" s="17">
        <f t="shared" si="1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2"/>
        <v>30</v>
      </c>
      <c r="I195" s="16">
        <f t="shared" si="10"/>
        <v>0</v>
      </c>
      <c r="J195" s="17">
        <f t="shared" si="1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2"/>
        <v>30</v>
      </c>
      <c r="I196" s="16">
        <f t="shared" si="10"/>
        <v>0</v>
      </c>
      <c r="J196" s="17">
        <f t="shared" si="11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2"/>
        <v>30</v>
      </c>
      <c r="I197" s="16">
        <f t="shared" ref="I197:I262" si="13">COUNTIF(K197:AL197,"APAGADO")</f>
        <v>0</v>
      </c>
      <c r="J197" s="17">
        <f t="shared" ref="J197:J262" si="14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5">COUNTIF(K198:AN198,"")</f>
        <v>30</v>
      </c>
      <c r="I198" s="16">
        <f t="shared" si="13"/>
        <v>0</v>
      </c>
      <c r="J198" s="17">
        <f t="shared" si="14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5"/>
        <v>30</v>
      </c>
      <c r="I199" s="16">
        <f t="shared" si="13"/>
        <v>0</v>
      </c>
      <c r="J199" s="17">
        <f t="shared" si="14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5"/>
        <v>30</v>
      </c>
      <c r="I200" s="16">
        <f t="shared" si="13"/>
        <v>0</v>
      </c>
      <c r="J200" s="17">
        <f t="shared" si="14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5"/>
        <v>30</v>
      </c>
      <c r="I201" s="16">
        <f t="shared" si="13"/>
        <v>0</v>
      </c>
      <c r="J201" s="17">
        <f t="shared" si="14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5"/>
        <v>30</v>
      </c>
      <c r="I202" s="16">
        <f t="shared" si="13"/>
        <v>0</v>
      </c>
      <c r="J202" s="17">
        <f t="shared" si="14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5"/>
        <v>30</v>
      </c>
      <c r="I203" s="16">
        <f t="shared" si="13"/>
        <v>0</v>
      </c>
      <c r="J203" s="17">
        <f t="shared" si="14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5"/>
        <v>30</v>
      </c>
      <c r="I204" s="16">
        <f t="shared" si="13"/>
        <v>0</v>
      </c>
      <c r="J204" s="17">
        <f t="shared" si="1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5"/>
        <v>30</v>
      </c>
      <c r="I205" s="16">
        <f t="shared" si="13"/>
        <v>0</v>
      </c>
      <c r="J205" s="17">
        <f t="shared" si="1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5"/>
        <v>30</v>
      </c>
      <c r="I206" s="16">
        <f t="shared" si="13"/>
        <v>0</v>
      </c>
      <c r="J206" s="17">
        <f t="shared" si="1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5"/>
        <v>30</v>
      </c>
      <c r="I207" s="16">
        <f t="shared" si="13"/>
        <v>0</v>
      </c>
      <c r="J207" s="17">
        <f t="shared" si="1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5"/>
        <v>30</v>
      </c>
      <c r="I208" s="16">
        <f t="shared" si="13"/>
        <v>0</v>
      </c>
      <c r="J208" s="17">
        <f t="shared" si="14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5"/>
        <v>30</v>
      </c>
      <c r="I209" s="16">
        <f t="shared" si="13"/>
        <v>0</v>
      </c>
      <c r="J209" s="17">
        <f t="shared" si="1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5"/>
        <v>23</v>
      </c>
      <c r="I210" s="16">
        <f t="shared" si="13"/>
        <v>7</v>
      </c>
      <c r="J210" s="17">
        <f t="shared" si="14"/>
        <v>0.76666666666666672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5"/>
        <v>30</v>
      </c>
      <c r="I211" s="16">
        <f t="shared" si="13"/>
        <v>0</v>
      </c>
      <c r="J211" s="17">
        <f t="shared" si="14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5"/>
        <v>30</v>
      </c>
      <c r="I212" s="16">
        <f t="shared" si="13"/>
        <v>0</v>
      </c>
      <c r="J212" s="17">
        <f t="shared" si="14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5"/>
        <v>28</v>
      </c>
      <c r="I213" s="16">
        <f t="shared" si="13"/>
        <v>2</v>
      </c>
      <c r="J213" s="17">
        <f t="shared" si="14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5"/>
        <v>30</v>
      </c>
      <c r="I214" s="16">
        <f t="shared" si="13"/>
        <v>0</v>
      </c>
      <c r="J214" s="17">
        <f t="shared" si="14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5"/>
        <v>30</v>
      </c>
      <c r="I215" s="16">
        <f t="shared" si="13"/>
        <v>0</v>
      </c>
      <c r="J215" s="17">
        <f t="shared" si="14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5"/>
        <v>23</v>
      </c>
      <c r="I216" s="16">
        <f t="shared" si="13"/>
        <v>7</v>
      </c>
      <c r="J216" s="17">
        <f t="shared" si="14"/>
        <v>0.76666666666666672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5"/>
        <v>24</v>
      </c>
      <c r="I217" s="16">
        <f t="shared" si="13"/>
        <v>6</v>
      </c>
      <c r="J217" s="17">
        <f t="shared" si="14"/>
        <v>0.8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5"/>
        <v>30</v>
      </c>
      <c r="I218" s="16">
        <f t="shared" si="13"/>
        <v>0</v>
      </c>
      <c r="J218" s="17">
        <f t="shared" si="14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5"/>
        <v>30</v>
      </c>
      <c r="I219" s="16">
        <f t="shared" si="13"/>
        <v>0</v>
      </c>
      <c r="J219" s="17">
        <f t="shared" si="14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5"/>
        <v>30</v>
      </c>
      <c r="I220" s="16">
        <f t="shared" si="13"/>
        <v>0</v>
      </c>
      <c r="J220" s="17">
        <f t="shared" si="1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5"/>
        <v>30</v>
      </c>
      <c r="I221" s="16">
        <f t="shared" si="13"/>
        <v>0</v>
      </c>
      <c r="J221" s="17">
        <f t="shared" si="14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5"/>
        <v>30</v>
      </c>
      <c r="I222" s="16">
        <f t="shared" si="13"/>
        <v>0</v>
      </c>
      <c r="J222" s="17">
        <f t="shared" si="14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5"/>
        <v>30</v>
      </c>
      <c r="I223" s="16">
        <f t="shared" si="13"/>
        <v>0</v>
      </c>
      <c r="J223" s="17">
        <f t="shared" si="14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5"/>
        <v>30</v>
      </c>
      <c r="I224" s="16">
        <f t="shared" si="13"/>
        <v>0</v>
      </c>
      <c r="J224" s="17">
        <f t="shared" si="1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5"/>
        <v>30</v>
      </c>
      <c r="I225" s="16">
        <f t="shared" si="13"/>
        <v>0</v>
      </c>
      <c r="J225" s="17">
        <f t="shared" si="1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5"/>
        <v>30</v>
      </c>
      <c r="I226" s="16">
        <f t="shared" si="13"/>
        <v>0</v>
      </c>
      <c r="J226" s="17">
        <f t="shared" si="1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5"/>
        <v>30</v>
      </c>
      <c r="I227" s="16">
        <f t="shared" si="13"/>
        <v>0</v>
      </c>
      <c r="J227" s="17">
        <f t="shared" si="1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5"/>
        <v>30</v>
      </c>
      <c r="I228" s="16">
        <f t="shared" si="13"/>
        <v>0</v>
      </c>
      <c r="J228" s="17">
        <f t="shared" si="14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5"/>
        <v>30</v>
      </c>
      <c r="I229" s="16">
        <f t="shared" si="13"/>
        <v>0</v>
      </c>
      <c r="J229" s="17">
        <f t="shared" si="14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5"/>
        <v>30</v>
      </c>
      <c r="I230" s="16">
        <f t="shared" si="13"/>
        <v>0</v>
      </c>
      <c r="J230" s="17">
        <f t="shared" si="1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5"/>
        <v>30</v>
      </c>
      <c r="I231" s="16">
        <f t="shared" si="13"/>
        <v>0</v>
      </c>
      <c r="J231" s="17">
        <f t="shared" si="14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5"/>
        <v>28</v>
      </c>
      <c r="I232" s="16">
        <f t="shared" si="13"/>
        <v>2</v>
      </c>
      <c r="J232" s="17">
        <f t="shared" si="14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5"/>
        <v>30</v>
      </c>
      <c r="I233" s="16">
        <f t="shared" si="13"/>
        <v>0</v>
      </c>
      <c r="J233" s="17">
        <f t="shared" si="1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5"/>
        <v>30</v>
      </c>
      <c r="I234" s="16">
        <f t="shared" si="13"/>
        <v>0</v>
      </c>
      <c r="J234" s="17">
        <f t="shared" si="1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5"/>
        <v>30</v>
      </c>
      <c r="I235" s="16">
        <f t="shared" si="13"/>
        <v>0</v>
      </c>
      <c r="J235" s="17">
        <f t="shared" si="1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5"/>
        <v>30</v>
      </c>
      <c r="I236" s="16">
        <f t="shared" si="13"/>
        <v>0</v>
      </c>
      <c r="J236" s="17">
        <f t="shared" si="1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5"/>
        <v>30</v>
      </c>
      <c r="I237" s="16">
        <f t="shared" si="13"/>
        <v>0</v>
      </c>
      <c r="J237" s="17">
        <f t="shared" si="1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5"/>
        <v>30</v>
      </c>
      <c r="I238" s="16">
        <f t="shared" si="13"/>
        <v>0</v>
      </c>
      <c r="J238" s="17">
        <f t="shared" si="14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5"/>
        <v>30</v>
      </c>
      <c r="I239" s="16">
        <f t="shared" si="13"/>
        <v>0</v>
      </c>
      <c r="J239" s="17">
        <f t="shared" si="1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5"/>
        <v>30</v>
      </c>
      <c r="I240" s="16">
        <f t="shared" si="13"/>
        <v>0</v>
      </c>
      <c r="J240" s="17">
        <f t="shared" si="1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5"/>
        <v>28</v>
      </c>
      <c r="I241" s="16">
        <f t="shared" si="13"/>
        <v>2</v>
      </c>
      <c r="J241" s="17">
        <f t="shared" si="14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5"/>
        <v>30</v>
      </c>
      <c r="I242" s="16">
        <f t="shared" si="13"/>
        <v>0</v>
      </c>
      <c r="J242" s="17">
        <f t="shared" si="1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5"/>
        <v>30</v>
      </c>
      <c r="I243" s="16">
        <f t="shared" si="13"/>
        <v>0</v>
      </c>
      <c r="J243" s="17">
        <f t="shared" si="1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5"/>
        <v>24</v>
      </c>
      <c r="I244" s="16">
        <f t="shared" si="13"/>
        <v>6</v>
      </c>
      <c r="J244" s="17">
        <f t="shared" si="14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5"/>
        <v>24</v>
      </c>
      <c r="I245" s="16">
        <f t="shared" si="13"/>
        <v>6</v>
      </c>
      <c r="J245" s="17">
        <f t="shared" si="14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5"/>
        <v>30</v>
      </c>
      <c r="I246" s="16">
        <f t="shared" si="13"/>
        <v>0</v>
      </c>
      <c r="J246" s="17">
        <f t="shared" si="14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5"/>
        <v>30</v>
      </c>
      <c r="I247" s="16">
        <f t="shared" si="13"/>
        <v>0</v>
      </c>
      <c r="J247" s="17">
        <f t="shared" si="14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5"/>
        <v>30</v>
      </c>
      <c r="I248" s="16">
        <f t="shared" si="13"/>
        <v>0</v>
      </c>
      <c r="J248" s="17">
        <f t="shared" si="1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5"/>
        <v>27</v>
      </c>
      <c r="I249" s="16">
        <f t="shared" si="13"/>
        <v>3</v>
      </c>
      <c r="J249" s="17">
        <f t="shared" si="14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5"/>
        <v>30</v>
      </c>
      <c r="I250" s="16">
        <f t="shared" si="13"/>
        <v>0</v>
      </c>
      <c r="J250" s="17">
        <f t="shared" si="14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5"/>
        <v>30</v>
      </c>
      <c r="I251" s="16">
        <f t="shared" si="13"/>
        <v>0</v>
      </c>
      <c r="J251" s="17">
        <f t="shared" si="14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5"/>
        <v>30</v>
      </c>
      <c r="I252" s="16">
        <f t="shared" si="13"/>
        <v>0</v>
      </c>
      <c r="J252" s="17">
        <f t="shared" si="14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5"/>
        <v>27</v>
      </c>
      <c r="I253" s="16">
        <f t="shared" si="13"/>
        <v>3</v>
      </c>
      <c r="J253" s="17">
        <f t="shared" si="14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5"/>
        <v>23</v>
      </c>
      <c r="I254" s="16">
        <f t="shared" si="13"/>
        <v>7</v>
      </c>
      <c r="J254" s="17">
        <f t="shared" si="14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5"/>
        <v>23</v>
      </c>
      <c r="I255" s="16">
        <f t="shared" si="13"/>
        <v>7</v>
      </c>
      <c r="J255" s="17">
        <f t="shared" si="14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5"/>
        <v>30</v>
      </c>
      <c r="I256" s="16">
        <f t="shared" si="13"/>
        <v>0</v>
      </c>
      <c r="J256" s="17">
        <f t="shared" si="14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5"/>
        <v>30</v>
      </c>
      <c r="I257" s="16">
        <f t="shared" si="13"/>
        <v>0</v>
      </c>
      <c r="J257" s="17">
        <f t="shared" si="14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5"/>
        <v>29</v>
      </c>
      <c r="I258" s="16">
        <f t="shared" si="13"/>
        <v>1</v>
      </c>
      <c r="J258" s="17">
        <f t="shared" si="14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5"/>
        <v>29</v>
      </c>
      <c r="I259" s="16">
        <f t="shared" si="13"/>
        <v>1</v>
      </c>
      <c r="J259" s="17">
        <f t="shared" si="14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5"/>
        <v>29</v>
      </c>
      <c r="I260" s="16">
        <f t="shared" si="13"/>
        <v>1</v>
      </c>
      <c r="J260" s="17">
        <f t="shared" si="14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5"/>
        <v>29</v>
      </c>
      <c r="I261" s="16">
        <f t="shared" si="13"/>
        <v>1</v>
      </c>
      <c r="J261" s="17">
        <f t="shared" si="14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6">COUNTIF(K262:AN262,"")</f>
        <v>29</v>
      </c>
      <c r="I262" s="16">
        <f t="shared" si="13"/>
        <v>1</v>
      </c>
      <c r="J262" s="17">
        <f t="shared" si="14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6"/>
        <v>27</v>
      </c>
      <c r="I263" s="16">
        <f t="shared" ref="I263:I326" si="17">COUNTIF(K263:AL263,"APAGADO")</f>
        <v>3</v>
      </c>
      <c r="J263" s="17">
        <f t="shared" ref="J263:J326" si="18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6"/>
        <v>30</v>
      </c>
      <c r="I264" s="16">
        <f t="shared" si="17"/>
        <v>0</v>
      </c>
      <c r="J264" s="17">
        <f t="shared" si="18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6"/>
        <v>29</v>
      </c>
      <c r="I265" s="16">
        <f t="shared" si="17"/>
        <v>1</v>
      </c>
      <c r="J265" s="17">
        <f t="shared" si="18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6"/>
        <v>29</v>
      </c>
      <c r="I266" s="16">
        <f t="shared" si="17"/>
        <v>1</v>
      </c>
      <c r="J266" s="17">
        <f t="shared" si="18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6"/>
        <v>29</v>
      </c>
      <c r="I267" s="16">
        <f t="shared" si="17"/>
        <v>1</v>
      </c>
      <c r="J267" s="17">
        <f t="shared" si="18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6"/>
        <v>29</v>
      </c>
      <c r="I268" s="16">
        <f t="shared" si="17"/>
        <v>1</v>
      </c>
      <c r="J268" s="17">
        <f t="shared" si="18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6"/>
        <v>29</v>
      </c>
      <c r="I269" s="16">
        <f t="shared" si="17"/>
        <v>1</v>
      </c>
      <c r="J269" s="17">
        <f t="shared" si="18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6"/>
        <v>29</v>
      </c>
      <c r="I270" s="16">
        <f t="shared" si="17"/>
        <v>1</v>
      </c>
      <c r="J270" s="17">
        <f t="shared" si="18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6"/>
        <v>28</v>
      </c>
      <c r="I271" s="16">
        <f t="shared" si="17"/>
        <v>2</v>
      </c>
      <c r="J271" s="17">
        <f t="shared" si="18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6"/>
        <v>28</v>
      </c>
      <c r="I272" s="16">
        <f t="shared" si="17"/>
        <v>2</v>
      </c>
      <c r="J272" s="17">
        <f t="shared" si="18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6"/>
        <v>30</v>
      </c>
      <c r="I273" s="16">
        <f t="shared" si="17"/>
        <v>0</v>
      </c>
      <c r="J273" s="17">
        <f t="shared" si="18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6"/>
        <v>30</v>
      </c>
      <c r="I274" s="16">
        <f t="shared" si="17"/>
        <v>0</v>
      </c>
      <c r="J274" s="17">
        <f t="shared" si="18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6"/>
        <v>30</v>
      </c>
      <c r="I275" s="16">
        <f t="shared" si="17"/>
        <v>0</v>
      </c>
      <c r="J275" s="17">
        <f t="shared" si="18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6"/>
        <v>28</v>
      </c>
      <c r="I276" s="16">
        <f t="shared" si="17"/>
        <v>2</v>
      </c>
      <c r="J276" s="17">
        <f t="shared" si="18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6"/>
        <v>30</v>
      </c>
      <c r="I277" s="16">
        <f t="shared" si="17"/>
        <v>0</v>
      </c>
      <c r="J277" s="17">
        <f t="shared" si="18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6"/>
        <v>30</v>
      </c>
      <c r="I278" s="16">
        <f t="shared" si="17"/>
        <v>0</v>
      </c>
      <c r="J278" s="17">
        <f t="shared" si="18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6"/>
        <v>30</v>
      </c>
      <c r="I279" s="16">
        <f t="shared" si="17"/>
        <v>0</v>
      </c>
      <c r="J279" s="17">
        <f t="shared" si="18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6"/>
        <v>30</v>
      </c>
      <c r="I280" s="16">
        <f t="shared" si="17"/>
        <v>0</v>
      </c>
      <c r="J280" s="17">
        <f t="shared" si="18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6"/>
        <v>28</v>
      </c>
      <c r="I281" s="16">
        <f t="shared" si="17"/>
        <v>2</v>
      </c>
      <c r="J281" s="17">
        <f t="shared" si="18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6"/>
        <v>30</v>
      </c>
      <c r="I282" s="16">
        <f t="shared" si="17"/>
        <v>0</v>
      </c>
      <c r="J282" s="17">
        <f t="shared" si="18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6"/>
        <v>30</v>
      </c>
      <c r="I283" s="16">
        <f t="shared" si="17"/>
        <v>0</v>
      </c>
      <c r="J283" s="17">
        <f t="shared" si="1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6"/>
        <v>30</v>
      </c>
      <c r="I284" s="16">
        <f t="shared" si="17"/>
        <v>0</v>
      </c>
      <c r="J284" s="17">
        <f t="shared" si="1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6"/>
        <v>30</v>
      </c>
      <c r="I285" s="16">
        <f t="shared" si="17"/>
        <v>0</v>
      </c>
      <c r="J285" s="17">
        <f t="shared" si="1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6"/>
        <v>30</v>
      </c>
      <c r="I286" s="16">
        <f t="shared" si="17"/>
        <v>0</v>
      </c>
      <c r="J286" s="17">
        <f t="shared" si="18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6"/>
        <v>30</v>
      </c>
      <c r="I287" s="16">
        <f t="shared" si="17"/>
        <v>0</v>
      </c>
      <c r="J287" s="17">
        <f t="shared" si="18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6"/>
        <v>30</v>
      </c>
      <c r="I288" s="16">
        <f t="shared" si="17"/>
        <v>0</v>
      </c>
      <c r="J288" s="17">
        <f t="shared" si="18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6"/>
        <v>24</v>
      </c>
      <c r="I289" s="16">
        <f t="shared" si="17"/>
        <v>6</v>
      </c>
      <c r="J289" s="17">
        <f t="shared" si="18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6"/>
        <v>24</v>
      </c>
      <c r="I290" s="16">
        <f t="shared" si="17"/>
        <v>6</v>
      </c>
      <c r="J290" s="17">
        <f t="shared" si="18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6"/>
        <v>24</v>
      </c>
      <c r="I291" s="16">
        <f t="shared" si="17"/>
        <v>6</v>
      </c>
      <c r="J291" s="17">
        <f t="shared" si="18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6"/>
        <v>24</v>
      </c>
      <c r="I292" s="16">
        <f t="shared" si="17"/>
        <v>6</v>
      </c>
      <c r="J292" s="17">
        <f t="shared" si="18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6"/>
        <v>30</v>
      </c>
      <c r="I293" s="16">
        <f t="shared" si="17"/>
        <v>0</v>
      </c>
      <c r="J293" s="17">
        <f t="shared" si="1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6"/>
        <v>28</v>
      </c>
      <c r="I294" s="16">
        <f t="shared" si="17"/>
        <v>2</v>
      </c>
      <c r="J294" s="17">
        <f t="shared" si="18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6"/>
        <v>30</v>
      </c>
      <c r="I295" s="16">
        <f t="shared" si="17"/>
        <v>0</v>
      </c>
      <c r="J295" s="17">
        <f t="shared" si="18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6"/>
        <v>30</v>
      </c>
      <c r="I296" s="16">
        <f t="shared" si="17"/>
        <v>0</v>
      </c>
      <c r="J296" s="17">
        <f t="shared" si="18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6"/>
        <v>30</v>
      </c>
      <c r="I297" s="16">
        <f t="shared" si="17"/>
        <v>0</v>
      </c>
      <c r="J297" s="17">
        <f t="shared" si="18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6"/>
        <v>30</v>
      </c>
      <c r="I298" s="16">
        <f t="shared" si="17"/>
        <v>0</v>
      </c>
      <c r="J298" s="17">
        <f t="shared" si="18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6"/>
        <v>30</v>
      </c>
      <c r="I299" s="16">
        <f t="shared" si="17"/>
        <v>0</v>
      </c>
      <c r="J299" s="17">
        <f t="shared" si="18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6"/>
        <v>29</v>
      </c>
      <c r="I300" s="16">
        <f t="shared" si="17"/>
        <v>1</v>
      </c>
      <c r="J300" s="17">
        <f t="shared" si="18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6"/>
        <v>30</v>
      </c>
      <c r="I301" s="16">
        <f t="shared" si="17"/>
        <v>0</v>
      </c>
      <c r="J301" s="17">
        <f t="shared" si="18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6"/>
        <v>30</v>
      </c>
      <c r="I302" s="16">
        <f t="shared" si="17"/>
        <v>0</v>
      </c>
      <c r="J302" s="17">
        <f t="shared" si="18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6"/>
        <v>28</v>
      </c>
      <c r="I303" s="16">
        <f t="shared" si="17"/>
        <v>2</v>
      </c>
      <c r="J303" s="17">
        <f t="shared" si="18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6"/>
        <v>28</v>
      </c>
      <c r="I304" s="16">
        <f t="shared" si="17"/>
        <v>2</v>
      </c>
      <c r="J304" s="17">
        <f t="shared" si="18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6"/>
        <v>28</v>
      </c>
      <c r="I305" s="16">
        <f t="shared" si="17"/>
        <v>2</v>
      </c>
      <c r="J305" s="17">
        <f t="shared" si="18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6"/>
        <v>30</v>
      </c>
      <c r="I306" s="16">
        <f t="shared" si="17"/>
        <v>0</v>
      </c>
      <c r="J306" s="17">
        <f t="shared" si="18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6"/>
        <v>30</v>
      </c>
      <c r="I307" s="16">
        <f t="shared" si="17"/>
        <v>0</v>
      </c>
      <c r="J307" s="17">
        <f t="shared" si="1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6"/>
        <v>30</v>
      </c>
      <c r="I308" s="16">
        <f t="shared" si="17"/>
        <v>0</v>
      </c>
      <c r="J308" s="17">
        <f t="shared" si="1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6"/>
        <v>30</v>
      </c>
      <c r="I309" s="16">
        <f t="shared" si="17"/>
        <v>0</v>
      </c>
      <c r="J309" s="17">
        <f t="shared" si="1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6"/>
        <v>30</v>
      </c>
      <c r="I310" s="16">
        <f t="shared" si="17"/>
        <v>0</v>
      </c>
      <c r="J310" s="17">
        <f t="shared" si="18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6"/>
        <v>30</v>
      </c>
      <c r="I311" s="16">
        <f t="shared" si="17"/>
        <v>0</v>
      </c>
      <c r="J311" s="17">
        <f t="shared" si="18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6"/>
        <v>30</v>
      </c>
      <c r="I312" s="16">
        <f t="shared" si="17"/>
        <v>0</v>
      </c>
      <c r="J312" s="17">
        <f t="shared" si="18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6"/>
        <v>30</v>
      </c>
      <c r="I313" s="16">
        <f t="shared" si="17"/>
        <v>0</v>
      </c>
      <c r="J313" s="17">
        <f t="shared" si="1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6"/>
        <v>30</v>
      </c>
      <c r="I314" s="16">
        <f t="shared" si="17"/>
        <v>0</v>
      </c>
      <c r="J314" s="17">
        <f t="shared" si="1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6"/>
        <v>30</v>
      </c>
      <c r="I315" s="16">
        <f t="shared" si="17"/>
        <v>0</v>
      </c>
      <c r="J315" s="17">
        <f t="shared" si="18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6"/>
        <v>28</v>
      </c>
      <c r="I316" s="16">
        <f t="shared" si="17"/>
        <v>2</v>
      </c>
      <c r="J316" s="17">
        <f t="shared" si="18"/>
        <v>0.93333333333333335</v>
      </c>
      <c r="K316" s="26"/>
      <c r="L316" s="8"/>
      <c r="M316" s="8" t="s">
        <v>1200</v>
      </c>
      <c r="N316" s="8" t="s">
        <v>1200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6"/>
        <v>30</v>
      </c>
      <c r="I317" s="16">
        <f t="shared" si="17"/>
        <v>0</v>
      </c>
      <c r="J317" s="17">
        <f t="shared" si="18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6"/>
        <v>30</v>
      </c>
      <c r="I318" s="16">
        <f t="shared" si="17"/>
        <v>0</v>
      </c>
      <c r="J318" s="17">
        <f t="shared" si="1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6"/>
        <v>30</v>
      </c>
      <c r="I319" s="16">
        <f t="shared" si="17"/>
        <v>0</v>
      </c>
      <c r="J319" s="17">
        <f t="shared" si="1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6"/>
        <v>30</v>
      </c>
      <c r="I320" s="16">
        <f t="shared" si="17"/>
        <v>0</v>
      </c>
      <c r="J320" s="17">
        <f t="shared" si="1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6"/>
        <v>30</v>
      </c>
      <c r="I321" s="16">
        <f t="shared" si="17"/>
        <v>0</v>
      </c>
      <c r="J321" s="17">
        <f t="shared" si="1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6"/>
        <v>30</v>
      </c>
      <c r="I322" s="16">
        <f t="shared" si="17"/>
        <v>0</v>
      </c>
      <c r="J322" s="17">
        <f t="shared" si="1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6"/>
        <v>30</v>
      </c>
      <c r="I323" s="16">
        <f t="shared" si="17"/>
        <v>0</v>
      </c>
      <c r="J323" s="17">
        <f t="shared" si="1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6"/>
        <v>25</v>
      </c>
      <c r="I324" s="16">
        <f t="shared" si="17"/>
        <v>5</v>
      </c>
      <c r="J324" s="17">
        <f t="shared" si="18"/>
        <v>0.83333333333333337</v>
      </c>
      <c r="K324" s="26" t="s">
        <v>1200</v>
      </c>
      <c r="L324" s="8"/>
      <c r="M324" s="8" t="s">
        <v>1200</v>
      </c>
      <c r="N324" s="8" t="s">
        <v>1200</v>
      </c>
      <c r="O324" s="26" t="s">
        <v>1200</v>
      </c>
      <c r="P324" s="26"/>
      <c r="Q324" s="8" t="s">
        <v>1200</v>
      </c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6"/>
        <v>30</v>
      </c>
      <c r="I325" s="16">
        <f t="shared" si="17"/>
        <v>0</v>
      </c>
      <c r="J325" s="17">
        <f t="shared" si="1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9">COUNTIF(K326:AN326,"")</f>
        <v>30</v>
      </c>
      <c r="I326" s="16">
        <f t="shared" si="17"/>
        <v>0</v>
      </c>
      <c r="J326" s="17">
        <f t="shared" si="18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9"/>
        <v>29</v>
      </c>
      <c r="I327" s="16">
        <f t="shared" ref="I327:I375" si="20">COUNTIF(K327:AL327,"APAGADO")</f>
        <v>1</v>
      </c>
      <c r="J327" s="17">
        <f t="shared" ref="J327:J375" si="21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9"/>
        <v>29</v>
      </c>
      <c r="I328" s="16">
        <f t="shared" si="20"/>
        <v>1</v>
      </c>
      <c r="J328" s="17">
        <f t="shared" si="21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9"/>
        <v>30</v>
      </c>
      <c r="I329" s="16">
        <f t="shared" si="20"/>
        <v>0</v>
      </c>
      <c r="J329" s="17">
        <f t="shared" si="21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9"/>
        <v>30</v>
      </c>
      <c r="I330" s="16">
        <f t="shared" si="20"/>
        <v>0</v>
      </c>
      <c r="J330" s="17">
        <f t="shared" si="21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9"/>
        <v>30</v>
      </c>
      <c r="I331" s="16">
        <f t="shared" si="20"/>
        <v>0</v>
      </c>
      <c r="J331" s="17">
        <f t="shared" si="21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9"/>
        <v>30</v>
      </c>
      <c r="I332" s="16">
        <f t="shared" si="20"/>
        <v>0</v>
      </c>
      <c r="J332" s="17">
        <f t="shared" si="21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9"/>
        <v>30</v>
      </c>
      <c r="I333" s="16">
        <f t="shared" si="20"/>
        <v>0</v>
      </c>
      <c r="J333" s="17">
        <f t="shared" si="21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" thickBot="1" x14ac:dyDescent="0.35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2">COUNTIF(K336:AN336,"")</f>
        <v>30</v>
      </c>
      <c r="I336" s="52">
        <f t="shared" ref="I336" si="23">COUNTIF(K336:AL336,"APAGADO")</f>
        <v>0</v>
      </c>
      <c r="J336" s="53">
        <f t="shared" ref="J336" si="24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9"/>
        <v>28</v>
      </c>
      <c r="I337" s="16">
        <f t="shared" si="20"/>
        <v>2</v>
      </c>
      <c r="J337" s="17">
        <f t="shared" si="21"/>
        <v>0.93333333333333335</v>
      </c>
      <c r="K337" s="26"/>
      <c r="L337" s="8"/>
      <c r="M337" s="8"/>
      <c r="N337" s="8" t="s">
        <v>1200</v>
      </c>
      <c r="O337" s="26" t="s">
        <v>1200</v>
      </c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thickBot="1" x14ac:dyDescent="0.35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9"/>
        <v>30</v>
      </c>
      <c r="I338" s="16">
        <f t="shared" si="20"/>
        <v>0</v>
      </c>
      <c r="J338" s="17">
        <f t="shared" si="21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9"/>
        <v>27</v>
      </c>
      <c r="I339" s="16">
        <f t="shared" si="20"/>
        <v>3</v>
      </c>
      <c r="J339" s="17">
        <f t="shared" si="21"/>
        <v>0.9</v>
      </c>
      <c r="K339" s="26"/>
      <c r="L339" s="8"/>
      <c r="M339" s="8" t="s">
        <v>1200</v>
      </c>
      <c r="N339" s="8" t="s">
        <v>1200</v>
      </c>
      <c r="O339" s="26" t="s">
        <v>1200</v>
      </c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9"/>
        <v>28</v>
      </c>
      <c r="I340" s="16">
        <f t="shared" si="20"/>
        <v>2</v>
      </c>
      <c r="J340" s="17">
        <f t="shared" si="21"/>
        <v>0.93333333333333335</v>
      </c>
      <c r="K340" s="26"/>
      <c r="L340" s="8"/>
      <c r="M340" s="8" t="s">
        <v>1200</v>
      </c>
      <c r="N340" s="8" t="s">
        <v>1200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9"/>
        <v>30</v>
      </c>
      <c r="I341" s="16">
        <f t="shared" si="20"/>
        <v>0</v>
      </c>
      <c r="J341" s="17">
        <f t="shared" si="21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9"/>
        <v>28</v>
      </c>
      <c r="I342" s="16">
        <f t="shared" si="20"/>
        <v>2</v>
      </c>
      <c r="J342" s="17">
        <f t="shared" si="21"/>
        <v>0.93333333333333335</v>
      </c>
      <c r="K342" s="26"/>
      <c r="L342" s="8"/>
      <c r="M342" s="8" t="s">
        <v>1200</v>
      </c>
      <c r="N342" s="8" t="s">
        <v>1200</v>
      </c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9"/>
        <v>28</v>
      </c>
      <c r="I343" s="16">
        <f t="shared" si="20"/>
        <v>2</v>
      </c>
      <c r="J343" s="17">
        <f t="shared" si="21"/>
        <v>0.93333333333333335</v>
      </c>
      <c r="K343" s="26"/>
      <c r="L343" s="8"/>
      <c r="M343" s="8"/>
      <c r="N343" s="8" t="s">
        <v>1200</v>
      </c>
      <c r="O343" s="26" t="s">
        <v>1200</v>
      </c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9"/>
        <v>28</v>
      </c>
      <c r="I344" s="16">
        <f t="shared" si="20"/>
        <v>2</v>
      </c>
      <c r="J344" s="17">
        <f t="shared" si="21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9"/>
        <v>30</v>
      </c>
      <c r="I345" s="16">
        <f t="shared" si="20"/>
        <v>0</v>
      </c>
      <c r="J345" s="17">
        <f t="shared" si="21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9"/>
        <v>28</v>
      </c>
      <c r="I346" s="16">
        <f t="shared" si="20"/>
        <v>2</v>
      </c>
      <c r="J346" s="17">
        <f t="shared" si="21"/>
        <v>0.93333333333333335</v>
      </c>
      <c r="K346" s="26"/>
      <c r="L346" s="8"/>
      <c r="M346" s="8" t="s">
        <v>1200</v>
      </c>
      <c r="N346" s="8" t="s">
        <v>1200</v>
      </c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9"/>
        <v>28</v>
      </c>
      <c r="I347" s="16">
        <f t="shared" si="20"/>
        <v>2</v>
      </c>
      <c r="J347" s="17">
        <f t="shared" si="21"/>
        <v>0.93333333333333335</v>
      </c>
      <c r="K347" s="26"/>
      <c r="L347" s="8"/>
      <c r="M347" s="8"/>
      <c r="N347" s="8" t="s">
        <v>1200</v>
      </c>
      <c r="O347" s="26" t="s">
        <v>1200</v>
      </c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9"/>
        <v>28</v>
      </c>
      <c r="I348" s="16">
        <f t="shared" si="20"/>
        <v>2</v>
      </c>
      <c r="J348" s="17">
        <f t="shared" si="21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9"/>
        <v>30</v>
      </c>
      <c r="I349" s="16">
        <f t="shared" si="20"/>
        <v>0</v>
      </c>
      <c r="J349" s="17">
        <f t="shared" si="21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9"/>
        <v>28</v>
      </c>
      <c r="I350" s="16">
        <f t="shared" si="20"/>
        <v>2</v>
      </c>
      <c r="J350" s="17">
        <f t="shared" si="21"/>
        <v>0.93333333333333335</v>
      </c>
      <c r="K350" s="26"/>
      <c r="L350" s="8"/>
      <c r="M350" s="8" t="s">
        <v>1200</v>
      </c>
      <c r="N350" s="8" t="s">
        <v>1200</v>
      </c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9"/>
        <v>27</v>
      </c>
      <c r="I351" s="16">
        <f t="shared" si="20"/>
        <v>3</v>
      </c>
      <c r="J351" s="17">
        <f t="shared" si="21"/>
        <v>0.9</v>
      </c>
      <c r="K351" s="26"/>
      <c r="L351" s="8" t="s">
        <v>1200</v>
      </c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9"/>
        <v>30</v>
      </c>
      <c r="I352" s="16">
        <f t="shared" si="20"/>
        <v>0</v>
      </c>
      <c r="J352" s="17">
        <f t="shared" si="21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9"/>
        <v>30</v>
      </c>
      <c r="I353" s="16">
        <f t="shared" si="20"/>
        <v>0</v>
      </c>
      <c r="J353" s="17">
        <f t="shared" si="21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9"/>
        <v>28</v>
      </c>
      <c r="I354" s="16">
        <f t="shared" si="20"/>
        <v>2</v>
      </c>
      <c r="J354" s="17">
        <f t="shared" si="21"/>
        <v>0.93333333333333335</v>
      </c>
      <c r="K354" s="26"/>
      <c r="L354" s="8"/>
      <c r="M354" s="8" t="s">
        <v>1200</v>
      </c>
      <c r="N354" s="8" t="s">
        <v>1200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9"/>
        <v>30</v>
      </c>
      <c r="I355" s="16">
        <f t="shared" si="20"/>
        <v>0</v>
      </c>
      <c r="J355" s="17">
        <f t="shared" si="21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9"/>
        <v>30</v>
      </c>
      <c r="I356" s="16">
        <f t="shared" si="20"/>
        <v>0</v>
      </c>
      <c r="J356" s="17">
        <f t="shared" si="21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9"/>
        <v>28</v>
      </c>
      <c r="I357" s="16">
        <f t="shared" si="20"/>
        <v>2</v>
      </c>
      <c r="J357" s="17">
        <f t="shared" si="21"/>
        <v>0.93333333333333335</v>
      </c>
      <c r="K357" s="26"/>
      <c r="L357" s="8"/>
      <c r="M357" s="8"/>
      <c r="N357" s="8" t="s">
        <v>1200</v>
      </c>
      <c r="O357" s="26" t="s">
        <v>1200</v>
      </c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9"/>
        <v>30</v>
      </c>
      <c r="I358" s="16">
        <f t="shared" si="20"/>
        <v>0</v>
      </c>
      <c r="J358" s="17">
        <f t="shared" si="21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9"/>
        <v>28</v>
      </c>
      <c r="I359" s="16">
        <f t="shared" si="20"/>
        <v>2</v>
      </c>
      <c r="J359" s="17">
        <f t="shared" si="21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9"/>
        <v>28</v>
      </c>
      <c r="I360" s="16">
        <f t="shared" si="20"/>
        <v>2</v>
      </c>
      <c r="J360" s="17">
        <f t="shared" si="21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9"/>
        <v>27</v>
      </c>
      <c r="I361" s="16">
        <f t="shared" si="20"/>
        <v>3</v>
      </c>
      <c r="J361" s="17">
        <f t="shared" si="21"/>
        <v>0.9</v>
      </c>
      <c r="K361" s="26"/>
      <c r="L361" s="8" t="s">
        <v>1200</v>
      </c>
      <c r="M361" s="8" t="s">
        <v>1200</v>
      </c>
      <c r="N361" s="8" t="s">
        <v>1200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9"/>
        <v>28</v>
      </c>
      <c r="I362" s="16">
        <f t="shared" si="20"/>
        <v>2</v>
      </c>
      <c r="J362" s="17">
        <f t="shared" si="21"/>
        <v>0.93333333333333335</v>
      </c>
      <c r="K362" s="26"/>
      <c r="L362" s="8" t="s">
        <v>1200</v>
      </c>
      <c r="M362" s="8"/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9"/>
        <v>29</v>
      </c>
      <c r="I363" s="16">
        <f t="shared" si="20"/>
        <v>1</v>
      </c>
      <c r="J363" s="17">
        <f t="shared" si="21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9"/>
        <v>24</v>
      </c>
      <c r="I364" s="16">
        <f t="shared" si="20"/>
        <v>6</v>
      </c>
      <c r="J364" s="17">
        <f t="shared" si="21"/>
        <v>0.8</v>
      </c>
      <c r="K364" s="26"/>
      <c r="L364" s="8" t="s">
        <v>1200</v>
      </c>
      <c r="M364" s="8" t="s">
        <v>1200</v>
      </c>
      <c r="N364" s="8" t="s">
        <v>1200</v>
      </c>
      <c r="O364" s="26" t="s">
        <v>1200</v>
      </c>
      <c r="P364" s="26" t="s">
        <v>1200</v>
      </c>
      <c r="Q364" s="8" t="s">
        <v>1200</v>
      </c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9"/>
        <v>24</v>
      </c>
      <c r="I365" s="16">
        <f t="shared" si="20"/>
        <v>6</v>
      </c>
      <c r="J365" s="17">
        <f t="shared" si="21"/>
        <v>0.8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9"/>
        <v>29</v>
      </c>
      <c r="I366" s="16">
        <f t="shared" si="20"/>
        <v>1</v>
      </c>
      <c r="J366" s="17">
        <f t="shared" si="21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9"/>
        <v>29</v>
      </c>
      <c r="I367" s="16">
        <f t="shared" si="20"/>
        <v>1</v>
      </c>
      <c r="J367" s="17">
        <f t="shared" si="21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9"/>
        <v>29</v>
      </c>
      <c r="I368" s="16">
        <f t="shared" si="20"/>
        <v>1</v>
      </c>
      <c r="J368" s="17">
        <f t="shared" si="21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9"/>
        <v>30</v>
      </c>
      <c r="I369" s="16">
        <f t="shared" si="20"/>
        <v>0</v>
      </c>
      <c r="J369" s="17">
        <f t="shared" si="21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9"/>
        <v>30</v>
      </c>
      <c r="I370" s="16">
        <f t="shared" si="20"/>
        <v>0</v>
      </c>
      <c r="J370" s="17">
        <f t="shared" si="21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9"/>
        <v>30</v>
      </c>
      <c r="I371" s="16">
        <f t="shared" si="20"/>
        <v>0</v>
      </c>
      <c r="J371" s="17">
        <f t="shared" si="21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9"/>
        <v>30</v>
      </c>
      <c r="I372" s="16">
        <f t="shared" si="20"/>
        <v>0</v>
      </c>
      <c r="J372" s="17">
        <f t="shared" si="21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9"/>
        <v>30</v>
      </c>
      <c r="I373" s="16">
        <f t="shared" si="20"/>
        <v>0</v>
      </c>
      <c r="J373" s="17">
        <f t="shared" si="21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" thickBot="1" x14ac:dyDescent="0.35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9"/>
        <v>30</v>
      </c>
      <c r="I374" s="16">
        <f t="shared" si="20"/>
        <v>0</v>
      </c>
      <c r="J374" s="17">
        <f t="shared" si="21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thickBot="1" x14ac:dyDescent="0.35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9"/>
        <v>30</v>
      </c>
      <c r="I375" s="16">
        <f t="shared" si="20"/>
        <v>0</v>
      </c>
      <c r="J375" s="17">
        <f t="shared" si="21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" thickBot="1" x14ac:dyDescent="0.35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9"/>
        <v>30</v>
      </c>
      <c r="I376" s="52">
        <f t="shared" ref="I376:I382" si="25">COUNTIF(K376:AL376,"APAGADO")</f>
        <v>0</v>
      </c>
      <c r="J376" s="53">
        <f t="shared" ref="J376:J382" si="26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9"/>
        <v>30</v>
      </c>
      <c r="I377" s="52">
        <f t="shared" si="25"/>
        <v>0</v>
      </c>
      <c r="J377" s="53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9"/>
        <v>30</v>
      </c>
      <c r="I378" s="52">
        <f t="shared" si="25"/>
        <v>0</v>
      </c>
      <c r="J378" s="53">
        <f t="shared" si="26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9"/>
        <v>30</v>
      </c>
      <c r="I379" s="52">
        <f t="shared" si="25"/>
        <v>0</v>
      </c>
      <c r="J379" s="53">
        <f t="shared" si="26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9"/>
        <v>30</v>
      </c>
      <c r="I380" s="52">
        <f t="shared" si="25"/>
        <v>0</v>
      </c>
      <c r="J380" s="53">
        <f t="shared" si="26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9"/>
        <v>30</v>
      </c>
      <c r="I381" s="52">
        <f t="shared" si="25"/>
        <v>0</v>
      </c>
      <c r="J381" s="53">
        <f t="shared" si="26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9"/>
        <v>30</v>
      </c>
      <c r="I382" s="52">
        <f t="shared" si="25"/>
        <v>0</v>
      </c>
      <c r="J382" s="53">
        <f t="shared" si="26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" thickBot="1" x14ac:dyDescent="0.35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7">COUNTIF(K383:AN383,"")</f>
        <v>30</v>
      </c>
      <c r="I383" s="52">
        <f t="shared" ref="I383:I399" si="28">COUNTIF(K383:AL383,"APAGADO")</f>
        <v>0</v>
      </c>
      <c r="J383" s="53">
        <f t="shared" ref="J383:J399" si="29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7"/>
        <v>30</v>
      </c>
      <c r="I384" s="52">
        <f t="shared" si="28"/>
        <v>0</v>
      </c>
      <c r="J384" s="53">
        <f t="shared" si="29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7"/>
        <v>30</v>
      </c>
      <c r="I385" s="52">
        <f t="shared" si="28"/>
        <v>0</v>
      </c>
      <c r="J385" s="53">
        <f t="shared" si="29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7"/>
        <v>30</v>
      </c>
      <c r="I386" s="52">
        <f t="shared" si="28"/>
        <v>0</v>
      </c>
      <c r="J386" s="53">
        <f t="shared" si="29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7"/>
        <v>30</v>
      </c>
      <c r="I387" s="52">
        <f t="shared" si="28"/>
        <v>0</v>
      </c>
      <c r="J387" s="53">
        <f t="shared" si="29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7"/>
        <v>30</v>
      </c>
      <c r="I388" s="52">
        <f t="shared" si="28"/>
        <v>0</v>
      </c>
      <c r="J388" s="53">
        <f t="shared" si="29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7"/>
        <v>30</v>
      </c>
      <c r="I389" s="52">
        <f t="shared" si="28"/>
        <v>0</v>
      </c>
      <c r="J389" s="53">
        <f t="shared" si="29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7"/>
        <v>30</v>
      </c>
      <c r="I390" s="52">
        <f t="shared" si="28"/>
        <v>0</v>
      </c>
      <c r="J390" s="53">
        <f t="shared" si="29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7"/>
        <v>30</v>
      </c>
      <c r="I391" s="52">
        <f t="shared" si="28"/>
        <v>0</v>
      </c>
      <c r="J391" s="53">
        <f t="shared" si="29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7"/>
        <v>30</v>
      </c>
      <c r="I392" s="52">
        <f t="shared" si="28"/>
        <v>0</v>
      </c>
      <c r="J392" s="53">
        <f t="shared" si="29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7"/>
        <v>30</v>
      </c>
      <c r="I393" s="52">
        <f t="shared" si="28"/>
        <v>0</v>
      </c>
      <c r="J393" s="53">
        <f t="shared" si="29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7"/>
        <v>29</v>
      </c>
      <c r="I394" s="52">
        <f t="shared" si="28"/>
        <v>1</v>
      </c>
      <c r="J394" s="53">
        <f t="shared" si="29"/>
        <v>0.96666666666666667</v>
      </c>
      <c r="K394" s="26"/>
      <c r="L394" s="26"/>
      <c r="M394" s="26"/>
      <c r="N394" s="26" t="s">
        <v>1200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7"/>
        <v>30</v>
      </c>
      <c r="I395" s="52">
        <f t="shared" si="28"/>
        <v>0</v>
      </c>
      <c r="J395" s="53">
        <f t="shared" si="29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7"/>
        <v>30</v>
      </c>
      <c r="I396" s="52">
        <f t="shared" si="28"/>
        <v>0</v>
      </c>
      <c r="J396" s="53">
        <f t="shared" si="29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7"/>
        <v>28</v>
      </c>
      <c r="I397" s="52">
        <f t="shared" si="28"/>
        <v>2</v>
      </c>
      <c r="J397" s="53">
        <f t="shared" si="29"/>
        <v>0.93333333333333335</v>
      </c>
      <c r="K397" s="26"/>
      <c r="L397" s="26"/>
      <c r="M397" s="26" t="s">
        <v>1200</v>
      </c>
      <c r="N397" s="26" t="s">
        <v>1200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7"/>
        <v>30</v>
      </c>
      <c r="I398" s="52">
        <f t="shared" si="28"/>
        <v>0</v>
      </c>
      <c r="J398" s="53">
        <f t="shared" si="29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7"/>
        <v>30</v>
      </c>
      <c r="I399" s="52">
        <f t="shared" si="28"/>
        <v>0</v>
      </c>
      <c r="J399" s="53">
        <f t="shared" si="29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3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 t="str">
        <f>'RESUMEN TOTAL'!N316</f>
        <v>APAGADO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 t="str">
        <f>'RESUMEN TOTAL'!N324</f>
        <v>APAGADO</v>
      </c>
      <c r="J321" t="str">
        <f>'RESUMEN TOTAL'!O324</f>
        <v>APAGADO</v>
      </c>
      <c r="K321">
        <f>'RESUMEN TOTAL'!P324</f>
        <v>0</v>
      </c>
      <c r="L321" t="str">
        <f>'RESUMEN TOTAL'!Q324</f>
        <v>APAGADO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 t="str">
        <f>'RESUMEN TOTAL'!N337</f>
        <v>APAGADO</v>
      </c>
      <c r="J331" t="str">
        <f>'RESUMEN TOTAL'!O337</f>
        <v>APAGADO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3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3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 t="str">
        <f>'RESUMEN TOTAL'!N339</f>
        <v>APAGADO</v>
      </c>
      <c r="J333" t="str">
        <f>'RESUMEN TOTAL'!O339</f>
        <v>APAGADO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3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 t="str">
        <f>'RESUMEN TOTAL'!N340</f>
        <v>APAGADO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3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3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 t="str">
        <f>'RESUMEN TOTAL'!N342</f>
        <v>APAGADO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3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 t="str">
        <f>'RESUMEN TOTAL'!N343</f>
        <v>APAGADO</v>
      </c>
      <c r="J337" t="str">
        <f>'RESUMEN TOTAL'!O343</f>
        <v>APAGADO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3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 t="str">
        <f>'RESUMEN TOTAL'!N344</f>
        <v>APAGADO</v>
      </c>
      <c r="J338" t="str">
        <f>'RESUMEN TOTAL'!O344</f>
        <v>APAGADO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3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3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 t="str">
        <f>'RESUMEN TOTAL'!N346</f>
        <v>APAGADO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3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 t="str">
        <f>'RESUMEN TOTAL'!N347</f>
        <v>APAGADO</v>
      </c>
      <c r="J341" t="str">
        <f>'RESUMEN TOTAL'!O347</f>
        <v>APAGADO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3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 t="str">
        <f>'RESUMEN TOTAL'!N348</f>
        <v>APAGADO</v>
      </c>
      <c r="J342" t="str">
        <f>'RESUMEN TOTAL'!O348</f>
        <v>APAGADO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3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3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 t="str">
        <f>'RESUMEN TOTAL'!N350</f>
        <v>APAGADO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3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 t="str">
        <f>'RESUMEN TOTAL'!N351</f>
        <v>APAGADO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3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3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3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 t="str">
        <f>'RESUMEN TOTAL'!N354</f>
        <v>APAGADO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3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3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3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 t="str">
        <f>'RESUMEN TOTAL'!N357</f>
        <v>APAGADO</v>
      </c>
      <c r="J351" t="str">
        <f>'RESUMEN TOTAL'!O357</f>
        <v>APAGADO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3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3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3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3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 t="str">
        <f>'RESUMEN TOTAL'!N361</f>
        <v>APAGADO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3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 t="str">
        <f>'RESUMEN TOTAL'!N362</f>
        <v>APAGADO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3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3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 t="str">
        <f>'RESUMEN TOTAL'!N364</f>
        <v>APAGADO</v>
      </c>
      <c r="J358" t="str">
        <f>'RESUMEN TOTAL'!O364</f>
        <v>APAGADO</v>
      </c>
      <c r="K358" t="str">
        <f>'RESUMEN TOTAL'!P364</f>
        <v>APAGADO</v>
      </c>
      <c r="L358" t="str">
        <f>'RESUMEN TOTAL'!Q364</f>
        <v>APAGADO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3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 t="str">
        <f>'RESUMEN TOTAL'!N365</f>
        <v>APAGADO</v>
      </c>
      <c r="J359" t="str">
        <f>'RESUMEN TOTAL'!O365</f>
        <v>APAGADO</v>
      </c>
      <c r="K359" t="str">
        <f>'RESUMEN TOTAL'!P365</f>
        <v>APAGADO</v>
      </c>
      <c r="L359" t="str">
        <f>'RESUMEN TOTAL'!Q365</f>
        <v>APAGADO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3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3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3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3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3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3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3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3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3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3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3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3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3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3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3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3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3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3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3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3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3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3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3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3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3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3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3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3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3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 t="str">
        <f>'RESUMEN TOTAL'!N394</f>
        <v>APAGADO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3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3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3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 t="str">
        <f>'RESUMEN TOTAL'!N397</f>
        <v>APAGADO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3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3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3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3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3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3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264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G18" sqref="G18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" thickTop="1" x14ac:dyDescent="0.3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3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3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5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5.6" thickTop="1" thickBot="1" x14ac:dyDescent="0.35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" thickTop="1" x14ac:dyDescent="0.3">
      <c r="A17" s="87"/>
      <c r="B17" s="88"/>
      <c r="C17" s="89"/>
      <c r="D17" s="90"/>
      <c r="E17" s="142"/>
      <c r="G17" s="128"/>
      <c r="H17" s="112"/>
      <c r="I17" s="112"/>
      <c r="J17" s="112"/>
      <c r="K17" s="113"/>
      <c r="L17" s="129"/>
      <c r="M17" s="139"/>
    </row>
    <row r="18" spans="1:14" x14ac:dyDescent="0.3">
      <c r="A18" s="91"/>
      <c r="B18" s="92"/>
      <c r="C18" s="93"/>
      <c r="D18" s="94"/>
      <c r="E18" s="143"/>
      <c r="G18" s="128"/>
      <c r="H18" s="112"/>
      <c r="I18" s="112"/>
      <c r="J18" s="112"/>
      <c r="K18" s="113"/>
      <c r="L18" s="129"/>
      <c r="M18" s="139"/>
    </row>
    <row r="19" spans="1:14" x14ac:dyDescent="0.3">
      <c r="A19" s="91"/>
      <c r="B19" s="92"/>
      <c r="C19" s="93"/>
      <c r="D19" s="94"/>
      <c r="E19" s="143"/>
      <c r="G19" s="128"/>
      <c r="H19" s="112"/>
      <c r="I19" s="112"/>
      <c r="J19" s="112"/>
      <c r="K19" s="113"/>
      <c r="L19" s="129"/>
      <c r="M19" s="139"/>
    </row>
    <row r="20" spans="1:14" x14ac:dyDescent="0.3">
      <c r="A20" s="91"/>
      <c r="B20" s="92"/>
      <c r="C20" s="93"/>
      <c r="D20" s="94"/>
      <c r="E20" s="143"/>
      <c r="G20" s="128"/>
      <c r="H20" s="112"/>
      <c r="I20" s="112"/>
      <c r="J20" s="112"/>
      <c r="K20" s="113"/>
      <c r="L20" s="129"/>
      <c r="M20" s="139"/>
    </row>
    <row r="21" spans="1:14" ht="15" thickBot="1" x14ac:dyDescent="0.35">
      <c r="A21" s="103"/>
      <c r="B21" s="104"/>
      <c r="C21" s="105"/>
      <c r="D21" s="106"/>
      <c r="E21" s="144"/>
      <c r="G21" s="121"/>
      <c r="H21" s="122"/>
      <c r="I21" s="122"/>
      <c r="J21" s="122"/>
      <c r="K21" s="122"/>
      <c r="L21" s="123"/>
      <c r="M21" s="141"/>
    </row>
    <row r="22" spans="1:14" ht="15" thickTop="1" x14ac:dyDescent="0.3">
      <c r="A22" s="87"/>
      <c r="B22" s="88"/>
      <c r="C22" s="89"/>
      <c r="D22" s="90"/>
      <c r="E22" s="142"/>
    </row>
    <row r="23" spans="1:14" ht="15" thickBot="1" x14ac:dyDescent="0.35">
      <c r="A23" s="91"/>
      <c r="B23" s="92"/>
      <c r="C23" s="93"/>
      <c r="D23" s="94"/>
      <c r="E23" s="143"/>
    </row>
    <row r="24" spans="1:14" ht="15" thickTop="1" x14ac:dyDescent="0.3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3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" thickBot="1" x14ac:dyDescent="0.35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" thickTop="1" x14ac:dyDescent="0.3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3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" thickBot="1" x14ac:dyDescent="0.35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5.6" thickTop="1" thickBot="1" x14ac:dyDescent="0.35">
      <c r="A30" s="91"/>
      <c r="B30" s="92"/>
      <c r="C30" s="93"/>
      <c r="D30" s="94"/>
      <c r="E30" s="143"/>
    </row>
    <row r="31" spans="1:14" ht="15.6" thickTop="1" thickBot="1" x14ac:dyDescent="0.35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" thickTop="1" x14ac:dyDescent="0.3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" thickBot="1" x14ac:dyDescent="0.35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" thickTop="1" x14ac:dyDescent="0.3">
      <c r="A34" s="91"/>
      <c r="B34" s="92"/>
      <c r="C34" s="93"/>
      <c r="D34" s="94"/>
      <c r="E34" s="143"/>
      <c r="G34" s="134"/>
      <c r="K34" s="135"/>
    </row>
    <row r="35" spans="1:14" x14ac:dyDescent="0.3">
      <c r="A35" s="91"/>
      <c r="B35" s="92"/>
      <c r="C35" s="93"/>
      <c r="D35" s="94"/>
      <c r="E35" s="143"/>
      <c r="G35" s="134"/>
      <c r="K35" s="135"/>
    </row>
    <row r="36" spans="1:14" ht="15" thickBot="1" x14ac:dyDescent="0.35">
      <c r="A36" s="103"/>
      <c r="B36" s="104"/>
      <c r="C36" s="105"/>
      <c r="D36" s="106"/>
      <c r="E36" s="144"/>
      <c r="G36" s="134"/>
      <c r="K36" s="135"/>
    </row>
    <row r="37" spans="1:14" ht="15" thickTop="1" x14ac:dyDescent="0.3">
      <c r="A37" s="87"/>
      <c r="B37" s="88"/>
      <c r="C37" s="89"/>
      <c r="D37" s="90"/>
      <c r="E37" s="142"/>
      <c r="G37" s="134"/>
      <c r="K37" s="135"/>
    </row>
    <row r="38" spans="1:14" x14ac:dyDescent="0.3">
      <c r="A38" s="91"/>
      <c r="B38" s="92"/>
      <c r="C38" s="93"/>
      <c r="D38" s="94"/>
      <c r="E38" s="143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43"/>
    </row>
    <row r="40" spans="1:14" ht="15" thickTop="1" x14ac:dyDescent="0.3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" thickBot="1" x14ac:dyDescent="0.35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3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3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3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" thickBot="1" x14ac:dyDescent="0.35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5.6" thickTop="1" thickBot="1" x14ac:dyDescent="0.35">
      <c r="A46" s="103"/>
      <c r="B46" s="104"/>
      <c r="C46" s="105"/>
      <c r="D46" s="106"/>
      <c r="E46" s="144"/>
    </row>
    <row r="47" spans="1:14" ht="15" thickTop="1" x14ac:dyDescent="0.3">
      <c r="A47" s="87"/>
      <c r="B47" s="88"/>
      <c r="C47" s="89"/>
      <c r="D47" s="90"/>
      <c r="E47" s="142"/>
      <c r="G47" s="134"/>
      <c r="K47" s="135"/>
    </row>
    <row r="48" spans="1:14" x14ac:dyDescent="0.3">
      <c r="A48" s="91"/>
      <c r="B48" s="92"/>
      <c r="C48" s="93"/>
      <c r="D48" s="94"/>
      <c r="E48" s="143"/>
      <c r="G48" s="134"/>
      <c r="K48" s="135"/>
    </row>
    <row r="49" spans="1:11" x14ac:dyDescent="0.3">
      <c r="A49" s="91"/>
      <c r="B49" s="92"/>
      <c r="C49" s="93"/>
      <c r="D49" s="94"/>
      <c r="E49" s="143"/>
      <c r="G49" s="134"/>
      <c r="K49" s="135"/>
    </row>
    <row r="50" spans="1:11" x14ac:dyDescent="0.3">
      <c r="A50" s="91"/>
      <c r="B50" s="92"/>
      <c r="C50" s="93"/>
      <c r="D50" s="94"/>
      <c r="E50" s="143"/>
      <c r="G50" s="134"/>
      <c r="K50" s="135"/>
    </row>
    <row r="51" spans="1:11" ht="15" thickBot="1" x14ac:dyDescent="0.35">
      <c r="A51" s="103"/>
      <c r="B51" s="104"/>
      <c r="C51" s="93"/>
      <c r="D51" s="106"/>
      <c r="E51" s="144"/>
      <c r="G51" s="134"/>
      <c r="K51" s="135"/>
    </row>
    <row r="52" spans="1:11" ht="15" thickTop="1" x14ac:dyDescent="0.3">
      <c r="A52" s="87"/>
      <c r="B52" s="88"/>
      <c r="C52" s="89"/>
      <c r="D52" s="90"/>
      <c r="E52" s="142"/>
      <c r="G52" s="134"/>
      <c r="K52" s="135"/>
    </row>
    <row r="53" spans="1:11" x14ac:dyDescent="0.3">
      <c r="A53" s="91"/>
      <c r="B53" s="92"/>
      <c r="C53" s="93"/>
      <c r="D53" s="94"/>
      <c r="E53" s="143"/>
      <c r="G53" s="134"/>
      <c r="K53" s="135"/>
    </row>
    <row r="54" spans="1:11" x14ac:dyDescent="0.3">
      <c r="A54" s="91"/>
      <c r="B54" s="92"/>
      <c r="C54" s="93"/>
      <c r="D54" s="94"/>
      <c r="E54" s="143"/>
    </row>
    <row r="55" spans="1:11" x14ac:dyDescent="0.3">
      <c r="A55" s="91"/>
      <c r="B55" s="92"/>
      <c r="C55" s="93"/>
      <c r="D55" s="94"/>
      <c r="E55" s="143"/>
    </row>
    <row r="56" spans="1:11" ht="15" thickBot="1" x14ac:dyDescent="0.35">
      <c r="A56" s="103"/>
      <c r="B56" s="104"/>
      <c r="C56" s="93"/>
      <c r="D56" s="106"/>
      <c r="E56" s="144"/>
    </row>
    <row r="57" spans="1:11" ht="15" thickTop="1" x14ac:dyDescent="0.3">
      <c r="A57" s="87"/>
      <c r="B57" s="88"/>
      <c r="C57" s="89"/>
      <c r="D57" s="90"/>
      <c r="E57" s="142"/>
    </row>
    <row r="58" spans="1:11" x14ac:dyDescent="0.3">
      <c r="A58" s="91"/>
      <c r="B58" s="92"/>
      <c r="C58" s="93"/>
      <c r="D58" s="94"/>
      <c r="E58" s="143"/>
    </row>
    <row r="59" spans="1:11" x14ac:dyDescent="0.3">
      <c r="A59" s="91"/>
      <c r="B59" s="92"/>
      <c r="C59" s="93"/>
      <c r="D59" s="94"/>
      <c r="E59" s="143"/>
    </row>
    <row r="60" spans="1:11" x14ac:dyDescent="0.3">
      <c r="A60" s="91"/>
      <c r="B60" s="92"/>
      <c r="C60" s="93"/>
      <c r="D60" s="94"/>
      <c r="E60" s="143"/>
    </row>
    <row r="61" spans="1:11" ht="15" thickBot="1" x14ac:dyDescent="0.35">
      <c r="A61" s="103"/>
      <c r="B61" s="104"/>
      <c r="C61" s="93"/>
      <c r="D61" s="106"/>
      <c r="E61" s="144"/>
    </row>
    <row r="62" spans="1:11" ht="15" thickTop="1" x14ac:dyDescent="0.3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5" sqref="F15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395</v>
      </c>
      <c r="G3" s="54">
        <f t="shared" ref="G3:G6" si="3">E3/F3</f>
        <v>0.13417721518987341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395</v>
      </c>
      <c r="G4" s="54">
        <f t="shared" si="3"/>
        <v>0.21772151898734177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395</v>
      </c>
      <c r="G5" s="54">
        <f t="shared" si="3"/>
        <v>0.21772151898734177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395</v>
      </c>
      <c r="G6" s="54">
        <f t="shared" si="3"/>
        <v>9.6202531645569619E-2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395</v>
      </c>
      <c r="G7" s="54">
        <f t="shared" ref="G7:G8" si="5">E7/F7</f>
        <v>8.1012658227848103E-2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395</v>
      </c>
      <c r="G8" s="54">
        <f t="shared" si="5"/>
        <v>5.3164556962025315E-2</v>
      </c>
    </row>
    <row r="9" spans="1:7" x14ac:dyDescent="0.3">
      <c r="A9" s="24">
        <f>'APAGADOS RADIO'!M3</f>
        <v>44812</v>
      </c>
      <c r="B9" s="50"/>
      <c r="C9" s="50"/>
      <c r="D9" s="50"/>
      <c r="E9" s="50"/>
      <c r="F9" s="50"/>
    </row>
    <row r="10" spans="1:7" x14ac:dyDescent="0.3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3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3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3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55</v>
      </c>
      <c r="J3" s="75">
        <f>COUNTIFS('RESUMEN TOTAL'!C5:C399, "=BONOMO",'RESUMEN TOTAL'!O5:O399,"=APAGADO")</f>
        <v>27</v>
      </c>
      <c r="K3" s="75">
        <f>COUNTIFS('RESUMEN TOTAL'!C5:C399, "=BONOMO",'RESUMEN TOTAL'!P5:P399,"=APAGADO")</f>
        <v>29</v>
      </c>
      <c r="L3" s="75">
        <f>COUNTIFS('RESUMEN TOTAL'!C5:C399, "=BONOMO",'RESUMEN TOTAL'!Q5:Q399,"=APAGADO")</f>
        <v>17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33</v>
      </c>
      <c r="J5" s="78">
        <f>COUNTIFS('RESUMEN TOTAL'!C7:C399, "=COSEIDI",'RESUMEN TOTAL'!O7:O399,"=APAGADO")</f>
        <v>11</v>
      </c>
      <c r="K5" s="78">
        <f>COUNTIFS('RESUMEN TOTAL'!C7:C399, "=COSEIDI",'RESUMEN TOTAL'!P7:P399,"=APAGADO")</f>
        <v>3</v>
      </c>
      <c r="L5" s="78">
        <f>COUNTIFS('RESUMEN TOTAL'!C7:C399, "=COSEIDI",'RESUMEN TOTAL'!Q7:Q399,"=APAGADO")</f>
        <v>4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2.185792349726776E-2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2022-09-07T11:57:56Z</dcterms:modified>
</cp:coreProperties>
</file>