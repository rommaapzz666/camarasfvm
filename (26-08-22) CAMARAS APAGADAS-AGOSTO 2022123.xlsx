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4F1B0E2A-B763-44AC-B5C0-87A0FC9206E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45" i="24" l="1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45" i="24" l="1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6" i="14" s="1"/>
  <c r="F24" i="14" l="1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B24" i="14" s="1"/>
  <c r="E24" i="14" s="1"/>
  <c r="G24" i="14" s="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26" i="14" l="1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<sst xmlns="http://schemas.openxmlformats.org/spreadsheetml/2006/main" count="3930" uniqueCount="1208">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</sst>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3.888888888888889E-2</c:v>
                      </c:pt>
                      <c:pt idx="25">
                        <c:v>4.4444444444444446E-2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3.888888888888889E-2</c:v>
                </c:pt>
                <c:pt idx="25">
                  <c:v>4.4444444444444446E-2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K383" activePane="bottomRight" state="frozen"/>
      <selection pane="topRight" activeCell="M1" sqref="M1"/>
      <selection pane="bottomLeft" activeCell="A5" sqref="A5"/>
      <selection pane="bottomRight" activeCell="D386" sqref="D386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0.08</v>
      </c>
      <c r="AJ1" s="4">
        <f t="shared" si="0"/>
        <v>8.7999999999999995E-2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345</v>
      </c>
      <c r="AJ2" s="10">
        <f t="shared" si="4"/>
        <v>342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33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10"/>
        <v>20</v>
      </c>
      <c r="I7" s="17">
        <f t="shared" si="8"/>
        <v>10</v>
      </c>
      <c r="J7" s="18">
        <f t="shared" si="9"/>
        <v>0.66666666666666663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23</v>
      </c>
      <c r="I10" s="17">
        <f t="shared" si="8"/>
        <v>7</v>
      </c>
      <c r="J10" s="18">
        <f t="shared" si="9"/>
        <v>0.76666666666666672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10"/>
        <v>23</v>
      </c>
      <c r="I13" s="17">
        <f t="shared" si="8"/>
        <v>7</v>
      </c>
      <c r="J13" s="18">
        <f t="shared" si="9"/>
        <v>0.76666666666666672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10"/>
        <v>25</v>
      </c>
      <c r="I16" s="17">
        <f t="shared" si="8"/>
        <v>5</v>
      </c>
      <c r="J16" s="18">
        <f t="shared" si="9"/>
        <v>0.83333333333333337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4</v>
      </c>
      <c r="I34" s="17">
        <f t="shared" si="8"/>
        <v>26</v>
      </c>
      <c r="J34" s="18">
        <f t="shared" si="9"/>
        <v>0.13333333333333333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10"/>
        <v>4</v>
      </c>
      <c r="I67" s="17">
        <f t="shared" si="8"/>
        <v>26</v>
      </c>
      <c r="J67" s="18">
        <f t="shared" si="9"/>
        <v>0.13333333333333333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23</v>
      </c>
      <c r="I79" s="17">
        <f t="shared" si="11"/>
        <v>7</v>
      </c>
      <c r="J79" s="18">
        <f t="shared" si="12"/>
        <v>0.76666666666666672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12</v>
      </c>
      <c r="I96" s="17">
        <f t="shared" si="11"/>
        <v>18</v>
      </c>
      <c r="J96" s="18">
        <f t="shared" si="12"/>
        <v>0.4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29</v>
      </c>
      <c r="I107" s="17">
        <f t="shared" si="11"/>
        <v>1</v>
      </c>
      <c r="J107" s="18">
        <f t="shared" si="12"/>
        <v>0.96666666666666667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3"/>
        <v>27</v>
      </c>
      <c r="I113" s="17">
        <f t="shared" si="11"/>
        <v>3</v>
      </c>
      <c r="J113" s="18">
        <f t="shared" si="12"/>
        <v>0.9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4</v>
      </c>
      <c r="I134" s="17">
        <f t="shared" si="14"/>
        <v>26</v>
      </c>
      <c r="J134" s="18">
        <f t="shared" si="15"/>
        <v>0.13333333333333333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6"/>
        <v>4</v>
      </c>
      <c r="I156" s="17">
        <f t="shared" si="14"/>
        <v>26</v>
      </c>
      <c r="J156" s="18">
        <f t="shared" si="15"/>
        <v>0.13333333333333333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6"/>
        <v>13</v>
      </c>
      <c r="I157" s="17">
        <f t="shared" si="14"/>
        <v>17</v>
      </c>
      <c r="J157" s="18">
        <f t="shared" si="15"/>
        <v>0.43333333333333335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5</v>
      </c>
      <c r="I158" s="17">
        <f t="shared" si="14"/>
        <v>25</v>
      </c>
      <c r="J158" s="18">
        <f t="shared" si="15"/>
        <v>0.16666666666666666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26</v>
      </c>
      <c r="I162" s="17">
        <f t="shared" si="14"/>
        <v>4</v>
      </c>
      <c r="J162" s="18">
        <f t="shared" si="15"/>
        <v>0.8666666666666667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6"/>
        <v>5</v>
      </c>
      <c r="I163" s="17">
        <f t="shared" si="14"/>
        <v>25</v>
      </c>
      <c r="J163" s="18">
        <f t="shared" si="15"/>
        <v>0.16666666666666666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6"/>
        <v>6</v>
      </c>
      <c r="I166" s="17">
        <f t="shared" si="14"/>
        <v>24</v>
      </c>
      <c r="J166" s="18">
        <f t="shared" si="15"/>
        <v>0.2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4</v>
      </c>
      <c r="I210" s="17">
        <f t="shared" si="17"/>
        <v>26</v>
      </c>
      <c r="J210" s="18">
        <f t="shared" si="18"/>
        <v>0.13333333333333333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5</v>
      </c>
      <c r="I215" s="17">
        <f t="shared" si="17"/>
        <v>25</v>
      </c>
      <c r="J215" s="18">
        <f t="shared" si="18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4</v>
      </c>
      <c r="I216" s="17">
        <f t="shared" si="17"/>
        <v>26</v>
      </c>
      <c r="J216" s="18">
        <f t="shared" si="18"/>
        <v>0.13333333333333333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9"/>
        <v>7</v>
      </c>
      <c r="I217" s="17">
        <f t="shared" si="17"/>
        <v>23</v>
      </c>
      <c r="J217" s="18">
        <f t="shared" si="18"/>
        <v>0.23333333333333334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15</v>
      </c>
      <c r="I244" s="17">
        <f t="shared" si="17"/>
        <v>15</v>
      </c>
      <c r="J244" s="18">
        <f t="shared" si="18"/>
        <v>0.5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15</v>
      </c>
      <c r="I245" s="17">
        <f t="shared" si="17"/>
        <v>15</v>
      </c>
      <c r="J245" s="18">
        <f t="shared" si="18"/>
        <v>0.5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4</v>
      </c>
      <c r="I254" s="17">
        <f t="shared" si="17"/>
        <v>26</v>
      </c>
      <c r="J254" s="18">
        <f t="shared" si="18"/>
        <v>0.13333333333333333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4</v>
      </c>
      <c r="I255" s="17">
        <f t="shared" si="17"/>
        <v>26</v>
      </c>
      <c r="J255" s="18">
        <f t="shared" si="18"/>
        <v>0.13333333333333333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10</v>
      </c>
      <c r="I289" s="17">
        <f t="shared" si="21"/>
        <v>20</v>
      </c>
      <c r="J289" s="18">
        <f t="shared" si="22"/>
        <v>0.33333333333333331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10</v>
      </c>
      <c r="I290" s="17">
        <f t="shared" si="21"/>
        <v>20</v>
      </c>
      <c r="J290" s="18">
        <f t="shared" si="22"/>
        <v>0.33333333333333331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10</v>
      </c>
      <c r="I291" s="17">
        <f t="shared" si="21"/>
        <v>20</v>
      </c>
      <c r="J291" s="18">
        <f t="shared" si="22"/>
        <v>0.33333333333333331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10</v>
      </c>
      <c r="I292" s="17">
        <f t="shared" si="21"/>
        <v>20</v>
      </c>
      <c r="J292" s="18">
        <f t="shared" si="22"/>
        <v>0.33333333333333331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29</v>
      </c>
      <c r="I296" s="17">
        <f t="shared" si="21"/>
        <v>1</v>
      </c>
      <c r="J296" s="18">
        <f t="shared" si="22"/>
        <v>0.96666666666666667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29</v>
      </c>
      <c r="I297" s="17">
        <f t="shared" si="21"/>
        <v>1</v>
      </c>
      <c r="J297" s="18">
        <f t="shared" si="22"/>
        <v>0.96666666666666667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4</v>
      </c>
      <c r="I327" s="17">
        <f t="shared" ref="I327:I372" si="24">COUNTIF(K327:AL327,"APAGADO")</f>
        <v>26</v>
      </c>
      <c r="J327" s="18">
        <f t="shared" ref="J327:J372" si="25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4</v>
      </c>
      <c r="I328" s="17">
        <f t="shared" si="24"/>
        <v>26</v>
      </c>
      <c r="J328" s="18">
        <f t="shared" si="25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1141</v>
      </c>
      <c r="C334" s="51" t="s">
        <v>1172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1142</v>
      </c>
      <c r="C335" s="51" t="s">
        <v>1172</v>
      </c>
      <c r="D335" s="51" t="s">
        <v>553</v>
      </c>
      <c r="E335" s="51" t="s">
        <v>15</v>
      </c>
      <c r="F335" s="51" t="s">
        <v>1163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1172</v>
      </c>
      <c r="D336" s="51" t="s">
        <v>527</v>
      </c>
      <c r="E336" s="51" t="s">
        <v>15</v>
      </c>
      <c r="F336" s="51" t="s">
        <v>1164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1172</v>
      </c>
      <c r="D337" s="51" t="s">
        <v>530</v>
      </c>
      <c r="E337" s="51" t="s">
        <v>15</v>
      </c>
      <c r="F337" s="51" t="s">
        <v>1164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1172</v>
      </c>
      <c r="D338" s="51" t="s">
        <v>1203</v>
      </c>
      <c r="E338" s="51" t="s">
        <v>15</v>
      </c>
      <c r="F338" s="51" t="s">
        <v>1164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1172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1143</v>
      </c>
      <c r="C340" s="51" t="s">
        <v>1172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1144</v>
      </c>
      <c r="C341" s="51" t="s">
        <v>1172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1172</v>
      </c>
      <c r="D342" s="51" t="s">
        <v>1145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1172</v>
      </c>
      <c r="D343" s="51" t="s">
        <v>1204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1172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1172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1172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1172</v>
      </c>
      <c r="D347" s="51" t="s">
        <v>1181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1171</v>
      </c>
      <c r="D348" s="51" t="s">
        <v>1180</v>
      </c>
      <c r="E348" s="51"/>
      <c r="F348" s="51" t="s">
        <v>1164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1172</v>
      </c>
      <c r="D349" s="51" t="s">
        <v>547</v>
      </c>
      <c r="E349" s="51" t="s">
        <v>19</v>
      </c>
      <c r="F349" s="51" t="s">
        <v>1163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1172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1172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1146</v>
      </c>
      <c r="C352" s="51" t="s">
        <v>1172</v>
      </c>
      <c r="D352" s="51" t="s">
        <v>523</v>
      </c>
      <c r="E352" s="51" t="s">
        <v>15</v>
      </c>
      <c r="F352" s="51" t="s">
        <v>1164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1147</v>
      </c>
      <c r="C353" s="51" t="s">
        <v>1172</v>
      </c>
      <c r="D353" s="51" t="s">
        <v>525</v>
      </c>
      <c r="E353" s="51" t="s">
        <v>19</v>
      </c>
      <c r="F353" s="51" t="s">
        <v>1164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1148</v>
      </c>
      <c r="C354" s="51" t="s">
        <v>1172</v>
      </c>
      <c r="D354" s="51" t="s">
        <v>532</v>
      </c>
      <c r="E354" s="51" t="s">
        <v>15</v>
      </c>
      <c r="F354" s="51" t="s">
        <v>1164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1149</v>
      </c>
      <c r="C355" s="51" t="s">
        <v>1172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1171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1171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1150</v>
      </c>
      <c r="C358" s="51" t="s">
        <v>1171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1151</v>
      </c>
      <c r="C359" s="51" t="s">
        <v>1171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1171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28</v>
      </c>
      <c r="I360" s="17">
        <f t="shared" si="24"/>
        <v>2</v>
      </c>
      <c r="J360" s="18">
        <f t="shared" si="25"/>
        <v>0.93333333333333335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 t="s">
        <v>1010</v>
      </c>
      <c r="AJ360" s="27" t="s">
        <v>1010</v>
      </c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1171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5</v>
      </c>
      <c r="I361" s="17">
        <f t="shared" si="24"/>
        <v>25</v>
      </c>
      <c r="J361" s="18">
        <f t="shared" si="25"/>
        <v>0.16666666666666666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 t="s">
        <v>1010</v>
      </c>
      <c r="AJ361" s="27" t="s">
        <v>1010</v>
      </c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1171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5</v>
      </c>
      <c r="I362" s="17">
        <f t="shared" si="24"/>
        <v>25</v>
      </c>
      <c r="J362" s="18">
        <f t="shared" si="25"/>
        <v>0.16666666666666666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 t="s">
        <v>1010</v>
      </c>
      <c r="AJ362" s="27" t="s">
        <v>1010</v>
      </c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1171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1171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1171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1171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1171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1171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1171</v>
      </c>
      <c r="D369" s="51" t="s">
        <v>578</v>
      </c>
      <c r="E369" s="51" t="s">
        <v>19</v>
      </c>
      <c r="F369" s="51" t="s">
        <v>1164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1171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1172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1172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1152</v>
      </c>
      <c r="C373" s="51" t="s">
        <v>1172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1153</v>
      </c>
      <c r="C374" s="51" t="s">
        <v>1172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1154</v>
      </c>
      <c r="C375" s="51" t="s">
        <v>1172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1155</v>
      </c>
      <c r="C376" s="51" t="s">
        <v>1172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1172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1172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1172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1172</v>
      </c>
      <c r="D380" s="51" t="s">
        <v>1205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1156</v>
      </c>
      <c r="C381" s="51" t="s">
        <v>1172</v>
      </c>
      <c r="D381" s="51" t="s">
        <v>1206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1157</v>
      </c>
      <c r="C382" s="51" t="s">
        <v>1172</v>
      </c>
      <c r="D382" s="51" t="s">
        <v>1206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1158</v>
      </c>
      <c r="C383" s="51" t="s">
        <v>1172</v>
      </c>
      <c r="D383" s="51" t="s">
        <v>1159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1172</v>
      </c>
      <c r="D384" s="51" t="s">
        <v>1207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1160</v>
      </c>
      <c r="C385" s="51" t="s">
        <v>1172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1161</v>
      </c>
      <c r="C386" s="51" t="s">
        <v>1172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1172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1172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1172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1162</v>
      </c>
      <c r="C392" s="51" t="s">
        <v>1172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1172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1172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1172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1172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CHAÑAR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 t="str">
        <f>'RESUMEN TOTAL'!AI360</f>
        <v>APAGADO</v>
      </c>
      <c r="AE357" t="str">
        <f>'RESUMEN TOTAL'!AJ360</f>
        <v>APAGADO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 t="str">
        <f>'RESUMEN TOTAL'!AI361</f>
        <v>APAGADO</v>
      </c>
      <c r="AE358" t="str">
        <f>'RESUMEN TOTAL'!AJ361</f>
        <v>APAGADO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 t="str">
        <f>'RESUMEN TOTAL'!AI362</f>
        <v>APAGADO</v>
      </c>
      <c r="AE359" t="str">
        <f>'RESUMEN TOTAL'!AJ362</f>
        <v>APAGADO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Rio Carapachay y Oroño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OROÑO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OROÑO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1173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28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25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6.5" thickTop="1" thickBot="1" x14ac:dyDescent="0.3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38">
        <v>44790</v>
      </c>
    </row>
    <row r="32" spans="1:14" ht="15.75" thickTop="1" x14ac:dyDescent="0.25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25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25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.75" thickTop="1" x14ac:dyDescent="0.25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 t="s">
        <v>1004</v>
      </c>
      <c r="B42" s="69">
        <v>392</v>
      </c>
      <c r="C42" s="65"/>
      <c r="D42" s="62"/>
      <c r="E42" s="143">
        <v>44798</v>
      </c>
      <c r="G42" s="76"/>
      <c r="H42" s="77"/>
      <c r="I42" s="77"/>
      <c r="J42" s="77"/>
      <c r="K42" s="78"/>
      <c r="L42" s="79"/>
      <c r="M42" s="141"/>
    </row>
    <row r="43" spans="1:14" x14ac:dyDescent="0.25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27" sqref="F27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25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25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25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25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25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392</v>
      </c>
      <c r="G26" s="55">
        <f t="shared" ref="G26" si="32">E26/F26</f>
        <v>7.6530612244897961E-2</v>
      </c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1171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1171</v>
      </c>
      <c r="E3" s="122" t="s">
        <v>1183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23</v>
      </c>
      <c r="AE3" s="125">
        <f>COUNTIFS('RESUMEN TOTAL'!C5:C396, "=BONOMO",'RESUMEN TOTAL'!AJ5:AJ396,"=APAGADO")</f>
        <v>25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1172</v>
      </c>
      <c r="B4" s="118">
        <f>COUNTIFS('RESUMEN TOTAL'!C5:C396,"=COSEIDI")</f>
        <v>180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1186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3.888888888888889E-2</v>
      </c>
      <c r="AE6" s="131">
        <f t="shared" si="2"/>
        <v>4.4444444444444446E-2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2022-08-26T13:42:29Z</dcterms:modified>
</cp:coreProperties>
</file>