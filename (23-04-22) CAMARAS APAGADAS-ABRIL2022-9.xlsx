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ABRIL\"/>
    </mc:Choice>
  </mc:AlternateContent>
  <xr:revisionPtr revIDLastSave="0" documentId="8_{9F6CA73D-83E6-47A8-9FE6-01599C104C86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coseidi" sheetId="23" r:id="rId2"/>
    <sheet name="REPARACIONES DIARIAS" sheetId="20" r:id="rId3"/>
    <sheet name="ESTADISTICA" sheetId="8" r:id="rId4"/>
    <sheet name="APAGADOS" sheetId="9" r:id="rId5"/>
    <sheet name="APAGADOS FIBRA" sheetId="10" r:id="rId6"/>
    <sheet name="APAGADOS ANTENA" sheetId="21" r:id="rId7"/>
    <sheet name="APAGADOS RADIO" sheetId="11" r:id="rId8"/>
    <sheet name="PORCENTAJE" sheetId="15" r:id="rId9"/>
    <sheet name="GRAFICO2" sheetId="16" r:id="rId10"/>
    <sheet name="BARRAS" sheetId="18" r:id="rId11"/>
    <sheet name="AUXILIAR" sheetId="14" r:id="rId12"/>
  </sheets>
  <definedNames>
    <definedName name="_25_de_agosto" localSheetId="0">'RESUMEN TOTAL'!$A$4:$D$349</definedName>
    <definedName name="_xlnm._FilterDatabase" localSheetId="4" hidden="1">APAGADOS!$A$2:$AG$379</definedName>
    <definedName name="_xlnm._FilterDatabase" localSheetId="6" hidden="1">'APAGADOS ANTENA'!$A$3:$AG$369</definedName>
    <definedName name="_xlnm._FilterDatabase" localSheetId="5" hidden="1">'APAGADOS FIBRA'!$A$3:$AG$369</definedName>
    <definedName name="_xlnm._FilterDatabase" localSheetId="7" hidden="1">'APAGADOS RADIO'!$A$3:$AG$369</definedName>
    <definedName name="_xlnm._FilterDatabase" localSheetId="3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4" l="1"/>
  <c r="G4" i="14"/>
  <c r="E42" i="14"/>
  <c r="E43" i="14"/>
  <c r="E44" i="14"/>
  <c r="E45" i="14"/>
  <c r="E46" i="14"/>
  <c r="E47" i="14"/>
  <c r="E48" i="14"/>
  <c r="E49" i="14"/>
  <c r="E50" i="14"/>
  <c r="E51" i="14"/>
  <c r="E52" i="14"/>
  <c r="E53" i="14"/>
  <c r="E54" i="14"/>
  <c r="E55" i="14"/>
  <c r="E56" i="14"/>
  <c r="E57" i="14"/>
  <c r="E58" i="14"/>
  <c r="E59" i="14"/>
  <c r="E60" i="14"/>
  <c r="E41" i="14"/>
  <c r="N377" i="2" l="1"/>
  <c r="M377" i="2"/>
  <c r="L377" i="2"/>
  <c r="M376" i="2"/>
  <c r="L376" i="2"/>
  <c r="N376" i="2" s="1"/>
  <c r="M375" i="2"/>
  <c r="L375" i="2"/>
  <c r="N375" i="2" s="1"/>
  <c r="M374" i="2"/>
  <c r="L374" i="2"/>
  <c r="N374" i="2" s="1"/>
  <c r="M373" i="2"/>
  <c r="L373" i="2"/>
  <c r="N373" i="2" s="1"/>
  <c r="M247" i="2"/>
  <c r="M248" i="2"/>
  <c r="M249" i="2"/>
  <c r="M250" i="2"/>
  <c r="M251" i="2"/>
  <c r="M252" i="2"/>
  <c r="M253" i="2"/>
  <c r="M254" i="2"/>
  <c r="N254" i="2" s="1"/>
  <c r="M255" i="2"/>
  <c r="N255" i="2" s="1"/>
  <c r="M256" i="2"/>
  <c r="M257" i="2"/>
  <c r="M258" i="2"/>
  <c r="M259" i="2"/>
  <c r="M260" i="2"/>
  <c r="M261" i="2"/>
  <c r="M262" i="2"/>
  <c r="M263" i="2"/>
  <c r="N263" i="2" s="1"/>
  <c r="M264" i="2"/>
  <c r="M265" i="2"/>
  <c r="M266" i="2"/>
  <c r="M267" i="2"/>
  <c r="M268" i="2"/>
  <c r="N268" i="2" s="1"/>
  <c r="M269" i="2"/>
  <c r="M270" i="2"/>
  <c r="N270" i="2" s="1"/>
  <c r="M271" i="2"/>
  <c r="N271" i="2" s="1"/>
  <c r="M272" i="2"/>
  <c r="M273" i="2"/>
  <c r="M274" i="2"/>
  <c r="M275" i="2"/>
  <c r="M276" i="2"/>
  <c r="N276" i="2" s="1"/>
  <c r="M277" i="2"/>
  <c r="M278" i="2"/>
  <c r="N278" i="2" s="1"/>
  <c r="M279" i="2"/>
  <c r="M280" i="2"/>
  <c r="M281" i="2"/>
  <c r="M282" i="2"/>
  <c r="M283" i="2"/>
  <c r="M284" i="2"/>
  <c r="M285" i="2"/>
  <c r="M286" i="2"/>
  <c r="N286" i="2" s="1"/>
  <c r="M287" i="2"/>
  <c r="N287" i="2" s="1"/>
  <c r="M288" i="2"/>
  <c r="M289" i="2"/>
  <c r="M290" i="2"/>
  <c r="M291" i="2"/>
  <c r="M292" i="2"/>
  <c r="M293" i="2"/>
  <c r="M294" i="2"/>
  <c r="M295" i="2"/>
  <c r="N295" i="2" s="1"/>
  <c r="M296" i="2"/>
  <c r="M297" i="2"/>
  <c r="M298" i="2"/>
  <c r="M299" i="2"/>
  <c r="M300" i="2"/>
  <c r="N300" i="2" s="1"/>
  <c r="M301" i="2"/>
  <c r="M302" i="2"/>
  <c r="N302" i="2" s="1"/>
  <c r="M303" i="2"/>
  <c r="M304" i="2"/>
  <c r="M305" i="2"/>
  <c r="M306" i="2"/>
  <c r="M307" i="2"/>
  <c r="M308" i="2"/>
  <c r="N308" i="2" s="1"/>
  <c r="M309" i="2"/>
  <c r="M310" i="2"/>
  <c r="M311" i="2"/>
  <c r="N311" i="2" s="1"/>
  <c r="M312" i="2"/>
  <c r="M313" i="2"/>
  <c r="M314" i="2"/>
  <c r="M315" i="2"/>
  <c r="M316" i="2"/>
  <c r="N316" i="2" s="1"/>
  <c r="M317" i="2"/>
  <c r="M318" i="2"/>
  <c r="N318" i="2" s="1"/>
  <c r="M319" i="2"/>
  <c r="N319" i="2" s="1"/>
  <c r="M320" i="2"/>
  <c r="M321" i="2"/>
  <c r="M322" i="2"/>
  <c r="M323" i="2"/>
  <c r="M324" i="2"/>
  <c r="M325" i="2"/>
  <c r="M326" i="2"/>
  <c r="N326" i="2" s="1"/>
  <c r="M327" i="2"/>
  <c r="M328" i="2"/>
  <c r="M329" i="2"/>
  <c r="M330" i="2"/>
  <c r="M331" i="2"/>
  <c r="M332" i="2"/>
  <c r="N332" i="2" s="1"/>
  <c r="M333" i="2"/>
  <c r="M334" i="2"/>
  <c r="M335" i="2"/>
  <c r="N335" i="2" s="1"/>
  <c r="M336" i="2"/>
  <c r="M337" i="2"/>
  <c r="M338" i="2"/>
  <c r="M339" i="2"/>
  <c r="M340" i="2"/>
  <c r="N340" i="2" s="1"/>
  <c r="M341" i="2"/>
  <c r="M342" i="2"/>
  <c r="N342" i="2" s="1"/>
  <c r="M343" i="2"/>
  <c r="M344" i="2"/>
  <c r="M345" i="2"/>
  <c r="M346" i="2"/>
  <c r="M347" i="2"/>
  <c r="M348" i="2"/>
  <c r="N348" i="2" s="1"/>
  <c r="M349" i="2"/>
  <c r="M350" i="2"/>
  <c r="N350" i="2" s="1"/>
  <c r="M351" i="2"/>
  <c r="N351" i="2" s="1"/>
  <c r="M352" i="2"/>
  <c r="M353" i="2"/>
  <c r="M354" i="2"/>
  <c r="M355" i="2"/>
  <c r="M356" i="2"/>
  <c r="N356" i="2" s="1"/>
  <c r="M357" i="2"/>
  <c r="M358" i="2"/>
  <c r="N358" i="2" s="1"/>
  <c r="M359" i="2"/>
  <c r="N359" i="2" s="1"/>
  <c r="M360" i="2"/>
  <c r="M361" i="2"/>
  <c r="M362" i="2"/>
  <c r="M363" i="2"/>
  <c r="M364" i="2"/>
  <c r="N364" i="2" s="1"/>
  <c r="M365" i="2"/>
  <c r="M366" i="2"/>
  <c r="N366" i="2" s="1"/>
  <c r="M367" i="2"/>
  <c r="N367" i="2" s="1"/>
  <c r="M368" i="2"/>
  <c r="M369" i="2"/>
  <c r="M370" i="2"/>
  <c r="M371" i="2"/>
  <c r="M372" i="2"/>
  <c r="N372" i="2" s="1"/>
  <c r="N248" i="2"/>
  <c r="N249" i="2"/>
  <c r="N250" i="2"/>
  <c r="N251" i="2"/>
  <c r="N252" i="2"/>
  <c r="N253" i="2"/>
  <c r="N256" i="2"/>
  <c r="N257" i="2"/>
  <c r="N259" i="2"/>
  <c r="N260" i="2"/>
  <c r="N264" i="2"/>
  <c r="N265" i="2"/>
  <c r="N266" i="2"/>
  <c r="N267" i="2"/>
  <c r="N269" i="2"/>
  <c r="N273" i="2"/>
  <c r="N274" i="2"/>
  <c r="N275" i="2"/>
  <c r="N277" i="2"/>
  <c r="N280" i="2"/>
  <c r="N288" i="2"/>
  <c r="N290" i="2"/>
  <c r="N298" i="2"/>
  <c r="N299" i="2"/>
  <c r="N301" i="2"/>
  <c r="N304" i="2"/>
  <c r="N305" i="2"/>
  <c r="N306" i="2"/>
  <c r="N307" i="2"/>
  <c r="N312" i="2"/>
  <c r="N313" i="2"/>
  <c r="N314" i="2"/>
  <c r="N315" i="2"/>
  <c r="N317" i="2"/>
  <c r="N320" i="2"/>
  <c r="N322" i="2"/>
  <c r="N323" i="2"/>
  <c r="N328" i="2"/>
  <c r="N329" i="2"/>
  <c r="N330" i="2"/>
  <c r="N331" i="2"/>
  <c r="N336" i="2"/>
  <c r="N337" i="2"/>
  <c r="N338" i="2"/>
  <c r="N341" i="2"/>
  <c r="N344" i="2"/>
  <c r="N345" i="2"/>
  <c r="N346" i="2"/>
  <c r="N347" i="2"/>
  <c r="N349" i="2"/>
  <c r="N353" i="2"/>
  <c r="N354" i="2"/>
  <c r="N357" i="2"/>
  <c r="N360" i="2"/>
  <c r="N361" i="2"/>
  <c r="N362" i="2"/>
  <c r="N365" i="2"/>
  <c r="N368" i="2"/>
  <c r="N369" i="2"/>
  <c r="N370" i="2"/>
  <c r="N371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N258" i="2" s="1"/>
  <c r="L259" i="2"/>
  <c r="L260" i="2"/>
  <c r="L261" i="2"/>
  <c r="N261" i="2" s="1"/>
  <c r="L262" i="2"/>
  <c r="L263" i="2"/>
  <c r="L264" i="2"/>
  <c r="L265" i="2"/>
  <c r="L266" i="2"/>
  <c r="L267" i="2"/>
  <c r="L268" i="2"/>
  <c r="L269" i="2"/>
  <c r="L270" i="2"/>
  <c r="L271" i="2"/>
  <c r="L272" i="2"/>
  <c r="N272" i="2" s="1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N285" i="2" s="1"/>
  <c r="L286" i="2"/>
  <c r="L287" i="2"/>
  <c r="L288" i="2"/>
  <c r="L289" i="2"/>
  <c r="L290" i="2"/>
  <c r="L291" i="2"/>
  <c r="L292" i="2"/>
  <c r="L293" i="2"/>
  <c r="L294" i="2"/>
  <c r="L295" i="2"/>
  <c r="L296" i="2"/>
  <c r="L297" i="2"/>
  <c r="N297" i="2" s="1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N321" i="2" s="1"/>
  <c r="L322" i="2"/>
  <c r="L323" i="2"/>
  <c r="L324" i="2"/>
  <c r="L325" i="2"/>
  <c r="L326" i="2"/>
  <c r="L327" i="2"/>
  <c r="L328" i="2"/>
  <c r="L329" i="2"/>
  <c r="L330" i="2"/>
  <c r="L331" i="2"/>
  <c r="L332" i="2"/>
  <c r="L333" i="2"/>
  <c r="N333" i="2" s="1"/>
  <c r="L334" i="2"/>
  <c r="L335" i="2"/>
  <c r="L336" i="2"/>
  <c r="L337" i="2"/>
  <c r="L338" i="2"/>
  <c r="L339" i="2"/>
  <c r="N339" i="2" s="1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M245" i="2"/>
  <c r="M246" i="2"/>
  <c r="L245" i="2"/>
  <c r="L246" i="2"/>
  <c r="AJ232" i="21"/>
  <c r="AJ264" i="21"/>
  <c r="AJ296" i="21"/>
  <c r="AJ328" i="21"/>
  <c r="AJ360" i="21"/>
  <c r="AJ226" i="10"/>
  <c r="AJ192" i="10"/>
  <c r="AJ160" i="10"/>
  <c r="AJ152" i="10"/>
  <c r="AJ123" i="10"/>
  <c r="AJ119" i="10"/>
  <c r="AI94" i="10"/>
  <c r="AJ90" i="10"/>
  <c r="AJ82" i="10"/>
  <c r="AJ78" i="10"/>
  <c r="AJ74" i="10"/>
  <c r="AJ70" i="10"/>
  <c r="AJ66" i="10"/>
  <c r="AJ62" i="10"/>
  <c r="AI59" i="10"/>
  <c r="AJ35" i="10"/>
  <c r="AJ32" i="10"/>
  <c r="AJ27" i="10"/>
  <c r="AJ18" i="10"/>
  <c r="AJ17" i="10"/>
  <c r="AH2" i="8"/>
  <c r="AI2" i="8"/>
  <c r="AJ2" i="8"/>
  <c r="AH3" i="8"/>
  <c r="AI3" i="8"/>
  <c r="AJ3" i="8"/>
  <c r="AH4" i="8"/>
  <c r="AI4" i="8"/>
  <c r="AJ4" i="8"/>
  <c r="AH5" i="8"/>
  <c r="AI5" i="8"/>
  <c r="AJ5" i="8"/>
  <c r="AH6" i="8"/>
  <c r="AI6" i="8"/>
  <c r="AJ6" i="8"/>
  <c r="AH7" i="8"/>
  <c r="AI7" i="8"/>
  <c r="AJ7" i="8"/>
  <c r="AH8" i="8"/>
  <c r="AH10" i="10" s="1"/>
  <c r="AI8" i="8"/>
  <c r="AI10" i="10" s="1"/>
  <c r="AJ8" i="8"/>
  <c r="AH9" i="8"/>
  <c r="AI9" i="8"/>
  <c r="AJ9" i="8"/>
  <c r="AH10" i="8"/>
  <c r="AH12" i="10" s="1"/>
  <c r="AI10" i="8"/>
  <c r="AJ10" i="8"/>
  <c r="AJ12" i="10" s="1"/>
  <c r="AH11" i="8"/>
  <c r="AI11" i="8"/>
  <c r="AI13" i="10" s="1"/>
  <c r="AJ11" i="8"/>
  <c r="AJ13" i="10" s="1"/>
  <c r="AH12" i="8"/>
  <c r="AI12" i="8"/>
  <c r="AJ12" i="8"/>
  <c r="AH13" i="8"/>
  <c r="AI13" i="8"/>
  <c r="AJ13" i="8"/>
  <c r="AH14" i="8"/>
  <c r="AI14" i="8"/>
  <c r="AI16" i="10" s="1"/>
  <c r="AJ14" i="8"/>
  <c r="AH15" i="8"/>
  <c r="AH17" i="10" s="1"/>
  <c r="AI15" i="8"/>
  <c r="AJ15" i="8"/>
  <c r="AH16" i="8"/>
  <c r="AI16" i="8"/>
  <c r="AJ16" i="8"/>
  <c r="AH17" i="8"/>
  <c r="AI17" i="8"/>
  <c r="AJ17" i="8"/>
  <c r="AH18" i="8"/>
  <c r="AH20" i="10" s="1"/>
  <c r="AI18" i="8"/>
  <c r="AJ18" i="8"/>
  <c r="AJ20" i="10" s="1"/>
  <c r="AH19" i="8"/>
  <c r="AI19" i="8"/>
  <c r="AI21" i="10" s="1"/>
  <c r="AJ19" i="8"/>
  <c r="AJ21" i="10" s="1"/>
  <c r="AH20" i="8"/>
  <c r="AI20" i="8"/>
  <c r="AJ20" i="8"/>
  <c r="AH21" i="8"/>
  <c r="AI21" i="8"/>
  <c r="AJ21" i="8"/>
  <c r="AH22" i="8"/>
  <c r="AI22" i="8"/>
  <c r="AJ22" i="8"/>
  <c r="AH23" i="8"/>
  <c r="AI23" i="8"/>
  <c r="AJ23" i="8"/>
  <c r="AH24" i="8"/>
  <c r="AI24" i="8"/>
  <c r="AJ24" i="8"/>
  <c r="AH25" i="8"/>
  <c r="AI25" i="8"/>
  <c r="AJ25" i="8"/>
  <c r="AH26" i="8"/>
  <c r="AI26" i="8"/>
  <c r="AJ26" i="8"/>
  <c r="AH27" i="8"/>
  <c r="AH29" i="21" s="1"/>
  <c r="AI27" i="8"/>
  <c r="AJ27" i="8"/>
  <c r="AH28" i="8"/>
  <c r="AI28" i="8"/>
  <c r="AJ28" i="8"/>
  <c r="AH29" i="8"/>
  <c r="AI29" i="8"/>
  <c r="AI31" i="11" s="1"/>
  <c r="AJ29" i="8"/>
  <c r="AH30" i="8"/>
  <c r="AH32" i="21" s="1"/>
  <c r="AI30" i="8"/>
  <c r="AJ30" i="8"/>
  <c r="AH31" i="8"/>
  <c r="AH33" i="10" s="1"/>
  <c r="AI31" i="8"/>
  <c r="AI33" i="10" s="1"/>
  <c r="AJ31" i="8"/>
  <c r="AH32" i="8"/>
  <c r="AI32" i="8"/>
  <c r="AI34" i="10" s="1"/>
  <c r="AJ32" i="8"/>
  <c r="AJ34" i="10" s="1"/>
  <c r="AH33" i="8"/>
  <c r="AH35" i="10" s="1"/>
  <c r="AI33" i="8"/>
  <c r="AJ33" i="8"/>
  <c r="AH34" i="8"/>
  <c r="AI34" i="8"/>
  <c r="AJ34" i="8"/>
  <c r="AH35" i="8"/>
  <c r="AH37" i="10" s="1"/>
  <c r="AI35" i="8"/>
  <c r="AI37" i="10" s="1"/>
  <c r="AJ35" i="8"/>
  <c r="AJ37" i="10" s="1"/>
  <c r="AH36" i="8"/>
  <c r="AH38" i="10" s="1"/>
  <c r="AI36" i="8"/>
  <c r="AJ36" i="8"/>
  <c r="AH37" i="8"/>
  <c r="AI37" i="8"/>
  <c r="AJ37" i="8"/>
  <c r="AH38" i="8"/>
  <c r="AH40" i="10" s="1"/>
  <c r="AI38" i="8"/>
  <c r="AI40" i="10" s="1"/>
  <c r="AJ38" i="8"/>
  <c r="AJ40" i="10" s="1"/>
  <c r="AH39" i="8"/>
  <c r="AH41" i="10" s="1"/>
  <c r="AI39" i="8"/>
  <c r="AJ39" i="8"/>
  <c r="AH40" i="8"/>
  <c r="AI40" i="8"/>
  <c r="AI42" i="10" s="1"/>
  <c r="AJ40" i="8"/>
  <c r="AJ42" i="10" s="1"/>
  <c r="AH41" i="8"/>
  <c r="AH43" i="10" s="1"/>
  <c r="AI41" i="8"/>
  <c r="AI43" i="10" s="1"/>
  <c r="AJ41" i="8"/>
  <c r="AH42" i="8"/>
  <c r="AI42" i="8"/>
  <c r="AI44" i="10" s="1"/>
  <c r="AJ42" i="8"/>
  <c r="AJ44" i="10" s="1"/>
  <c r="AH43" i="8"/>
  <c r="AI43" i="8"/>
  <c r="AI45" i="10" s="1"/>
  <c r="AJ43" i="8"/>
  <c r="AJ45" i="10" s="1"/>
  <c r="AH44" i="8"/>
  <c r="AH46" i="10" s="1"/>
  <c r="AI44" i="8"/>
  <c r="AJ44" i="8"/>
  <c r="AH45" i="8"/>
  <c r="AI45" i="8"/>
  <c r="AJ45" i="8"/>
  <c r="AH46" i="8"/>
  <c r="AI46" i="8"/>
  <c r="AI48" i="10" s="1"/>
  <c r="AJ46" i="8"/>
  <c r="AJ48" i="10" s="1"/>
  <c r="AH47" i="8"/>
  <c r="AH49" i="10" s="1"/>
  <c r="AI47" i="8"/>
  <c r="AJ47" i="8"/>
  <c r="AH48" i="8"/>
  <c r="AI48" i="8"/>
  <c r="AI50" i="10" s="1"/>
  <c r="AJ48" i="8"/>
  <c r="AJ50" i="10" s="1"/>
  <c r="AH49" i="8"/>
  <c r="AH51" i="10" s="1"/>
  <c r="AI49" i="8"/>
  <c r="AJ49" i="8"/>
  <c r="AH50" i="8"/>
  <c r="AI50" i="8"/>
  <c r="AJ50" i="8"/>
  <c r="AH51" i="8"/>
  <c r="AI51" i="8"/>
  <c r="AI53" i="10" s="1"/>
  <c r="AJ51" i="8"/>
  <c r="AJ53" i="10" s="1"/>
  <c r="AH52" i="8"/>
  <c r="AI52" i="8"/>
  <c r="AI54" i="10" s="1"/>
  <c r="AJ52" i="8"/>
  <c r="AH53" i="8"/>
  <c r="AI53" i="8"/>
  <c r="AI55" i="10" s="1"/>
  <c r="AJ53" i="8"/>
  <c r="AJ55" i="10" s="1"/>
  <c r="AH54" i="8"/>
  <c r="AI54" i="8"/>
  <c r="AJ54" i="8"/>
  <c r="AH55" i="8"/>
  <c r="AI55" i="8"/>
  <c r="AJ55" i="8"/>
  <c r="AH56" i="8"/>
  <c r="AI56" i="8"/>
  <c r="AI58" i="10" s="1"/>
  <c r="AJ56" i="8"/>
  <c r="AH57" i="8"/>
  <c r="AH59" i="10" s="1"/>
  <c r="AI57" i="8"/>
  <c r="AJ57" i="8"/>
  <c r="AJ59" i="10" s="1"/>
  <c r="AH58" i="8"/>
  <c r="AI58" i="8"/>
  <c r="AJ58" i="8"/>
  <c r="AJ60" i="10" s="1"/>
  <c r="AH59" i="8"/>
  <c r="AH61" i="21" s="1"/>
  <c r="AI59" i="8"/>
  <c r="AI61" i="10" s="1"/>
  <c r="AJ59" i="8"/>
  <c r="AH60" i="8"/>
  <c r="AH62" i="10" s="1"/>
  <c r="AI60" i="8"/>
  <c r="AJ60" i="8"/>
  <c r="AH61" i="8"/>
  <c r="AI61" i="8"/>
  <c r="AI63" i="11" s="1"/>
  <c r="AJ61" i="8"/>
  <c r="AJ63" i="10" s="1"/>
  <c r="AH62" i="8"/>
  <c r="AI62" i="8"/>
  <c r="AI64" i="10" s="1"/>
  <c r="AJ62" i="8"/>
  <c r="AH63" i="8"/>
  <c r="AH65" i="10" s="1"/>
  <c r="AI63" i="8"/>
  <c r="AJ63" i="8"/>
  <c r="AH64" i="8"/>
  <c r="AI64" i="8"/>
  <c r="AJ64" i="8"/>
  <c r="AH65" i="8"/>
  <c r="AH67" i="10" s="1"/>
  <c r="AI65" i="8"/>
  <c r="AI67" i="10" s="1"/>
  <c r="AJ65" i="8"/>
  <c r="AJ67" i="10" s="1"/>
  <c r="AH66" i="8"/>
  <c r="AH68" i="10" s="1"/>
  <c r="AI66" i="8"/>
  <c r="AJ66" i="8"/>
  <c r="AJ68" i="10" s="1"/>
  <c r="AH67" i="8"/>
  <c r="AI67" i="8"/>
  <c r="AI69" i="10" s="1"/>
  <c r="AJ67" i="8"/>
  <c r="AH68" i="8"/>
  <c r="AH70" i="10" s="1"/>
  <c r="AI68" i="8"/>
  <c r="AJ68" i="8"/>
  <c r="AH69" i="8"/>
  <c r="AI69" i="8"/>
  <c r="AI71" i="10" s="1"/>
  <c r="AJ69" i="8"/>
  <c r="AJ71" i="10" s="1"/>
  <c r="AH70" i="8"/>
  <c r="AI70" i="8"/>
  <c r="AI72" i="10" s="1"/>
  <c r="AJ70" i="8"/>
  <c r="AH71" i="8"/>
  <c r="AI71" i="8"/>
  <c r="AJ71" i="8"/>
  <c r="AH72" i="8"/>
  <c r="AI72" i="8"/>
  <c r="AJ72" i="8"/>
  <c r="AH73" i="8"/>
  <c r="AH75" i="10" s="1"/>
  <c r="AI73" i="8"/>
  <c r="AI75" i="10" s="1"/>
  <c r="AJ73" i="8"/>
  <c r="AJ75" i="10" s="1"/>
  <c r="AH74" i="8"/>
  <c r="AI74" i="8"/>
  <c r="AJ74" i="8"/>
  <c r="AJ76" i="10" s="1"/>
  <c r="AH75" i="8"/>
  <c r="AI75" i="8"/>
  <c r="AI77" i="10" s="1"/>
  <c r="AJ75" i="8"/>
  <c r="AH76" i="8"/>
  <c r="AH78" i="10" s="1"/>
  <c r="AI76" i="8"/>
  <c r="AJ76" i="8"/>
  <c r="AH77" i="8"/>
  <c r="AI77" i="8"/>
  <c r="AJ77" i="8"/>
  <c r="AJ79" i="10" s="1"/>
  <c r="AH78" i="8"/>
  <c r="AI78" i="8"/>
  <c r="AI80" i="10" s="1"/>
  <c r="AJ78" i="8"/>
  <c r="AH79" i="8"/>
  <c r="AH81" i="10" s="1"/>
  <c r="AI79" i="8"/>
  <c r="AJ79" i="8"/>
  <c r="AH80" i="8"/>
  <c r="AI80" i="8"/>
  <c r="AJ80" i="8"/>
  <c r="AH81" i="8"/>
  <c r="AI81" i="8"/>
  <c r="AJ81" i="8"/>
  <c r="AH82" i="8"/>
  <c r="AI82" i="8"/>
  <c r="AJ82" i="8"/>
  <c r="AH83" i="8"/>
  <c r="AI83" i="8"/>
  <c r="AJ83" i="8"/>
  <c r="AH84" i="8"/>
  <c r="AI84" i="8"/>
  <c r="AJ84" i="8"/>
  <c r="AH85" i="8"/>
  <c r="AH87" i="10" s="1"/>
  <c r="AI85" i="8"/>
  <c r="AI87" i="10" s="1"/>
  <c r="AJ85" i="8"/>
  <c r="AJ87" i="10" s="1"/>
  <c r="AH86" i="8"/>
  <c r="AI86" i="8"/>
  <c r="AI88" i="10" s="1"/>
  <c r="AJ86" i="8"/>
  <c r="AH87" i="8"/>
  <c r="AI87" i="8"/>
  <c r="AJ87" i="8"/>
  <c r="AH88" i="8"/>
  <c r="AH90" i="10" s="1"/>
  <c r="AI88" i="8"/>
  <c r="AJ88" i="8"/>
  <c r="AH89" i="8"/>
  <c r="AI89" i="8"/>
  <c r="AI91" i="10" s="1"/>
  <c r="AJ89" i="8"/>
  <c r="AJ91" i="10" s="1"/>
  <c r="AH90" i="8"/>
  <c r="AI90" i="8"/>
  <c r="AJ90" i="8"/>
  <c r="AJ92" i="10" s="1"/>
  <c r="AH91" i="8"/>
  <c r="AH93" i="21" s="1"/>
  <c r="AI91" i="8"/>
  <c r="AJ91" i="8"/>
  <c r="AH92" i="8"/>
  <c r="AI92" i="8"/>
  <c r="AJ92" i="8"/>
  <c r="AJ94" i="10" s="1"/>
  <c r="AH93" i="8"/>
  <c r="AI93" i="8"/>
  <c r="AI95" i="11" s="1"/>
  <c r="AJ93" i="8"/>
  <c r="AH94" i="8"/>
  <c r="AH96" i="21" s="1"/>
  <c r="AI94" i="8"/>
  <c r="AJ94" i="8"/>
  <c r="AH95" i="8"/>
  <c r="AH97" i="10" s="1"/>
  <c r="AI95" i="8"/>
  <c r="AJ95" i="8"/>
  <c r="AH96" i="8"/>
  <c r="AI96" i="8"/>
  <c r="AI98" i="10" s="1"/>
  <c r="AJ96" i="8"/>
  <c r="AJ98" i="10" s="1"/>
  <c r="AH97" i="8"/>
  <c r="AI97" i="8"/>
  <c r="AJ97" i="8"/>
  <c r="AH98" i="8"/>
  <c r="AI98" i="8"/>
  <c r="AJ98" i="8"/>
  <c r="AH99" i="8"/>
  <c r="AI99" i="8"/>
  <c r="AJ99" i="8"/>
  <c r="AH100" i="8"/>
  <c r="AI100" i="8"/>
  <c r="AJ100" i="8"/>
  <c r="AH101" i="8"/>
  <c r="AI101" i="8"/>
  <c r="AJ101" i="8"/>
  <c r="AH102" i="8"/>
  <c r="AI102" i="8"/>
  <c r="AJ102" i="8"/>
  <c r="AH103" i="8"/>
  <c r="AH105" i="10" s="1"/>
  <c r="AI103" i="8"/>
  <c r="AJ103" i="8"/>
  <c r="AH104" i="8"/>
  <c r="AI104" i="8"/>
  <c r="AI106" i="10" s="1"/>
  <c r="AJ104" i="8"/>
  <c r="AJ106" i="10" s="1"/>
  <c r="AH105" i="8"/>
  <c r="AI105" i="8"/>
  <c r="AI107" i="10" s="1"/>
  <c r="AJ105" i="8"/>
  <c r="AH106" i="8"/>
  <c r="AI106" i="8"/>
  <c r="AJ106" i="8"/>
  <c r="AJ108" i="10" s="1"/>
  <c r="AH107" i="8"/>
  <c r="AI107" i="8"/>
  <c r="AJ107" i="8"/>
  <c r="AH108" i="8"/>
  <c r="AI108" i="8"/>
  <c r="AJ108" i="8"/>
  <c r="AH109" i="8"/>
  <c r="AI109" i="8"/>
  <c r="AJ109" i="8"/>
  <c r="AH110" i="8"/>
  <c r="AI110" i="8"/>
  <c r="AJ110" i="8"/>
  <c r="AH111" i="8"/>
  <c r="AI111" i="8"/>
  <c r="AJ111" i="8"/>
  <c r="AH112" i="8"/>
  <c r="AH114" i="10" s="1"/>
  <c r="AI112" i="8"/>
  <c r="AI114" i="10" s="1"/>
  <c r="AJ112" i="8"/>
  <c r="AH113" i="8"/>
  <c r="AI113" i="8"/>
  <c r="AI115" i="10" s="1"/>
  <c r="AJ113" i="8"/>
  <c r="AJ115" i="10" s="1"/>
  <c r="AH114" i="8"/>
  <c r="AI114" i="8"/>
  <c r="AJ114" i="8"/>
  <c r="AH115" i="8"/>
  <c r="AH117" i="10" s="1"/>
  <c r="AI115" i="8"/>
  <c r="AI117" i="10" s="1"/>
  <c r="AJ115" i="8"/>
  <c r="AJ117" i="10" s="1"/>
  <c r="AH116" i="8"/>
  <c r="AI116" i="8"/>
  <c r="AJ116" i="8"/>
  <c r="AH117" i="8"/>
  <c r="AI117" i="8"/>
  <c r="AJ117" i="8"/>
  <c r="AH118" i="8"/>
  <c r="AI118" i="8"/>
  <c r="AI120" i="10" s="1"/>
  <c r="AJ118" i="8"/>
  <c r="AJ120" i="10" s="1"/>
  <c r="AH119" i="8"/>
  <c r="AI119" i="8"/>
  <c r="AJ119" i="8"/>
  <c r="AH120" i="8"/>
  <c r="AI120" i="8"/>
  <c r="AI122" i="10" s="1"/>
  <c r="AJ120" i="8"/>
  <c r="AH121" i="8"/>
  <c r="AI121" i="8"/>
  <c r="AJ121" i="8"/>
  <c r="AH122" i="8"/>
  <c r="AI122" i="8"/>
  <c r="AJ122" i="8"/>
  <c r="AH123" i="8"/>
  <c r="AH125" i="21" s="1"/>
  <c r="AI123" i="8"/>
  <c r="AJ123" i="8"/>
  <c r="AH124" i="8"/>
  <c r="AI124" i="8"/>
  <c r="AJ124" i="8"/>
  <c r="AH125" i="8"/>
  <c r="AI125" i="8"/>
  <c r="AI127" i="11" s="1"/>
  <c r="AJ125" i="8"/>
  <c r="AH126" i="8"/>
  <c r="AH128" i="21" s="1"/>
  <c r="AI126" i="8"/>
  <c r="AJ126" i="8"/>
  <c r="AH127" i="8"/>
  <c r="AI127" i="8"/>
  <c r="AJ127" i="8"/>
  <c r="AH128" i="8"/>
  <c r="AI128" i="8"/>
  <c r="AJ128" i="8"/>
  <c r="AH129" i="8"/>
  <c r="AI129" i="8"/>
  <c r="AJ129" i="8"/>
  <c r="AH130" i="8"/>
  <c r="AI130" i="8"/>
  <c r="AJ130" i="8"/>
  <c r="AH131" i="8"/>
  <c r="AI131" i="8"/>
  <c r="AJ131" i="8"/>
  <c r="AH132" i="8"/>
  <c r="AI132" i="8"/>
  <c r="AJ132" i="8"/>
  <c r="AH133" i="8"/>
  <c r="AI133" i="8"/>
  <c r="AJ133" i="8"/>
  <c r="AH134" i="8"/>
  <c r="AI134" i="8"/>
  <c r="AI136" i="10" s="1"/>
  <c r="AJ134" i="8"/>
  <c r="AJ136" i="10" s="1"/>
  <c r="AH135" i="8"/>
  <c r="AI135" i="8"/>
  <c r="AJ135" i="8"/>
  <c r="AH136" i="8"/>
  <c r="AI136" i="8"/>
  <c r="AJ136" i="8"/>
  <c r="AH137" i="8"/>
  <c r="AI137" i="8"/>
  <c r="AJ137" i="8"/>
  <c r="AH138" i="8"/>
  <c r="AI138" i="8"/>
  <c r="AJ138" i="8"/>
  <c r="AH139" i="8"/>
  <c r="AI139" i="8"/>
  <c r="AJ139" i="8"/>
  <c r="AH140" i="8"/>
  <c r="AI140" i="8"/>
  <c r="AJ140" i="8"/>
  <c r="AH141" i="8"/>
  <c r="AI141" i="8"/>
  <c r="AJ141" i="8"/>
  <c r="AH142" i="8"/>
  <c r="AI142" i="8"/>
  <c r="AJ142" i="8"/>
  <c r="AH143" i="8"/>
  <c r="AI143" i="8"/>
  <c r="AJ143" i="8"/>
  <c r="AH144" i="8"/>
  <c r="AI144" i="8"/>
  <c r="AI146" i="10" s="1"/>
  <c r="AJ144" i="8"/>
  <c r="AJ146" i="10" s="1"/>
  <c r="AH145" i="8"/>
  <c r="AI145" i="8"/>
  <c r="AJ145" i="8"/>
  <c r="AH146" i="8"/>
  <c r="AH148" i="10" s="1"/>
  <c r="AI146" i="8"/>
  <c r="AJ146" i="8"/>
  <c r="AJ148" i="10" s="1"/>
  <c r="AH147" i="8"/>
  <c r="AI147" i="8"/>
  <c r="AI149" i="10" s="1"/>
  <c r="AJ147" i="8"/>
  <c r="AJ149" i="10" s="1"/>
  <c r="AH148" i="8"/>
  <c r="AI148" i="8"/>
  <c r="AJ148" i="8"/>
  <c r="AH149" i="8"/>
  <c r="AI149" i="8"/>
  <c r="AI151" i="10" s="1"/>
  <c r="AJ149" i="8"/>
  <c r="AJ151" i="10" s="1"/>
  <c r="AH150" i="8"/>
  <c r="AI150" i="8"/>
  <c r="AJ150" i="8"/>
  <c r="AH151" i="8"/>
  <c r="AI151" i="8"/>
  <c r="AI153" i="10" s="1"/>
  <c r="AJ151" i="8"/>
  <c r="AH152" i="8"/>
  <c r="AH154" i="10" s="1"/>
  <c r="AI152" i="8"/>
  <c r="AI154" i="10" s="1"/>
  <c r="AJ152" i="8"/>
  <c r="AJ154" i="10" s="1"/>
  <c r="AH153" i="8"/>
  <c r="AI153" i="8"/>
  <c r="AJ153" i="8"/>
  <c r="AH154" i="8"/>
  <c r="AI154" i="8"/>
  <c r="AJ154" i="8"/>
  <c r="AH155" i="8"/>
  <c r="AH157" i="21" s="1"/>
  <c r="AI155" i="8"/>
  <c r="AI157" i="10" s="1"/>
  <c r="AJ155" i="8"/>
  <c r="AJ157" i="10" s="1"/>
  <c r="AH156" i="8"/>
  <c r="AI156" i="8"/>
  <c r="AJ156" i="8"/>
  <c r="AH157" i="8"/>
  <c r="AI157" i="8"/>
  <c r="AI159" i="11" s="1"/>
  <c r="AJ157" i="8"/>
  <c r="AJ159" i="10" s="1"/>
  <c r="AH158" i="8"/>
  <c r="AH160" i="21" s="1"/>
  <c r="AI158" i="8"/>
  <c r="AJ158" i="8"/>
  <c r="AH159" i="8"/>
  <c r="AI159" i="8"/>
  <c r="AI161" i="10" s="1"/>
  <c r="AJ159" i="8"/>
  <c r="AH160" i="8"/>
  <c r="AI160" i="8"/>
  <c r="AJ160" i="8"/>
  <c r="AJ162" i="10" s="1"/>
  <c r="AH161" i="8"/>
  <c r="AI161" i="8"/>
  <c r="AJ161" i="8"/>
  <c r="AH162" i="8"/>
  <c r="AI162" i="8"/>
  <c r="AJ162" i="8"/>
  <c r="AH163" i="8"/>
  <c r="AI163" i="8"/>
  <c r="AJ163" i="8"/>
  <c r="AH164" i="8"/>
  <c r="AI164" i="8"/>
  <c r="AJ164" i="8"/>
  <c r="AH165" i="8"/>
  <c r="AH167" i="10" s="1"/>
  <c r="AI165" i="8"/>
  <c r="AJ165" i="8"/>
  <c r="AH166" i="8"/>
  <c r="AI166" i="8"/>
  <c r="AJ166" i="8"/>
  <c r="AH167" i="8"/>
  <c r="AI167" i="8"/>
  <c r="AJ167" i="8"/>
  <c r="AH168" i="8"/>
  <c r="AH170" i="10" s="1"/>
  <c r="AI168" i="8"/>
  <c r="AJ168" i="8"/>
  <c r="AH169" i="8"/>
  <c r="AI169" i="8"/>
  <c r="AJ169" i="8"/>
  <c r="AH170" i="8"/>
  <c r="AI170" i="8"/>
  <c r="AJ170" i="8"/>
  <c r="AJ172" i="10" s="1"/>
  <c r="AH171" i="8"/>
  <c r="AI171" i="8"/>
  <c r="AJ171" i="8"/>
  <c r="AH172" i="8"/>
  <c r="AI172" i="8"/>
  <c r="AJ172" i="8"/>
  <c r="AH173" i="8"/>
  <c r="AI173" i="8"/>
  <c r="AJ173" i="8"/>
  <c r="AH174" i="8"/>
  <c r="AI174" i="8"/>
  <c r="AJ174" i="8"/>
  <c r="AH175" i="8"/>
  <c r="AI175" i="8"/>
  <c r="AJ175" i="8"/>
  <c r="AH176" i="8"/>
  <c r="AI176" i="8"/>
  <c r="AJ176" i="8"/>
  <c r="AH177" i="8"/>
  <c r="AH179" i="10" s="1"/>
  <c r="AI177" i="8"/>
  <c r="AJ177" i="8"/>
  <c r="AH178" i="8"/>
  <c r="AI178" i="8"/>
  <c r="AJ178" i="8"/>
  <c r="AH179" i="8"/>
  <c r="AI179" i="8"/>
  <c r="AJ179" i="8"/>
  <c r="AH180" i="8"/>
  <c r="AI180" i="8"/>
  <c r="AJ180" i="8"/>
  <c r="AH181" i="8"/>
  <c r="AI181" i="8"/>
  <c r="AJ181" i="8"/>
  <c r="AH182" i="8"/>
  <c r="AI182" i="8"/>
  <c r="AJ182" i="8"/>
  <c r="AH183" i="8"/>
  <c r="AI183" i="8"/>
  <c r="AJ183" i="8"/>
  <c r="AH184" i="8"/>
  <c r="AI184" i="8"/>
  <c r="AJ184" i="8"/>
  <c r="AH185" i="8"/>
  <c r="AI185" i="8"/>
  <c r="AJ185" i="8"/>
  <c r="AH186" i="8"/>
  <c r="AH188" i="10" s="1"/>
  <c r="AI186" i="8"/>
  <c r="AJ186" i="8"/>
  <c r="AH187" i="8"/>
  <c r="AI187" i="8"/>
  <c r="AJ187" i="8"/>
  <c r="AH188" i="8"/>
  <c r="AI188" i="8"/>
  <c r="AJ188" i="8"/>
  <c r="AH189" i="8"/>
  <c r="AH191" i="10" s="1"/>
  <c r="AI189" i="8"/>
  <c r="AI191" i="21" s="1"/>
  <c r="AJ189" i="8"/>
  <c r="AH190" i="8"/>
  <c r="AI190" i="8"/>
  <c r="AJ190" i="8"/>
  <c r="AH191" i="8"/>
  <c r="AI191" i="8"/>
  <c r="AJ191" i="8"/>
  <c r="AH192" i="8"/>
  <c r="AI192" i="8"/>
  <c r="AJ192" i="8"/>
  <c r="AH193" i="8"/>
  <c r="AI193" i="8"/>
  <c r="AJ193" i="8"/>
  <c r="AH194" i="8"/>
  <c r="AI194" i="8"/>
  <c r="AJ194" i="8"/>
  <c r="AH195" i="8"/>
  <c r="AI195" i="8"/>
  <c r="AJ195" i="8"/>
  <c r="AH196" i="8"/>
  <c r="AI196" i="8"/>
  <c r="AJ196" i="8"/>
  <c r="AH197" i="8"/>
  <c r="AI197" i="8"/>
  <c r="AJ197" i="8"/>
  <c r="AH198" i="8"/>
  <c r="AI198" i="8"/>
  <c r="AJ198" i="8"/>
  <c r="AJ200" i="10" s="1"/>
  <c r="AH199" i="8"/>
  <c r="AI199" i="8"/>
  <c r="AJ199" i="8"/>
  <c r="AH200" i="8"/>
  <c r="AI200" i="8"/>
  <c r="AJ200" i="8"/>
  <c r="AH201" i="8"/>
  <c r="AI201" i="8"/>
  <c r="AJ201" i="8"/>
  <c r="AH202" i="8"/>
  <c r="AI202" i="8"/>
  <c r="AJ202" i="8"/>
  <c r="AJ204" i="10" s="1"/>
  <c r="AH203" i="8"/>
  <c r="AI203" i="8"/>
  <c r="AJ203" i="8"/>
  <c r="AH204" i="8"/>
  <c r="AI204" i="8"/>
  <c r="AJ204" i="8"/>
  <c r="AH205" i="8"/>
  <c r="AI205" i="8"/>
  <c r="AJ205" i="8"/>
  <c r="AH206" i="8"/>
  <c r="AI206" i="8"/>
  <c r="AJ206" i="8"/>
  <c r="AH207" i="8"/>
  <c r="AI207" i="8"/>
  <c r="AJ207" i="8"/>
  <c r="AH208" i="8"/>
  <c r="AI208" i="8"/>
  <c r="AJ208" i="8"/>
  <c r="AJ210" i="10" s="1"/>
  <c r="AH209" i="8"/>
  <c r="AI209" i="8"/>
  <c r="AJ209" i="8"/>
  <c r="AH210" i="8"/>
  <c r="AI210" i="8"/>
  <c r="AJ210" i="8"/>
  <c r="AJ212" i="21" s="1"/>
  <c r="AH211" i="8"/>
  <c r="AI211" i="8"/>
  <c r="AJ211" i="8"/>
  <c r="AH212" i="8"/>
  <c r="AH214" i="10" s="1"/>
  <c r="AI212" i="8"/>
  <c r="AJ212" i="8"/>
  <c r="AH213" i="8"/>
  <c r="AI213" i="8"/>
  <c r="AJ213" i="8"/>
  <c r="AH214" i="8"/>
  <c r="AI214" i="8"/>
  <c r="AJ214" i="8"/>
  <c r="AH215" i="8"/>
  <c r="AH217" i="10" s="1"/>
  <c r="AI215" i="8"/>
  <c r="AJ215" i="8"/>
  <c r="AH216" i="8"/>
  <c r="AI216" i="8"/>
  <c r="AJ216" i="8"/>
  <c r="AH217" i="8"/>
  <c r="AI217" i="8"/>
  <c r="AJ217" i="8"/>
  <c r="AH218" i="8"/>
  <c r="AH220" i="10" s="1"/>
  <c r="AI218" i="8"/>
  <c r="AJ218" i="8"/>
  <c r="AH219" i="8"/>
  <c r="AI219" i="8"/>
  <c r="AJ219" i="8"/>
  <c r="AH220" i="8"/>
  <c r="AH222" i="10" s="1"/>
  <c r="AI220" i="8"/>
  <c r="AJ220" i="8"/>
  <c r="AH221" i="8"/>
  <c r="AI221" i="8"/>
  <c r="AJ221" i="8"/>
  <c r="AH222" i="8"/>
  <c r="AH224" i="11" s="1"/>
  <c r="AI222" i="8"/>
  <c r="AJ222" i="8"/>
  <c r="AJ224" i="21" s="1"/>
  <c r="AH223" i="8"/>
  <c r="AH225" i="10" s="1"/>
  <c r="AI223" i="8"/>
  <c r="AJ223" i="8"/>
  <c r="AH224" i="8"/>
  <c r="AI224" i="8"/>
  <c r="AJ224" i="8"/>
  <c r="AH225" i="8"/>
  <c r="AI225" i="8"/>
  <c r="AJ225" i="8"/>
  <c r="AH226" i="8"/>
  <c r="AI226" i="8"/>
  <c r="AJ226" i="8"/>
  <c r="AJ228" i="21" s="1"/>
  <c r="AH227" i="8"/>
  <c r="AI227" i="8"/>
  <c r="AJ227" i="8"/>
  <c r="AH228" i="8"/>
  <c r="AI228" i="8"/>
  <c r="AJ228" i="8"/>
  <c r="AH229" i="8"/>
  <c r="AH231" i="10" s="1"/>
  <c r="AI229" i="8"/>
  <c r="AJ229" i="8"/>
  <c r="AJ231" i="10" s="1"/>
  <c r="AH230" i="8"/>
  <c r="AI230" i="8"/>
  <c r="AJ230" i="8"/>
  <c r="AJ232" i="11" s="1"/>
  <c r="AH231" i="8"/>
  <c r="AI231" i="8"/>
  <c r="AJ231" i="8"/>
  <c r="AH232" i="8"/>
  <c r="AI232" i="8"/>
  <c r="AJ232" i="8"/>
  <c r="AH233" i="8"/>
  <c r="AI233" i="8"/>
  <c r="AJ233" i="8"/>
  <c r="AH234" i="8"/>
  <c r="AI234" i="8"/>
  <c r="AJ234" i="8"/>
  <c r="AH235" i="8"/>
  <c r="AI235" i="8"/>
  <c r="AJ235" i="8"/>
  <c r="AH236" i="8"/>
  <c r="AI236" i="8"/>
  <c r="AJ236" i="8"/>
  <c r="AH237" i="8"/>
  <c r="AH239" i="21" s="1"/>
  <c r="AI237" i="8"/>
  <c r="AJ237" i="8"/>
  <c r="AH238" i="8"/>
  <c r="AI238" i="8"/>
  <c r="AJ238" i="8"/>
  <c r="AH239" i="8"/>
  <c r="AI239" i="8"/>
  <c r="AJ239" i="8"/>
  <c r="AH240" i="8"/>
  <c r="AH242" i="11" s="1"/>
  <c r="AI240" i="8"/>
  <c r="AJ240" i="8"/>
  <c r="AJ242" i="10" s="1"/>
  <c r="AH241" i="8"/>
  <c r="AI241" i="8"/>
  <c r="AJ241" i="8"/>
  <c r="AH242" i="8"/>
  <c r="AI242" i="8"/>
  <c r="AJ242" i="8"/>
  <c r="AH243" i="8"/>
  <c r="AI243" i="8"/>
  <c r="AJ243" i="8"/>
  <c r="AH244" i="8"/>
  <c r="AI244" i="8"/>
  <c r="AJ244" i="8"/>
  <c r="AH245" i="8"/>
  <c r="AI245" i="8"/>
  <c r="AJ245" i="8"/>
  <c r="AH246" i="8"/>
  <c r="AH248" i="11" s="1"/>
  <c r="AI246" i="8"/>
  <c r="AJ246" i="8"/>
  <c r="AJ248" i="11" s="1"/>
  <c r="AH247" i="8"/>
  <c r="AI247" i="8"/>
  <c r="AJ247" i="8"/>
  <c r="AH248" i="8"/>
  <c r="AI248" i="8"/>
  <c r="AI250" i="10" s="1"/>
  <c r="AJ248" i="8"/>
  <c r="AH249" i="8"/>
  <c r="AH251" i="21" s="1"/>
  <c r="AI249" i="8"/>
  <c r="AJ249" i="8"/>
  <c r="AH250" i="8"/>
  <c r="AH252" i="10" s="1"/>
  <c r="AI250" i="8"/>
  <c r="AJ250" i="8"/>
  <c r="AJ252" i="21" s="1"/>
  <c r="AH251" i="8"/>
  <c r="AI251" i="8"/>
  <c r="AJ251" i="8"/>
  <c r="AH252" i="8"/>
  <c r="AI252" i="8"/>
  <c r="AJ252" i="8"/>
  <c r="AH253" i="8"/>
  <c r="AI253" i="8"/>
  <c r="AJ253" i="8"/>
  <c r="AH254" i="8"/>
  <c r="AH256" i="21" s="1"/>
  <c r="AI254" i="8"/>
  <c r="AJ254" i="8"/>
  <c r="AJ256" i="11" s="1"/>
  <c r="AH255" i="8"/>
  <c r="AI255" i="8"/>
  <c r="AJ255" i="8"/>
  <c r="AH256" i="8"/>
  <c r="AI256" i="8"/>
  <c r="AJ256" i="8"/>
  <c r="AH257" i="8"/>
  <c r="AI257" i="8"/>
  <c r="AJ257" i="8"/>
  <c r="AH258" i="8"/>
  <c r="AI258" i="8"/>
  <c r="AJ258" i="8"/>
  <c r="AJ260" i="11" s="1"/>
  <c r="AH259" i="8"/>
  <c r="AI259" i="8"/>
  <c r="AJ259" i="8"/>
  <c r="AH260" i="8"/>
  <c r="AI260" i="8"/>
  <c r="AJ260" i="8"/>
  <c r="AH261" i="8"/>
  <c r="AH263" i="11" s="1"/>
  <c r="AI261" i="8"/>
  <c r="AJ261" i="8"/>
  <c r="AH262" i="8"/>
  <c r="AI262" i="8"/>
  <c r="AJ262" i="8"/>
  <c r="AH263" i="8"/>
  <c r="AI263" i="8"/>
  <c r="AJ263" i="8"/>
  <c r="AH264" i="8"/>
  <c r="AH266" i="11" s="1"/>
  <c r="AI264" i="8"/>
  <c r="AJ264" i="8"/>
  <c r="AH265" i="8"/>
  <c r="AH267" i="10" s="1"/>
  <c r="AI265" i="8"/>
  <c r="AJ265" i="8"/>
  <c r="AH266" i="8"/>
  <c r="AI266" i="8"/>
  <c r="AJ266" i="8"/>
  <c r="AH267" i="8"/>
  <c r="AH269" i="11" s="1"/>
  <c r="AI267" i="8"/>
  <c r="AJ267" i="8"/>
  <c r="AH268" i="8"/>
  <c r="AI268" i="8"/>
  <c r="AJ268" i="8"/>
  <c r="AH269" i="8"/>
  <c r="AI269" i="8"/>
  <c r="AJ269" i="8"/>
  <c r="AH270" i="8"/>
  <c r="AI270" i="8"/>
  <c r="AJ270" i="8"/>
  <c r="AH271" i="8"/>
  <c r="AI271" i="8"/>
  <c r="AJ271" i="8"/>
  <c r="AH272" i="8"/>
  <c r="AI272" i="8"/>
  <c r="AJ272" i="8"/>
  <c r="AH273" i="8"/>
  <c r="AH275" i="11" s="1"/>
  <c r="AI273" i="8"/>
  <c r="AJ273" i="8"/>
  <c r="AH274" i="8"/>
  <c r="AI274" i="8"/>
  <c r="AJ274" i="8"/>
  <c r="AJ276" i="11" s="1"/>
  <c r="AH275" i="8"/>
  <c r="AI275" i="8"/>
  <c r="AJ275" i="8"/>
  <c r="AH276" i="8"/>
  <c r="AI276" i="8"/>
  <c r="AJ276" i="8"/>
  <c r="AH277" i="8"/>
  <c r="AI277" i="8"/>
  <c r="AJ277" i="8"/>
  <c r="AH278" i="8"/>
  <c r="AI278" i="8"/>
  <c r="AJ278" i="8"/>
  <c r="AJ280" i="11" s="1"/>
  <c r="AH279" i="8"/>
  <c r="AI279" i="8"/>
  <c r="AJ279" i="8"/>
  <c r="AH280" i="8"/>
  <c r="AH282" i="10" s="1"/>
  <c r="AI280" i="8"/>
  <c r="AJ280" i="8"/>
  <c r="AH281" i="8"/>
  <c r="AI281" i="8"/>
  <c r="AI283" i="10" s="1"/>
  <c r="AJ281" i="8"/>
  <c r="AH282" i="8"/>
  <c r="AI282" i="8"/>
  <c r="AJ282" i="8"/>
  <c r="AH283" i="8"/>
  <c r="AH285" i="21" s="1"/>
  <c r="AI283" i="8"/>
  <c r="AJ283" i="8"/>
  <c r="AH284" i="8"/>
  <c r="AI284" i="8"/>
  <c r="AJ284" i="8"/>
  <c r="AH285" i="8"/>
  <c r="AI285" i="8"/>
  <c r="AJ285" i="8"/>
  <c r="AH286" i="8"/>
  <c r="AH288" i="21" s="1"/>
  <c r="AI286" i="8"/>
  <c r="AI288" i="10" s="1"/>
  <c r="AJ286" i="8"/>
  <c r="AJ288" i="21" s="1"/>
  <c r="AH287" i="8"/>
  <c r="AI287" i="8"/>
  <c r="AJ287" i="8"/>
  <c r="AH288" i="8"/>
  <c r="AI288" i="8"/>
  <c r="AJ288" i="8"/>
  <c r="AH289" i="8"/>
  <c r="AH291" i="10" s="1"/>
  <c r="AI289" i="8"/>
  <c r="AJ289" i="8"/>
  <c r="AH290" i="8"/>
  <c r="AI290" i="8"/>
  <c r="AJ290" i="8"/>
  <c r="AJ292" i="21" s="1"/>
  <c r="AH291" i="8"/>
  <c r="AI291" i="8"/>
  <c r="AJ291" i="8"/>
  <c r="AH292" i="8"/>
  <c r="AI292" i="8"/>
  <c r="AJ292" i="8"/>
  <c r="AH293" i="8"/>
  <c r="AI293" i="8"/>
  <c r="AJ293" i="8"/>
  <c r="AH294" i="8"/>
  <c r="AI294" i="8"/>
  <c r="AJ294" i="8"/>
  <c r="AJ296" i="11" s="1"/>
  <c r="AH295" i="8"/>
  <c r="AI295" i="8"/>
  <c r="AJ295" i="8"/>
  <c r="AH296" i="8"/>
  <c r="AI296" i="8"/>
  <c r="AJ296" i="8"/>
  <c r="AH297" i="8"/>
  <c r="AH299" i="11" s="1"/>
  <c r="AI297" i="8"/>
  <c r="AJ297" i="8"/>
  <c r="AH298" i="8"/>
  <c r="AI298" i="8"/>
  <c r="AJ298" i="8"/>
  <c r="AJ300" i="11" s="1"/>
  <c r="AH299" i="8"/>
  <c r="AI299" i="8"/>
  <c r="AJ299" i="8"/>
  <c r="AH300" i="8"/>
  <c r="AH302" i="10" s="1"/>
  <c r="AI300" i="8"/>
  <c r="AJ300" i="8"/>
  <c r="AH301" i="8"/>
  <c r="AI301" i="8"/>
  <c r="AJ301" i="8"/>
  <c r="AH302" i="8"/>
  <c r="AI302" i="8"/>
  <c r="AI304" i="10" s="1"/>
  <c r="AJ302" i="8"/>
  <c r="AH303" i="8"/>
  <c r="AH305" i="21" s="1"/>
  <c r="AI303" i="8"/>
  <c r="AJ303" i="8"/>
  <c r="AH304" i="8"/>
  <c r="AI304" i="8"/>
  <c r="AJ304" i="8"/>
  <c r="AH305" i="8"/>
  <c r="AI305" i="8"/>
  <c r="AJ305" i="8"/>
  <c r="AH306" i="8"/>
  <c r="AI306" i="8"/>
  <c r="AJ306" i="8"/>
  <c r="AJ308" i="11" s="1"/>
  <c r="AH307" i="8"/>
  <c r="AI307" i="8"/>
  <c r="AJ307" i="8"/>
  <c r="AH308" i="8"/>
  <c r="AI308" i="8"/>
  <c r="AJ308" i="8"/>
  <c r="AH309" i="8"/>
  <c r="AH311" i="11" s="1"/>
  <c r="AI309" i="8"/>
  <c r="AJ309" i="8"/>
  <c r="AH310" i="8"/>
  <c r="AI310" i="8"/>
  <c r="AJ310" i="8"/>
  <c r="AJ312" i="11" s="1"/>
  <c r="AH311" i="8"/>
  <c r="AI311" i="8"/>
  <c r="AJ311" i="8"/>
  <c r="AH312" i="8"/>
  <c r="AH314" i="11" s="1"/>
  <c r="AI312" i="8"/>
  <c r="AJ312" i="8"/>
  <c r="AH313" i="8"/>
  <c r="AH315" i="10" s="1"/>
  <c r="AI313" i="8"/>
  <c r="AJ313" i="8"/>
  <c r="AH314" i="8"/>
  <c r="AI314" i="8"/>
  <c r="AJ314" i="8"/>
  <c r="AH315" i="8"/>
  <c r="AI315" i="8"/>
  <c r="AJ315" i="8"/>
  <c r="AH316" i="8"/>
  <c r="AH318" i="10" s="1"/>
  <c r="AI316" i="8"/>
  <c r="AJ316" i="8"/>
  <c r="AH317" i="8"/>
  <c r="AH319" i="11" s="1"/>
  <c r="AI317" i="8"/>
  <c r="AJ317" i="8"/>
  <c r="AH318" i="8"/>
  <c r="AI318" i="8"/>
  <c r="AJ318" i="8"/>
  <c r="AJ320" i="21" s="1"/>
  <c r="AH319" i="8"/>
  <c r="AI319" i="8"/>
  <c r="AJ319" i="8"/>
  <c r="AH320" i="8"/>
  <c r="AH322" i="11" s="1"/>
  <c r="AI320" i="8"/>
  <c r="AI322" i="10" s="1"/>
  <c r="AJ320" i="8"/>
  <c r="AJ322" i="11" s="1"/>
  <c r="AH321" i="8"/>
  <c r="AI321" i="8"/>
  <c r="AJ321" i="8"/>
  <c r="AH322" i="8"/>
  <c r="AI322" i="8"/>
  <c r="AJ322" i="8"/>
  <c r="AJ324" i="21" s="1"/>
  <c r="AH323" i="8"/>
  <c r="AI323" i="8"/>
  <c r="AJ323" i="8"/>
  <c r="AH324" i="8"/>
  <c r="AI324" i="8"/>
  <c r="AJ324" i="8"/>
  <c r="AH325" i="8"/>
  <c r="AH327" i="21" s="1"/>
  <c r="AI325" i="8"/>
  <c r="AJ325" i="8"/>
  <c r="AH326" i="8"/>
  <c r="AI326" i="8"/>
  <c r="AJ326" i="8"/>
  <c r="AH327" i="8"/>
  <c r="AI327" i="8"/>
  <c r="AJ327" i="8"/>
  <c r="AH328" i="8"/>
  <c r="AH330" i="11" s="1"/>
  <c r="AI328" i="8"/>
  <c r="AJ328" i="8"/>
  <c r="AH329" i="8"/>
  <c r="AI329" i="8"/>
  <c r="AJ329" i="8"/>
  <c r="AH330" i="8"/>
  <c r="AI330" i="8"/>
  <c r="AJ330" i="8"/>
  <c r="AH331" i="8"/>
  <c r="AI331" i="8"/>
  <c r="AJ331" i="8"/>
  <c r="AH332" i="8"/>
  <c r="AI332" i="8"/>
  <c r="AI334" i="10" s="1"/>
  <c r="AJ332" i="8"/>
  <c r="AH333" i="8"/>
  <c r="AI333" i="8"/>
  <c r="AJ333" i="8"/>
  <c r="AH334" i="8"/>
  <c r="AI334" i="8"/>
  <c r="AJ334" i="8"/>
  <c r="AH335" i="8"/>
  <c r="AI335" i="8"/>
  <c r="AJ335" i="8"/>
  <c r="AH336" i="8"/>
  <c r="AH338" i="11" s="1"/>
  <c r="AI336" i="8"/>
  <c r="AI338" i="10" s="1"/>
  <c r="AJ336" i="8"/>
  <c r="AH337" i="8"/>
  <c r="AI337" i="8"/>
  <c r="AJ337" i="8"/>
  <c r="AH338" i="8"/>
  <c r="AI338" i="8"/>
  <c r="AJ338" i="8"/>
  <c r="AJ340" i="11" s="1"/>
  <c r="AH339" i="8"/>
  <c r="AI339" i="8"/>
  <c r="AJ339" i="8"/>
  <c r="AH340" i="8"/>
  <c r="AI340" i="8"/>
  <c r="AJ340" i="8"/>
  <c r="AH341" i="8"/>
  <c r="AH343" i="11" s="1"/>
  <c r="AI341" i="8"/>
  <c r="AJ341" i="8"/>
  <c r="AH342" i="8"/>
  <c r="AI342" i="8"/>
  <c r="AJ342" i="8"/>
  <c r="AH343" i="8"/>
  <c r="AI343" i="8"/>
  <c r="AJ343" i="8"/>
  <c r="AH344" i="8"/>
  <c r="AI344" i="8"/>
  <c r="AI346" i="10" s="1"/>
  <c r="AJ344" i="8"/>
  <c r="AH345" i="8"/>
  <c r="AI345" i="8"/>
  <c r="AJ345" i="8"/>
  <c r="AH346" i="8"/>
  <c r="AI346" i="8"/>
  <c r="AJ346" i="8"/>
  <c r="AH347" i="8"/>
  <c r="AI347" i="8"/>
  <c r="AJ347" i="8"/>
  <c r="AH348" i="8"/>
  <c r="AH350" i="10" s="1"/>
  <c r="AI348" i="8"/>
  <c r="AJ348" i="8"/>
  <c r="AH349" i="8"/>
  <c r="AI349" i="8"/>
  <c r="AJ349" i="8"/>
  <c r="AH350" i="8"/>
  <c r="AI350" i="8"/>
  <c r="AJ350" i="8"/>
  <c r="AJ352" i="21" s="1"/>
  <c r="AH351" i="8"/>
  <c r="AI351" i="8"/>
  <c r="AJ351" i="8"/>
  <c r="AH352" i="8"/>
  <c r="AH354" i="11" s="1"/>
  <c r="AI352" i="8"/>
  <c r="AJ352" i="8"/>
  <c r="AH353" i="8"/>
  <c r="AI353" i="8"/>
  <c r="AJ353" i="8"/>
  <c r="AH354" i="8"/>
  <c r="AI354" i="8"/>
  <c r="AJ354" i="8"/>
  <c r="AH355" i="8"/>
  <c r="AI355" i="8"/>
  <c r="AJ355" i="8"/>
  <c r="AH356" i="8"/>
  <c r="AI356" i="8"/>
  <c r="AJ356" i="8"/>
  <c r="AH357" i="8"/>
  <c r="AH359" i="21" s="1"/>
  <c r="AI357" i="8"/>
  <c r="AJ357" i="8"/>
  <c r="AH358" i="8"/>
  <c r="AH360" i="10" s="1"/>
  <c r="AI358" i="8"/>
  <c r="AJ358" i="8"/>
  <c r="AH359" i="8"/>
  <c r="AI359" i="8"/>
  <c r="AJ359" i="8"/>
  <c r="AH360" i="8"/>
  <c r="AI360" i="8"/>
  <c r="AJ360" i="8"/>
  <c r="AH361" i="8"/>
  <c r="AI361" i="8"/>
  <c r="AJ361" i="8"/>
  <c r="AH362" i="8"/>
  <c r="AI362" i="8"/>
  <c r="AJ362" i="8"/>
  <c r="AH363" i="8"/>
  <c r="AI363" i="8"/>
  <c r="AI365" i="21" s="1"/>
  <c r="AJ363" i="8"/>
  <c r="AH364" i="8"/>
  <c r="AI364" i="8"/>
  <c r="AJ364" i="8"/>
  <c r="AH365" i="8"/>
  <c r="AH367" i="11" s="1"/>
  <c r="AI365" i="8"/>
  <c r="AJ365" i="8"/>
  <c r="AH366" i="8"/>
  <c r="AI366" i="8"/>
  <c r="AJ366" i="8"/>
  <c r="AJ368" i="11" s="1"/>
  <c r="AH367" i="8"/>
  <c r="AI367" i="8"/>
  <c r="AJ367" i="8"/>
  <c r="AH368" i="8"/>
  <c r="AI368" i="8"/>
  <c r="AJ368" i="8"/>
  <c r="AH369" i="8"/>
  <c r="AI369" i="8"/>
  <c r="AJ369" i="8"/>
  <c r="AH370" i="8"/>
  <c r="AI370" i="8"/>
  <c r="AJ370" i="8"/>
  <c r="AH371" i="8"/>
  <c r="AI371" i="8"/>
  <c r="AJ371" i="8"/>
  <c r="AH372" i="8"/>
  <c r="AI372" i="8"/>
  <c r="AJ372" i="8"/>
  <c r="AH373" i="8"/>
  <c r="AI373" i="8"/>
  <c r="AJ373" i="8"/>
  <c r="AH374" i="8"/>
  <c r="AI374" i="8"/>
  <c r="AJ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B366" i="8"/>
  <c r="B367" i="9" s="1"/>
  <c r="C366" i="8"/>
  <c r="C368" i="21" s="1"/>
  <c r="D366" i="8"/>
  <c r="E366" i="8"/>
  <c r="F366" i="8"/>
  <c r="F367" i="9" s="1"/>
  <c r="G366" i="8"/>
  <c r="H366" i="8"/>
  <c r="I366" i="8"/>
  <c r="I367" i="9" s="1"/>
  <c r="J366" i="8"/>
  <c r="J367" i="9" s="1"/>
  <c r="K366" i="8"/>
  <c r="K367" i="9" s="1"/>
  <c r="L366" i="8"/>
  <c r="M366" i="8"/>
  <c r="N366" i="8"/>
  <c r="O366" i="8"/>
  <c r="P366" i="8"/>
  <c r="Q366" i="8"/>
  <c r="Q367" i="9" s="1"/>
  <c r="R366" i="8"/>
  <c r="R367" i="9" s="1"/>
  <c r="S366" i="8"/>
  <c r="S368" i="21" s="1"/>
  <c r="T366" i="8"/>
  <c r="U366" i="8"/>
  <c r="V366" i="8"/>
  <c r="W366" i="8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G366" i="8"/>
  <c r="AG367" i="9" s="1"/>
  <c r="A367" i="8"/>
  <c r="A369" i="11" s="1"/>
  <c r="B367" i="8"/>
  <c r="B369" i="21" s="1"/>
  <c r="C367" i="8"/>
  <c r="D367" i="8"/>
  <c r="E367" i="8"/>
  <c r="F367" i="8"/>
  <c r="G367" i="8"/>
  <c r="H367" i="8"/>
  <c r="H368" i="9" s="1"/>
  <c r="I367" i="8"/>
  <c r="I368" i="9" s="1"/>
  <c r="J367" i="8"/>
  <c r="J369" i="21" s="1"/>
  <c r="K367" i="8"/>
  <c r="L367" i="8"/>
  <c r="L368" i="9" s="1"/>
  <c r="M367" i="8"/>
  <c r="N367" i="8"/>
  <c r="O367" i="8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W367" i="8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D367" i="8"/>
  <c r="AE367" i="8"/>
  <c r="AF367" i="8"/>
  <c r="AF368" i="9" s="1"/>
  <c r="AG367" i="8"/>
  <c r="AG368" i="9" s="1"/>
  <c r="A368" i="8"/>
  <c r="A369" i="9" s="1"/>
  <c r="B368" i="8"/>
  <c r="B369" i="9" s="1"/>
  <c r="C368" i="8"/>
  <c r="D368" i="8"/>
  <c r="E368" i="8"/>
  <c r="F368" i="8"/>
  <c r="G368" i="8"/>
  <c r="H368" i="8"/>
  <c r="H369" i="9" s="1"/>
  <c r="I368" i="8"/>
  <c r="I369" i="9" s="1"/>
  <c r="J368" i="8"/>
  <c r="J369" i="9" s="1"/>
  <c r="K368" i="8"/>
  <c r="K369" i="9" s="1"/>
  <c r="L368" i="8"/>
  <c r="M368" i="8"/>
  <c r="N368" i="8"/>
  <c r="O368" i="8"/>
  <c r="O369" i="9" s="1"/>
  <c r="P368" i="8"/>
  <c r="P369" i="9" s="1"/>
  <c r="Q368" i="8"/>
  <c r="Q369" i="9" s="1"/>
  <c r="R368" i="8"/>
  <c r="R369" i="9" s="1"/>
  <c r="S368" i="8"/>
  <c r="T368" i="8"/>
  <c r="U368" i="8"/>
  <c r="V368" i="8"/>
  <c r="W368" i="8"/>
  <c r="W369" i="9" s="1"/>
  <c r="X368" i="8"/>
  <c r="X369" i="9" s="1"/>
  <c r="Y368" i="8"/>
  <c r="Y369" i="9" s="1"/>
  <c r="Z368" i="8"/>
  <c r="Z369" i="9" s="1"/>
  <c r="AA368" i="8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T369" i="8"/>
  <c r="U369" i="8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J370" i="8"/>
  <c r="K370" i="8"/>
  <c r="L370" i="8"/>
  <c r="M370" i="8"/>
  <c r="N370" i="8"/>
  <c r="N371" i="9" s="1"/>
  <c r="O370" i="8"/>
  <c r="O371" i="9" s="1"/>
  <c r="P370" i="8"/>
  <c r="P371" i="9" s="1"/>
  <c r="Q370" i="8"/>
  <c r="R370" i="8"/>
  <c r="S370" i="8"/>
  <c r="T370" i="8"/>
  <c r="U370" i="8"/>
  <c r="U371" i="9" s="1"/>
  <c r="V370" i="8"/>
  <c r="V371" i="9" s="1"/>
  <c r="W370" i="8"/>
  <c r="X370" i="8"/>
  <c r="X371" i="9" s="1"/>
  <c r="Y370" i="8"/>
  <c r="Z370" i="8"/>
  <c r="AA370" i="8"/>
  <c r="AB370" i="8"/>
  <c r="AC370" i="8"/>
  <c r="AC371" i="9" s="1"/>
  <c r="AD370" i="8"/>
  <c r="AD371" i="9" s="1"/>
  <c r="AE370" i="8"/>
  <c r="AE371" i="9" s="1"/>
  <c r="AF370" i="8"/>
  <c r="AF371" i="9" s="1"/>
  <c r="AG370" i="8"/>
  <c r="A371" i="8"/>
  <c r="B371" i="8"/>
  <c r="C371" i="8"/>
  <c r="D371" i="8"/>
  <c r="E371" i="8"/>
  <c r="E372" i="9" s="1"/>
  <c r="F371" i="8"/>
  <c r="F372" i="9" s="1"/>
  <c r="G371" i="8"/>
  <c r="H371" i="8"/>
  <c r="I371" i="8"/>
  <c r="J371" i="8"/>
  <c r="K371" i="8"/>
  <c r="L371" i="8"/>
  <c r="M371" i="8"/>
  <c r="M372" i="9" s="1"/>
  <c r="N371" i="8"/>
  <c r="N372" i="9" s="1"/>
  <c r="O371" i="8"/>
  <c r="O372" i="9" s="1"/>
  <c r="P371" i="8"/>
  <c r="Q371" i="8"/>
  <c r="R371" i="8"/>
  <c r="S371" i="8"/>
  <c r="T371" i="8"/>
  <c r="T372" i="9" s="1"/>
  <c r="U371" i="8"/>
  <c r="V371" i="8"/>
  <c r="V372" i="9" s="1"/>
  <c r="W371" i="8"/>
  <c r="W372" i="9" s="1"/>
  <c r="X371" i="8"/>
  <c r="Y371" i="8"/>
  <c r="Y372" i="9" s="1"/>
  <c r="Z371" i="8"/>
  <c r="AA371" i="8"/>
  <c r="AB371" i="8"/>
  <c r="AB372" i="9" s="1"/>
  <c r="AC371" i="8"/>
  <c r="AC372" i="9" s="1"/>
  <c r="AD371" i="8"/>
  <c r="AD372" i="9" s="1"/>
  <c r="AE371" i="8"/>
  <c r="AE372" i="9" s="1"/>
  <c r="AF371" i="8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H372" i="8"/>
  <c r="I372" i="8"/>
  <c r="J372" i="8"/>
  <c r="K372" i="8"/>
  <c r="L372" i="8"/>
  <c r="L373" i="9" s="1"/>
  <c r="M372" i="8"/>
  <c r="M373" i="9" s="1"/>
  <c r="N372" i="8"/>
  <c r="N373" i="9" s="1"/>
  <c r="O372" i="8"/>
  <c r="P372" i="8"/>
  <c r="Q372" i="8"/>
  <c r="R372" i="8"/>
  <c r="S372" i="8"/>
  <c r="T372" i="8"/>
  <c r="T373" i="9" s="1"/>
  <c r="U372" i="8"/>
  <c r="U373" i="9" s="1"/>
  <c r="V372" i="8"/>
  <c r="V373" i="9" s="1"/>
  <c r="W372" i="8"/>
  <c r="X372" i="8"/>
  <c r="X373" i="9" s="1"/>
  <c r="Y372" i="8"/>
  <c r="Z372" i="8"/>
  <c r="AA372" i="8"/>
  <c r="AA373" i="9" s="1"/>
  <c r="AB372" i="8"/>
  <c r="AB373" i="9" s="1"/>
  <c r="AC372" i="8"/>
  <c r="AC373" i="9" s="1"/>
  <c r="AD372" i="8"/>
  <c r="AE372" i="8"/>
  <c r="AF372" i="8"/>
  <c r="AG372" i="8"/>
  <c r="A373" i="8"/>
  <c r="B373" i="8"/>
  <c r="B374" i="9" s="1"/>
  <c r="C373" i="8"/>
  <c r="D373" i="8"/>
  <c r="D374" i="9" s="1"/>
  <c r="E373" i="8"/>
  <c r="E374" i="9" s="1"/>
  <c r="F373" i="8"/>
  <c r="G373" i="8"/>
  <c r="H373" i="8"/>
  <c r="I373" i="8"/>
  <c r="J373" i="8"/>
  <c r="J374" i="9" s="1"/>
  <c r="K373" i="8"/>
  <c r="K374" i="9" s="1"/>
  <c r="L373" i="8"/>
  <c r="L374" i="9" s="1"/>
  <c r="M373" i="8"/>
  <c r="M374" i="9" s="1"/>
  <c r="N373" i="8"/>
  <c r="O373" i="8"/>
  <c r="P373" i="8"/>
  <c r="Q373" i="8"/>
  <c r="R373" i="8"/>
  <c r="R374" i="9" s="1"/>
  <c r="S373" i="8"/>
  <c r="S374" i="9" s="1"/>
  <c r="T373" i="8"/>
  <c r="T374" i="9" s="1"/>
  <c r="U373" i="8"/>
  <c r="U374" i="9" s="1"/>
  <c r="V373" i="8"/>
  <c r="W373" i="8"/>
  <c r="X373" i="8"/>
  <c r="X374" i="9" s="1"/>
  <c r="Y373" i="8"/>
  <c r="Z373" i="8"/>
  <c r="AA373" i="8"/>
  <c r="AA374" i="9" s="1"/>
  <c r="AB373" i="8"/>
  <c r="AC373" i="8"/>
  <c r="AC374" i="9" s="1"/>
  <c r="AD373" i="8"/>
  <c r="AE373" i="8"/>
  <c r="AF373" i="8"/>
  <c r="AG373" i="8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G374" i="8"/>
  <c r="H374" i="8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O374" i="8"/>
  <c r="P374" i="8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W374" i="8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E374" i="8"/>
  <c r="AF374" i="8"/>
  <c r="AG374" i="8"/>
  <c r="AG375" i="9" s="1"/>
  <c r="G369" i="9"/>
  <c r="S369" i="9"/>
  <c r="AA369" i="9"/>
  <c r="I371" i="9"/>
  <c r="Q371" i="9"/>
  <c r="W371" i="9"/>
  <c r="Y371" i="9"/>
  <c r="AG371" i="9"/>
  <c r="G373" i="9"/>
  <c r="K373" i="9"/>
  <c r="O373" i="9"/>
  <c r="S373" i="9"/>
  <c r="W373" i="9"/>
  <c r="AE373" i="9"/>
  <c r="F374" i="9"/>
  <c r="N374" i="9"/>
  <c r="V374" i="9"/>
  <c r="AB374" i="9"/>
  <c r="AD374" i="9"/>
  <c r="G367" i="9"/>
  <c r="H367" i="9"/>
  <c r="M367" i="9"/>
  <c r="N367" i="9"/>
  <c r="O367" i="9"/>
  <c r="P367" i="9"/>
  <c r="S367" i="9"/>
  <c r="U367" i="9"/>
  <c r="V367" i="9"/>
  <c r="W367" i="9"/>
  <c r="AC367" i="9"/>
  <c r="AF367" i="9"/>
  <c r="F368" i="9"/>
  <c r="G368" i="9"/>
  <c r="M368" i="9"/>
  <c r="N368" i="9"/>
  <c r="O368" i="9"/>
  <c r="T368" i="9"/>
  <c r="U368" i="9"/>
  <c r="V368" i="9"/>
  <c r="W368" i="9"/>
  <c r="AC368" i="9"/>
  <c r="AD368" i="9"/>
  <c r="AE368" i="9"/>
  <c r="F369" i="9"/>
  <c r="L369" i="9"/>
  <c r="M369" i="9"/>
  <c r="N369" i="9"/>
  <c r="T369" i="9"/>
  <c r="U369" i="9"/>
  <c r="V369" i="9"/>
  <c r="AB369" i="9"/>
  <c r="AD369" i="9"/>
  <c r="L370" i="9"/>
  <c r="M370" i="9"/>
  <c r="S370" i="9"/>
  <c r="T370" i="9"/>
  <c r="U370" i="9"/>
  <c r="J371" i="9"/>
  <c r="K371" i="9"/>
  <c r="L371" i="9"/>
  <c r="M371" i="9"/>
  <c r="R371" i="9"/>
  <c r="S371" i="9"/>
  <c r="T371" i="9"/>
  <c r="Z371" i="9"/>
  <c r="AA371" i="9"/>
  <c r="AB371" i="9"/>
  <c r="G372" i="9"/>
  <c r="H372" i="9"/>
  <c r="I372" i="9"/>
  <c r="J372" i="9"/>
  <c r="K372" i="9"/>
  <c r="L372" i="9"/>
  <c r="P372" i="9"/>
  <c r="Q372" i="9"/>
  <c r="R372" i="9"/>
  <c r="S372" i="9"/>
  <c r="U372" i="9"/>
  <c r="X372" i="9"/>
  <c r="Z372" i="9"/>
  <c r="AA372" i="9"/>
  <c r="AF372" i="9"/>
  <c r="AG372" i="9"/>
  <c r="H373" i="9"/>
  <c r="I373" i="9"/>
  <c r="J373" i="9"/>
  <c r="P373" i="9"/>
  <c r="Q373" i="9"/>
  <c r="R373" i="9"/>
  <c r="Y373" i="9"/>
  <c r="Z373" i="9"/>
  <c r="AD373" i="9"/>
  <c r="AF373" i="9"/>
  <c r="AG373" i="9"/>
  <c r="G374" i="9"/>
  <c r="H374" i="9"/>
  <c r="I374" i="9"/>
  <c r="O374" i="9"/>
  <c r="P374" i="9"/>
  <c r="Q374" i="9"/>
  <c r="W374" i="9"/>
  <c r="Y374" i="9"/>
  <c r="Z374" i="9"/>
  <c r="AE374" i="9"/>
  <c r="AF374" i="9"/>
  <c r="AG374" i="9"/>
  <c r="F375" i="9"/>
  <c r="G375" i="9"/>
  <c r="H375" i="9"/>
  <c r="N375" i="9"/>
  <c r="O375" i="9"/>
  <c r="P375" i="9"/>
  <c r="V375" i="9"/>
  <c r="W375" i="9"/>
  <c r="AD375" i="9"/>
  <c r="AE375" i="9"/>
  <c r="AF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C369" i="9"/>
  <c r="D369" i="9"/>
  <c r="E369" i="9"/>
  <c r="B370" i="9"/>
  <c r="C370" i="9"/>
  <c r="D370" i="9"/>
  <c r="E370" i="9"/>
  <c r="A371" i="9"/>
  <c r="B371" i="9"/>
  <c r="C371" i="9"/>
  <c r="A372" i="9"/>
  <c r="B372" i="9"/>
  <c r="C372" i="9"/>
  <c r="D372" i="9"/>
  <c r="A373" i="9"/>
  <c r="A374" i="9"/>
  <c r="C374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367" i="9"/>
  <c r="C367" i="9"/>
  <c r="E367" i="9"/>
  <c r="A368" i="9"/>
  <c r="D368" i="9"/>
  <c r="E368" i="9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P2" i="2"/>
  <c r="Q2" i="2"/>
  <c r="O2" i="2"/>
  <c r="AD368" i="10"/>
  <c r="AF368" i="10"/>
  <c r="AG368" i="11"/>
  <c r="AB369" i="11"/>
  <c r="AC369" i="11"/>
  <c r="AD369" i="21"/>
  <c r="AE369" i="21"/>
  <c r="AF369" i="11"/>
  <c r="O368" i="10"/>
  <c r="P368" i="21"/>
  <c r="Q368" i="10"/>
  <c r="U368" i="11"/>
  <c r="V368" i="10"/>
  <c r="W368" i="10"/>
  <c r="Y368" i="10"/>
  <c r="O369" i="21"/>
  <c r="P369" i="11"/>
  <c r="U369" i="11"/>
  <c r="V369" i="11"/>
  <c r="W369" i="21"/>
  <c r="X369" i="11"/>
  <c r="E368" i="11"/>
  <c r="F368" i="10"/>
  <c r="G368" i="10"/>
  <c r="H368" i="11"/>
  <c r="I368" i="11"/>
  <c r="J368" i="10"/>
  <c r="M368" i="11"/>
  <c r="N368" i="10"/>
  <c r="E369" i="11"/>
  <c r="F369" i="11"/>
  <c r="G369" i="21"/>
  <c r="H369" i="11"/>
  <c r="L369" i="11"/>
  <c r="M369" i="11"/>
  <c r="N369" i="11"/>
  <c r="A368" i="10"/>
  <c r="B368" i="10"/>
  <c r="D369" i="11"/>
  <c r="AJ1" i="8"/>
  <c r="AJ3" i="21" s="1"/>
  <c r="AH1" i="8"/>
  <c r="AH3" i="11" s="1"/>
  <c r="A30" i="14" s="1"/>
  <c r="AI1" i="8"/>
  <c r="AI3" i="11" s="1"/>
  <c r="A31" i="14" s="1"/>
  <c r="AQ3" i="2"/>
  <c r="AR3" i="2"/>
  <c r="N363" i="2" l="1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J364" i="11"/>
  <c r="AJ364" i="21"/>
  <c r="AI359" i="11"/>
  <c r="AI359" i="10"/>
  <c r="AI359" i="21"/>
  <c r="AJ356" i="11"/>
  <c r="AJ356" i="10"/>
  <c r="AJ356" i="21"/>
  <c r="AI351" i="11"/>
  <c r="AI351" i="21"/>
  <c r="AI351" i="10"/>
  <c r="AJ348" i="11"/>
  <c r="AJ348" i="10"/>
  <c r="AJ348" i="21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J196" i="11"/>
  <c r="AJ196" i="21"/>
  <c r="AJ156" i="11"/>
  <c r="AJ156" i="21"/>
  <c r="AI111" i="11"/>
  <c r="AI111" i="21"/>
  <c r="AI79" i="11"/>
  <c r="AI79" i="21"/>
  <c r="AJ369" i="11"/>
  <c r="AJ369" i="21"/>
  <c r="AI364" i="11"/>
  <c r="AI364" i="21"/>
  <c r="AJ361" i="11"/>
  <c r="AJ361" i="21"/>
  <c r="AJ361" i="10"/>
  <c r="AI356" i="11"/>
  <c r="AI356" i="21"/>
  <c r="AJ353" i="11"/>
  <c r="AJ353" i="21"/>
  <c r="AI348" i="11"/>
  <c r="AI348" i="10"/>
  <c r="AI348" i="21"/>
  <c r="AJ345" i="11"/>
  <c r="AJ345" i="10"/>
  <c r="AJ345" i="21"/>
  <c r="AI340" i="11"/>
  <c r="AI340" i="21"/>
  <c r="AJ337" i="11"/>
  <c r="AJ337" i="10"/>
  <c r="AJ337" i="21"/>
  <c r="AI332" i="11"/>
  <c r="AI332" i="10"/>
  <c r="AI332" i="21"/>
  <c r="AJ329" i="11"/>
  <c r="AJ329" i="10"/>
  <c r="AJ329" i="21"/>
  <c r="AI324" i="11"/>
  <c r="AI324" i="10"/>
  <c r="AI324" i="21"/>
  <c r="AJ321" i="11"/>
  <c r="AJ321" i="21"/>
  <c r="AI316" i="11"/>
  <c r="AI316" i="21"/>
  <c r="AJ313" i="11"/>
  <c r="AJ313" i="21"/>
  <c r="AI308" i="11"/>
  <c r="AI308" i="21"/>
  <c r="AJ305" i="11"/>
  <c r="AJ305" i="21"/>
  <c r="AJ305" i="10"/>
  <c r="AI300" i="11"/>
  <c r="AI300" i="21"/>
  <c r="AJ297" i="11"/>
  <c r="AJ297" i="21"/>
  <c r="AI292" i="11"/>
  <c r="AI292" i="21"/>
  <c r="AJ289" i="11"/>
  <c r="AJ289" i="21"/>
  <c r="AJ289" i="10"/>
  <c r="AI284" i="11"/>
  <c r="AI284" i="10"/>
  <c r="AI284" i="21"/>
  <c r="AJ281" i="11"/>
  <c r="AJ281" i="21"/>
  <c r="AI276" i="11"/>
  <c r="AI276" i="21"/>
  <c r="AJ273" i="11"/>
  <c r="AJ273" i="21"/>
  <c r="AJ273" i="10"/>
  <c r="AI268" i="11"/>
  <c r="AI268" i="10"/>
  <c r="AI268" i="21"/>
  <c r="AJ265" i="11"/>
  <c r="AJ265" i="21"/>
  <c r="AJ265" i="10"/>
  <c r="AI260" i="11"/>
  <c r="AI260" i="21"/>
  <c r="AJ257" i="11"/>
  <c r="AJ257" i="21"/>
  <c r="AJ257" i="10"/>
  <c r="AI252" i="11"/>
  <c r="AI252" i="10"/>
  <c r="AI252" i="21"/>
  <c r="AJ249" i="11"/>
  <c r="AJ249" i="21"/>
  <c r="AI244" i="11"/>
  <c r="AI244" i="10"/>
  <c r="AI244" i="21"/>
  <c r="AJ241" i="11"/>
  <c r="AJ241" i="21"/>
  <c r="AJ241" i="10"/>
  <c r="AI236" i="11"/>
  <c r="AI236" i="10"/>
  <c r="AI236" i="21"/>
  <c r="AJ233" i="11"/>
  <c r="AJ233" i="21"/>
  <c r="AI228" i="11"/>
  <c r="AI228" i="21"/>
  <c r="AI228" i="10"/>
  <c r="AJ225" i="11"/>
  <c r="AJ225" i="21"/>
  <c r="AJ225" i="10"/>
  <c r="AI220" i="11"/>
  <c r="AI220" i="10"/>
  <c r="AI220" i="21"/>
  <c r="AJ217" i="11"/>
  <c r="AJ217" i="21"/>
  <c r="AJ217" i="10"/>
  <c r="AI212" i="11"/>
  <c r="AI212" i="10"/>
  <c r="AI212" i="21"/>
  <c r="AJ209" i="11"/>
  <c r="AJ209" i="21"/>
  <c r="AJ209" i="10"/>
  <c r="AI204" i="21"/>
  <c r="AI204" i="11"/>
  <c r="AI204" i="10"/>
  <c r="AJ201" i="11"/>
  <c r="AJ201" i="21"/>
  <c r="AJ201" i="10"/>
  <c r="AI196" i="21"/>
  <c r="AI196" i="11"/>
  <c r="AI196" i="10"/>
  <c r="AJ193" i="11"/>
  <c r="AJ193" i="21"/>
  <c r="AJ193" i="10"/>
  <c r="AI188" i="11"/>
  <c r="AI188" i="21"/>
  <c r="AI188" i="10"/>
  <c r="AJ185" i="11"/>
  <c r="AJ185" i="21"/>
  <c r="AJ185" i="10"/>
  <c r="AI180" i="21"/>
  <c r="AI180" i="11"/>
  <c r="AJ177" i="11"/>
  <c r="AJ177" i="21"/>
  <c r="AI172" i="21"/>
  <c r="AI172" i="11"/>
  <c r="AI172" i="10"/>
  <c r="AJ169" i="11"/>
  <c r="AJ169" i="21"/>
  <c r="AJ169" i="10"/>
  <c r="AI164" i="21"/>
  <c r="AI164" i="10"/>
  <c r="AI164" i="11"/>
  <c r="AJ161" i="11"/>
  <c r="AJ161" i="21"/>
  <c r="AI156" i="11"/>
  <c r="AI156" i="21"/>
  <c r="AJ153" i="11"/>
  <c r="AJ153" i="21"/>
  <c r="AI148" i="21"/>
  <c r="AI148" i="11"/>
  <c r="AJ145" i="11"/>
  <c r="AJ145" i="21"/>
  <c r="AI140" i="11"/>
  <c r="AI140" i="21"/>
  <c r="AJ137" i="11"/>
  <c r="AJ137" i="21"/>
  <c r="AI132" i="11"/>
  <c r="AI132" i="21"/>
  <c r="AJ129" i="11"/>
  <c r="AJ129" i="21"/>
  <c r="AI124" i="11"/>
  <c r="AI124" i="21"/>
  <c r="AJ121" i="11"/>
  <c r="AJ121" i="21"/>
  <c r="AI116" i="11"/>
  <c r="AI116" i="21"/>
  <c r="AJ113" i="11"/>
  <c r="AJ113" i="21"/>
  <c r="AI108" i="11"/>
  <c r="AI108" i="21"/>
  <c r="AJ105" i="11"/>
  <c r="AJ105" i="21"/>
  <c r="AI100" i="11"/>
  <c r="AI100" i="21"/>
  <c r="AJ97" i="11"/>
  <c r="AJ97" i="21"/>
  <c r="AI92" i="11"/>
  <c r="AI92" i="21"/>
  <c r="AJ89" i="11"/>
  <c r="AJ89" i="21"/>
  <c r="AI84" i="11"/>
  <c r="AI84" i="21"/>
  <c r="AJ81" i="11"/>
  <c r="AJ81" i="21"/>
  <c r="AI76" i="11"/>
  <c r="AI76" i="21"/>
  <c r="AJ73" i="11"/>
  <c r="AJ73" i="21"/>
  <c r="AI68" i="11"/>
  <c r="AI68" i="21"/>
  <c r="AJ65" i="11"/>
  <c r="AJ65" i="21"/>
  <c r="AI60" i="11"/>
  <c r="AI60" i="21"/>
  <c r="AJ57" i="11"/>
  <c r="AJ57" i="21"/>
  <c r="AI52" i="11"/>
  <c r="AI52" i="21"/>
  <c r="AJ49" i="11"/>
  <c r="AJ49" i="21"/>
  <c r="AI44" i="11"/>
  <c r="AI44" i="21"/>
  <c r="AJ41" i="11"/>
  <c r="AJ41" i="21"/>
  <c r="AI36" i="11"/>
  <c r="AI36" i="21"/>
  <c r="AJ33" i="11"/>
  <c r="AJ33" i="21"/>
  <c r="AI28" i="11"/>
  <c r="AI28" i="21"/>
  <c r="AJ25" i="11"/>
  <c r="AJ25" i="21"/>
  <c r="AI20" i="11"/>
  <c r="AI20" i="21"/>
  <c r="AJ17" i="11"/>
  <c r="AJ17" i="21"/>
  <c r="AI12" i="11"/>
  <c r="AI12" i="21"/>
  <c r="AJ9" i="11"/>
  <c r="AJ9" i="21"/>
  <c r="AI4" i="11"/>
  <c r="AI4" i="21"/>
  <c r="AI20" i="10"/>
  <c r="AI63" i="10"/>
  <c r="AI79" i="10"/>
  <c r="AJ196" i="10"/>
  <c r="AJ260" i="21"/>
  <c r="AI95" i="21"/>
  <c r="AJ332" i="11"/>
  <c r="AJ332" i="10"/>
  <c r="AJ316" i="11"/>
  <c r="AJ316" i="10"/>
  <c r="AI303" i="11"/>
  <c r="AI303" i="10"/>
  <c r="AI303" i="21"/>
  <c r="AJ244" i="11"/>
  <c r="AJ244" i="10"/>
  <c r="AJ220" i="11"/>
  <c r="AJ220" i="10"/>
  <c r="AI175" i="11"/>
  <c r="AI175" i="21"/>
  <c r="AJ132" i="11"/>
  <c r="AJ132" i="21"/>
  <c r="AI119" i="11"/>
  <c r="AI119" i="21"/>
  <c r="AJ84" i="11"/>
  <c r="AJ84" i="21"/>
  <c r="AI127" i="21"/>
  <c r="AA368" i="21"/>
  <c r="AI369" i="11"/>
  <c r="AI369" i="21"/>
  <c r="AJ366" i="11"/>
  <c r="AJ366" i="21"/>
  <c r="AI361" i="21"/>
  <c r="AI361" i="10"/>
  <c r="AI361" i="11"/>
  <c r="AJ358" i="11"/>
  <c r="AJ358" i="10"/>
  <c r="AJ358" i="21"/>
  <c r="AI353" i="21"/>
  <c r="AI353" i="11"/>
  <c r="AJ350" i="11"/>
  <c r="AJ350" i="21"/>
  <c r="AJ350" i="10"/>
  <c r="AI345" i="21"/>
  <c r="AI345" i="10"/>
  <c r="AI345" i="11"/>
  <c r="AJ342" i="11"/>
  <c r="AJ342" i="21"/>
  <c r="AI337" i="11"/>
  <c r="AI337" i="21"/>
  <c r="AI337" i="10"/>
  <c r="AJ334" i="11"/>
  <c r="AJ334" i="21"/>
  <c r="AJ334" i="10"/>
  <c r="AI329" i="11"/>
  <c r="AI329" i="21"/>
  <c r="AI329" i="10"/>
  <c r="AJ326" i="11"/>
  <c r="AJ326" i="21"/>
  <c r="AJ326" i="10"/>
  <c r="AI321" i="11"/>
  <c r="AI321" i="21"/>
  <c r="AJ318" i="11"/>
  <c r="AJ318" i="10"/>
  <c r="AJ318" i="21"/>
  <c r="AI313" i="11"/>
  <c r="AI313" i="21"/>
  <c r="AJ310" i="11"/>
  <c r="AJ310" i="21"/>
  <c r="AI305" i="11"/>
  <c r="AI305" i="21"/>
  <c r="AI305" i="10"/>
  <c r="AJ302" i="11"/>
  <c r="AJ302" i="10"/>
  <c r="AJ302" i="21"/>
  <c r="AI297" i="11"/>
  <c r="AI297" i="21"/>
  <c r="AJ294" i="11"/>
  <c r="AJ294" i="21"/>
  <c r="AI289" i="11"/>
  <c r="AI289" i="21"/>
  <c r="AI289" i="10"/>
  <c r="AJ286" i="11"/>
  <c r="AJ286" i="10"/>
  <c r="AJ286" i="21"/>
  <c r="AI281" i="11"/>
  <c r="AI281" i="21"/>
  <c r="AJ278" i="11"/>
  <c r="AJ278" i="21"/>
  <c r="AI273" i="11"/>
  <c r="AI273" i="21"/>
  <c r="AI273" i="10"/>
  <c r="AJ270" i="11"/>
  <c r="AJ270" i="21"/>
  <c r="AI265" i="11"/>
  <c r="AI265" i="21"/>
  <c r="AI265" i="10"/>
  <c r="AJ262" i="11"/>
  <c r="AJ262" i="10"/>
  <c r="AJ262" i="21"/>
  <c r="AI257" i="11"/>
  <c r="AI257" i="21"/>
  <c r="AJ254" i="11"/>
  <c r="AJ254" i="21"/>
  <c r="AI249" i="11"/>
  <c r="AI249" i="21"/>
  <c r="AJ246" i="11"/>
  <c r="AJ246" i="21"/>
  <c r="AI241" i="11"/>
  <c r="AI241" i="21"/>
  <c r="AI241" i="10"/>
  <c r="AJ238" i="11"/>
  <c r="AJ238" i="21"/>
  <c r="AI233" i="11"/>
  <c r="AI233" i="21"/>
  <c r="AJ230" i="11"/>
  <c r="AJ230" i="10"/>
  <c r="AJ230" i="21"/>
  <c r="AI225" i="11"/>
  <c r="AI225" i="21"/>
  <c r="AI225" i="10"/>
  <c r="AJ222" i="11"/>
  <c r="AJ222" i="21"/>
  <c r="AI217" i="11"/>
  <c r="AI217" i="21"/>
  <c r="AI217" i="10"/>
  <c r="AJ214" i="11"/>
  <c r="AJ214" i="21"/>
  <c r="AI209" i="11"/>
  <c r="AI209" i="21"/>
  <c r="AI209" i="10"/>
  <c r="AJ206" i="11"/>
  <c r="AJ206" i="21"/>
  <c r="AI201" i="11"/>
  <c r="AI201" i="21"/>
  <c r="AI201" i="10"/>
  <c r="AJ198" i="11"/>
  <c r="AJ198" i="21"/>
  <c r="AJ198" i="10"/>
  <c r="AI193" i="11"/>
  <c r="AI193" i="21"/>
  <c r="AI193" i="10"/>
  <c r="AJ190" i="11"/>
  <c r="AJ190" i="21"/>
  <c r="AJ190" i="10"/>
  <c r="AI185" i="11"/>
  <c r="AI185" i="21"/>
  <c r="AI185" i="10"/>
  <c r="AJ182" i="11"/>
  <c r="AJ182" i="21"/>
  <c r="AI177" i="11"/>
  <c r="AI177" i="21"/>
  <c r="AJ174" i="11"/>
  <c r="AJ174" i="21"/>
  <c r="AJ174" i="10"/>
  <c r="AI169" i="11"/>
  <c r="AI169" i="21"/>
  <c r="AI169" i="10"/>
  <c r="AJ166" i="11"/>
  <c r="AJ166" i="21"/>
  <c r="AI161" i="11"/>
  <c r="AI161" i="21"/>
  <c r="AJ158" i="11"/>
  <c r="AJ158" i="21"/>
  <c r="AI153" i="11"/>
  <c r="AI153" i="21"/>
  <c r="AJ150" i="11"/>
  <c r="AJ150" i="21"/>
  <c r="AI145" i="11"/>
  <c r="AI145" i="21"/>
  <c r="AJ142" i="11"/>
  <c r="AJ142" i="21"/>
  <c r="AI137" i="11"/>
  <c r="AI137" i="21"/>
  <c r="AJ134" i="11"/>
  <c r="AJ134" i="21"/>
  <c r="AI129" i="11"/>
  <c r="AI129" i="21"/>
  <c r="AJ126" i="11"/>
  <c r="AJ126" i="21"/>
  <c r="AI121" i="11"/>
  <c r="AI121" i="21"/>
  <c r="AJ118" i="11"/>
  <c r="AJ118" i="21"/>
  <c r="AI113" i="11"/>
  <c r="AI113" i="21"/>
  <c r="AJ110" i="11"/>
  <c r="AJ110" i="21"/>
  <c r="AI105" i="11"/>
  <c r="AI105" i="21"/>
  <c r="AJ102" i="11"/>
  <c r="AJ102" i="21"/>
  <c r="AI97" i="11"/>
  <c r="AI97" i="21"/>
  <c r="AJ94" i="11"/>
  <c r="AJ94" i="21"/>
  <c r="AI89" i="11"/>
  <c r="AI89" i="21"/>
  <c r="AJ86" i="11"/>
  <c r="AJ86" i="21"/>
  <c r="AI81" i="11"/>
  <c r="AI81" i="21"/>
  <c r="AJ78" i="11"/>
  <c r="AJ78" i="21"/>
  <c r="AI73" i="11"/>
  <c r="AI73" i="21"/>
  <c r="AJ70" i="11"/>
  <c r="AJ70" i="21"/>
  <c r="AI65" i="11"/>
  <c r="AI65" i="21"/>
  <c r="AJ62" i="11"/>
  <c r="AJ62" i="21"/>
  <c r="AI57" i="11"/>
  <c r="AI57" i="21"/>
  <c r="AJ54" i="11"/>
  <c r="AJ54" i="21"/>
  <c r="AI49" i="11"/>
  <c r="AI49" i="21"/>
  <c r="AJ46" i="11"/>
  <c r="AJ46" i="21"/>
  <c r="AI41" i="11"/>
  <c r="AI41" i="21"/>
  <c r="AJ38" i="11"/>
  <c r="AJ38" i="21"/>
  <c r="AI33" i="11"/>
  <c r="AI33" i="21"/>
  <c r="AJ30" i="11"/>
  <c r="AJ30" i="21"/>
  <c r="AI25" i="11"/>
  <c r="AI25" i="21"/>
  <c r="AJ22" i="11"/>
  <c r="AJ22" i="21"/>
  <c r="AI17" i="11"/>
  <c r="AI17" i="21"/>
  <c r="AJ14" i="11"/>
  <c r="AJ14" i="21"/>
  <c r="AI9" i="11"/>
  <c r="AI9" i="21"/>
  <c r="AJ6" i="11"/>
  <c r="AJ6" i="21"/>
  <c r="AJ33" i="10"/>
  <c r="AI41" i="10"/>
  <c r="AI49" i="10"/>
  <c r="AI60" i="10"/>
  <c r="AI97" i="10"/>
  <c r="AJ153" i="10"/>
  <c r="AJ161" i="10"/>
  <c r="AJ238" i="10"/>
  <c r="AI292" i="10"/>
  <c r="AJ256" i="21"/>
  <c r="AI63" i="21"/>
  <c r="AJ324" i="11"/>
  <c r="AJ324" i="10"/>
  <c r="AJ284" i="11"/>
  <c r="AJ284" i="10"/>
  <c r="AJ268" i="11"/>
  <c r="AJ268" i="10"/>
  <c r="AI207" i="11"/>
  <c r="AI207" i="21"/>
  <c r="AI143" i="11"/>
  <c r="AI143" i="21"/>
  <c r="AJ124" i="11"/>
  <c r="AJ124" i="21"/>
  <c r="AJ36" i="11"/>
  <c r="AJ36" i="21"/>
  <c r="AI23" i="11"/>
  <c r="AI23" i="21"/>
  <c r="AJ4" i="11"/>
  <c r="AJ4" i="21"/>
  <c r="J368" i="9"/>
  <c r="AI366" i="11"/>
  <c r="AI366" i="21"/>
  <c r="AJ363" i="11"/>
  <c r="AJ363" i="21"/>
  <c r="AI358" i="11"/>
  <c r="AI358" i="21"/>
  <c r="AI358" i="10"/>
  <c r="AJ355" i="11"/>
  <c r="AJ355" i="10"/>
  <c r="AJ355" i="21"/>
  <c r="AI350" i="11"/>
  <c r="AI350" i="21"/>
  <c r="AJ347" i="11"/>
  <c r="AJ347" i="10"/>
  <c r="AJ347" i="21"/>
  <c r="AI342" i="11"/>
  <c r="AI342" i="21"/>
  <c r="AJ339" i="11"/>
  <c r="AJ339" i="10"/>
  <c r="AJ339" i="21"/>
  <c r="AI334" i="11"/>
  <c r="AI334" i="21"/>
  <c r="AJ331" i="11"/>
  <c r="AJ331" i="10"/>
  <c r="AJ331" i="21"/>
  <c r="AI326" i="11"/>
  <c r="AI326" i="21"/>
  <c r="AJ323" i="11"/>
  <c r="AJ323" i="10"/>
  <c r="AJ323" i="21"/>
  <c r="AI318" i="11"/>
  <c r="AI318" i="21"/>
  <c r="AI318" i="10"/>
  <c r="AJ315" i="11"/>
  <c r="AJ315" i="10"/>
  <c r="AJ315" i="21"/>
  <c r="AI310" i="11"/>
  <c r="AI310" i="21"/>
  <c r="AJ307" i="11"/>
  <c r="AJ307" i="21"/>
  <c r="AI302" i="11"/>
  <c r="AI302" i="21"/>
  <c r="AI302" i="10"/>
  <c r="AJ299" i="11"/>
  <c r="AJ299" i="21"/>
  <c r="AI294" i="11"/>
  <c r="AI294" i="21"/>
  <c r="AJ291" i="11"/>
  <c r="AJ291" i="10"/>
  <c r="AJ291" i="21"/>
  <c r="AI286" i="11"/>
  <c r="AI286" i="10"/>
  <c r="AI286" i="21"/>
  <c r="AJ283" i="11"/>
  <c r="AJ283" i="21"/>
  <c r="AJ283" i="10"/>
  <c r="AI278" i="11"/>
  <c r="AI278" i="21"/>
  <c r="AJ275" i="11"/>
  <c r="AJ275" i="21"/>
  <c r="AI270" i="11"/>
  <c r="AI270" i="21"/>
  <c r="AJ267" i="11"/>
  <c r="AJ267" i="10"/>
  <c r="AJ267" i="21"/>
  <c r="AI262" i="11"/>
  <c r="AI262" i="21"/>
  <c r="AI262" i="10"/>
  <c r="AJ259" i="11"/>
  <c r="AJ259" i="21"/>
  <c r="AI254" i="11"/>
  <c r="AI254" i="21"/>
  <c r="AJ251" i="11"/>
  <c r="AJ251" i="10"/>
  <c r="AJ251" i="21"/>
  <c r="AI246" i="11"/>
  <c r="AI246" i="21"/>
  <c r="AJ243" i="11"/>
  <c r="AJ243" i="21"/>
  <c r="AJ243" i="10"/>
  <c r="AI238" i="11"/>
  <c r="AI238" i="10"/>
  <c r="AI238" i="21"/>
  <c r="AJ235" i="11"/>
  <c r="AJ235" i="10"/>
  <c r="AJ235" i="21"/>
  <c r="AI230" i="11"/>
  <c r="AI230" i="21"/>
  <c r="AI230" i="10"/>
  <c r="AJ227" i="11"/>
  <c r="AJ227" i="21"/>
  <c r="AI222" i="11"/>
  <c r="AI222" i="10"/>
  <c r="AI222" i="21"/>
  <c r="AJ219" i="11"/>
  <c r="AJ219" i="21"/>
  <c r="AJ219" i="10"/>
  <c r="AI214" i="11"/>
  <c r="AI214" i="10"/>
  <c r="AI214" i="21"/>
  <c r="AJ211" i="11"/>
  <c r="AJ211" i="21"/>
  <c r="AJ211" i="10"/>
  <c r="AI206" i="11"/>
  <c r="AI206" i="21"/>
  <c r="AJ203" i="21"/>
  <c r="AJ203" i="11"/>
  <c r="AJ203" i="10"/>
  <c r="AI198" i="11"/>
  <c r="AI198" i="21"/>
  <c r="AI198" i="10"/>
  <c r="AJ195" i="21"/>
  <c r="AJ195" i="11"/>
  <c r="AJ195" i="10"/>
  <c r="AI190" i="11"/>
  <c r="AI190" i="21"/>
  <c r="AI190" i="10"/>
  <c r="AJ187" i="11"/>
  <c r="AJ187" i="21"/>
  <c r="AJ187" i="10"/>
  <c r="AI182" i="11"/>
  <c r="AI182" i="21"/>
  <c r="AJ179" i="21"/>
  <c r="AJ179" i="11"/>
  <c r="AJ179" i="10"/>
  <c r="AI174" i="11"/>
  <c r="AI174" i="21"/>
  <c r="AI174" i="10"/>
  <c r="AJ171" i="21"/>
  <c r="AJ171" i="11"/>
  <c r="AJ171" i="10"/>
  <c r="AI166" i="11"/>
  <c r="AI166" i="21"/>
  <c r="AJ163" i="21"/>
  <c r="AJ163" i="11"/>
  <c r="AJ163" i="10"/>
  <c r="AI158" i="11"/>
  <c r="AI158" i="21"/>
  <c r="AJ155" i="11"/>
  <c r="AJ155" i="21"/>
  <c r="AI150" i="11"/>
  <c r="AI150" i="21"/>
  <c r="AJ147" i="21"/>
  <c r="AJ147" i="11"/>
  <c r="AI142" i="11"/>
  <c r="AI142" i="21"/>
  <c r="AJ139" i="21"/>
  <c r="AJ139" i="11"/>
  <c r="AI134" i="11"/>
  <c r="AI134" i="21"/>
  <c r="AJ131" i="21"/>
  <c r="AJ131" i="11"/>
  <c r="AI126" i="11"/>
  <c r="AI126" i="21"/>
  <c r="AJ123" i="21"/>
  <c r="AJ123" i="11"/>
  <c r="AI118" i="11"/>
  <c r="AI118" i="21"/>
  <c r="AJ115" i="21"/>
  <c r="AJ115" i="11"/>
  <c r="AI110" i="11"/>
  <c r="AI110" i="21"/>
  <c r="AJ107" i="21"/>
  <c r="AJ107" i="11"/>
  <c r="AI102" i="11"/>
  <c r="AI102" i="21"/>
  <c r="AJ99" i="21"/>
  <c r="AJ99" i="11"/>
  <c r="AI94" i="11"/>
  <c r="AI94" i="21"/>
  <c r="AJ91" i="21"/>
  <c r="AJ91" i="11"/>
  <c r="AI86" i="11"/>
  <c r="AI86" i="21"/>
  <c r="AJ83" i="21"/>
  <c r="AJ83" i="11"/>
  <c r="AI78" i="11"/>
  <c r="AI78" i="21"/>
  <c r="AJ75" i="21"/>
  <c r="AJ75" i="11"/>
  <c r="AI70" i="11"/>
  <c r="AI70" i="21"/>
  <c r="AJ67" i="21"/>
  <c r="AJ67" i="11"/>
  <c r="AI62" i="11"/>
  <c r="AI62" i="21"/>
  <c r="AJ59" i="21"/>
  <c r="AJ59" i="11"/>
  <c r="AI54" i="11"/>
  <c r="AI54" i="21"/>
  <c r="AJ51" i="21"/>
  <c r="AJ51" i="11"/>
  <c r="AI46" i="11"/>
  <c r="AI46" i="21"/>
  <c r="AJ43" i="21"/>
  <c r="AJ43" i="11"/>
  <c r="AI38" i="11"/>
  <c r="AI38" i="21"/>
  <c r="AJ35" i="21"/>
  <c r="AJ35" i="11"/>
  <c r="AI30" i="11"/>
  <c r="AI30" i="21"/>
  <c r="AJ27" i="21"/>
  <c r="AJ27" i="11"/>
  <c r="AI22" i="11"/>
  <c r="AI22" i="21"/>
  <c r="AJ19" i="21"/>
  <c r="AJ19" i="11"/>
  <c r="AI14" i="11"/>
  <c r="AI14" i="21"/>
  <c r="AJ11" i="21"/>
  <c r="AJ11" i="11"/>
  <c r="AI6" i="11"/>
  <c r="AI6" i="21"/>
  <c r="AI4" i="10"/>
  <c r="AJ41" i="10"/>
  <c r="AJ49" i="10"/>
  <c r="AJ54" i="10"/>
  <c r="AI68" i="10"/>
  <c r="AI76" i="10"/>
  <c r="AI92" i="10"/>
  <c r="AJ97" i="10"/>
  <c r="AJ107" i="10"/>
  <c r="AI121" i="10"/>
  <c r="AI150" i="10"/>
  <c r="AI158" i="10"/>
  <c r="AI350" i="10"/>
  <c r="AJ316" i="21"/>
  <c r="AJ284" i="21"/>
  <c r="AJ220" i="21"/>
  <c r="AI31" i="21"/>
  <c r="AI335" i="11"/>
  <c r="AI335" i="21"/>
  <c r="AI335" i="10"/>
  <c r="AI295" i="11"/>
  <c r="AI295" i="21"/>
  <c r="AI239" i="11"/>
  <c r="AI239" i="21"/>
  <c r="AI239" i="10"/>
  <c r="AJ148" i="11"/>
  <c r="AJ148" i="21"/>
  <c r="AJ100" i="11"/>
  <c r="AJ100" i="21"/>
  <c r="AI47" i="11"/>
  <c r="AI47" i="21"/>
  <c r="AI15" i="11"/>
  <c r="AI15" i="21"/>
  <c r="B368" i="9"/>
  <c r="R368" i="9"/>
  <c r="AI363" i="11"/>
  <c r="AI363" i="21"/>
  <c r="AJ360" i="11"/>
  <c r="AJ360" i="10"/>
  <c r="AI355" i="11"/>
  <c r="AI355" i="10"/>
  <c r="AI355" i="21"/>
  <c r="AJ352" i="11"/>
  <c r="AJ352" i="10"/>
  <c r="AI347" i="11"/>
  <c r="AI347" i="21"/>
  <c r="AI347" i="10"/>
  <c r="AJ344" i="11"/>
  <c r="AJ344" i="10"/>
  <c r="AI339" i="11"/>
  <c r="AI339" i="21"/>
  <c r="AI339" i="10"/>
  <c r="AJ336" i="11"/>
  <c r="AJ336" i="10"/>
  <c r="AI331" i="11"/>
  <c r="AI331" i="21"/>
  <c r="AI331" i="10"/>
  <c r="AJ328" i="11"/>
  <c r="AJ328" i="10"/>
  <c r="AI323" i="11"/>
  <c r="AI323" i="21"/>
  <c r="AI323" i="10"/>
  <c r="AJ320" i="11"/>
  <c r="AJ320" i="10"/>
  <c r="AI315" i="11"/>
  <c r="AI315" i="10"/>
  <c r="AI315" i="21"/>
  <c r="AI307" i="11"/>
  <c r="AI307" i="21"/>
  <c r="AJ304" i="11"/>
  <c r="AJ304" i="10"/>
  <c r="AI299" i="11"/>
  <c r="AI299" i="21"/>
  <c r="AI291" i="11"/>
  <c r="AI291" i="10"/>
  <c r="AI291" i="21"/>
  <c r="AJ288" i="11"/>
  <c r="AJ288" i="10"/>
  <c r="AI283" i="11"/>
  <c r="AI283" i="21"/>
  <c r="AI275" i="11"/>
  <c r="AI275" i="21"/>
  <c r="AJ272" i="11"/>
  <c r="AJ272" i="10"/>
  <c r="AI267" i="11"/>
  <c r="AI267" i="10"/>
  <c r="AI267" i="21"/>
  <c r="AJ264" i="11"/>
  <c r="AJ264" i="10"/>
  <c r="AI259" i="11"/>
  <c r="AI259" i="21"/>
  <c r="AI251" i="11"/>
  <c r="AI251" i="21"/>
  <c r="AI251" i="10"/>
  <c r="AI243" i="11"/>
  <c r="AI243" i="21"/>
  <c r="AI243" i="10"/>
  <c r="AJ240" i="11"/>
  <c r="AJ240" i="10"/>
  <c r="AI235" i="11"/>
  <c r="AI235" i="21"/>
  <c r="AI235" i="10"/>
  <c r="AI227" i="11"/>
  <c r="AI227" i="21"/>
  <c r="AJ224" i="11"/>
  <c r="AJ224" i="10"/>
  <c r="AI219" i="11"/>
  <c r="AI219" i="21"/>
  <c r="AI219" i="10"/>
  <c r="AJ216" i="11"/>
  <c r="AJ216" i="10"/>
  <c r="AI211" i="11"/>
  <c r="AI211" i="21"/>
  <c r="AI211" i="10"/>
  <c r="AJ208" i="11"/>
  <c r="AJ208" i="21"/>
  <c r="AJ208" i="10"/>
  <c r="AI203" i="11"/>
  <c r="AI203" i="21"/>
  <c r="AI203" i="10"/>
  <c r="AJ200" i="11"/>
  <c r="AJ200" i="21"/>
  <c r="AI195" i="11"/>
  <c r="AI195" i="21"/>
  <c r="AI195" i="10"/>
  <c r="AJ192" i="11"/>
  <c r="AJ192" i="21"/>
  <c r="AI187" i="11"/>
  <c r="AI187" i="10"/>
  <c r="AI187" i="21"/>
  <c r="AJ184" i="11"/>
  <c r="AJ184" i="21"/>
  <c r="AI179" i="11"/>
  <c r="AI179" i="10"/>
  <c r="AI179" i="21"/>
  <c r="AJ176" i="11"/>
  <c r="AJ176" i="21"/>
  <c r="AI171" i="11"/>
  <c r="AI171" i="21"/>
  <c r="AI171" i="10"/>
  <c r="AJ168" i="11"/>
  <c r="AJ168" i="21"/>
  <c r="AI163" i="11"/>
  <c r="AI163" i="21"/>
  <c r="AI163" i="10"/>
  <c r="AJ160" i="11"/>
  <c r="AJ160" i="21"/>
  <c r="AI155" i="11"/>
  <c r="AI155" i="21"/>
  <c r="AJ152" i="11"/>
  <c r="AJ152" i="21"/>
  <c r="AI147" i="11"/>
  <c r="AI147" i="21"/>
  <c r="AJ144" i="11"/>
  <c r="AJ144" i="21"/>
  <c r="AI139" i="11"/>
  <c r="AI139" i="21"/>
  <c r="AJ136" i="11"/>
  <c r="AJ136" i="21"/>
  <c r="AI131" i="11"/>
  <c r="AI131" i="21"/>
  <c r="AJ128" i="11"/>
  <c r="AJ128" i="21"/>
  <c r="AI123" i="11"/>
  <c r="AI123" i="21"/>
  <c r="AJ120" i="11"/>
  <c r="AJ120" i="21"/>
  <c r="AI115" i="11"/>
  <c r="AI115" i="21"/>
  <c r="AJ112" i="11"/>
  <c r="AJ112" i="21"/>
  <c r="AI107" i="11"/>
  <c r="AI107" i="21"/>
  <c r="AJ104" i="11"/>
  <c r="AJ104" i="21"/>
  <c r="AI99" i="11"/>
  <c r="AI99" i="21"/>
  <c r="AJ96" i="11"/>
  <c r="AJ96" i="21"/>
  <c r="AI91" i="11"/>
  <c r="AI91" i="21"/>
  <c r="AJ88" i="11"/>
  <c r="AJ88" i="21"/>
  <c r="AI83" i="11"/>
  <c r="AI83" i="21"/>
  <c r="AJ80" i="11"/>
  <c r="AJ80" i="21"/>
  <c r="AI75" i="11"/>
  <c r="AI75" i="21"/>
  <c r="AJ72" i="11"/>
  <c r="AJ72" i="21"/>
  <c r="AI67" i="11"/>
  <c r="AI67" i="21"/>
  <c r="AJ64" i="11"/>
  <c r="AJ64" i="21"/>
  <c r="AI59" i="11"/>
  <c r="AI59" i="21"/>
  <c r="AJ56" i="11"/>
  <c r="AJ56" i="21"/>
  <c r="AI51" i="11"/>
  <c r="AI51" i="21"/>
  <c r="AJ48" i="11"/>
  <c r="AJ48" i="21"/>
  <c r="AI43" i="11"/>
  <c r="AI43" i="21"/>
  <c r="AJ40" i="11"/>
  <c r="AJ40" i="21"/>
  <c r="AI35" i="11"/>
  <c r="AI35" i="21"/>
  <c r="AJ32" i="11"/>
  <c r="AJ32" i="21"/>
  <c r="AI27" i="11"/>
  <c r="AI27" i="21"/>
  <c r="AJ24" i="11"/>
  <c r="AJ24" i="21"/>
  <c r="AI19" i="11"/>
  <c r="AI19" i="21"/>
  <c r="AJ16" i="11"/>
  <c r="AJ16" i="21"/>
  <c r="AI11" i="11"/>
  <c r="AI11" i="21"/>
  <c r="AJ8" i="11"/>
  <c r="AJ8" i="21"/>
  <c r="AJ4" i="10"/>
  <c r="AJ16" i="10"/>
  <c r="AI38" i="10"/>
  <c r="AI46" i="10"/>
  <c r="AH61" i="10"/>
  <c r="AJ64" i="10"/>
  <c r="AJ72" i="10"/>
  <c r="AJ80" i="10"/>
  <c r="AJ88" i="10"/>
  <c r="AI108" i="10"/>
  <c r="AJ121" i="10"/>
  <c r="AJ150" i="10"/>
  <c r="AJ158" i="10"/>
  <c r="AJ168" i="10"/>
  <c r="AI316" i="10"/>
  <c r="AI356" i="10"/>
  <c r="AJ344" i="21"/>
  <c r="AJ312" i="21"/>
  <c r="AJ280" i="21"/>
  <c r="AJ248" i="21"/>
  <c r="AJ216" i="21"/>
  <c r="AI365" i="11"/>
  <c r="AI319" i="11"/>
  <c r="AI319" i="21"/>
  <c r="AI271" i="11"/>
  <c r="AI271" i="21"/>
  <c r="AI255" i="11"/>
  <c r="AI255" i="21"/>
  <c r="AJ204" i="11"/>
  <c r="AJ204" i="21"/>
  <c r="AI183" i="11"/>
  <c r="AI183" i="21"/>
  <c r="AI103" i="11"/>
  <c r="AI103" i="21"/>
  <c r="AJ92" i="11"/>
  <c r="AJ92" i="21"/>
  <c r="AJ68" i="11"/>
  <c r="AJ68" i="21"/>
  <c r="AJ60" i="11"/>
  <c r="AJ60" i="21"/>
  <c r="AJ44" i="11"/>
  <c r="AJ44" i="21"/>
  <c r="AJ28" i="11"/>
  <c r="AJ28" i="21"/>
  <c r="AI7" i="11"/>
  <c r="AI7" i="21"/>
  <c r="AJ156" i="10"/>
  <c r="Z369" i="21"/>
  <c r="AI368" i="11"/>
  <c r="AI368" i="21"/>
  <c r="AJ365" i="11"/>
  <c r="AJ365" i="21"/>
  <c r="AI360" i="11"/>
  <c r="AI360" i="21"/>
  <c r="AJ357" i="11"/>
  <c r="AJ357" i="21"/>
  <c r="AJ357" i="10"/>
  <c r="AI352" i="11"/>
  <c r="AI352" i="10"/>
  <c r="AI352" i="21"/>
  <c r="AJ349" i="11"/>
  <c r="AJ349" i="10"/>
  <c r="AJ349" i="21"/>
  <c r="AI344" i="11"/>
  <c r="AI344" i="10"/>
  <c r="AI344" i="21"/>
  <c r="AJ341" i="11"/>
  <c r="AJ341" i="21"/>
  <c r="AI336" i="11"/>
  <c r="AI336" i="10"/>
  <c r="AI336" i="21"/>
  <c r="AJ333" i="11"/>
  <c r="AJ333" i="10"/>
  <c r="AJ333" i="21"/>
  <c r="AI328" i="11"/>
  <c r="AI328" i="10"/>
  <c r="AI328" i="21"/>
  <c r="AJ325" i="11"/>
  <c r="AJ325" i="10"/>
  <c r="AJ325" i="21"/>
  <c r="AI320" i="11"/>
  <c r="AI320" i="10"/>
  <c r="AI320" i="21"/>
  <c r="AJ317" i="11"/>
  <c r="AJ317" i="21"/>
  <c r="AJ317" i="10"/>
  <c r="AI312" i="11"/>
  <c r="AI312" i="21"/>
  <c r="AJ309" i="11"/>
  <c r="AJ309" i="21"/>
  <c r="AI304" i="11"/>
  <c r="AI304" i="21"/>
  <c r="AJ301" i="11"/>
  <c r="AJ301" i="21"/>
  <c r="AI296" i="11"/>
  <c r="AI296" i="21"/>
  <c r="AJ293" i="11"/>
  <c r="AJ293" i="21"/>
  <c r="AJ293" i="10"/>
  <c r="AI288" i="11"/>
  <c r="AI288" i="21"/>
  <c r="AJ285" i="11"/>
  <c r="AJ285" i="21"/>
  <c r="AJ285" i="10"/>
  <c r="AI280" i="11"/>
  <c r="AI280" i="21"/>
  <c r="AJ277" i="11"/>
  <c r="AJ277" i="21"/>
  <c r="AI272" i="11"/>
  <c r="AI272" i="10"/>
  <c r="AI272" i="21"/>
  <c r="AJ269" i="11"/>
  <c r="AJ269" i="21"/>
  <c r="AJ269" i="10"/>
  <c r="AI264" i="11"/>
  <c r="AI264" i="21"/>
  <c r="AJ261" i="11"/>
  <c r="AJ261" i="21"/>
  <c r="AI256" i="11"/>
  <c r="AI256" i="21"/>
  <c r="AJ253" i="11"/>
  <c r="AJ253" i="10"/>
  <c r="AJ253" i="21"/>
  <c r="AI248" i="11"/>
  <c r="AI248" i="21"/>
  <c r="AJ245" i="11"/>
  <c r="AJ245" i="10"/>
  <c r="AJ245" i="21"/>
  <c r="AI240" i="11"/>
  <c r="AI240" i="10"/>
  <c r="AI240" i="21"/>
  <c r="AJ237" i="11"/>
  <c r="AJ237" i="21"/>
  <c r="AI232" i="11"/>
  <c r="AI232" i="21"/>
  <c r="AJ229" i="11"/>
  <c r="AJ229" i="21"/>
  <c r="AJ229" i="10"/>
  <c r="AI224" i="11"/>
  <c r="AI224" i="10"/>
  <c r="AI224" i="21"/>
  <c r="AJ221" i="11"/>
  <c r="AJ221" i="21"/>
  <c r="AJ221" i="10"/>
  <c r="AI216" i="11"/>
  <c r="AI216" i="10"/>
  <c r="AI216" i="21"/>
  <c r="AJ213" i="11"/>
  <c r="AJ213" i="21"/>
  <c r="AJ213" i="10"/>
  <c r="AI208" i="11"/>
  <c r="AI208" i="21"/>
  <c r="AI208" i="10"/>
  <c r="AJ205" i="11"/>
  <c r="AJ205" i="21"/>
  <c r="AJ205" i="10"/>
  <c r="AI200" i="21"/>
  <c r="AI200" i="11"/>
  <c r="AI200" i="10"/>
  <c r="AJ197" i="11"/>
  <c r="AJ197" i="21"/>
  <c r="AJ197" i="10"/>
  <c r="AI192" i="21"/>
  <c r="AI192" i="11"/>
  <c r="AI192" i="10"/>
  <c r="AJ189" i="11"/>
  <c r="AJ189" i="21"/>
  <c r="AJ189" i="10"/>
  <c r="AI184" i="21"/>
  <c r="AI184" i="11"/>
  <c r="AI184" i="10"/>
  <c r="AJ181" i="11"/>
  <c r="AJ181" i="21"/>
  <c r="AI176" i="11"/>
  <c r="AI176" i="21"/>
  <c r="AJ173" i="11"/>
  <c r="AJ173" i="21"/>
  <c r="AJ173" i="10"/>
  <c r="AI168" i="21"/>
  <c r="AI168" i="11"/>
  <c r="AI168" i="10"/>
  <c r="AJ165" i="11"/>
  <c r="AJ165" i="21"/>
  <c r="AI160" i="21"/>
  <c r="AI160" i="11"/>
  <c r="AJ157" i="11"/>
  <c r="AJ157" i="21"/>
  <c r="AI152" i="21"/>
  <c r="AI152" i="11"/>
  <c r="AJ149" i="11"/>
  <c r="AJ149" i="21"/>
  <c r="AI144" i="21"/>
  <c r="AI144" i="11"/>
  <c r="AJ141" i="11"/>
  <c r="AJ141" i="21"/>
  <c r="AI136" i="11"/>
  <c r="AI136" i="21"/>
  <c r="AJ133" i="11"/>
  <c r="AJ133" i="21"/>
  <c r="AI128" i="11"/>
  <c r="AI128" i="21"/>
  <c r="AJ125" i="11"/>
  <c r="AJ125" i="21"/>
  <c r="AI120" i="11"/>
  <c r="AI120" i="21"/>
  <c r="AJ117" i="11"/>
  <c r="AJ117" i="21"/>
  <c r="AI112" i="11"/>
  <c r="AI112" i="21"/>
  <c r="AJ109" i="11"/>
  <c r="AJ109" i="21"/>
  <c r="AI104" i="11"/>
  <c r="AI104" i="21"/>
  <c r="AJ101" i="11"/>
  <c r="AJ101" i="21"/>
  <c r="AI96" i="11"/>
  <c r="AI96" i="21"/>
  <c r="AJ93" i="11"/>
  <c r="AJ93" i="21"/>
  <c r="AI88" i="11"/>
  <c r="AI88" i="21"/>
  <c r="AJ85" i="11"/>
  <c r="AJ85" i="21"/>
  <c r="AI80" i="11"/>
  <c r="AI80" i="21"/>
  <c r="AJ77" i="11"/>
  <c r="AJ77" i="21"/>
  <c r="AI72" i="11"/>
  <c r="AI72" i="21"/>
  <c r="AJ69" i="11"/>
  <c r="AJ69" i="21"/>
  <c r="AI64" i="11"/>
  <c r="AI64" i="21"/>
  <c r="AJ61" i="11"/>
  <c r="AJ61" i="21"/>
  <c r="AI56" i="11"/>
  <c r="AI56" i="21"/>
  <c r="AJ53" i="11"/>
  <c r="AJ53" i="21"/>
  <c r="AI48" i="11"/>
  <c r="AI48" i="21"/>
  <c r="AJ45" i="11"/>
  <c r="AJ45" i="21"/>
  <c r="AI40" i="11"/>
  <c r="AI40" i="21"/>
  <c r="AJ37" i="11"/>
  <c r="AJ37" i="21"/>
  <c r="AI32" i="11"/>
  <c r="AI32" i="21"/>
  <c r="AJ29" i="11"/>
  <c r="AJ29" i="21"/>
  <c r="AI24" i="11"/>
  <c r="AI24" i="21"/>
  <c r="AJ21" i="11"/>
  <c r="AJ21" i="21"/>
  <c r="AI16" i="11"/>
  <c r="AI16" i="21"/>
  <c r="AJ13" i="11"/>
  <c r="AJ13" i="21"/>
  <c r="AI8" i="11"/>
  <c r="AI8" i="21"/>
  <c r="AJ5" i="11"/>
  <c r="AJ5" i="21"/>
  <c r="AI17" i="10"/>
  <c r="AI27" i="10"/>
  <c r="AI35" i="10"/>
  <c r="AJ38" i="10"/>
  <c r="AJ46" i="10"/>
  <c r="AI65" i="10"/>
  <c r="AI73" i="10"/>
  <c r="AI81" i="10"/>
  <c r="AI89" i="10"/>
  <c r="AH93" i="10"/>
  <c r="AI118" i="10"/>
  <c r="AI147" i="10"/>
  <c r="AI155" i="10"/>
  <c r="AI159" i="10"/>
  <c r="AJ214" i="10"/>
  <c r="AI257" i="10"/>
  <c r="AI360" i="10"/>
  <c r="AJ340" i="21"/>
  <c r="AJ308" i="21"/>
  <c r="AJ276" i="21"/>
  <c r="AJ244" i="21"/>
  <c r="AI311" i="11"/>
  <c r="AI311" i="21"/>
  <c r="AJ292" i="11"/>
  <c r="AJ292" i="10"/>
  <c r="AJ228" i="11"/>
  <c r="AJ228" i="10"/>
  <c r="AJ188" i="11"/>
  <c r="AJ188" i="21"/>
  <c r="AI167" i="11"/>
  <c r="AI167" i="21"/>
  <c r="AI167" i="10"/>
  <c r="AI135" i="11"/>
  <c r="AI135" i="21"/>
  <c r="AJ76" i="11"/>
  <c r="AJ76" i="21"/>
  <c r="AI55" i="11"/>
  <c r="AI55" i="21"/>
  <c r="AI39" i="11"/>
  <c r="AI39" i="21"/>
  <c r="AJ12" i="11"/>
  <c r="AJ12" i="21"/>
  <c r="K368" i="21"/>
  <c r="AJ362" i="11"/>
  <c r="AJ362" i="10"/>
  <c r="AJ362" i="21"/>
  <c r="AI357" i="21"/>
  <c r="AI357" i="11"/>
  <c r="AI357" i="10"/>
  <c r="AJ354" i="11"/>
  <c r="AJ354" i="21"/>
  <c r="AI349" i="21"/>
  <c r="AI349" i="10"/>
  <c r="AI349" i="11"/>
  <c r="AJ346" i="11"/>
  <c r="AJ346" i="21"/>
  <c r="AJ346" i="10"/>
  <c r="AI341" i="11"/>
  <c r="AI341" i="21"/>
  <c r="AJ338" i="11"/>
  <c r="AJ338" i="21"/>
  <c r="AJ338" i="10"/>
  <c r="AI333" i="11"/>
  <c r="AI333" i="21"/>
  <c r="AI333" i="10"/>
  <c r="AJ330" i="11"/>
  <c r="AJ330" i="21"/>
  <c r="AJ330" i="10"/>
  <c r="AI325" i="11"/>
  <c r="AI325" i="21"/>
  <c r="AI325" i="10"/>
  <c r="AJ322" i="21"/>
  <c r="AJ322" i="10"/>
  <c r="AI317" i="11"/>
  <c r="AI317" i="21"/>
  <c r="AI317" i="10"/>
  <c r="AJ314" i="21"/>
  <c r="AJ314" i="11"/>
  <c r="AI309" i="11"/>
  <c r="AI309" i="21"/>
  <c r="AJ306" i="10"/>
  <c r="AJ306" i="21"/>
  <c r="AJ306" i="11"/>
  <c r="AI301" i="11"/>
  <c r="AI301" i="21"/>
  <c r="AJ298" i="21"/>
  <c r="AJ298" i="11"/>
  <c r="AI293" i="11"/>
  <c r="AI293" i="21"/>
  <c r="AI293" i="10"/>
  <c r="AJ290" i="10"/>
  <c r="AJ290" i="11"/>
  <c r="AJ290" i="21"/>
  <c r="AI285" i="11"/>
  <c r="AI285" i="21"/>
  <c r="AI285" i="10"/>
  <c r="AJ282" i="10"/>
  <c r="AJ282" i="11"/>
  <c r="AJ282" i="21"/>
  <c r="AI277" i="11"/>
  <c r="AI277" i="21"/>
  <c r="AJ274" i="11"/>
  <c r="AJ274" i="21"/>
  <c r="AI269" i="11"/>
  <c r="AI269" i="21"/>
  <c r="AJ266" i="11"/>
  <c r="AJ266" i="21"/>
  <c r="AI261" i="11"/>
  <c r="AI261" i="21"/>
  <c r="AJ258" i="21"/>
  <c r="AJ258" i="10"/>
  <c r="AI253" i="11"/>
  <c r="AI253" i="21"/>
  <c r="AI253" i="10"/>
  <c r="AJ250" i="21"/>
  <c r="AJ250" i="11"/>
  <c r="AJ250" i="10"/>
  <c r="AI245" i="11"/>
  <c r="AI245" i="21"/>
  <c r="AI245" i="10"/>
  <c r="AJ242" i="21"/>
  <c r="AJ242" i="11"/>
  <c r="AI237" i="11"/>
  <c r="AI237" i="21"/>
  <c r="AJ234" i="21"/>
  <c r="AJ234" i="11"/>
  <c r="AJ234" i="10"/>
  <c r="AI229" i="11"/>
  <c r="AI229" i="21"/>
  <c r="AI229" i="10"/>
  <c r="AJ226" i="11"/>
  <c r="AJ226" i="21"/>
  <c r="AI221" i="11"/>
  <c r="AI221" i="21"/>
  <c r="AI221" i="10"/>
  <c r="AJ218" i="11"/>
  <c r="AJ218" i="21"/>
  <c r="AI213" i="11"/>
  <c r="AI213" i="21"/>
  <c r="AI213" i="10"/>
  <c r="AJ210" i="11"/>
  <c r="AJ210" i="21"/>
  <c r="AI205" i="11"/>
  <c r="AI205" i="21"/>
  <c r="AI205" i="10"/>
  <c r="AJ202" i="11"/>
  <c r="AJ202" i="21"/>
  <c r="AJ202" i="10"/>
  <c r="AI197" i="11"/>
  <c r="AI197" i="21"/>
  <c r="AI197" i="10"/>
  <c r="AJ194" i="11"/>
  <c r="AJ194" i="21"/>
  <c r="AJ194" i="10"/>
  <c r="AI189" i="11"/>
  <c r="AI189" i="21"/>
  <c r="AI189" i="10"/>
  <c r="AJ186" i="21"/>
  <c r="AJ186" i="10"/>
  <c r="AI181" i="11"/>
  <c r="AI181" i="21"/>
  <c r="AJ178" i="11"/>
  <c r="AJ178" i="21"/>
  <c r="AI173" i="11"/>
  <c r="AI173" i="21"/>
  <c r="AI173" i="10"/>
  <c r="AJ170" i="11"/>
  <c r="AJ170" i="21"/>
  <c r="AJ170" i="10"/>
  <c r="AI165" i="11"/>
  <c r="AI165" i="21"/>
  <c r="AJ162" i="11"/>
  <c r="AJ162" i="21"/>
  <c r="AI157" i="11"/>
  <c r="AI157" i="21"/>
  <c r="AJ154" i="11"/>
  <c r="AJ154" i="21"/>
  <c r="AI149" i="11"/>
  <c r="AI149" i="21"/>
  <c r="AJ146" i="11"/>
  <c r="AJ146" i="21"/>
  <c r="AI141" i="11"/>
  <c r="AI141" i="21"/>
  <c r="AJ138" i="11"/>
  <c r="AJ138" i="21"/>
  <c r="AI133" i="11"/>
  <c r="AI133" i="21"/>
  <c r="AJ130" i="11"/>
  <c r="AJ130" i="21"/>
  <c r="AI125" i="11"/>
  <c r="AI125" i="21"/>
  <c r="AJ122" i="11"/>
  <c r="AJ122" i="21"/>
  <c r="AI117" i="11"/>
  <c r="AI117" i="21"/>
  <c r="AJ114" i="11"/>
  <c r="AJ114" i="21"/>
  <c r="AI109" i="11"/>
  <c r="AI109" i="21"/>
  <c r="AJ106" i="11"/>
  <c r="AJ106" i="21"/>
  <c r="AI101" i="11"/>
  <c r="AI101" i="21"/>
  <c r="AJ98" i="11"/>
  <c r="AJ98" i="21"/>
  <c r="AI93" i="11"/>
  <c r="AI93" i="21"/>
  <c r="AJ90" i="11"/>
  <c r="AJ90" i="21"/>
  <c r="AI85" i="11"/>
  <c r="AI85" i="21"/>
  <c r="AJ82" i="11"/>
  <c r="AJ82" i="21"/>
  <c r="AI77" i="11"/>
  <c r="AI77" i="21"/>
  <c r="AJ74" i="11"/>
  <c r="AJ74" i="21"/>
  <c r="AI69" i="11"/>
  <c r="AI69" i="21"/>
  <c r="AJ66" i="11"/>
  <c r="AJ66" i="21"/>
  <c r="AI61" i="11"/>
  <c r="AI61" i="21"/>
  <c r="AJ58" i="11"/>
  <c r="AJ58" i="21"/>
  <c r="AI53" i="11"/>
  <c r="AI53" i="21"/>
  <c r="AJ50" i="11"/>
  <c r="AJ50" i="21"/>
  <c r="AI45" i="11"/>
  <c r="AI45" i="21"/>
  <c r="AJ42" i="11"/>
  <c r="AJ42" i="21"/>
  <c r="AI37" i="11"/>
  <c r="AI37" i="21"/>
  <c r="AJ34" i="11"/>
  <c r="AJ34" i="21"/>
  <c r="AI29" i="11"/>
  <c r="AI29" i="21"/>
  <c r="AJ26" i="11"/>
  <c r="AJ26" i="21"/>
  <c r="AI21" i="11"/>
  <c r="AI21" i="21"/>
  <c r="AJ18" i="11"/>
  <c r="AJ18" i="21"/>
  <c r="AI13" i="11"/>
  <c r="AI13" i="21"/>
  <c r="AJ10" i="11"/>
  <c r="AJ10" i="21"/>
  <c r="AI5" i="11"/>
  <c r="AI5" i="21"/>
  <c r="AJ10" i="10"/>
  <c r="AI39" i="10"/>
  <c r="AI47" i="10"/>
  <c r="AI51" i="10"/>
  <c r="AJ61" i="10"/>
  <c r="AJ65" i="10"/>
  <c r="AJ69" i="10"/>
  <c r="AJ73" i="10"/>
  <c r="AJ77" i="10"/>
  <c r="AJ81" i="10"/>
  <c r="AJ89" i="10"/>
  <c r="AI93" i="10"/>
  <c r="AI105" i="10"/>
  <c r="AJ118" i="10"/>
  <c r="AJ122" i="10"/>
  <c r="AJ147" i="10"/>
  <c r="AJ155" i="10"/>
  <c r="AJ184" i="10"/>
  <c r="AJ218" i="10"/>
  <c r="AI264" i="10"/>
  <c r="AI326" i="10"/>
  <c r="AJ368" i="21"/>
  <c r="AJ336" i="21"/>
  <c r="AJ304" i="21"/>
  <c r="AJ272" i="21"/>
  <c r="AJ240" i="21"/>
  <c r="AJ258" i="11"/>
  <c r="AJ252" i="11"/>
  <c r="AJ252" i="10"/>
  <c r="AJ236" i="11"/>
  <c r="AJ236" i="10"/>
  <c r="AI223" i="11"/>
  <c r="AI223" i="21"/>
  <c r="AI223" i="10"/>
  <c r="AJ212" i="11"/>
  <c r="AJ212" i="10"/>
  <c r="AI199" i="11"/>
  <c r="AI199" i="21"/>
  <c r="AI199" i="10"/>
  <c r="AI191" i="11"/>
  <c r="AI191" i="10"/>
  <c r="AJ180" i="11"/>
  <c r="AJ180" i="21"/>
  <c r="AJ172" i="11"/>
  <c r="AJ172" i="21"/>
  <c r="AJ164" i="11"/>
  <c r="AJ164" i="21"/>
  <c r="AJ164" i="10"/>
  <c r="AI151" i="11"/>
  <c r="AI151" i="21"/>
  <c r="AJ140" i="11"/>
  <c r="AJ140" i="21"/>
  <c r="AJ116" i="11"/>
  <c r="AJ116" i="21"/>
  <c r="AJ108" i="11"/>
  <c r="AJ108" i="21"/>
  <c r="AI87" i="11"/>
  <c r="AI87" i="21"/>
  <c r="AI71" i="11"/>
  <c r="AI71" i="21"/>
  <c r="AJ52" i="11"/>
  <c r="AJ52" i="21"/>
  <c r="AJ20" i="11"/>
  <c r="AJ20" i="21"/>
  <c r="AJ36" i="10"/>
  <c r="AJ367" i="11"/>
  <c r="AJ367" i="21"/>
  <c r="AI362" i="11"/>
  <c r="AI362" i="21"/>
  <c r="AI362" i="10"/>
  <c r="AJ359" i="11"/>
  <c r="AJ359" i="10"/>
  <c r="AJ359" i="21"/>
  <c r="AI354" i="11"/>
  <c r="AI354" i="21"/>
  <c r="AJ351" i="11"/>
  <c r="AJ351" i="10"/>
  <c r="AJ351" i="21"/>
  <c r="AI346" i="11"/>
  <c r="AI346" i="21"/>
  <c r="AJ343" i="11"/>
  <c r="AJ343" i="21"/>
  <c r="AI338" i="11"/>
  <c r="AI338" i="21"/>
  <c r="AJ335" i="11"/>
  <c r="AJ335" i="10"/>
  <c r="AJ335" i="21"/>
  <c r="AI330" i="11"/>
  <c r="AI330" i="21"/>
  <c r="AJ327" i="11"/>
  <c r="AJ327" i="10"/>
  <c r="AJ327" i="21"/>
  <c r="AI322" i="11"/>
  <c r="AI322" i="21"/>
  <c r="AJ319" i="11"/>
  <c r="AJ319" i="21"/>
  <c r="AI314" i="11"/>
  <c r="AI314" i="21"/>
  <c r="AJ311" i="11"/>
  <c r="AJ311" i="21"/>
  <c r="AI306" i="11"/>
  <c r="AI306" i="21"/>
  <c r="AI306" i="10"/>
  <c r="AJ303" i="11"/>
  <c r="AJ303" i="10"/>
  <c r="AJ303" i="21"/>
  <c r="AI298" i="11"/>
  <c r="AI298" i="21"/>
  <c r="AJ295" i="11"/>
  <c r="AJ295" i="21"/>
  <c r="AI290" i="11"/>
  <c r="AI290" i="21"/>
  <c r="AI290" i="10"/>
  <c r="AJ287" i="11"/>
  <c r="AJ287" i="21"/>
  <c r="AI282" i="11"/>
  <c r="AI282" i="10"/>
  <c r="AI282" i="21"/>
  <c r="AJ279" i="11"/>
  <c r="AJ279" i="21"/>
  <c r="AI274" i="11"/>
  <c r="AI274" i="21"/>
  <c r="AJ271" i="11"/>
  <c r="AJ271" i="21"/>
  <c r="AI266" i="11"/>
  <c r="AI266" i="21"/>
  <c r="AJ263" i="11"/>
  <c r="AJ263" i="10"/>
  <c r="AJ263" i="21"/>
  <c r="AI258" i="11"/>
  <c r="AI258" i="21"/>
  <c r="AI258" i="10"/>
  <c r="AJ255" i="11"/>
  <c r="AJ255" i="21"/>
  <c r="AI250" i="11"/>
  <c r="AI250" i="21"/>
  <c r="AJ247" i="11"/>
  <c r="AJ247" i="21"/>
  <c r="AH245" i="11"/>
  <c r="AH245" i="10"/>
  <c r="AI242" i="11"/>
  <c r="AI242" i="10"/>
  <c r="AI242" i="21"/>
  <c r="AJ239" i="11"/>
  <c r="AJ239" i="21"/>
  <c r="AJ239" i="10"/>
  <c r="AI234" i="11"/>
  <c r="AI234" i="21"/>
  <c r="AI234" i="10"/>
  <c r="AJ231" i="11"/>
  <c r="AJ231" i="21"/>
  <c r="AI226" i="11"/>
  <c r="AI226" i="10"/>
  <c r="AI226" i="21"/>
  <c r="AJ223" i="11"/>
  <c r="AJ223" i="21"/>
  <c r="AJ223" i="10"/>
  <c r="AI218" i="11"/>
  <c r="AI218" i="10"/>
  <c r="AI218" i="21"/>
  <c r="AJ215" i="11"/>
  <c r="AJ215" i="21"/>
  <c r="AJ215" i="10"/>
  <c r="AI210" i="11"/>
  <c r="AI210" i="21"/>
  <c r="AI210" i="10"/>
  <c r="AJ207" i="21"/>
  <c r="AJ207" i="11"/>
  <c r="AI202" i="11"/>
  <c r="AI202" i="21"/>
  <c r="AI202" i="10"/>
  <c r="AJ199" i="21"/>
  <c r="AJ199" i="11"/>
  <c r="AJ199" i="10"/>
  <c r="AI194" i="11"/>
  <c r="AI194" i="21"/>
  <c r="AI194" i="10"/>
  <c r="AJ191" i="21"/>
  <c r="AJ191" i="11"/>
  <c r="AJ191" i="10"/>
  <c r="AI186" i="11"/>
  <c r="AI186" i="21"/>
  <c r="AI186" i="10"/>
  <c r="AJ183" i="21"/>
  <c r="AJ183" i="11"/>
  <c r="AI178" i="11"/>
  <c r="AI178" i="21"/>
  <c r="AJ175" i="21"/>
  <c r="AJ175" i="11"/>
  <c r="AI170" i="11"/>
  <c r="AI170" i="21"/>
  <c r="AI170" i="10"/>
  <c r="AJ167" i="21"/>
  <c r="AJ167" i="11"/>
  <c r="AJ167" i="10"/>
  <c r="AI162" i="11"/>
  <c r="AI162" i="21"/>
  <c r="AI162" i="10"/>
  <c r="AJ159" i="21"/>
  <c r="AJ159" i="11"/>
  <c r="AI154" i="11"/>
  <c r="AI154" i="21"/>
  <c r="AJ151" i="21"/>
  <c r="AJ151" i="11"/>
  <c r="AI146" i="11"/>
  <c r="AI146" i="21"/>
  <c r="AJ143" i="21"/>
  <c r="AJ143" i="11"/>
  <c r="AI138" i="11"/>
  <c r="AI138" i="21"/>
  <c r="AJ135" i="11"/>
  <c r="AJ135" i="21"/>
  <c r="AI130" i="11"/>
  <c r="AI130" i="21"/>
  <c r="AJ127" i="21"/>
  <c r="AJ127" i="11"/>
  <c r="AI122" i="11"/>
  <c r="AI122" i="21"/>
  <c r="AJ119" i="21"/>
  <c r="AJ119" i="11"/>
  <c r="AI114" i="11"/>
  <c r="AI114" i="21"/>
  <c r="AJ111" i="21"/>
  <c r="AJ111" i="11"/>
  <c r="AI106" i="11"/>
  <c r="AI106" i="21"/>
  <c r="AJ103" i="11"/>
  <c r="AJ103" i="21"/>
  <c r="AI98" i="11"/>
  <c r="AI98" i="21"/>
  <c r="AJ95" i="21"/>
  <c r="AJ95" i="11"/>
  <c r="AI90" i="11"/>
  <c r="AI90" i="21"/>
  <c r="AJ87" i="21"/>
  <c r="AJ87" i="11"/>
  <c r="AI82" i="11"/>
  <c r="AI82" i="21"/>
  <c r="AJ79" i="21"/>
  <c r="AJ79" i="11"/>
  <c r="AI74" i="11"/>
  <c r="AI74" i="21"/>
  <c r="AJ71" i="11"/>
  <c r="AJ71" i="21"/>
  <c r="AI66" i="11"/>
  <c r="AI66" i="21"/>
  <c r="AJ63" i="21"/>
  <c r="AJ63" i="11"/>
  <c r="AI58" i="11"/>
  <c r="AI58" i="21"/>
  <c r="AJ55" i="21"/>
  <c r="AJ55" i="11"/>
  <c r="AI50" i="11"/>
  <c r="AI50" i="21"/>
  <c r="AJ47" i="21"/>
  <c r="AJ47" i="11"/>
  <c r="AI42" i="11"/>
  <c r="AI42" i="21"/>
  <c r="AJ39" i="11"/>
  <c r="AJ39" i="21"/>
  <c r="AI34" i="11"/>
  <c r="AI34" i="21"/>
  <c r="AJ31" i="21"/>
  <c r="AJ31" i="11"/>
  <c r="AI26" i="11"/>
  <c r="AI26" i="21"/>
  <c r="AJ23" i="21"/>
  <c r="AJ23" i="11"/>
  <c r="AI18" i="11"/>
  <c r="AI18" i="21"/>
  <c r="AJ15" i="21"/>
  <c r="AJ15" i="11"/>
  <c r="AI10" i="11"/>
  <c r="AI10" i="21"/>
  <c r="AJ7" i="11"/>
  <c r="AJ7" i="21"/>
  <c r="AI12" i="10"/>
  <c r="AI18" i="10"/>
  <c r="AI32" i="10"/>
  <c r="AI36" i="10"/>
  <c r="AJ39" i="10"/>
  <c r="AJ43" i="10"/>
  <c r="AJ47" i="10"/>
  <c r="AJ51" i="10"/>
  <c r="AJ58" i="10"/>
  <c r="AI62" i="10"/>
  <c r="AI66" i="10"/>
  <c r="AI70" i="10"/>
  <c r="AI74" i="10"/>
  <c r="AI78" i="10"/>
  <c r="AI82" i="10"/>
  <c r="AI90" i="10"/>
  <c r="AJ93" i="10"/>
  <c r="AJ105" i="10"/>
  <c r="AJ114" i="10"/>
  <c r="AI119" i="10"/>
  <c r="AI123" i="10"/>
  <c r="AI148" i="10"/>
  <c r="AI152" i="10"/>
  <c r="AI156" i="10"/>
  <c r="AI160" i="10"/>
  <c r="AJ188" i="10"/>
  <c r="AJ222" i="10"/>
  <c r="AI269" i="10"/>
  <c r="AI330" i="10"/>
  <c r="AJ332" i="21"/>
  <c r="AJ300" i="21"/>
  <c r="AJ268" i="21"/>
  <c r="AJ236" i="21"/>
  <c r="AI159" i="21"/>
  <c r="AJ186" i="1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J3" i="11"/>
  <c r="AG368" i="10"/>
  <c r="Y369" i="21"/>
  <c r="Z368" i="21"/>
  <c r="B368" i="21"/>
  <c r="O368" i="11"/>
  <c r="AJ3" i="10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J2" i="10" l="1"/>
  <c r="AI2" i="21"/>
  <c r="AJ2" i="11"/>
  <c r="AI2" i="11"/>
  <c r="AI2" i="10"/>
  <c r="AJ2" i="21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B2" i="21" l="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F31" i="14"/>
  <c r="F30" i="14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D17" i="14" s="1"/>
  <c r="M2" i="21"/>
  <c r="D9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D16" i="14" s="1"/>
  <c r="L2" i="21"/>
  <c r="D8" i="14" s="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D15" i="14" s="1"/>
  <c r="K2" i="21"/>
  <c r="D7" i="14" s="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D21" i="14" s="1"/>
  <c r="Q2" i="21"/>
  <c r="D13" i="14" s="1"/>
  <c r="I2" i="21"/>
  <c r="D5" i="14" s="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D6" i="14" s="1"/>
  <c r="X2" i="21"/>
  <c r="D20" i="14" s="1"/>
  <c r="P2" i="21"/>
  <c r="D12" i="14" s="1"/>
  <c r="H2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D14" i="14" s="1"/>
  <c r="AF249" i="11"/>
  <c r="AF249" i="21"/>
  <c r="W2" i="21"/>
  <c r="D19" i="14" s="1"/>
  <c r="O2" i="21"/>
  <c r="D11" i="14" s="1"/>
  <c r="G2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N2" i="21"/>
  <c r="D10" i="14" s="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7" i="14"/>
  <c r="F19" i="14"/>
  <c r="F11" i="14"/>
  <c r="F6" i="14"/>
  <c r="F26" i="14"/>
  <c r="F18" i="14"/>
  <c r="F10" i="14"/>
  <c r="F5" i="14"/>
  <c r="F25" i="14"/>
  <c r="F17" i="14"/>
  <c r="F9" i="14"/>
  <c r="F4" i="14"/>
  <c r="F24" i="14"/>
  <c r="F16" i="14"/>
  <c r="F8" i="14"/>
  <c r="F3" i="14"/>
  <c r="F23" i="14"/>
  <c r="F15" i="14"/>
  <c r="F7" i="14"/>
  <c r="F29" i="14"/>
  <c r="F21" i="14"/>
  <c r="F13" i="14"/>
  <c r="F2" i="14"/>
  <c r="F22" i="14"/>
  <c r="F14" i="14"/>
  <c r="F28" i="14"/>
  <c r="F20" i="14"/>
  <c r="F1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B12" i="14" l="1"/>
  <c r="D22" i="14"/>
  <c r="D18" i="14"/>
  <c r="AH2" i="11"/>
  <c r="AD2" i="10"/>
  <c r="AE2" i="10"/>
  <c r="AF2" i="10"/>
  <c r="AG2" i="10"/>
  <c r="AH2" i="10"/>
  <c r="W1" i="9"/>
  <c r="AG2" i="21"/>
  <c r="D1" i="11"/>
  <c r="F2" i="10"/>
  <c r="C2" i="14" s="1"/>
  <c r="O2" i="11"/>
  <c r="B11" i="14" s="1"/>
  <c r="D1" i="10"/>
  <c r="AE2" i="21"/>
  <c r="AF2" i="21"/>
  <c r="AB2" i="10"/>
  <c r="AC2" i="10"/>
  <c r="AA2" i="10"/>
  <c r="K2" i="10"/>
  <c r="C7" i="14" s="1"/>
  <c r="AG2" i="11"/>
  <c r="Z2" i="10"/>
  <c r="X2" i="10"/>
  <c r="C20" i="14" s="1"/>
  <c r="Y2" i="10"/>
  <c r="C21" i="14" s="1"/>
  <c r="W2" i="10"/>
  <c r="C19" i="14" s="1"/>
  <c r="V2" i="10"/>
  <c r="U2" i="10"/>
  <c r="C17" i="14" s="1"/>
  <c r="T2" i="10"/>
  <c r="C16" i="14" s="1"/>
  <c r="R2" i="11"/>
  <c r="B14" i="14" s="1"/>
  <c r="R2" i="10"/>
  <c r="C14" i="14" s="1"/>
  <c r="Q2" i="10"/>
  <c r="C13" i="14" s="1"/>
  <c r="S2" i="10"/>
  <c r="C15" i="14" s="1"/>
  <c r="P2" i="10"/>
  <c r="C12" i="14" s="1"/>
  <c r="J2" i="10"/>
  <c r="C6" i="14" s="1"/>
  <c r="O2" i="10"/>
  <c r="C11" i="14" s="1"/>
  <c r="N2" i="10"/>
  <c r="C10" i="14" s="1"/>
  <c r="M2" i="10"/>
  <c r="C9" i="14" s="1"/>
  <c r="L2" i="10"/>
  <c r="C8" i="14" s="1"/>
  <c r="P2" i="11"/>
  <c r="AB2" i="11"/>
  <c r="V2" i="11"/>
  <c r="G2" i="11"/>
  <c r="Q2" i="11"/>
  <c r="B13" i="14" s="1"/>
  <c r="K2" i="11"/>
  <c r="B7" i="14" s="1"/>
  <c r="AA2" i="11"/>
  <c r="L2" i="11"/>
  <c r="B8" i="14" s="1"/>
  <c r="AC2" i="11"/>
  <c r="F2" i="11"/>
  <c r="B2" i="14" s="1"/>
  <c r="U2" i="11"/>
  <c r="B17" i="14" s="1"/>
  <c r="AE2" i="11"/>
  <c r="AF2" i="11"/>
  <c r="X2" i="11"/>
  <c r="B20" i="14" s="1"/>
  <c r="AD2" i="11"/>
  <c r="Y2" i="11"/>
  <c r="B21" i="14" s="1"/>
  <c r="Z2" i="11"/>
  <c r="S2" i="11"/>
  <c r="B15" i="14" s="1"/>
  <c r="M2" i="11"/>
  <c r="B9" i="14" s="1"/>
  <c r="H2" i="11"/>
  <c r="T2" i="11"/>
  <c r="B16" i="14" s="1"/>
  <c r="N2" i="11"/>
  <c r="B10" i="14" s="1"/>
  <c r="I2" i="11"/>
  <c r="B5" i="14" s="1"/>
  <c r="J2" i="11"/>
  <c r="B6" i="14" s="1"/>
  <c r="W2" i="11"/>
  <c r="B19" i="14" s="1"/>
  <c r="I2" i="10"/>
  <c r="C5" i="14" s="1"/>
  <c r="H2" i="10"/>
  <c r="G2" i="10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5" i="14" l="1"/>
  <c r="G5" i="14" s="1"/>
  <c r="E15" i="14"/>
  <c r="G15" i="14" s="1"/>
  <c r="E21" i="14"/>
  <c r="G21" i="14" s="1"/>
  <c r="E13" i="14"/>
  <c r="G13" i="14" s="1"/>
  <c r="E20" i="14"/>
  <c r="G20" i="14" s="1"/>
  <c r="E8" i="14"/>
  <c r="G8" i="14" s="1"/>
  <c r="E14" i="14"/>
  <c r="G14" i="14" s="1"/>
  <c r="E9" i="14"/>
  <c r="G9" i="14" s="1"/>
  <c r="E10" i="14"/>
  <c r="G10" i="14" s="1"/>
  <c r="E16" i="14"/>
  <c r="G16" i="14" s="1"/>
  <c r="E7" i="14"/>
  <c r="G7" i="14" s="1"/>
  <c r="E11" i="14"/>
  <c r="G11" i="14" s="1"/>
  <c r="E17" i="14"/>
  <c r="G17" i="14" s="1"/>
  <c r="E6" i="14"/>
  <c r="G6" i="14" s="1"/>
  <c r="B18" i="14"/>
  <c r="E12" i="14"/>
  <c r="G12" i="14" s="1"/>
  <c r="E19" i="14"/>
  <c r="G19" i="14" s="1"/>
  <c r="B22" i="14"/>
  <c r="C22" i="14"/>
  <c r="C18" i="14"/>
  <c r="E18" i="14" s="1"/>
  <c r="G18" i="14" s="1"/>
  <c r="E2" i="14"/>
  <c r="G2" i="14" s="1"/>
  <c r="E22" i="14" l="1"/>
  <c r="G2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<sst xmlns="http://schemas.openxmlformats.org/spreadsheetml/2006/main" count="3360" uniqueCount="1351">
  <si>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</si>
  <si>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</si>
  <si>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</si>
  <si>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</si>
  <si>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</si>
  <si>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</si>
  <si>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</si>
  <si>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</si>
  <si>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</si>
  <si>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</si>
  <si>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</si>
  <si>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</si>
  <si>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</si>
  <si>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</si>
  <si>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</si>
  <si>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</si>
  <si>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</si>
  <si>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</si>
  <si>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</si>
  <si>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</si>
  <si>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</si>
  <si>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</si>
  <si>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</si>
  <si>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</si>
  <si>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</si>
  <si>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</si>
  <si>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</si>
  <si>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</si>
  <si>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</si>
  <si>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</si>
  <si>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</si>
  <si>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</si>
  <si>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</si>
  <si>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</si>
  <si>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</si>
  <si>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</si>
  <si>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</si>
  <si>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</si>
  <si>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</si>
  <si>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</si>
  <si>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</si>
  <si>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</si>
  <si>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</si>
  <si>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</si>
  <si>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</si>
  <si>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</si>
  <si>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</si>
  <si>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</si>
  <si>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</si>
  <si>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</si>
  <si>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</si>
  <si>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</si>
  <si>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</si>
  <si>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</si>
  <si>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</si>
  <si>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</si>
  <si>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</si>
  <si>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</si>
  <si>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</si>
  <si>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</si>
  <si>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</si>
  <si>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</si>
  <si>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</si>
  <si>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</si>
  <si>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</si>
  <si>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</si>
  <si>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</si>
  <si>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</si>
  <si>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</si>
  <si>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</si>
  <si>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</si>
  <si>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</si>
  <si>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</si>
  <si>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</si>
  <si>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</si>
  <si>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</si>
  <si>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</si>
  <si>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</si>
  <si>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</si>
  <si>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</si>
  <si>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</si>
  <si>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</si>
  <si>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</si>
  <si>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</si>
  <si>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</si>
  <si>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</si>
  <si>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</si>
  <si>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</si>
  <si>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</si>
  <si>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</si>
  <si>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</si>
  <si>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</si>
  <si>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</si>
  <si>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</si>
  <si>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</si>
  <si>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</si>
  <si>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</si>
  <si>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</si>
  <si>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</si>
  <si>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</si>
  <si>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</si>
  <si>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</si>
  <si>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</si>
  <si>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</si>
  <si>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</si>
  <si>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</si>
  <si>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</si>
  <si>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</si>
  <si>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</si>
  <si>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</si>
  <si>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</si>
  <si>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</si>
  <si>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</si>
  <si>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</si>
  <si>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</si>
  <si>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</si>
  <si>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</si>
  <si>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</si>
  <si>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</si>
  <si>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</si>
  <si>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</si>
  <si>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</si>
  <si>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</si>
  <si>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</si>
  <si>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</si>
  <si>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</si>
  <si>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</si>
  <si>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</si>
  <si>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</si>
  <si>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</si>
  <si>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</si>
  <si>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</si>
  <si>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</si>
  <si>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</si>
  <si>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</si>
  <si>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</si>
  <si>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</si>
  <si>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</si>
  <si>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</si>
  <si>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</si>
  <si>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</si>
  <si>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</si>
  <si>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</si>
  <si>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</si>
  <si>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</si>
  <si>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</si>
  <si>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</si>
  <si>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</si>
  <si>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</si>
  <si>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</si>
  <si>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</si>
  <si>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</si>
  <si>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</si>
  <si>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</si>
  <si>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</si>
  <si>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</si>
  <si>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</si>
  <si>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</si>
  <si>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</si>
  <si>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</si>
  <si>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</si>
  <si>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</si>
  <si>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</si>
  <si>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</si>
  <si>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</si>
  <si>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</si>
  <si>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</si>
  <si>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</si>
  <si>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</si>
  <si>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</si>
  <si>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</si>
  <si>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</si>
  <si>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</si>
  <si>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</si>
  <si>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</si>
  <si>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</si>
  <si>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</si>
  <si>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</si>
  <si>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</si>
  <si>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</si>
  <si>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</si>
  <si>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</si>
  <si>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</si>
  <si>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</si>
  <si>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</si>
  <si>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</si>
  <si>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</si>
  <si>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</si>
  <si>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</si>
  <si>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</si>
  <si>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</si>
  <si>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</si>
  <si>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</si>
  <si>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</si>
  <si>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</si>
  <si>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</si>
  <si>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</si>
  <si>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</si>
  <si>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</si>
  <si>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</si>
  <si>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</si>
  <si>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</si>
  <si>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</si>
  <si>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</si>
  <si>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</si>
  <si>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</si>
  <si>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</si>
  <si>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</si>
  <si>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</si>
  <si>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</si>
  <si>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</si>
  <si>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</si>
  <si>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</si>
  <si>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</si>
  <si>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</si>
  <si>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</si>
  <si>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</si>
  <si>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</si>
  <si>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</si>
  <si>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</si>
  <si>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</si>
  <si>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</si>
  <si>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</si>
  <si>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</si>
  <si>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</si>
  <si>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</si>
  <si>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</si>
  <si>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</si>
  <si>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</si>
  <si>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</si>
  <si>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</si>
  <si>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</si>
  <si>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</si>
  <si>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</si>
  <si>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</si>
  <si>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</si>
  <si>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</si>
  <si>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</si>
  <si>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</si>
  <si>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</si>
  <si>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</si>
  <si>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</si>
  <si>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</si>
  <si>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</si>
  <si>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</si>
  <si>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</si>
  <si>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</si>
  <si>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</si>
  <si>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</si>
  <si>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</si>
  <si>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</si>
  <si>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</si>
  <si>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</si>
  <si>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</si>
  <si>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</si>
  <si>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</si>
  <si>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</si>
  <si>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</si>
  <si>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</si>
  <si>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</si>
  <si>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</si>
  <si>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</si>
  <si>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</si>
  <si>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</si>
  <si>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</si>
  <si>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</si>
  <si>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</si>
  <si>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</si>
  <si>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</si>
  <si>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</si>
  <si>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</si>
  <si>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</si>
  <si>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</si>
  <si>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</si>
  <si>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</si>
  <si>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</si>
  <si>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</si>
  <si>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</si>
  <si>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</si>
  <si>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</si>
  <si>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</si>
  <si>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</si>
  <si>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</si>
  <si>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</si>
  <si>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</si>
  <si>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</si>
  <si>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</si>
  <si>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</si>
  <si>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</si>
  <si>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</si>
  <si>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</si>
  <si>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</si>
  <si>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</si>
  <si>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</si>
  <si>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</si>
  <si>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</si>
  <si>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</si>
  <si>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</si>
  <si>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</si>
  <si>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</si>
  <si>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</si>
  <si>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</si>
  <si>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</si>
  <si>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</si>
  <si>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</si>
  <si>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</si>
  <si>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</si>
  <si>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</si>
  <si>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</si>
  <si>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</si>
  <si>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</si>
  <si>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</si>
  <si>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</si>
  <si>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</si>
  <si>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</si>
  <si>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</si>
  <si>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</si>
  <si>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</si>
  <si>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</si>
  <si>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</si>
  <si>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</si>
  <si>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</si>
  <si>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</si>
  <si>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</si>
  <si>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</si>
  <si>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</si>
  <si>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</si>
  <si>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</si>
  <si>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</si>
  <si>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</si>
  <si>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</si>
  <si>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</si>
  <si>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</si>
  <si>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</si>
  <si>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</si>
  <si>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</si>
  <si>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</si>
  <si>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</si>
  <si>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</si>
  <si>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</si>
  <si>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</si>
  <si>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</si>
  <si>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</si>
  <si>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</si>
  <si>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</si>
  <si>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</si>
  <si>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</si>
  <si>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</si>
  <si>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</si>
  <si>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</si>
  <si>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</si>
  <si>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</si>
  <si>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</si>
  <si>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</si>
  <si>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</si>
  <si>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</si>
  <si>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</si>
  <si>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</si>
  <si>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</si>
  <si>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</si>
  <si>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</si>
  <si>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</si>
  <si>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</si>
  <si>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</si>
  <si>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</si>
  <si>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</si>
  <si>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</si>
  <si>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</si>
  <si>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</si>
  <si>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</si>
  <si>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</si>
  <si>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</si>
  <si>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</si>
  <si>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</si>
  <si>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</si>
  <si>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</si>
  <si>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</si>
  <si>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</si>
  <si>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</si>
  <si>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</si>
  <si>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</si>
  <si>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</si>
  <si>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</si>
  <si>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</si>
  <si>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</si>
  <si>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</si>
  <si>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</si>
  <si>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</si>
  <si>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</si>
  <si>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</si>
  <si>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</si>
  <si>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</si>
  <si>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</si>
  <si>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</si>
  <si>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</si>
  <si>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</si>
  <si>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</si>
  <si>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</si>
  <si>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</si>
  <si>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</si>
  <si>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</si>
  <si>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</si>
  <si>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</si>
  <si>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</si>
  <si>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</si>
  <si>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</si>
  <si>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</si>
  <si>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</si>
  <si>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</si>
  <si>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</si>
  <si>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</si>
  <si>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</si>
  <si>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</si>
  <si>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</si>
  <si>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</si>
  <si>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</si>
  <si>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</si>
  <si>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</si>
  <si>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</si>
  <si>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</si>
  <si>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</si>
  <si>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</si>
  <si>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</si>
  <si>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</si>
  <si>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</si>
  <si>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</si>
  <si>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</si>
  <si>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</si>
  <si>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</si>
  <si>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</si>
  <si>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</si>
  <si>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</si>
  <si>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</si>
  <si>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</si>
  <si>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</si>
  <si>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</si>
  <si>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</si>
  <si>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</si>
  <si>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</si>
  <si>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</si>
  <si>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</si>
  <si>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</si>
  <si>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</si>
  <si>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</si>
  <si>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</si>
  <si>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</si>
  <si>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</si>
  <si>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</si>
  <si>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</si>
  <si>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</si>
  <si>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</si>
  <si>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</si>
  <si>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</si>
  <si>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</si>
  <si>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</si>
  <si>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</si>
  <si>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</si>
  <si>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</si>
  <si>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</si>
  <si>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</si>
  <si>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</si>
  <si>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</si>
  <si>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</si>
  <si>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</si>
  <si>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</si>
  <si>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</si>
  <si>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</si>
  <si>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</si>
  <si>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</si>
  <si>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</si>
  <si>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</si>
  <si>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</si>
  <si>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</si>
  <si>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</si>
  <si>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</si>
  <si>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</si>
  <si>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</si>
  <si>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</si>
  <si>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</si>
  <si>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</si>
  <si>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</si>
  <si>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</si>
  <si>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</si>
  <si>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</si>
  <si>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</si>
  <si>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</si>
  <si>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</si>
  <si>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</si>
  <si>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</si>
  <si>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</si>
  <si>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</si>
  <si>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</si>
  <si>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</si>
  <si>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</si>
  <si>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</si>
  <si>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</si>
  <si>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</si>
  <si>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</si>
  <si>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</si>
  <si>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</si>
  <si>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</si>
  <si>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</si>
  <si>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</si>
  <si>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</si>
  <si>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</si>
  <si>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</si>
  <si>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</si>
  <si>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</si>
  <si>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</si>
  <si>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</si>
  <si>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</si>
  <si>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</si>
  <si>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</si>
  <si>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</si>
  <si>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</si>
  <si>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</si>
  <si>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</si>
  <si>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</si>
  <si>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</si>
  <si>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</si>
  <si>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</si>
  <si>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</si>
  <si>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</si>
  <si>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</si>
  <si>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</si>
  <si>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</si>
  <si>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</si>
  <si>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</si>
  <si>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</si>
  <si>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</si>
  <si>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</si>
  <si>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</si>
  <si>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</si>
  <si>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</si>
  <si>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</si>
  <si>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</si>
  <si>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</si>
  <si>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</si>
  <si>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</si>
  <si>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</si>
  <si>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</si>
  <si>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</si>
  <si>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</si>
  <si>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</si>
  <si>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</si>
  <si>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</si>
  <si>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</si>
  <si>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</si>
  <si>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</si>
  <si>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</si>
  <si>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</si>
  <si>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SANTA SOFIA Y ALVAR NUÃ‘EZ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</si>
  <si>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</si>
  <si>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</si>
  <si>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</si>
  <si>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</si>
  <si>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</si>
  <si>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</si>
  <si>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</si>
  <si>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</si>
  <si>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</si>
  <si>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</si>
  <si>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</si>
  <si>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</si>
  <si>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</si>
  <si>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</si>
  <si>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</si>
  <si>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</si>
  <si>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</si>
  <si>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</si>
  <si>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</si>
  <si>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</si>
  <si>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</si>
  <si>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</si>
  <si>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</si>
  <si>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</si>
  <si>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</si>
  <si>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</si>
  <si>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</si>
  <si>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</si>
  <si>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</si>
  <si>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</si>
  <si>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</si>
  <si>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</si>
  <si>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</si>
  <si>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</si>
  <si>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</si>
  <si>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</si>
  <si>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</si>
  <si>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</si>
  <si>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</si>
  <si>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</si>
  <si>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</si>
  <si>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</si>
  <si>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</si>
  <si>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</si>
  <si>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</si>
  <si>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</si>
  <si>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</si>
  <si>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</si>
  <si>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</si>
  <si>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</si>
  <si>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</si>
  <si>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</si>
  <si>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</si>
  <si>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</si>
  <si>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</si>
  <si>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</si>
  <si>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</si>
  <si>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</si>
  <si>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</si>
  <si>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</si>
  <si>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</si>
  <si>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</si>
  <si>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</si>
  <si>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</si>
  <si>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</si>
  <si>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</si>
  <si>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</si>
  <si>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</si>
  <si>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</si>
  <si>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</si>
  <si>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</si>
  <si>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</si>
  <si>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</si>
  <si>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</si>
  <si>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</si>
  <si>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</si>
  <si>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</si>
  <si>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</si>
  <si>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</si>
  <si>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</si>
  <si>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</si>
  <si>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</si>
  <si>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</si>
  <si>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</si>
  <si>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</si>
  <si>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</si>
  <si>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</si>
  <si>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</si>
  <si>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</si>
  <si>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</si>
  <si>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</si>
  <si>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</si>
  <si>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</si>
  <si>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</si>
  <si>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</si>
  <si>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</si>
  <si>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</si>
  <si>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</si>
  <si>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</si>
  <si>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</si>
  <si>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</si>
  <si>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</si>
  <si>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</si>
  <si>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</si>
  <si>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</si>
  <si>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</si>
  <si>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</si>
  <si>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</si>
  <si>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</si>
  <si>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</si>
  <si>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</si>
  <si>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</si>
  <si>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</si>
  <si>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</si>
  <si>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</si>
  <si>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</si>
  <si>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</si>
  <si>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</si>
  <si>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</si>
  <si>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</si>
  <si>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</si>
  <si>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</si>
  <si>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</si>
  <si>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</si>
  <si>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</si>
  <si>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</si>
  <si>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</si>
  <si>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</si>
  <si>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</si>
  <si>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</si>
  <si>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</si>
  <si>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</si>
  <si>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</si>
  <si>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</si>
  <si>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</si>
  <si>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</si>
  <si>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</si>
  <si>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</si>
  <si>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</si>
  <si>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</si>
  <si>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</si>
  <si>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</si>
  <si>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</si>
  <si>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</si>
  <si>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</si>
  <si>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</si>
  <si>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</si>
  <si>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</si>
  <si>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</si>
  <si>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</si>
  <si>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</si>
  <si>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</si>
  <si>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</si>
  <si>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</si>
  <si>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</si>
  <si>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</si>
  <si>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</si>
  <si>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</si>
  <si>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</si>
  <si>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</si>
  <si>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</si>
  <si>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</si>
  <si>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</si>
  <si>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</si>
  <si>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</si>
  <si>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</si>
  <si>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</si>
  <si>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</si>
  <si>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</si>
  <si>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</si>
  <si>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</si>
  <si>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</si>
  <si>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</si>
  <si>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</si>
  <si>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</si>
  <si>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</si>
  <si>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</si>
  <si>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</si>
  <si>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</si>
  <si>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</si>
  <si>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</si>
  <si>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</si>
  <si>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</si>
  <si>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</si>
  <si>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</si>
  <si>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</si>
  <si>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</si>
  <si>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</si>
  <si>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</si>
  <si>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</si>
  <si>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</si>
  <si>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</si>
  <si>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</si>
  <si>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</si>
  <si>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</si>
  <si>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</si>
  <si>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</si>
  <si>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</si>
  <si>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</si>
  <si>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</si>
  <si>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</si>
  <si>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</si>
  <si>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</si>
  <si>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</si>
  <si>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</si>
  <si>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</si>
  <si>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</si>
  <si>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</si>
  <si>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</si>
  <si>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</si>
  <si>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</si>
  <si>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</si>
  <si>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</si>
  <si>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</si>
  <si>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</si>
  <si>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</si>
  <si>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</si>
  <si>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</si>
  <si>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</si>
  <si>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</si>
  <si>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</si>
  <si>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</si>
  <si>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</si>
  <si>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</si>
  <si>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</si>
  <si>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</si>
  <si>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</si>
  <si>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</si>
  <si>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</si>
  <si>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</si>
  <si>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</si>
  <si>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</si>
  <si>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</si>
  <si>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</si>
  <si>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</si>
  <si>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</si>
  <si>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</si>
  <si>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</si>
  <si>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</si>
  <si>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</si>
  <si>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</si>
  <si>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</si>
  <si>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</si>
  <si>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</si>
  <si>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</si>
  <si>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</si>
  <si>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</si>
  <si>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</si>
  <si>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</si>
  <si>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</si>
  <si>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</si>
  <si>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</si>
  <si>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</si>
  <si>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</si>
  <si>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</si>
  <si>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</si>
  <si>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</si>
  <si>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</si>
  <si>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</si>
  <si>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</si>
  <si>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</si>
  <si>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</si>
  <si>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</si>
  <si>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</si>
  <si>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</si>
  <si>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</si>
  <si>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</si>
  <si>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</si>
  <si>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</si>
  <si>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</si>
  <si>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</si>
  <si>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</si>
  <si>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</si>
  <si>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</si>
  <si>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</si>
  <si>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</si>
  <si>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</si>
  <si>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</si>
  <si>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</si>
  <si>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</si>
  <si>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</si>
  <si>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</si>
  <si>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</si>
  <si>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</si>
  <si>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</si>
  <si>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</si>
  <si>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</si>
  <si>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</si>
  <si>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</si>
  <si>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</si>
  <si>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</si>
  <si>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</si>
  <si>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</si>
  <si>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</si>
  <si>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</si>
  <si>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</si>
  <si>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</si>
  <si>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</si>
  <si>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</si>
  <si>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</si>
  <si>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</si>
  <si>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</si>
  <si>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</si>
  <si>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</si>
  <si>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</si>
  <si>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</si>
  <si>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</si>
  <si>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</si>
  <si>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</si>
  <si>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</si>
  <si>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</si>
  <si>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</si>
  <si>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</si>
  <si>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</si>
  <si>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</si>
  <si>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</si>
  <si>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</si>
  <si>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</si>
  <si>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</si>
  <si>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</si>
  <si>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</si>
  <si>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</si>
  <si>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</si>
  <si>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</si>
  <si>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</si>
  <si>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</si>
  <si>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</si>
  <si>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</si>
  <si>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</si>
  <si>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</si>
  <si>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</si>
  <si>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</si>
  <si>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</si>
  <si>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</si>
  <si>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</si>
  <si>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</si>
  <si>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</si>
  <si>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</si>
  <si>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</si>
  <si>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</si>
  <si>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</si>
  <si>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</si>
  <si>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</si>
  <si>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</si>
  <si>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</si>
  <si>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</si>
  <si>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</si>
  <si>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</si>
  <si>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</si>
  <si>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</si>
  <si>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</si>
  <si>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</si>
  <si>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</si>
  <si>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</si>
  <si>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</si>
  <si>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</si>
  <si>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</si>
  <si>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</si>
  <si>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</si>
  <si>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</si>
  <si>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</si>
  <si>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</si>
  <si>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</si>
  <si>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</si>
  <si>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</si>
  <si>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</si>
  <si>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</si>
  <si>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</si>
  <si>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</si>
  <si>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</si>
  <si>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</si>
  <si>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</si>
  <si>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</si>
  <si>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</si>
  <si>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</si>
  <si>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</si>
  <si>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</si>
  <si>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</si>
  <si>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</si>
  <si>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</si>
  <si>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</si>
  <si>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</si>
  <si>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</si>
  <si>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</si>
  <si>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</si>
  <si>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</si>
  <si>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</si>
  <si>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</si>
  <si>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</si>
  <si>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</si>
  <si>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</si>
  <si>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</si>
  <si>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</si>
  <si>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</si>
  <si>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</si>
  <si>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</si>
  <si>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</si>
  <si>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</si>
  <si>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</si>
  <si>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</si>
  <si>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</si>
  <si>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</si>
  <si>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</si>
  <si>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</si>
  <si>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</si>
  <si>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</si>
  <si>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</si>
  <si>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</si>
  <si>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</si>
  <si>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</si>
  <si>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</si>
  <si>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</si>
  <si>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</si>
  <si>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</si>
  <si>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</si>
  <si>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</si>
  <si>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</si>
  <si>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</si>
  <si>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</si>
  <si>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</si>
  <si>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</si>
  <si>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</si>
  <si>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</si>
  <si>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</si>
  <si>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</si>
  <si>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</si>
  <si>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</si>
  <si>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</si>
  <si>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</si>
  <si>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</si>
  <si>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</si>
  <si>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</si>
  <si>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</si>
  <si>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</si>
  <si>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</si>
  <si>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</si>
  <si>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</si>
  <si>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</si>
  <si>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</si>
  <si>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</si>
  <si>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</si>
  <si>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</si>
  <si>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</si>
  <si>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</si>
  <si>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</si>
  <si>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</si>
  <si>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</si>
  <si>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</si>
  <si>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</si>
  <si>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</si>
  <si>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</si>
  <si>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</si>
  <si>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</si>
  <si>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</si>
  <si>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</si>
  <si>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</si>
  <si>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</si>
  <si>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</si>
  <si>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</si>
  <si>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</si>
  <si>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</si>
  <si>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</si>
  <si>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</si>
  <si>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</si>
  <si>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</si>
  <si>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</si>
  <si>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</si>
  <si>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</si>
  <si>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</si>
  <si>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</si>
  <si>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</si>
  <si>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</si>
  <si>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</si>
  <si>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</si>
  <si>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</si>
  <si>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</si>
  <si>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</si>
  <si>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</si>
  <si>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</si>
  <si>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</si>
  <si>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</si>
  <si>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</si>
  <si>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</si>
  <si>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</si>
  <si>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</si>
  <si>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</si>
  <si>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</si>
  <si>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</si>
  <si>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</si>
  <si>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</si>
  <si>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</si>
  <si>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</si>
  <si>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</si>
  <si>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</si>
  <si>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</si>
  <si>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</si>
  <si>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</si>
  <si>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</si>
  <si>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</si>
  <si>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</si>
  <si>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</si>
  <si>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</si>
  <si>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</si>
  <si>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</si>
  <si>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</si>
  <si>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</si>
  <si>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</si>
  <si>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</si>
  <si>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</si>
  <si>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</si>
  <si>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</si>
  <si>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</si>
  <si>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</si>
  <si>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</si>
  <si>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</si>
  <si>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</si>
  <si>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</si>
  <si>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</si>
  <si>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</si>
  <si>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</si>
  <si>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</si>
  <si>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</si>
  <si>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</si>
  <si>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</si>
  <si>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</si>
  <si>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</si>
  <si>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</si>
  <si>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</si>
  <si>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</si>
  <si>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</si>
  <si>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</si>
  <si>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</si>
  <si>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</si>
  <si>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</si>
  <si>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</si>
  <si>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</si>
  <si>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</si>
  <si>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</si>
  <si>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</si>
  <si>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</si>
  <si>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</si>
  <si>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</si>
  <si>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</si>
  <si>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</si>
  <si>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</si>
  <si>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</si>
  <si>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</si>
  <si>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</si>
  <si>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</si>
  <si>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</si>
  <si>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</si>
  <si>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</si>
  <si>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</si>
  <si>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</si>
  <si>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</si>
  <si>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</si>
  <si>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</si>
  <si>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</si>
  <si>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</si>
  <si>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</si>
  <si>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</si>
  <si>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</si>
  <si>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</si>
  <si>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</si>
  <si>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</si>
  <si>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</si>
  <si>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</si>
  <si>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</si>
  <si>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</si>
  <si>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</si>
  <si>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</si>
  <si>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</si>
  <si>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</si>
  <si>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</si>
  <si>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</si>
  <si>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</si>
  <si>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</si>
  <si>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</si>
  <si>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</si>
  <si>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</si>
  <si>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</si>
  <si>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</si>
  <si>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</si>
  <si>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</si>
  <si>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</si>
  <si>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</si>
  <si>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</si>
  <si>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</si>
  <si>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</si>
  <si>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</si>
  <si>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</si>
  <si>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</si>
  <si>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</si>
  <si>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</si>
  <si>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</si>
  <si>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</si>
  <si>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</si>
  <si>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</si>
  <si>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</si>
  <si>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</si>
  <si>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</si>
  <si>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</si>
  <si>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</si>
  <si>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</si>
  <si>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</si>
  <si>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</si>
  <si>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</si>
  <si>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</si>
  <si>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</si>
  <si>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</si>
  <si>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</si>
  <si>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</si>
  <si>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</si>
  <si>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</si>
  <si>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</si>
  <si>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</si>
  <si>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</si>
  <si>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</si>
  <si>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</si>
  <si>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</si>
  <si>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</si>
  <si>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</si>
  <si>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</si>
  <si>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</si>
  <si>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</si>
  <si>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</si>
  <si>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</si>
  <si>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</si>
  <si>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</si>
  <si>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</si>
  <si>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</si>
  <si>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</si>
  <si>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</si>
  <si>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</si>
  <si>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</si>
  <si>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</si>
  <si>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</si>
  <si>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</si>
  <si>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</si>
  <si>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</si>
  <si>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</si>
  <si>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</si>
  <si>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</si>
  <si>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</si>
  <si>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</si>
  <si>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</si>
  <si>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</si>
  <si>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</si>
  <si>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</si>
  <si>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</si>
  <si>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</si>
  <si>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</si>
  <si>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</si>
  <si>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</si>
  <si>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</si>
  <si>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</si>
  <si>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</si>
  <si>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</si>
  <si>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</si>
  <si>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</si>
  <si>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</si>
  <si>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</si>
  <si>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</si>
  <si>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</si>
  <si>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</si>
  <si>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</si>
  <si>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</si>
  <si>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</si>
  <si>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</si>
  <si>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</si>
  <si>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</si>
  <si>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</si>
  <si>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</si>
  <si>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</si>
  <si>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</si>
  <si>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</si>
  <si>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</si>
  <si>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</si>
  <si>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</si>
  <si>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</si>
  <si>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</si>
  <si>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</si>
  <si>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</si>
  <si>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</si>
  <si>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</si>
  <si>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</si>
  <si>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</si>
  <si>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</si>
  <si>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</si>
  <si>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</si>
  <si>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</si>
  <si>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</si>
  <si>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</si>
  <si>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</si>
  <si>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</si>
  <si>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</si>
  <si>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</si>
  <si>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</si>
  <si>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</si>
  <si>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</si>
  <si>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</si>
  <si>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</si>
  <si>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</si>
  <si>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</si>
  <si>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</si>
  <si>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</si>
  <si>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</si>
  <si>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</si>
  <si>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</si>
  <si>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</si>
  <si>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</si>
  <si>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</si>
  <si>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</si>
  <si>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</si>
  <si>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</si>
  <si>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</si>
  <si>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</si>
  <si>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</si>
  <si>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</si>
  <si>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</si>
  <si>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</si>
  <si>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</si>
  <si>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</si>
  <si>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</si>
  <si>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</si>
  <si>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</si>
  <si>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</si>
  <si>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</si>
  <si>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</si>
  <si>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</si>
  <si>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</si>
  <si>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</si>
  <si>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</si>
  <si>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</si>
  <si>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</si>
  <si>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</si>
  <si>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</si>
  <si>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</si>
  <si>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</si>
  <si>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</si>
  <si>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</si>
  <si>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</si>
  <si>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</si>
  <si>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</si>
  <si>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</si>
  <si>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</si>
  <si>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</si>
  <si>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</si>
  <si>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</si>
  <si>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</si>
  <si>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</si>
  <si>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</si>
  <si>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</si>
  <si>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</si>
  <si>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</si>
  <si>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</si>
  <si>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</si>
  <si>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</si>
  <si>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REPARADOS POR DIA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</si>
  <si>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</si>
  <si>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</si>
  <si>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</si>
  <si>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</si>
  <si>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</si>
  <si>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</si>
  <si>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</si>
  <si>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</si>
  <si>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</si>
  <si>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</si>
  <si>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</si>
  <si>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</si>
  <si>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</si>
  <si>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</si>
  <si>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</si>
  <si>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</si>
  <si>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</si>
  <si>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</si>
  <si>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</si>
  <si>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</si>
  <si>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</si>
  <si>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</si>
  <si>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</si>
  <si>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</si>
  <si>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</si>
  <si>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</si>
  <si>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</si>
  <si>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</si>
  <si>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</si>
  <si>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</si>
  <si>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</si>
  <si>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</si>
  <si>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APAGADO</t>
  </si>
  <si>
    <t>172.20.11.87</t>
  </si>
  <si>
    <t>172.20.11.100</t>
  </si>
  <si>
    <t>APAGAD</t>
  </si>
  <si>
    <t>CASTELLI Y 25 DE MAYO</t>
  </si>
  <si>
    <t>172.20.11.114</t>
  </si>
  <si>
    <t>CEN75</t>
  </si>
  <si>
    <t>% APAGADOS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</si>
</sst>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vertical="center"/>
    </xf>
    <xf numFmtId="16" fontId="3" fillId="7" borderId="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16" fontId="0" fillId="8" borderId="0" xfId="0" applyNumberFormat="1" applyFill="1"/>
    <xf numFmtId="49" fontId="0" fillId="8" borderId="0" xfId="0" applyNumberFormat="1" applyFill="1" applyAlignment="1">
      <alignment horizontal="left"/>
    </xf>
    <xf numFmtId="0" fontId="0" fillId="8" borderId="0" xfId="0" applyFill="1" applyAlignment="1">
      <alignment horizontal="left"/>
    </xf>
    <xf numFmtId="16" fontId="0" fillId="9" borderId="0" xfId="0" applyNumberFormat="1" applyFill="1"/>
    <xf numFmtId="0" fontId="0" fillId="9" borderId="0" xfId="0" applyFill="1" applyAlignment="1">
      <alignment horizontal="left"/>
    </xf>
    <xf numFmtId="16" fontId="0" fillId="10" borderId="0" xfId="0" applyNumberFormat="1" applyFill="1"/>
    <xf numFmtId="0" fontId="0" fillId="10" borderId="0" xfId="0" applyFill="1" applyAlignment="1">
      <alignment horizontal="left"/>
    </xf>
    <xf numFmtId="0" fontId="0" fillId="10" borderId="0" xfId="0" applyFill="1"/>
    <xf numFmtId="0" fontId="0" fillId="0" borderId="0" xfId="0"/>
    <xf numFmtId="0" fontId="0" fillId="0" borderId="0" xfId="0" applyAlignment="1">
      <alignment horizontal="left"/>
    </xf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11" borderId="0" xfId="0" applyFill="1" applyAlignment="1">
      <alignment horizontal="right"/>
    </xf>
    <xf numFmtId="0" fontId="0" fillId="0" borderId="0" xfId="0" applyAlignment="1">
      <alignment horizontal="center" vertical="center"/>
    </xf>
    <xf numFmtId="9" fontId="0" fillId="0" borderId="0" xfId="1" applyFont="1"/>
  </cellXfs>
  <cellStyles count="2">
    <cellStyle name="Normal" xfId="0" builtinId="0"/>
    <cellStyle name="Porcentaje" xfId="1" builtinId="5"/>
  </cellStyles>
  <dxfs count="51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0.10187667560321716</c:v>
                </c:pt>
                <c:pt idx="1">
                  <c:v>9.1152815013404831E-2</c:v>
                </c:pt>
                <c:pt idx="2">
                  <c:v>9.1152815013404831E-2</c:v>
                </c:pt>
                <c:pt idx="3">
                  <c:v>9.6514745308310987E-2</c:v>
                </c:pt>
                <c:pt idx="4">
                  <c:v>8.5790884718498661E-2</c:v>
                </c:pt>
                <c:pt idx="5">
                  <c:v>6.7024128686327081E-2</c:v>
                </c:pt>
                <c:pt idx="6">
                  <c:v>9.1152815013404831E-2</c:v>
                </c:pt>
                <c:pt idx="7">
                  <c:v>6.7024128686327081E-2</c:v>
                </c:pt>
                <c:pt idx="8">
                  <c:v>6.9705093833780166E-2</c:v>
                </c:pt>
                <c:pt idx="9">
                  <c:v>6.9705093833780166E-2</c:v>
                </c:pt>
                <c:pt idx="10">
                  <c:v>0.11528150134048257</c:v>
                </c:pt>
                <c:pt idx="11">
                  <c:v>5.8981233243967826E-2</c:v>
                </c:pt>
                <c:pt idx="12">
                  <c:v>6.1662198391420911E-2</c:v>
                </c:pt>
                <c:pt idx="13">
                  <c:v>9.3833780160857902E-2</c:v>
                </c:pt>
                <c:pt idx="14">
                  <c:v>6.1662198391420911E-2</c:v>
                </c:pt>
                <c:pt idx="15">
                  <c:v>6.1662198391420911E-2</c:v>
                </c:pt>
                <c:pt idx="16">
                  <c:v>6.7024128686327081E-2</c:v>
                </c:pt>
                <c:pt idx="17">
                  <c:v>6.7024128686327081E-2</c:v>
                </c:pt>
                <c:pt idx="18">
                  <c:v>0.10991957104557641</c:v>
                </c:pt>
                <c:pt idx="19">
                  <c:v>9.9195710455764072E-2</c:v>
                </c:pt>
                <c:pt idx="20">
                  <c:v>6.7024128686327081E-2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  <c:pt idx="12" formatCode="General">
                  <c:v>5</c:v>
                </c:pt>
                <c:pt idx="13" formatCode="General">
                  <c:v>10</c:v>
                </c:pt>
                <c:pt idx="14" formatCode="General">
                  <c:v>6</c:v>
                </c:pt>
                <c:pt idx="15" formatCode="General">
                  <c:v>5</c:v>
                </c:pt>
                <c:pt idx="16" formatCode="General">
                  <c:v>8</c:v>
                </c:pt>
                <c:pt idx="17" formatCode="General">
                  <c:v>7</c:v>
                </c:pt>
                <c:pt idx="18" formatCode="General">
                  <c:v>10</c:v>
                </c:pt>
                <c:pt idx="19" formatCode="General">
                  <c:v>9</c:v>
                </c:pt>
                <c:pt idx="20" formatCode="General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  <c:pt idx="12">
                  <c:v>18</c:v>
                </c:pt>
                <c:pt idx="13">
                  <c:v>25</c:v>
                </c:pt>
                <c:pt idx="14">
                  <c:v>17</c:v>
                </c:pt>
                <c:pt idx="15">
                  <c:v>18</c:v>
                </c:pt>
                <c:pt idx="16">
                  <c:v>17</c:v>
                </c:pt>
                <c:pt idx="17">
                  <c:v>18</c:v>
                </c:pt>
                <c:pt idx="18">
                  <c:v>31</c:v>
                </c:pt>
                <c:pt idx="19">
                  <c:v>28</c:v>
                </c:pt>
                <c:pt idx="20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38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26</c:v>
                </c:pt>
                <c:pt idx="10">
                  <c:v>43</c:v>
                </c:pt>
                <c:pt idx="11">
                  <c:v>22</c:v>
                </c:pt>
                <c:pt idx="12">
                  <c:v>23</c:v>
                </c:pt>
                <c:pt idx="13">
                  <c:v>35</c:v>
                </c:pt>
                <c:pt idx="14">
                  <c:v>23</c:v>
                </c:pt>
                <c:pt idx="15">
                  <c:v>23</c:v>
                </c:pt>
                <c:pt idx="16">
                  <c:v>25</c:v>
                </c:pt>
                <c:pt idx="17">
                  <c:v>25</c:v>
                </c:pt>
                <c:pt idx="18">
                  <c:v>41</c:v>
                </c:pt>
                <c:pt idx="19">
                  <c:v>37</c:v>
                </c:pt>
                <c:pt idx="20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  <c:pt idx="12" formatCode="General">
                  <c:v>5</c:v>
                </c:pt>
                <c:pt idx="13" formatCode="General">
                  <c:v>10</c:v>
                </c:pt>
                <c:pt idx="14" formatCode="General">
                  <c:v>6</c:v>
                </c:pt>
                <c:pt idx="15" formatCode="General">
                  <c:v>5</c:v>
                </c:pt>
                <c:pt idx="16" formatCode="General">
                  <c:v>8</c:v>
                </c:pt>
                <c:pt idx="17" formatCode="General">
                  <c:v>7</c:v>
                </c:pt>
                <c:pt idx="18" formatCode="General">
                  <c:v>10</c:v>
                </c:pt>
                <c:pt idx="19" formatCode="General">
                  <c:v>9</c:v>
                </c:pt>
                <c:pt idx="20" formatCode="General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  <c:pt idx="12">
                  <c:v>18</c:v>
                </c:pt>
                <c:pt idx="13">
                  <c:v>25</c:v>
                </c:pt>
                <c:pt idx="14">
                  <c:v>17</c:v>
                </c:pt>
                <c:pt idx="15">
                  <c:v>18</c:v>
                </c:pt>
                <c:pt idx="16">
                  <c:v>17</c:v>
                </c:pt>
                <c:pt idx="17">
                  <c:v>18</c:v>
                </c:pt>
                <c:pt idx="18">
                  <c:v>31</c:v>
                </c:pt>
                <c:pt idx="19">
                  <c:v>28</c:v>
                </c:pt>
                <c:pt idx="20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38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26</c:v>
                </c:pt>
                <c:pt idx="10">
                  <c:v>43</c:v>
                </c:pt>
                <c:pt idx="11">
                  <c:v>22</c:v>
                </c:pt>
                <c:pt idx="12">
                  <c:v>23</c:v>
                </c:pt>
                <c:pt idx="13">
                  <c:v>35</c:v>
                </c:pt>
                <c:pt idx="14">
                  <c:v>23</c:v>
                </c:pt>
                <c:pt idx="15">
                  <c:v>23</c:v>
                </c:pt>
                <c:pt idx="16">
                  <c:v>25</c:v>
                </c:pt>
                <c:pt idx="17">
                  <c:v>25</c:v>
                </c:pt>
                <c:pt idx="18">
                  <c:v>41</c:v>
                </c:pt>
                <c:pt idx="19">
                  <c:v>37</c:v>
                </c:pt>
                <c:pt idx="20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  <c:pt idx="12" formatCode="General">
                  <c:v>5</c:v>
                </c:pt>
                <c:pt idx="13" formatCode="General">
                  <c:v>10</c:v>
                </c:pt>
                <c:pt idx="14" formatCode="General">
                  <c:v>6</c:v>
                </c:pt>
                <c:pt idx="15" formatCode="General">
                  <c:v>5</c:v>
                </c:pt>
                <c:pt idx="16" formatCode="General">
                  <c:v>8</c:v>
                </c:pt>
                <c:pt idx="17" formatCode="General">
                  <c:v>7</c:v>
                </c:pt>
                <c:pt idx="18" formatCode="General">
                  <c:v>10</c:v>
                </c:pt>
                <c:pt idx="19" formatCode="General">
                  <c:v>9</c:v>
                </c:pt>
                <c:pt idx="20" formatCode="General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  <c:pt idx="12">
                  <c:v>18</c:v>
                </c:pt>
                <c:pt idx="13">
                  <c:v>25</c:v>
                </c:pt>
                <c:pt idx="14">
                  <c:v>17</c:v>
                </c:pt>
                <c:pt idx="15">
                  <c:v>18</c:v>
                </c:pt>
                <c:pt idx="16">
                  <c:v>17</c:v>
                </c:pt>
                <c:pt idx="17">
                  <c:v>18</c:v>
                </c:pt>
                <c:pt idx="18">
                  <c:v>31</c:v>
                </c:pt>
                <c:pt idx="19">
                  <c:v>28</c:v>
                </c:pt>
                <c:pt idx="20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  <c:pt idx="12" formatCode="General">
                  <c:v>5</c:v>
                </c:pt>
                <c:pt idx="13" formatCode="General">
                  <c:v>10</c:v>
                </c:pt>
                <c:pt idx="14" formatCode="General">
                  <c:v>6</c:v>
                </c:pt>
                <c:pt idx="15" formatCode="General">
                  <c:v>5</c:v>
                </c:pt>
                <c:pt idx="16" formatCode="General">
                  <c:v>8</c:v>
                </c:pt>
                <c:pt idx="17" formatCode="General">
                  <c:v>7</c:v>
                </c:pt>
                <c:pt idx="18" formatCode="General">
                  <c:v>10</c:v>
                </c:pt>
                <c:pt idx="19" formatCode="General">
                  <c:v>9</c:v>
                </c:pt>
                <c:pt idx="20" formatCode="General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  <c:pt idx="12">
                  <c:v>18</c:v>
                </c:pt>
                <c:pt idx="13">
                  <c:v>25</c:v>
                </c:pt>
                <c:pt idx="14">
                  <c:v>17</c:v>
                </c:pt>
                <c:pt idx="15">
                  <c:v>18</c:v>
                </c:pt>
                <c:pt idx="16">
                  <c:v>17</c:v>
                </c:pt>
                <c:pt idx="17">
                  <c:v>18</c:v>
                </c:pt>
                <c:pt idx="18">
                  <c:v>31</c:v>
                </c:pt>
                <c:pt idx="19">
                  <c:v>28</c:v>
                </c:pt>
                <c:pt idx="20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38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26</c:v>
                </c:pt>
                <c:pt idx="10">
                  <c:v>43</c:v>
                </c:pt>
                <c:pt idx="11">
                  <c:v>22</c:v>
                </c:pt>
                <c:pt idx="12">
                  <c:v>23</c:v>
                </c:pt>
                <c:pt idx="13">
                  <c:v>35</c:v>
                </c:pt>
                <c:pt idx="14">
                  <c:v>23</c:v>
                </c:pt>
                <c:pt idx="15">
                  <c:v>23</c:v>
                </c:pt>
                <c:pt idx="16">
                  <c:v>25</c:v>
                </c:pt>
                <c:pt idx="17">
                  <c:v>25</c:v>
                </c:pt>
                <c:pt idx="18">
                  <c:v>41</c:v>
                </c:pt>
                <c:pt idx="19">
                  <c:v>37</c:v>
                </c:pt>
                <c:pt idx="20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AUXILIAR!$B$2:$B$32</c15:sqref>
                  </c15:fullRef>
                </c:ext>
              </c:extLst>
              <c:f>AUXILIAR!$B$2:$B$31</c:f>
              <c:numCache>
                <c:formatCode>d\-mmm</c:formatCode>
                <c:ptCount val="30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  <c:pt idx="12" formatCode="General">
                  <c:v>5</c:v>
                </c:pt>
                <c:pt idx="13" formatCode="General">
                  <c:v>10</c:v>
                </c:pt>
                <c:pt idx="14" formatCode="General">
                  <c:v>6</c:v>
                </c:pt>
                <c:pt idx="15" formatCode="General">
                  <c:v>5</c:v>
                </c:pt>
                <c:pt idx="16" formatCode="General">
                  <c:v>8</c:v>
                </c:pt>
                <c:pt idx="17" formatCode="General">
                  <c:v>7</c:v>
                </c:pt>
                <c:pt idx="18" formatCode="General">
                  <c:v>10</c:v>
                </c:pt>
                <c:pt idx="19" formatCode="General">
                  <c:v>9</c:v>
                </c:pt>
                <c:pt idx="20" formatCode="General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AUXILIAR!$C$2:$C$32</c15:sqref>
                  </c15:fullRef>
                </c:ext>
              </c:extLst>
              <c:f>AUXILIAR!$C$2:$C$31</c:f>
              <c:numCache>
                <c:formatCode>General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  <c:pt idx="12">
                  <c:v>18</c:v>
                </c:pt>
                <c:pt idx="13">
                  <c:v>25</c:v>
                </c:pt>
                <c:pt idx="14">
                  <c:v>17</c:v>
                </c:pt>
                <c:pt idx="15">
                  <c:v>18</c:v>
                </c:pt>
                <c:pt idx="16">
                  <c:v>17</c:v>
                </c:pt>
                <c:pt idx="17">
                  <c:v>18</c:v>
                </c:pt>
                <c:pt idx="18">
                  <c:v>31</c:v>
                </c:pt>
                <c:pt idx="19">
                  <c:v>28</c:v>
                </c:pt>
                <c:pt idx="20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AUXILIAR!$E$2:$E$32</c15:sqref>
                  </c15:fullRef>
                </c:ext>
              </c:extLst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26</c:v>
                </c:pt>
                <c:pt idx="10">
                  <c:v>43</c:v>
                </c:pt>
                <c:pt idx="11">
                  <c:v>22</c:v>
                </c:pt>
                <c:pt idx="12">
                  <c:v>23</c:v>
                </c:pt>
                <c:pt idx="13">
                  <c:v>35</c:v>
                </c:pt>
                <c:pt idx="14">
                  <c:v>23</c:v>
                </c:pt>
                <c:pt idx="15">
                  <c:v>23</c:v>
                </c:pt>
                <c:pt idx="16">
                  <c:v>25</c:v>
                </c:pt>
                <c:pt idx="17">
                  <c:v>25</c:v>
                </c:pt>
                <c:pt idx="18">
                  <c:v>41</c:v>
                </c:pt>
                <c:pt idx="19">
                  <c:v>37</c:v>
                </c:pt>
                <c:pt idx="20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0.10187667560321716</c:v>
                </c:pt>
                <c:pt idx="1">
                  <c:v>9.1152815013404831E-2</c:v>
                </c:pt>
                <c:pt idx="2">
                  <c:v>9.1152815013404831E-2</c:v>
                </c:pt>
                <c:pt idx="3">
                  <c:v>9.6514745308310987E-2</c:v>
                </c:pt>
                <c:pt idx="4">
                  <c:v>8.5790884718498661E-2</c:v>
                </c:pt>
                <c:pt idx="5">
                  <c:v>6.7024128686327081E-2</c:v>
                </c:pt>
                <c:pt idx="6">
                  <c:v>9.1152815013404831E-2</c:v>
                </c:pt>
                <c:pt idx="7">
                  <c:v>6.7024128686327081E-2</c:v>
                </c:pt>
                <c:pt idx="8">
                  <c:v>6.9705093833780166E-2</c:v>
                </c:pt>
                <c:pt idx="9">
                  <c:v>6.9705093833780166E-2</c:v>
                </c:pt>
                <c:pt idx="10">
                  <c:v>0.11528150134048257</c:v>
                </c:pt>
                <c:pt idx="11">
                  <c:v>5.8981233243967826E-2</c:v>
                </c:pt>
                <c:pt idx="12">
                  <c:v>6.1662198391420911E-2</c:v>
                </c:pt>
                <c:pt idx="13">
                  <c:v>9.3833780160857902E-2</c:v>
                </c:pt>
                <c:pt idx="14">
                  <c:v>6.1662198391420911E-2</c:v>
                </c:pt>
                <c:pt idx="15">
                  <c:v>6.1662198391420911E-2</c:v>
                </c:pt>
                <c:pt idx="16">
                  <c:v>6.7024128686327081E-2</c:v>
                </c:pt>
                <c:pt idx="17">
                  <c:v>6.7024128686327081E-2</c:v>
                </c:pt>
                <c:pt idx="18">
                  <c:v>0.10991957104557641</c:v>
                </c:pt>
                <c:pt idx="19">
                  <c:v>9.9195710455764072E-2</c:v>
                </c:pt>
                <c:pt idx="20">
                  <c:v>6.7024128686327081E-2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R676"/>
  <sheetViews>
    <sheetView tabSelected="1" zoomScale="90" zoomScaleNormal="90" workbookViewId="0">
      <pane xSplit="14" ySplit="4" topLeftCell="AK191" activePane="bottomRight" state="frozen"/>
      <selection pane="topRight" activeCell="M1" sqref="M1"/>
      <selection pane="bottomLeft" activeCell="A5" sqref="A5"/>
      <selection pane="bottomRight" activeCell="AK207" sqref="AK207"/>
    </sheetView>
  </sheetViews>
  <sheetFormatPr baseColWidth="10" defaultRowHeight="15" x14ac:dyDescent="0.25"/>
  <cols>
    <col min="1" max="1" width="26.7109375" bestFit="1" customWidth="1"/>
    <col min="2" max="2" width="8.140625" bestFit="1" customWidth="1"/>
    <col min="3" max="3" width="38.140625" style="45" bestFit="1" customWidth="1"/>
    <col min="4" max="4" width="42.5703125" customWidth="1"/>
    <col min="5" max="5" width="15.7109375" style="23" customWidth="1"/>
    <col min="6" max="6" width="17.42578125" style="24" customWidth="1"/>
    <col min="7" max="10" width="6.28515625" style="24" hidden="1" customWidth="1"/>
    <col min="11" max="11" width="13.7109375" style="24" customWidth="1"/>
    <col min="12" max="12" width="14.7109375" customWidth="1"/>
    <col min="13" max="13" width="6.7109375" customWidth="1"/>
    <col min="14" max="14" width="11.5703125" style="5"/>
    <col min="15" max="44" width="8.7109375" style="22" customWidth="1"/>
  </cols>
  <sheetData>
    <row r="1" spans="1:44" s="5" customFormat="1" ht="27.75" customHeight="1" thickTop="1" x14ac:dyDescent="0.25">
      <c r="A1" s="1" t="s">
        <v>0</v>
      </c>
      <c r="B1" s="56"/>
      <c r="C1" s="42">
        <f>COUNTA(C5:C527)</f>
        <v>373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0.10326086956521739</v>
      </c>
      <c r="P1" s="4">
        <f t="shared" si="0"/>
        <v>0</v>
      </c>
      <c r="Q1" s="4">
        <f t="shared" si="0"/>
        <v>0</v>
      </c>
      <c r="R1" s="4">
        <f t="shared" si="0"/>
        <v>9.7826086956521743E-2</v>
      </c>
      <c r="S1" s="4">
        <f t="shared" si="0"/>
        <v>8.7193460490463212E-2</v>
      </c>
      <c r="T1" s="4">
        <f t="shared" si="0"/>
        <v>6.7934782608695649E-2</v>
      </c>
      <c r="U1" s="4">
        <f t="shared" si="0"/>
        <v>9.2391304347826081E-2</v>
      </c>
      <c r="V1" s="4">
        <f t="shared" si="0"/>
        <v>6.7934782608695649E-2</v>
      </c>
      <c r="W1" s="4">
        <f t="shared" si="0"/>
        <v>7.3369565217391311E-2</v>
      </c>
      <c r="X1" s="4">
        <f t="shared" si="0"/>
        <v>7.3369565217391311E-2</v>
      </c>
      <c r="Y1" s="4">
        <f t="shared" si="0"/>
        <v>0.11684782608695653</v>
      </c>
      <c r="Z1" s="4">
        <f t="shared" si="0"/>
        <v>5.9782608695652176E-2</v>
      </c>
      <c r="AA1" s="4">
        <f t="shared" si="0"/>
        <v>6.25E-2</v>
      </c>
      <c r="AB1" s="4">
        <f t="shared" si="0"/>
        <v>9.7826086956521743E-2</v>
      </c>
      <c r="AC1" s="4">
        <f>(AC3)/(AC2+AC3)</f>
        <v>6.5217391304347824E-2</v>
      </c>
      <c r="AD1" s="4">
        <f t="shared" si="0"/>
        <v>6.5217391304347824E-2</v>
      </c>
      <c r="AE1" s="4">
        <f t="shared" si="0"/>
        <v>7.0652173913043473E-2</v>
      </c>
      <c r="AF1" s="4">
        <f t="shared" si="0"/>
        <v>6.7934782608695649E-2</v>
      </c>
      <c r="AG1" s="4">
        <f t="shared" si="0"/>
        <v>0.11141304347826086</v>
      </c>
      <c r="AH1" s="4">
        <f t="shared" si="0"/>
        <v>0.10054347826086957</v>
      </c>
      <c r="AI1" s="4">
        <f t="shared" si="0"/>
        <v>9.2391304347826081E-2</v>
      </c>
      <c r="AJ1" s="4">
        <f t="shared" si="0"/>
        <v>8.9673913043478257E-2</v>
      </c>
      <c r="AK1" s="4">
        <f t="shared" si="0"/>
        <v>7.3369565217391311E-2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</row>
    <row r="2" spans="1:44" s="11" customFormat="1" x14ac:dyDescent="0.25">
      <c r="A2" s="6"/>
      <c r="B2" s="57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51"/>
      <c r="O2" s="10">
        <f>COUNTIF(O5:O372, "")</f>
        <v>330</v>
      </c>
      <c r="P2" s="10">
        <f t="shared" ref="P2:AR2" si="2">COUNTIF(P5:P372, "")</f>
        <v>368</v>
      </c>
      <c r="Q2" s="10">
        <f t="shared" si="2"/>
        <v>368</v>
      </c>
      <c r="R2" s="10">
        <f t="shared" si="2"/>
        <v>332</v>
      </c>
      <c r="S2" s="10">
        <f t="shared" si="2"/>
        <v>335</v>
      </c>
      <c r="T2" s="10">
        <f t="shared" si="2"/>
        <v>343</v>
      </c>
      <c r="U2" s="10">
        <f t="shared" si="2"/>
        <v>334</v>
      </c>
      <c r="V2" s="10">
        <f t="shared" si="2"/>
        <v>343</v>
      </c>
      <c r="W2" s="10">
        <f t="shared" si="2"/>
        <v>341</v>
      </c>
      <c r="X2" s="10">
        <f t="shared" si="2"/>
        <v>341</v>
      </c>
      <c r="Y2" s="10">
        <f t="shared" si="2"/>
        <v>325</v>
      </c>
      <c r="Z2" s="10">
        <f t="shared" si="2"/>
        <v>346</v>
      </c>
      <c r="AA2" s="10">
        <f t="shared" si="2"/>
        <v>345</v>
      </c>
      <c r="AB2" s="10">
        <f t="shared" si="2"/>
        <v>332</v>
      </c>
      <c r="AC2" s="10">
        <f t="shared" si="2"/>
        <v>344</v>
      </c>
      <c r="AD2" s="10">
        <f t="shared" si="2"/>
        <v>344</v>
      </c>
      <c r="AE2" s="10">
        <f t="shared" si="2"/>
        <v>342</v>
      </c>
      <c r="AF2" s="10">
        <f t="shared" si="2"/>
        <v>343</v>
      </c>
      <c r="AG2" s="10">
        <f t="shared" si="2"/>
        <v>327</v>
      </c>
      <c r="AH2" s="10">
        <f t="shared" si="2"/>
        <v>331</v>
      </c>
      <c r="AI2" s="10">
        <f t="shared" si="2"/>
        <v>334</v>
      </c>
      <c r="AJ2" s="10">
        <f t="shared" si="2"/>
        <v>335</v>
      </c>
      <c r="AK2" s="10">
        <f t="shared" si="2"/>
        <v>341</v>
      </c>
      <c r="AL2" s="10">
        <f t="shared" si="2"/>
        <v>368</v>
      </c>
      <c r="AM2" s="10">
        <f t="shared" si="2"/>
        <v>368</v>
      </c>
      <c r="AN2" s="10">
        <f t="shared" si="2"/>
        <v>368</v>
      </c>
      <c r="AO2" s="10">
        <f t="shared" si="2"/>
        <v>368</v>
      </c>
      <c r="AP2" s="10">
        <f t="shared" si="2"/>
        <v>368</v>
      </c>
      <c r="AQ2" s="10">
        <f t="shared" si="2"/>
        <v>368</v>
      </c>
      <c r="AR2" s="10">
        <f t="shared" si="2"/>
        <v>368</v>
      </c>
    </row>
    <row r="3" spans="1:44" s="11" customFormat="1" ht="15.75" thickBot="1" x14ac:dyDescent="0.3">
      <c r="A3" s="12"/>
      <c r="B3" s="58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52"/>
      <c r="O3" s="14">
        <f>COUNTIF(O4:O447, "apagado")</f>
        <v>38</v>
      </c>
      <c r="P3" s="14">
        <f t="shared" ref="P3:AP3" si="3">COUNTIF(P4:P447, "apagado")</f>
        <v>0</v>
      </c>
      <c r="Q3" s="14">
        <f t="shared" si="3"/>
        <v>0</v>
      </c>
      <c r="R3" s="14">
        <f t="shared" si="3"/>
        <v>36</v>
      </c>
      <c r="S3" s="14">
        <f t="shared" si="3"/>
        <v>32</v>
      </c>
      <c r="T3" s="14">
        <f t="shared" si="3"/>
        <v>25</v>
      </c>
      <c r="U3" s="14">
        <f t="shared" si="3"/>
        <v>34</v>
      </c>
      <c r="V3" s="14">
        <f t="shared" si="3"/>
        <v>25</v>
      </c>
      <c r="W3" s="14">
        <f t="shared" si="3"/>
        <v>27</v>
      </c>
      <c r="X3" s="14">
        <f t="shared" si="3"/>
        <v>27</v>
      </c>
      <c r="Y3" s="14">
        <f t="shared" si="3"/>
        <v>43</v>
      </c>
      <c r="Z3" s="14">
        <f t="shared" si="3"/>
        <v>22</v>
      </c>
      <c r="AA3" s="14">
        <f t="shared" si="3"/>
        <v>23</v>
      </c>
      <c r="AB3" s="14">
        <f t="shared" si="3"/>
        <v>36</v>
      </c>
      <c r="AC3" s="14">
        <f t="shared" si="3"/>
        <v>24</v>
      </c>
      <c r="AD3" s="14">
        <f t="shared" si="3"/>
        <v>24</v>
      </c>
      <c r="AE3" s="14">
        <f t="shared" si="3"/>
        <v>26</v>
      </c>
      <c r="AF3" s="14">
        <f t="shared" si="3"/>
        <v>25</v>
      </c>
      <c r="AG3" s="14">
        <f t="shared" si="3"/>
        <v>41</v>
      </c>
      <c r="AH3" s="14">
        <f t="shared" si="3"/>
        <v>37</v>
      </c>
      <c r="AI3" s="14">
        <f t="shared" si="3"/>
        <v>34</v>
      </c>
      <c r="AJ3" s="14">
        <f t="shared" si="3"/>
        <v>33</v>
      </c>
      <c r="AK3" s="14">
        <f t="shared" si="3"/>
        <v>27</v>
      </c>
      <c r="AL3" s="14">
        <f t="shared" si="3"/>
        <v>0</v>
      </c>
      <c r="AM3" s="14">
        <f t="shared" si="3"/>
        <v>0</v>
      </c>
      <c r="AN3" s="14">
        <f t="shared" si="3"/>
        <v>0</v>
      </c>
      <c r="AO3" s="14">
        <f t="shared" si="3"/>
        <v>0</v>
      </c>
      <c r="AP3" s="14">
        <f t="shared" si="3"/>
        <v>0</v>
      </c>
      <c r="AQ3" s="14">
        <f t="shared" ref="AQ3:AR3" si="4">COUNTIF(AQ4:AQ447, "apagado")</f>
        <v>0</v>
      </c>
      <c r="AR3" s="14">
        <f t="shared" si="4"/>
        <v>0</v>
      </c>
    </row>
    <row r="4" spans="1:44" s="11" customFormat="1" ht="31.5" thickTop="1" thickBot="1" x14ac:dyDescent="0.35">
      <c r="A4" t="s">
        <v>7</v>
      </c>
      <c r="B4" t="s">
        <v>1324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44652</v>
      </c>
      <c r="P4" s="15">
        <v>44653</v>
      </c>
      <c r="Q4" s="15">
        <v>44654</v>
      </c>
      <c r="R4" s="15">
        <v>44655</v>
      </c>
      <c r="S4" s="15">
        <v>44656</v>
      </c>
      <c r="T4" s="15">
        <v>44657</v>
      </c>
      <c r="U4" s="15">
        <v>44658</v>
      </c>
      <c r="V4" s="15">
        <v>44659</v>
      </c>
      <c r="W4" s="15">
        <v>44660</v>
      </c>
      <c r="X4" s="15">
        <v>44661</v>
      </c>
      <c r="Y4" s="15">
        <v>44662</v>
      </c>
      <c r="Z4" s="15">
        <v>44663</v>
      </c>
      <c r="AA4" s="15">
        <v>44664</v>
      </c>
      <c r="AB4" s="15">
        <v>44665</v>
      </c>
      <c r="AC4" s="15">
        <v>44666</v>
      </c>
      <c r="AD4" s="15">
        <v>44667</v>
      </c>
      <c r="AE4" s="15">
        <v>44668</v>
      </c>
      <c r="AF4" s="15">
        <v>44669</v>
      </c>
      <c r="AG4" s="15">
        <v>44670</v>
      </c>
      <c r="AH4" s="15">
        <v>44671</v>
      </c>
      <c r="AI4" s="15">
        <v>44672</v>
      </c>
      <c r="AJ4" s="15">
        <v>44673</v>
      </c>
      <c r="AK4" s="15">
        <v>44674</v>
      </c>
      <c r="AL4" s="15">
        <v>44675</v>
      </c>
      <c r="AM4" s="15">
        <v>44676</v>
      </c>
      <c r="AN4" s="15">
        <v>44677</v>
      </c>
      <c r="AO4" s="15">
        <v>44678</v>
      </c>
      <c r="AP4" s="15">
        <v>44679</v>
      </c>
      <c r="AQ4" s="15">
        <v>44680</v>
      </c>
      <c r="AR4" s="15">
        <v>44681</v>
      </c>
    </row>
    <row r="5" spans="1:44" ht="16.5" thickTop="1" thickBot="1" x14ac:dyDescent="0.3">
      <c r="A5" t="s">
        <v>16</v>
      </c>
      <c r="B5" s="59">
        <v>44629</v>
      </c>
      <c r="C5" s="60" t="s">
        <v>17</v>
      </c>
      <c r="D5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1107</v>
      </c>
      <c r="L5" s="17">
        <f t="shared" ref="L5:L68" si="5">COUNTIF(O5:AP5,"")</f>
        <v>24</v>
      </c>
      <c r="M5" s="17">
        <f t="shared" ref="M5:M68" si="6">COUNTIF(O5:AP5,"APAGADO")</f>
        <v>4</v>
      </c>
      <c r="N5" s="18">
        <f t="shared" ref="N5:N68" si="7">(L5)/(M5+L5)</f>
        <v>0.8571428571428571</v>
      </c>
      <c r="O5" s="29"/>
      <c r="P5" s="19"/>
      <c r="Q5" s="19"/>
      <c r="R5" s="19"/>
      <c r="S5" s="29" t="s">
        <v>1343</v>
      </c>
      <c r="T5" s="29"/>
      <c r="U5" s="19"/>
      <c r="V5" s="19" t="s">
        <v>1343</v>
      </c>
      <c r="W5" s="19" t="s">
        <v>1343</v>
      </c>
      <c r="X5" s="29" t="s">
        <v>1343</v>
      </c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</row>
    <row r="6" spans="1:44" ht="15.75" thickBot="1" x14ac:dyDescent="0.3">
      <c r="A6" t="s">
        <v>22</v>
      </c>
      <c r="C6" s="46" t="s">
        <v>23</v>
      </c>
      <c r="D6" t="s">
        <v>922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1108</v>
      </c>
      <c r="L6" s="17">
        <f t="shared" si="5"/>
        <v>27</v>
      </c>
      <c r="M6" s="17">
        <f t="shared" si="6"/>
        <v>1</v>
      </c>
      <c r="N6" s="18">
        <f t="shared" si="7"/>
        <v>0.9642857142857143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 t="s">
        <v>1343</v>
      </c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</row>
    <row r="7" spans="1:44" ht="15.75" thickBot="1" x14ac:dyDescent="0.3">
      <c r="C7" s="46" t="s">
        <v>27</v>
      </c>
      <c r="D7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1055</v>
      </c>
      <c r="L7" s="17">
        <f t="shared" si="5"/>
        <v>9</v>
      </c>
      <c r="M7" s="17">
        <f t="shared" si="6"/>
        <v>19</v>
      </c>
      <c r="N7" s="18">
        <f t="shared" si="7"/>
        <v>0.32142857142857145</v>
      </c>
      <c r="O7" s="27"/>
      <c r="P7" s="8"/>
      <c r="Q7" s="8"/>
      <c r="R7" s="8" t="s">
        <v>1343</v>
      </c>
      <c r="S7" s="27" t="s">
        <v>1343</v>
      </c>
      <c r="T7" s="27" t="s">
        <v>1343</v>
      </c>
      <c r="U7" s="8" t="s">
        <v>1343</v>
      </c>
      <c r="V7" s="8" t="s">
        <v>1343</v>
      </c>
      <c r="W7" s="8" t="s">
        <v>1343</v>
      </c>
      <c r="X7" s="27" t="s">
        <v>1343</v>
      </c>
      <c r="Y7" s="27" t="s">
        <v>1343</v>
      </c>
      <c r="Z7" s="27" t="s">
        <v>1343</v>
      </c>
      <c r="AA7" s="27" t="s">
        <v>1343</v>
      </c>
      <c r="AB7" s="27" t="s">
        <v>1343</v>
      </c>
      <c r="AC7" s="27" t="s">
        <v>1343</v>
      </c>
      <c r="AD7" s="27" t="s">
        <v>1343</v>
      </c>
      <c r="AE7" s="27"/>
      <c r="AF7" s="27" t="s">
        <v>1343</v>
      </c>
      <c r="AG7" s="27" t="s">
        <v>1343</v>
      </c>
      <c r="AH7" s="27" t="s">
        <v>1343</v>
      </c>
      <c r="AI7" s="27" t="s">
        <v>1343</v>
      </c>
      <c r="AJ7" s="27" t="s">
        <v>1343</v>
      </c>
      <c r="AK7" s="8" t="s">
        <v>1343</v>
      </c>
      <c r="AL7" s="8"/>
      <c r="AM7" s="8"/>
      <c r="AN7" s="27"/>
      <c r="AO7" s="8"/>
      <c r="AP7" s="8"/>
      <c r="AQ7" s="27"/>
      <c r="AR7" s="27"/>
    </row>
    <row r="8" spans="1:44" ht="15.75" thickBot="1" x14ac:dyDescent="0.3">
      <c r="A8" t="s">
        <v>22</v>
      </c>
      <c r="C8" s="46" t="s">
        <v>29</v>
      </c>
      <c r="D8" t="s">
        <v>913</v>
      </c>
      <c r="E8" t="s">
        <v>19</v>
      </c>
      <c r="F8" t="s">
        <v>944</v>
      </c>
      <c r="G8"/>
      <c r="H8" t="s">
        <v>30</v>
      </c>
      <c r="I8" s="16">
        <v>-348230700000</v>
      </c>
      <c r="J8" s="16">
        <v>-582702540000</v>
      </c>
      <c r="K8" s="16" t="s">
        <v>1109</v>
      </c>
      <c r="L8" s="17">
        <f t="shared" si="5"/>
        <v>28</v>
      </c>
      <c r="M8" s="17">
        <f t="shared" si="6"/>
        <v>0</v>
      </c>
      <c r="N8" s="18">
        <f t="shared" si="7"/>
        <v>1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</row>
    <row r="9" spans="1:44" ht="15.75" thickBot="1" x14ac:dyDescent="0.3">
      <c r="C9" s="46" t="s">
        <v>31</v>
      </c>
      <c r="D9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1110</v>
      </c>
      <c r="L9" s="17">
        <f t="shared" si="5"/>
        <v>28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</row>
    <row r="10" spans="1:44" ht="15.75" thickBot="1" x14ac:dyDescent="0.3">
      <c r="A10" t="s">
        <v>34</v>
      </c>
      <c r="C10" s="45" t="s">
        <v>949</v>
      </c>
      <c r="D10" t="s">
        <v>35</v>
      </c>
      <c r="E10" t="s">
        <v>24</v>
      </c>
      <c r="F10" t="s">
        <v>944</v>
      </c>
      <c r="G10"/>
      <c r="H10" t="s">
        <v>37</v>
      </c>
      <c r="I10" s="16">
        <v>-347738090000</v>
      </c>
      <c r="J10" s="16">
        <v>-582721410000</v>
      </c>
      <c r="K10" s="16" t="s">
        <v>950</v>
      </c>
      <c r="L10" s="17">
        <f t="shared" si="5"/>
        <v>19</v>
      </c>
      <c r="M10" s="17">
        <f t="shared" si="6"/>
        <v>9</v>
      </c>
      <c r="N10" s="18">
        <f t="shared" si="7"/>
        <v>0.6785714285714286</v>
      </c>
      <c r="O10" s="27"/>
      <c r="P10" s="8"/>
      <c r="Q10" s="8"/>
      <c r="R10" s="8"/>
      <c r="S10" s="27"/>
      <c r="T10" s="27"/>
      <c r="U10" s="8" t="s">
        <v>1343</v>
      </c>
      <c r="V10" s="8" t="s">
        <v>1343</v>
      </c>
      <c r="W10" s="8" t="s">
        <v>1343</v>
      </c>
      <c r="X10" s="27"/>
      <c r="Y10" s="27"/>
      <c r="Z10" s="27"/>
      <c r="AA10" s="27"/>
      <c r="AB10" s="27" t="s">
        <v>1343</v>
      </c>
      <c r="AC10" s="27"/>
      <c r="AD10" s="27"/>
      <c r="AE10" s="27"/>
      <c r="AF10" s="27"/>
      <c r="AG10" s="27" t="s">
        <v>1343</v>
      </c>
      <c r="AH10" s="27" t="s">
        <v>1343</v>
      </c>
      <c r="AI10" s="27" t="s">
        <v>1343</v>
      </c>
      <c r="AJ10" s="27" t="s">
        <v>1343</v>
      </c>
      <c r="AK10" s="8" t="s">
        <v>1343</v>
      </c>
      <c r="AL10" s="8"/>
      <c r="AM10" s="8"/>
      <c r="AN10" s="27"/>
      <c r="AO10" s="8"/>
      <c r="AP10" s="8"/>
      <c r="AQ10" s="27"/>
      <c r="AR10" s="27"/>
    </row>
    <row r="11" spans="1:44" ht="15.75" thickBot="1" x14ac:dyDescent="0.3">
      <c r="A11" t="s">
        <v>34</v>
      </c>
      <c r="C11" s="45" t="s">
        <v>38</v>
      </c>
      <c r="D11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943</v>
      </c>
      <c r="L11" s="17">
        <f t="shared" si="5"/>
        <v>27</v>
      </c>
      <c r="M11" s="17">
        <f t="shared" si="6"/>
        <v>1</v>
      </c>
      <c r="N11" s="18">
        <f t="shared" si="7"/>
        <v>0.9642857142857143</v>
      </c>
      <c r="O11" s="27"/>
      <c r="P11" s="8"/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 t="s">
        <v>1343</v>
      </c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</row>
    <row r="12" spans="1:44" ht="15.75" thickBot="1" x14ac:dyDescent="0.3">
      <c r="A12" t="s">
        <v>34</v>
      </c>
      <c r="C12" s="45" t="s">
        <v>41</v>
      </c>
      <c r="D12" t="s">
        <v>42</v>
      </c>
      <c r="E12" t="s">
        <v>24</v>
      </c>
      <c r="F12" t="s">
        <v>944</v>
      </c>
      <c r="G12" t="s">
        <v>43</v>
      </c>
      <c r="H12"/>
      <c r="I12" s="16">
        <v>-347718470000</v>
      </c>
      <c r="J12" s="16">
        <v>-582688560000</v>
      </c>
      <c r="K12" s="16" t="s">
        <v>945</v>
      </c>
      <c r="L12" s="17">
        <f t="shared" si="5"/>
        <v>22</v>
      </c>
      <c r="M12" s="17">
        <f t="shared" si="6"/>
        <v>6</v>
      </c>
      <c r="N12" s="18">
        <f t="shared" si="7"/>
        <v>0.7857142857142857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 t="s">
        <v>1343</v>
      </c>
      <c r="AC12" s="27"/>
      <c r="AD12" s="27"/>
      <c r="AE12" s="27"/>
      <c r="AF12" s="27"/>
      <c r="AG12" s="27" t="s">
        <v>1343</v>
      </c>
      <c r="AH12" s="27" t="s">
        <v>1343</v>
      </c>
      <c r="AI12" s="27" t="s">
        <v>1343</v>
      </c>
      <c r="AJ12" s="27" t="s">
        <v>1343</v>
      </c>
      <c r="AK12" s="8" t="s">
        <v>1343</v>
      </c>
      <c r="AL12" s="8"/>
      <c r="AM12" s="8"/>
      <c r="AN12" s="27"/>
      <c r="AO12" s="8"/>
      <c r="AP12" s="8"/>
      <c r="AQ12" s="27"/>
      <c r="AR12" s="27"/>
    </row>
    <row r="13" spans="1:44" ht="15.75" thickBot="1" x14ac:dyDescent="0.3">
      <c r="A13" t="s">
        <v>34</v>
      </c>
      <c r="B13" s="64">
        <v>44642</v>
      </c>
      <c r="C13" s="65" t="s">
        <v>44</v>
      </c>
      <c r="D13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946</v>
      </c>
      <c r="L13" s="17">
        <f t="shared" si="5"/>
        <v>26</v>
      </c>
      <c r="M13" s="17">
        <f t="shared" si="6"/>
        <v>2</v>
      </c>
      <c r="N13" s="18">
        <f t="shared" si="7"/>
        <v>0.9285714285714286</v>
      </c>
      <c r="O13" s="27"/>
      <c r="P13" s="8"/>
      <c r="Q13" s="8"/>
      <c r="R13" s="8"/>
      <c r="S13" s="27"/>
      <c r="T13" s="27"/>
      <c r="U13" s="8"/>
      <c r="V13" s="8"/>
      <c r="W13" s="8"/>
      <c r="X13" s="27"/>
      <c r="Y13" s="27"/>
      <c r="Z13" s="27"/>
      <c r="AA13" s="27"/>
      <c r="AB13" s="27" t="s">
        <v>1343</v>
      </c>
      <c r="AC13" s="27"/>
      <c r="AD13" s="27"/>
      <c r="AE13" s="27"/>
      <c r="AF13" s="27"/>
      <c r="AG13" s="27" t="s">
        <v>1343</v>
      </c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</row>
    <row r="14" spans="1:44" ht="15.75" thickBot="1" x14ac:dyDescent="0.3">
      <c r="B14" s="64">
        <v>44642</v>
      </c>
      <c r="C14" s="65" t="s">
        <v>47</v>
      </c>
      <c r="D14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947</v>
      </c>
      <c r="L14" s="17">
        <f t="shared" si="5"/>
        <v>25</v>
      </c>
      <c r="M14" s="17">
        <f t="shared" si="6"/>
        <v>3</v>
      </c>
      <c r="N14" s="18">
        <f t="shared" si="7"/>
        <v>0.8928571428571429</v>
      </c>
      <c r="O14" s="27"/>
      <c r="P14" s="8"/>
      <c r="Q14" s="8"/>
      <c r="R14" s="8"/>
      <c r="S14" s="27"/>
      <c r="T14" s="27"/>
      <c r="U14" s="8"/>
      <c r="V14" s="8"/>
      <c r="W14" s="8"/>
      <c r="X14" s="27"/>
      <c r="Y14" s="27"/>
      <c r="Z14" s="27"/>
      <c r="AA14" s="27"/>
      <c r="AB14" s="27" t="s">
        <v>1343</v>
      </c>
      <c r="AC14" s="27"/>
      <c r="AD14" s="27"/>
      <c r="AE14" s="27"/>
      <c r="AF14" s="27"/>
      <c r="AG14" s="27" t="s">
        <v>1343</v>
      </c>
      <c r="AH14" s="27" t="s">
        <v>1343</v>
      </c>
      <c r="AI14" s="27"/>
      <c r="AJ14" s="27"/>
      <c r="AK14" s="8"/>
      <c r="AL14" s="8"/>
      <c r="AM14" s="8"/>
      <c r="AN14" s="27"/>
      <c r="AO14" s="8"/>
      <c r="AP14" s="8"/>
      <c r="AQ14" s="27"/>
      <c r="AR14" s="27"/>
    </row>
    <row r="15" spans="1:44" ht="15.75" thickBot="1" x14ac:dyDescent="0.3">
      <c r="A15" t="s">
        <v>34</v>
      </c>
      <c r="C15" s="45" t="s">
        <v>50</v>
      </c>
      <c r="D15" t="s">
        <v>51</v>
      </c>
      <c r="E15" t="s">
        <v>24</v>
      </c>
      <c r="F15" t="s">
        <v>944</v>
      </c>
      <c r="G15" t="s">
        <v>52</v>
      </c>
      <c r="H15"/>
      <c r="I15" s="16">
        <v>-347708370000</v>
      </c>
      <c r="J15" s="16">
        <v>-582698000000</v>
      </c>
      <c r="K15" s="16" t="s">
        <v>948</v>
      </c>
      <c r="L15" s="17">
        <f t="shared" si="5"/>
        <v>27</v>
      </c>
      <c r="M15" s="17">
        <f t="shared" si="6"/>
        <v>1</v>
      </c>
      <c r="N15" s="18">
        <f t="shared" si="7"/>
        <v>0.9642857142857143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 t="s">
        <v>1343</v>
      </c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</row>
    <row r="16" spans="1:44" ht="15.75" thickBot="1" x14ac:dyDescent="0.3">
      <c r="A16" t="s">
        <v>34</v>
      </c>
      <c r="C16" s="45" t="s">
        <v>53</v>
      </c>
      <c r="D16" t="s">
        <v>54</v>
      </c>
      <c r="E16" t="s">
        <v>19</v>
      </c>
      <c r="F16" t="s">
        <v>944</v>
      </c>
      <c r="G16"/>
      <c r="H16" t="s">
        <v>55</v>
      </c>
      <c r="I16" s="16">
        <v>-347737570000</v>
      </c>
      <c r="J16" s="16">
        <v>-582676650000</v>
      </c>
      <c r="K16" s="16" t="s">
        <v>952</v>
      </c>
      <c r="L16" s="17">
        <f t="shared" si="5"/>
        <v>27</v>
      </c>
      <c r="M16" s="17">
        <f t="shared" si="6"/>
        <v>1</v>
      </c>
      <c r="N16" s="18">
        <f t="shared" si="7"/>
        <v>0.9642857142857143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 t="s">
        <v>1343</v>
      </c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</row>
    <row r="17" spans="1:44" ht="15.75" thickBot="1" x14ac:dyDescent="0.3">
      <c r="A17" t="s">
        <v>34</v>
      </c>
      <c r="B17" s="64">
        <v>44642</v>
      </c>
      <c r="C17" s="65" t="s">
        <v>56</v>
      </c>
      <c r="D17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953</v>
      </c>
      <c r="L17" s="17">
        <f t="shared" si="5"/>
        <v>27</v>
      </c>
      <c r="M17" s="17">
        <f t="shared" si="6"/>
        <v>1</v>
      </c>
      <c r="N17" s="18">
        <f t="shared" si="7"/>
        <v>0.9642857142857143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 t="s">
        <v>1343</v>
      </c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</row>
    <row r="18" spans="1:44" ht="15.75" thickBot="1" x14ac:dyDescent="0.3">
      <c r="A18" t="s">
        <v>34</v>
      </c>
      <c r="B18" s="64">
        <v>44642</v>
      </c>
      <c r="C18" s="65" t="s">
        <v>59</v>
      </c>
      <c r="D18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954</v>
      </c>
      <c r="L18" s="17">
        <f t="shared" si="5"/>
        <v>27</v>
      </c>
      <c r="M18" s="17">
        <f t="shared" si="6"/>
        <v>1</v>
      </c>
      <c r="N18" s="18">
        <f t="shared" si="7"/>
        <v>0.9642857142857143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 t="s">
        <v>1343</v>
      </c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</row>
    <row r="19" spans="1:44" ht="15.75" thickBot="1" x14ac:dyDescent="0.3">
      <c r="A19" t="s">
        <v>62</v>
      </c>
      <c r="C19" s="45" t="s">
        <v>63</v>
      </c>
      <c r="D19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957</v>
      </c>
      <c r="L19" s="17">
        <f t="shared" si="5"/>
        <v>28</v>
      </c>
      <c r="M19" s="17">
        <f t="shared" si="6"/>
        <v>0</v>
      </c>
      <c r="N19" s="18">
        <f t="shared" si="7"/>
        <v>1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</row>
    <row r="20" spans="1:44" ht="15.75" thickBot="1" x14ac:dyDescent="0.3">
      <c r="A20" t="s">
        <v>34</v>
      </c>
      <c r="C20" s="45" t="s">
        <v>955</v>
      </c>
      <c r="D20" t="s">
        <v>66</v>
      </c>
      <c r="E20" t="s">
        <v>19</v>
      </c>
      <c r="F20" t="s">
        <v>944</v>
      </c>
      <c r="G20"/>
      <c r="H20" t="s">
        <v>67</v>
      </c>
      <c r="I20" s="16">
        <v>-347689160000</v>
      </c>
      <c r="J20" s="16">
        <v>-582717100000</v>
      </c>
      <c r="K20" s="16" t="s">
        <v>956</v>
      </c>
      <c r="L20" s="17">
        <f t="shared" si="5"/>
        <v>27</v>
      </c>
      <c r="M20" s="17">
        <f t="shared" si="6"/>
        <v>1</v>
      </c>
      <c r="N20" s="18">
        <f t="shared" si="7"/>
        <v>0.9642857142857143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 t="s">
        <v>1343</v>
      </c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</row>
    <row r="21" spans="1:44" ht="15.75" thickBot="1" x14ac:dyDescent="0.3">
      <c r="A21" t="s">
        <v>68</v>
      </c>
      <c r="C21" s="45" t="s">
        <v>69</v>
      </c>
      <c r="D21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958</v>
      </c>
      <c r="L21" s="17">
        <f t="shared" si="5"/>
        <v>21</v>
      </c>
      <c r="M21" s="17">
        <f t="shared" si="6"/>
        <v>7</v>
      </c>
      <c r="N21" s="18">
        <f t="shared" si="7"/>
        <v>0.75</v>
      </c>
      <c r="O21" s="27"/>
      <c r="P21" s="8"/>
      <c r="Q21" s="8"/>
      <c r="R21" s="8"/>
      <c r="S21" s="27"/>
      <c r="T21" s="27"/>
      <c r="U21" s="8" t="s">
        <v>1343</v>
      </c>
      <c r="V21" s="8" t="s">
        <v>1343</v>
      </c>
      <c r="W21" s="8" t="s">
        <v>1343</v>
      </c>
      <c r="X21" s="27" t="s">
        <v>1343</v>
      </c>
      <c r="Y21" s="27" t="s">
        <v>1343</v>
      </c>
      <c r="Z21" s="27"/>
      <c r="AA21" s="27"/>
      <c r="AB21" s="27"/>
      <c r="AC21" s="27"/>
      <c r="AD21" s="27"/>
      <c r="AE21" s="27"/>
      <c r="AF21" s="27"/>
      <c r="AG21" s="27" t="s">
        <v>1343</v>
      </c>
      <c r="AH21" s="27"/>
      <c r="AI21" s="27" t="s">
        <v>1343</v>
      </c>
      <c r="AJ21" s="27"/>
      <c r="AK21" s="8"/>
      <c r="AL21" s="8"/>
      <c r="AM21" s="8"/>
      <c r="AN21" s="27"/>
      <c r="AO21" s="8"/>
      <c r="AP21" s="8"/>
      <c r="AQ21" s="27"/>
      <c r="AR21" s="27"/>
    </row>
    <row r="22" spans="1:44" ht="15.75" thickBot="1" x14ac:dyDescent="0.3">
      <c r="C22" s="45" t="s">
        <v>1008</v>
      </c>
      <c r="D2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1009</v>
      </c>
      <c r="L22" s="17">
        <f t="shared" si="5"/>
        <v>24</v>
      </c>
      <c r="M22" s="17">
        <f t="shared" si="6"/>
        <v>4</v>
      </c>
      <c r="N22" s="18">
        <f t="shared" si="7"/>
        <v>0.8571428571428571</v>
      </c>
      <c r="O22" s="27"/>
      <c r="P22" s="8"/>
      <c r="Q22" s="8"/>
      <c r="R22" s="8"/>
      <c r="S22" s="27"/>
      <c r="T22" s="27"/>
      <c r="U22" s="8" t="s">
        <v>1343</v>
      </c>
      <c r="V22" s="8" t="s">
        <v>1343</v>
      </c>
      <c r="W22" s="8" t="s">
        <v>1343</v>
      </c>
      <c r="X22" s="27"/>
      <c r="Y22" s="27"/>
      <c r="Z22" s="27"/>
      <c r="AA22" s="27"/>
      <c r="AB22" s="27"/>
      <c r="AC22" s="27"/>
      <c r="AD22" s="27"/>
      <c r="AE22" s="27"/>
      <c r="AF22" s="27"/>
      <c r="AG22" s="27" t="s">
        <v>1343</v>
      </c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</row>
    <row r="23" spans="1:44" ht="15.75" thickBot="1" x14ac:dyDescent="0.3">
      <c r="C23" s="45" t="s">
        <v>1011</v>
      </c>
      <c r="D23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1012</v>
      </c>
      <c r="L23" s="17">
        <f t="shared" si="5"/>
        <v>28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</row>
    <row r="24" spans="1:44" ht="15.75" thickBot="1" x14ac:dyDescent="0.3">
      <c r="C24" s="45" t="s">
        <v>76</v>
      </c>
      <c r="D24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1013</v>
      </c>
      <c r="L24" s="17">
        <f t="shared" si="5"/>
        <v>24</v>
      </c>
      <c r="M24" s="17">
        <f t="shared" si="6"/>
        <v>4</v>
      </c>
      <c r="N24" s="18">
        <f t="shared" si="7"/>
        <v>0.8571428571428571</v>
      </c>
      <c r="O24" s="27"/>
      <c r="P24" s="8"/>
      <c r="Q24" s="8"/>
      <c r="R24" s="8"/>
      <c r="S24" s="27"/>
      <c r="T24" s="27"/>
      <c r="U24" s="8" t="s">
        <v>1343</v>
      </c>
      <c r="V24" s="8"/>
      <c r="W24" s="8"/>
      <c r="X24" s="27"/>
      <c r="Y24" s="27" t="s">
        <v>1343</v>
      </c>
      <c r="Z24" s="27"/>
      <c r="AA24" s="27"/>
      <c r="AB24" s="27"/>
      <c r="AC24" s="27"/>
      <c r="AD24" s="27"/>
      <c r="AE24" s="27" t="s">
        <v>1343</v>
      </c>
      <c r="AF24" s="27" t="s">
        <v>1343</v>
      </c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</row>
    <row r="25" spans="1:44" ht="15.75" thickBot="1" x14ac:dyDescent="0.3">
      <c r="C25" s="45" t="s">
        <v>78</v>
      </c>
      <c r="D25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1014</v>
      </c>
      <c r="L25" s="17">
        <f t="shared" si="5"/>
        <v>28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</row>
    <row r="26" spans="1:44" ht="15.75" thickBot="1" x14ac:dyDescent="0.3">
      <c r="A26" t="s">
        <v>80</v>
      </c>
      <c r="C26" s="45" t="s">
        <v>81</v>
      </c>
      <c r="D26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1015</v>
      </c>
      <c r="L26" s="17">
        <f t="shared" si="5"/>
        <v>28</v>
      </c>
      <c r="M26" s="17">
        <f t="shared" si="6"/>
        <v>0</v>
      </c>
      <c r="N26" s="18">
        <f t="shared" si="7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</row>
    <row r="27" spans="1:44" ht="15.75" thickBot="1" x14ac:dyDescent="0.3">
      <c r="C27" s="45" t="s">
        <v>84</v>
      </c>
      <c r="D27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1016</v>
      </c>
      <c r="L27" s="17">
        <f t="shared" si="5"/>
        <v>28</v>
      </c>
      <c r="M27" s="17">
        <f t="shared" si="6"/>
        <v>0</v>
      </c>
      <c r="N27" s="18">
        <f t="shared" si="7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</row>
    <row r="28" spans="1:44" ht="15.75" thickBot="1" x14ac:dyDescent="0.3">
      <c r="C28" s="45" t="s">
        <v>86</v>
      </c>
      <c r="D28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1017</v>
      </c>
      <c r="L28" s="17">
        <f t="shared" si="5"/>
        <v>28</v>
      </c>
      <c r="M28" s="17">
        <f t="shared" si="6"/>
        <v>0</v>
      </c>
      <c r="N28" s="18">
        <f t="shared" si="7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</row>
    <row r="29" spans="1:44" ht="15.75" thickBot="1" x14ac:dyDescent="0.3">
      <c r="C29" s="45" t="s">
        <v>89</v>
      </c>
      <c r="D29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1018</v>
      </c>
      <c r="L29" s="17">
        <f t="shared" si="5"/>
        <v>28</v>
      </c>
      <c r="M29" s="17">
        <f t="shared" si="6"/>
        <v>0</v>
      </c>
      <c r="N29" s="18">
        <f t="shared" si="7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</row>
    <row r="30" spans="1:44" ht="15.75" thickBot="1" x14ac:dyDescent="0.3">
      <c r="A30" t="s">
        <v>80</v>
      </c>
      <c r="C30" s="45" t="s">
        <v>92</v>
      </c>
      <c r="D30" t="s">
        <v>93</v>
      </c>
      <c r="E30" t="s">
        <v>19</v>
      </c>
      <c r="F30" t="s">
        <v>944</v>
      </c>
      <c r="G30"/>
      <c r="H30" t="s">
        <v>94</v>
      </c>
      <c r="I30" s="16">
        <v>-347999170000</v>
      </c>
      <c r="J30" s="16">
        <v>-582863530000</v>
      </c>
      <c r="K30" s="16" t="s">
        <v>1019</v>
      </c>
      <c r="L30" s="17">
        <f t="shared" si="5"/>
        <v>23</v>
      </c>
      <c r="M30" s="17">
        <f t="shared" si="6"/>
        <v>5</v>
      </c>
      <c r="N30" s="18">
        <f t="shared" si="7"/>
        <v>0.8214285714285714</v>
      </c>
      <c r="O30" s="27" t="s">
        <v>1343</v>
      </c>
      <c r="P30" s="8"/>
      <c r="Q30" s="8"/>
      <c r="R30" s="8" t="s">
        <v>1343</v>
      </c>
      <c r="S30" s="27" t="s">
        <v>1343</v>
      </c>
      <c r="T30" s="27" t="s">
        <v>1343</v>
      </c>
      <c r="U30" s="8"/>
      <c r="V30" s="8"/>
      <c r="W30" s="8"/>
      <c r="X30" s="27"/>
      <c r="Y30" s="27" t="s">
        <v>1343</v>
      </c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</row>
    <row r="31" spans="1:44" ht="15.75" thickBot="1" x14ac:dyDescent="0.3">
      <c r="A31" t="s">
        <v>80</v>
      </c>
      <c r="C31" s="45" t="s">
        <v>95</v>
      </c>
      <c r="D31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1020</v>
      </c>
      <c r="L31" s="17">
        <f t="shared" si="5"/>
        <v>28</v>
      </c>
      <c r="M31" s="17">
        <f t="shared" si="6"/>
        <v>0</v>
      </c>
      <c r="N31" s="18">
        <f t="shared" si="7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</row>
    <row r="32" spans="1:44" ht="15.75" thickBot="1" x14ac:dyDescent="0.3">
      <c r="A32" t="s">
        <v>80</v>
      </c>
      <c r="C32" s="45" t="s">
        <v>98</v>
      </c>
      <c r="D32" t="s">
        <v>921</v>
      </c>
      <c r="E32" t="s">
        <v>19</v>
      </c>
      <c r="F32" t="s">
        <v>944</v>
      </c>
      <c r="G32"/>
      <c r="H32" t="s">
        <v>99</v>
      </c>
      <c r="I32" s="16">
        <v>-348038200000</v>
      </c>
      <c r="J32" s="16">
        <v>-582766160000</v>
      </c>
      <c r="K32" s="16" t="s">
        <v>1021</v>
      </c>
      <c r="L32" s="17">
        <f t="shared" si="5"/>
        <v>27</v>
      </c>
      <c r="M32" s="17">
        <f t="shared" si="6"/>
        <v>1</v>
      </c>
      <c r="N32" s="18">
        <f t="shared" si="7"/>
        <v>0.9642857142857143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 t="s">
        <v>1343</v>
      </c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</row>
    <row r="33" spans="1:44" ht="15.75" thickBot="1" x14ac:dyDescent="0.3">
      <c r="A33" t="s">
        <v>80</v>
      </c>
      <c r="C33" s="45" t="s">
        <v>100</v>
      </c>
      <c r="D33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1022</v>
      </c>
      <c r="L33" s="17">
        <f t="shared" si="5"/>
        <v>28</v>
      </c>
      <c r="M33" s="17">
        <f t="shared" si="6"/>
        <v>0</v>
      </c>
      <c r="N33" s="18">
        <f t="shared" si="7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</row>
    <row r="34" spans="1:44" ht="15.75" thickBot="1" x14ac:dyDescent="0.3">
      <c r="A34" t="s">
        <v>80</v>
      </c>
      <c r="C34" s="45" t="s">
        <v>103</v>
      </c>
      <c r="D34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1031</v>
      </c>
      <c r="L34" s="17">
        <f t="shared" si="5"/>
        <v>28</v>
      </c>
      <c r="M34" s="17">
        <f t="shared" si="6"/>
        <v>0</v>
      </c>
      <c r="N34" s="18">
        <f t="shared" si="7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</row>
    <row r="35" spans="1:44" ht="15.75" thickBot="1" x14ac:dyDescent="0.3">
      <c r="A35" t="s">
        <v>80</v>
      </c>
      <c r="C35" s="45" t="s">
        <v>106</v>
      </c>
      <c r="D35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1032</v>
      </c>
      <c r="L35" s="17">
        <f t="shared" si="5"/>
        <v>28</v>
      </c>
      <c r="M35" s="17">
        <f t="shared" si="6"/>
        <v>0</v>
      </c>
      <c r="N35" s="18">
        <f t="shared" si="7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</row>
    <row r="36" spans="1:44" ht="15.75" thickBot="1" x14ac:dyDescent="0.3">
      <c r="A36" t="s">
        <v>80</v>
      </c>
      <c r="C36" s="45" t="s">
        <v>108</v>
      </c>
      <c r="D36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1033</v>
      </c>
      <c r="L36" s="17">
        <f t="shared" si="5"/>
        <v>28</v>
      </c>
      <c r="M36" s="17">
        <f t="shared" si="6"/>
        <v>0</v>
      </c>
      <c r="N36" s="18">
        <f t="shared" si="7"/>
        <v>1</v>
      </c>
      <c r="O36" s="27"/>
      <c r="P36" s="8"/>
      <c r="Q36" s="8"/>
      <c r="R36" s="8"/>
      <c r="S36" s="27"/>
      <c r="T36" s="27"/>
      <c r="U36" s="8"/>
      <c r="V36" s="8"/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</row>
    <row r="37" spans="1:44" ht="15.75" thickBot="1" x14ac:dyDescent="0.3">
      <c r="A37" t="s">
        <v>80</v>
      </c>
      <c r="C37" s="45" t="s">
        <v>111</v>
      </c>
      <c r="D37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959</v>
      </c>
      <c r="L37" s="17">
        <f t="shared" si="5"/>
        <v>28</v>
      </c>
      <c r="M37" s="17">
        <f t="shared" si="6"/>
        <v>0</v>
      </c>
      <c r="N37" s="18">
        <f t="shared" si="7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</row>
    <row r="38" spans="1:44" ht="15.75" thickBot="1" x14ac:dyDescent="0.3">
      <c r="A38" t="s">
        <v>80</v>
      </c>
      <c r="C38" s="45" t="s">
        <v>115</v>
      </c>
      <c r="D38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951</v>
      </c>
      <c r="L38" s="17">
        <f t="shared" si="5"/>
        <v>28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</row>
    <row r="39" spans="1:44" ht="15.75" thickBot="1" x14ac:dyDescent="0.3">
      <c r="A39" t="s">
        <v>80</v>
      </c>
      <c r="C39" s="45" t="s">
        <v>118</v>
      </c>
      <c r="D39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960</v>
      </c>
      <c r="L39" s="17">
        <f t="shared" si="5"/>
        <v>27</v>
      </c>
      <c r="M39" s="17">
        <f t="shared" si="6"/>
        <v>1</v>
      </c>
      <c r="N39" s="18">
        <f t="shared" si="7"/>
        <v>0.9642857142857143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 t="s">
        <v>1343</v>
      </c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</row>
    <row r="40" spans="1:44" ht="15.75" thickBot="1" x14ac:dyDescent="0.3">
      <c r="A40" t="s">
        <v>80</v>
      </c>
      <c r="C40" s="45" t="s">
        <v>121</v>
      </c>
      <c r="D40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961</v>
      </c>
      <c r="L40" s="17">
        <f t="shared" si="5"/>
        <v>28</v>
      </c>
      <c r="M40" s="17">
        <f t="shared" si="6"/>
        <v>0</v>
      </c>
      <c r="N40" s="18">
        <f t="shared" si="7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</row>
    <row r="41" spans="1:44" ht="15.75" thickBot="1" x14ac:dyDescent="0.3">
      <c r="A41" t="s">
        <v>80</v>
      </c>
      <c r="C41" s="45" t="s">
        <v>124</v>
      </c>
      <c r="D41" t="s">
        <v>942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962</v>
      </c>
      <c r="L41" s="17">
        <f t="shared" si="5"/>
        <v>28</v>
      </c>
      <c r="M41" s="17">
        <f t="shared" si="6"/>
        <v>0</v>
      </c>
      <c r="N41" s="18">
        <f t="shared" si="7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</row>
    <row r="42" spans="1:44" ht="15.75" thickBot="1" x14ac:dyDescent="0.3">
      <c r="A42" t="s">
        <v>80</v>
      </c>
      <c r="C42" s="45" t="s">
        <v>127</v>
      </c>
      <c r="D4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963</v>
      </c>
      <c r="L42" s="17">
        <f t="shared" si="5"/>
        <v>28</v>
      </c>
      <c r="M42" s="17">
        <f t="shared" si="6"/>
        <v>0</v>
      </c>
      <c r="N42" s="18">
        <f t="shared" si="7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</row>
    <row r="43" spans="1:44" ht="15.75" thickBot="1" x14ac:dyDescent="0.3">
      <c r="A43" t="s">
        <v>80</v>
      </c>
      <c r="C43" s="45" t="s">
        <v>130</v>
      </c>
      <c r="D43" t="s">
        <v>941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964</v>
      </c>
      <c r="L43" s="17">
        <f t="shared" si="5"/>
        <v>28</v>
      </c>
      <c r="M43" s="17">
        <f t="shared" si="6"/>
        <v>0</v>
      </c>
      <c r="N43" s="18">
        <f t="shared" si="7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</row>
    <row r="44" spans="1:44" ht="15.75" thickBot="1" x14ac:dyDescent="0.3">
      <c r="A44" t="s">
        <v>80</v>
      </c>
      <c r="C44" s="45" t="s">
        <v>133</v>
      </c>
      <c r="D44" t="s">
        <v>940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965</v>
      </c>
      <c r="L44" s="17">
        <f t="shared" si="5"/>
        <v>28</v>
      </c>
      <c r="M44" s="17">
        <f t="shared" si="6"/>
        <v>0</v>
      </c>
      <c r="N44" s="18">
        <f t="shared" si="7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</row>
    <row r="45" spans="1:44" ht="15.75" thickBot="1" x14ac:dyDescent="0.3">
      <c r="A45" t="s">
        <v>80</v>
      </c>
      <c r="C45" s="45" t="s">
        <v>135</v>
      </c>
      <c r="D45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966</v>
      </c>
      <c r="L45" s="17">
        <f t="shared" si="5"/>
        <v>27</v>
      </c>
      <c r="M45" s="17">
        <f t="shared" si="6"/>
        <v>1</v>
      </c>
      <c r="N45" s="18">
        <f t="shared" si="7"/>
        <v>0.9642857142857143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 t="s">
        <v>1343</v>
      </c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</row>
    <row r="46" spans="1:44" ht="15.75" thickBot="1" x14ac:dyDescent="0.3">
      <c r="A46" t="s">
        <v>80</v>
      </c>
      <c r="C46" s="45" t="s">
        <v>138</v>
      </c>
      <c r="D46" t="s">
        <v>139</v>
      </c>
      <c r="E46" t="s">
        <v>24</v>
      </c>
      <c r="F46" t="s">
        <v>36</v>
      </c>
      <c r="G46" t="s">
        <v>140</v>
      </c>
      <c r="H46"/>
      <c r="I46" s="16">
        <v>-348107030000</v>
      </c>
      <c r="J46" s="16">
        <v>-582745850000</v>
      </c>
      <c r="K46" s="16" t="s">
        <v>967</v>
      </c>
      <c r="L46" s="17">
        <f t="shared" si="5"/>
        <v>28</v>
      </c>
      <c r="M46" s="17">
        <f t="shared" si="6"/>
        <v>0</v>
      </c>
      <c r="N46" s="18">
        <f t="shared" si="7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</row>
    <row r="47" spans="1:44" ht="15.75" thickBot="1" x14ac:dyDescent="0.3">
      <c r="A47" t="s">
        <v>80</v>
      </c>
      <c r="C47" s="45" t="s">
        <v>141</v>
      </c>
      <c r="D47" t="s">
        <v>142</v>
      </c>
      <c r="E47" t="s">
        <v>24</v>
      </c>
      <c r="F47" t="s">
        <v>36</v>
      </c>
      <c r="G47" t="s">
        <v>143</v>
      </c>
      <c r="H47" t="s">
        <v>144</v>
      </c>
      <c r="I47" s="16">
        <v>-348099320000</v>
      </c>
      <c r="J47" s="16">
        <v>-582745900000</v>
      </c>
      <c r="K47" s="16" t="s">
        <v>968</v>
      </c>
      <c r="L47" s="17">
        <f t="shared" si="5"/>
        <v>26</v>
      </c>
      <c r="M47" s="17">
        <f t="shared" si="6"/>
        <v>2</v>
      </c>
      <c r="N47" s="18">
        <f t="shared" si="7"/>
        <v>0.9285714285714286</v>
      </c>
      <c r="O47" s="27"/>
      <c r="P47" s="8"/>
      <c r="Q47" s="8"/>
      <c r="R47" s="8" t="s">
        <v>1343</v>
      </c>
      <c r="S47" s="27" t="s">
        <v>1343</v>
      </c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</row>
    <row r="48" spans="1:44" ht="15.75" thickBot="1" x14ac:dyDescent="0.3">
      <c r="A48" t="s">
        <v>80</v>
      </c>
      <c r="C48" s="45" t="s">
        <v>145</v>
      </c>
      <c r="D48" t="s">
        <v>146</v>
      </c>
      <c r="E48" t="s">
        <v>24</v>
      </c>
      <c r="F48" t="s">
        <v>36</v>
      </c>
      <c r="G48" t="s">
        <v>147</v>
      </c>
      <c r="H48"/>
      <c r="I48" s="16">
        <v>-348088700000</v>
      </c>
      <c r="J48" s="16">
        <v>-582747030000</v>
      </c>
      <c r="K48" s="16" t="s">
        <v>969</v>
      </c>
      <c r="L48" s="17">
        <f t="shared" si="5"/>
        <v>28</v>
      </c>
      <c r="M48" s="17">
        <f t="shared" si="6"/>
        <v>0</v>
      </c>
      <c r="N48" s="18">
        <f t="shared" si="7"/>
        <v>1</v>
      </c>
      <c r="O48" s="27"/>
      <c r="P48" s="8"/>
      <c r="Q48" s="8"/>
      <c r="R48" s="8"/>
      <c r="S48" s="27"/>
      <c r="T48" s="27"/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</row>
    <row r="49" spans="1:44" ht="15.75" thickBot="1" x14ac:dyDescent="0.3">
      <c r="A49" t="s">
        <v>80</v>
      </c>
      <c r="C49" s="45" t="s">
        <v>148</v>
      </c>
      <c r="D49" t="s">
        <v>149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970</v>
      </c>
      <c r="L49" s="17">
        <f t="shared" si="5"/>
        <v>27</v>
      </c>
      <c r="M49" s="17">
        <f t="shared" si="6"/>
        <v>1</v>
      </c>
      <c r="N49" s="18">
        <f t="shared" si="7"/>
        <v>0.9642857142857143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 t="s">
        <v>1343</v>
      </c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</row>
    <row r="50" spans="1:44" ht="15.75" thickBot="1" x14ac:dyDescent="0.3">
      <c r="A50" t="s">
        <v>80</v>
      </c>
      <c r="C50" s="45" t="s">
        <v>150</v>
      </c>
      <c r="D50" t="s">
        <v>1326</v>
      </c>
      <c r="E50" t="s">
        <v>24</v>
      </c>
      <c r="F50" t="s">
        <v>36</v>
      </c>
      <c r="G50" t="s">
        <v>151</v>
      </c>
      <c r="H50"/>
      <c r="I50" s="16">
        <v>-348105840000</v>
      </c>
      <c r="J50" s="16">
        <v>-582705460000</v>
      </c>
      <c r="K50" s="16" t="s">
        <v>971</v>
      </c>
      <c r="L50" s="17">
        <f t="shared" si="5"/>
        <v>28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</row>
    <row r="51" spans="1:44" ht="15.75" thickBot="1" x14ac:dyDescent="0.3">
      <c r="A51" t="s">
        <v>80</v>
      </c>
      <c r="C51" s="45" t="s">
        <v>152</v>
      </c>
      <c r="D51" t="s">
        <v>153</v>
      </c>
      <c r="E51" t="s">
        <v>24</v>
      </c>
      <c r="F51" t="s">
        <v>36</v>
      </c>
      <c r="G51" t="s">
        <v>154</v>
      </c>
      <c r="H51"/>
      <c r="I51" s="16">
        <v>-348056730000</v>
      </c>
      <c r="J51" s="16">
        <v>-582731900000</v>
      </c>
      <c r="K51" s="16" t="s">
        <v>972</v>
      </c>
      <c r="L51" s="17">
        <f t="shared" si="5"/>
        <v>27</v>
      </c>
      <c r="M51" s="17">
        <f t="shared" si="6"/>
        <v>1</v>
      </c>
      <c r="N51" s="18">
        <f t="shared" si="7"/>
        <v>0.9642857142857143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 t="s">
        <v>1343</v>
      </c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</row>
    <row r="52" spans="1:44" ht="15.75" thickBot="1" x14ac:dyDescent="0.3">
      <c r="A52" t="s">
        <v>80</v>
      </c>
      <c r="C52" s="45" t="s">
        <v>155</v>
      </c>
      <c r="D52" t="s">
        <v>156</v>
      </c>
      <c r="E52" t="s">
        <v>113</v>
      </c>
      <c r="F52" t="s">
        <v>36</v>
      </c>
      <c r="G52" t="s">
        <v>157</v>
      </c>
      <c r="H52" t="s">
        <v>158</v>
      </c>
      <c r="I52" s="16">
        <v>-348100860000</v>
      </c>
      <c r="J52" s="16">
        <v>-582782440000</v>
      </c>
      <c r="K52" s="16" t="s">
        <v>973</v>
      </c>
      <c r="L52" s="17">
        <f t="shared" si="5"/>
        <v>28</v>
      </c>
      <c r="M52" s="17">
        <f t="shared" si="6"/>
        <v>0</v>
      </c>
      <c r="N52" s="18">
        <f t="shared" si="7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</row>
    <row r="53" spans="1:44" ht="15.75" thickBot="1" x14ac:dyDescent="0.3">
      <c r="C53" s="45" t="s">
        <v>159</v>
      </c>
      <c r="D53" t="s">
        <v>160</v>
      </c>
      <c r="E53" t="s">
        <v>24</v>
      </c>
      <c r="F53" t="s">
        <v>944</v>
      </c>
      <c r="G53" t="s">
        <v>161</v>
      </c>
      <c r="H53" t="s">
        <v>162</v>
      </c>
      <c r="I53" s="16">
        <v>-348090820000</v>
      </c>
      <c r="J53" s="16">
        <v>-582779860000</v>
      </c>
      <c r="K53" s="16" t="s">
        <v>974</v>
      </c>
      <c r="L53" s="17">
        <f t="shared" si="5"/>
        <v>23</v>
      </c>
      <c r="M53" s="17">
        <f t="shared" si="6"/>
        <v>5</v>
      </c>
      <c r="N53" s="18">
        <f t="shared" si="7"/>
        <v>0.8214285714285714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 t="s">
        <v>1343</v>
      </c>
      <c r="AH53" s="27" t="s">
        <v>1343</v>
      </c>
      <c r="AI53" s="27" t="s">
        <v>1343</v>
      </c>
      <c r="AJ53" s="27" t="s">
        <v>1343</v>
      </c>
      <c r="AK53" s="8" t="s">
        <v>1343</v>
      </c>
      <c r="AL53" s="8"/>
      <c r="AM53" s="8"/>
      <c r="AN53" s="27"/>
      <c r="AO53" s="8"/>
      <c r="AP53" s="8"/>
      <c r="AQ53" s="27"/>
      <c r="AR53" s="27"/>
    </row>
    <row r="54" spans="1:44" ht="15.75" thickBot="1" x14ac:dyDescent="0.3">
      <c r="A54" t="s">
        <v>80</v>
      </c>
      <c r="C54" s="45" t="s">
        <v>163</v>
      </c>
      <c r="D54" t="s">
        <v>164</v>
      </c>
      <c r="E54" t="s">
        <v>113</v>
      </c>
      <c r="F54" t="s">
        <v>36</v>
      </c>
      <c r="G54" t="s">
        <v>165</v>
      </c>
      <c r="H54" t="s">
        <v>162</v>
      </c>
      <c r="I54" s="16">
        <v>-348083950000</v>
      </c>
      <c r="J54" s="16">
        <v>-582747030000</v>
      </c>
      <c r="K54" s="16" t="s">
        <v>975</v>
      </c>
      <c r="L54" s="17">
        <f t="shared" si="5"/>
        <v>28</v>
      </c>
      <c r="M54" s="17">
        <f t="shared" si="6"/>
        <v>0</v>
      </c>
      <c r="N54" s="18">
        <f t="shared" si="7"/>
        <v>1</v>
      </c>
      <c r="O54" s="27"/>
      <c r="P54" s="8"/>
      <c r="Q54" s="8"/>
      <c r="R54" s="8"/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</row>
    <row r="55" spans="1:44" ht="15.75" thickBot="1" x14ac:dyDescent="0.3">
      <c r="A55" t="s">
        <v>80</v>
      </c>
      <c r="C55" s="45" t="s">
        <v>166</v>
      </c>
      <c r="D55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976</v>
      </c>
      <c r="L55" s="17">
        <f t="shared" si="5"/>
        <v>28</v>
      </c>
      <c r="M55" s="17">
        <f t="shared" si="6"/>
        <v>0</v>
      </c>
      <c r="N55" s="18">
        <f t="shared" si="7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</row>
    <row r="56" spans="1:44" ht="15.75" thickBot="1" x14ac:dyDescent="0.3">
      <c r="A56" t="s">
        <v>167</v>
      </c>
      <c r="C56" s="45" t="s">
        <v>168</v>
      </c>
      <c r="D56" t="s">
        <v>169</v>
      </c>
      <c r="E56" t="s">
        <v>24</v>
      </c>
      <c r="F56" t="s">
        <v>36</v>
      </c>
      <c r="G56" t="s">
        <v>170</v>
      </c>
      <c r="H56"/>
      <c r="I56" s="16">
        <v>-347986060000</v>
      </c>
      <c r="J56" s="16">
        <v>-582839810000</v>
      </c>
      <c r="K56" s="16" t="s">
        <v>977</v>
      </c>
      <c r="L56" s="17">
        <f t="shared" si="5"/>
        <v>28</v>
      </c>
      <c r="M56" s="17">
        <f t="shared" si="6"/>
        <v>0</v>
      </c>
      <c r="N56" s="18">
        <f t="shared" si="7"/>
        <v>1</v>
      </c>
      <c r="O56" s="27"/>
      <c r="P56" s="8"/>
      <c r="Q56" s="8"/>
      <c r="R56" s="8"/>
      <c r="S56" s="27"/>
      <c r="T56" s="27"/>
      <c r="U56" s="8"/>
      <c r="V56" s="8"/>
      <c r="W56" s="8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</row>
    <row r="57" spans="1:44" ht="15.75" thickBot="1" x14ac:dyDescent="0.3">
      <c r="A57" t="s">
        <v>80</v>
      </c>
      <c r="C57" s="45" t="s">
        <v>171</v>
      </c>
      <c r="D57" t="s">
        <v>172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978</v>
      </c>
      <c r="L57" s="17">
        <f t="shared" si="5"/>
        <v>28</v>
      </c>
      <c r="M57" s="17">
        <f t="shared" si="6"/>
        <v>0</v>
      </c>
      <c r="N57" s="18">
        <f t="shared" si="7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</row>
    <row r="58" spans="1:44" ht="15.75" thickBot="1" x14ac:dyDescent="0.3">
      <c r="A58" t="s">
        <v>80</v>
      </c>
      <c r="C58" s="45" t="s">
        <v>173</v>
      </c>
      <c r="D58" t="s">
        <v>174</v>
      </c>
      <c r="E58" t="s">
        <v>24</v>
      </c>
      <c r="F58" t="s">
        <v>25</v>
      </c>
      <c r="G58" t="s">
        <v>175</v>
      </c>
      <c r="H58"/>
      <c r="I58" s="16">
        <v>-348040780000</v>
      </c>
      <c r="J58" s="16">
        <v>-582835220000</v>
      </c>
      <c r="K58" s="16" t="s">
        <v>979</v>
      </c>
      <c r="L58" s="17">
        <f t="shared" si="5"/>
        <v>28</v>
      </c>
      <c r="M58" s="17">
        <f t="shared" si="6"/>
        <v>0</v>
      </c>
      <c r="N58" s="18">
        <f t="shared" si="7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</row>
    <row r="59" spans="1:44" ht="15.75" thickBot="1" x14ac:dyDescent="0.3">
      <c r="A59" t="s">
        <v>80</v>
      </c>
      <c r="C59" s="45" t="s">
        <v>176</v>
      </c>
      <c r="D59" t="s">
        <v>177</v>
      </c>
      <c r="E59" t="s">
        <v>24</v>
      </c>
      <c r="F59" t="s">
        <v>36</v>
      </c>
      <c r="G59" t="s">
        <v>178</v>
      </c>
      <c r="H59"/>
      <c r="I59" s="16">
        <v>-348078180000</v>
      </c>
      <c r="J59" s="16">
        <v>-582747270000</v>
      </c>
      <c r="K59" s="16" t="s">
        <v>980</v>
      </c>
      <c r="L59" s="17">
        <f t="shared" si="5"/>
        <v>28</v>
      </c>
      <c r="M59" s="17">
        <f t="shared" si="6"/>
        <v>0</v>
      </c>
      <c r="N59" s="18">
        <f t="shared" si="7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</row>
    <row r="60" spans="1:44" ht="15.75" thickBot="1" x14ac:dyDescent="0.3">
      <c r="A60" t="s">
        <v>80</v>
      </c>
      <c r="C60" s="45" t="s">
        <v>179</v>
      </c>
      <c r="D60" t="s">
        <v>917</v>
      </c>
      <c r="E60" t="s">
        <v>24</v>
      </c>
      <c r="F60" t="s">
        <v>36</v>
      </c>
      <c r="G60" t="s">
        <v>180</v>
      </c>
      <c r="H60"/>
      <c r="I60" s="16">
        <v>-348079190000</v>
      </c>
      <c r="J60" s="16">
        <v>-582764410000</v>
      </c>
      <c r="K60" s="16" t="s">
        <v>981</v>
      </c>
      <c r="L60" s="17">
        <f t="shared" si="5"/>
        <v>28</v>
      </c>
      <c r="M60" s="17">
        <f t="shared" si="6"/>
        <v>0</v>
      </c>
      <c r="N60" s="18">
        <f t="shared" si="7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</row>
    <row r="61" spans="1:44" ht="15.75" thickBot="1" x14ac:dyDescent="0.3">
      <c r="A61" t="s">
        <v>80</v>
      </c>
      <c r="C61" s="45" t="s">
        <v>181</v>
      </c>
      <c r="D61" t="s">
        <v>182</v>
      </c>
      <c r="E61" t="s">
        <v>24</v>
      </c>
      <c r="F61" t="s">
        <v>36</v>
      </c>
      <c r="G61" t="s">
        <v>65</v>
      </c>
      <c r="H61" t="s">
        <v>183</v>
      </c>
      <c r="I61" s="16">
        <v>-348027470000</v>
      </c>
      <c r="J61" s="16">
        <v>-582782920000</v>
      </c>
      <c r="K61" s="16" t="s">
        <v>982</v>
      </c>
      <c r="L61" s="17">
        <f t="shared" si="5"/>
        <v>28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</row>
    <row r="62" spans="1:44" ht="15.75" thickBot="1" x14ac:dyDescent="0.3">
      <c r="A62" t="s">
        <v>80</v>
      </c>
      <c r="C62" s="45" t="s">
        <v>184</v>
      </c>
      <c r="D62" t="s">
        <v>915</v>
      </c>
      <c r="E62" t="s">
        <v>24</v>
      </c>
      <c r="F62" t="s">
        <v>36</v>
      </c>
      <c r="G62" t="s">
        <v>185</v>
      </c>
      <c r="H62"/>
      <c r="I62" s="16">
        <v>-348089580000</v>
      </c>
      <c r="J62" s="16">
        <v>-582763340000</v>
      </c>
      <c r="K62" s="16" t="s">
        <v>983</v>
      </c>
      <c r="L62" s="17">
        <f t="shared" si="5"/>
        <v>17</v>
      </c>
      <c r="M62" s="17">
        <f t="shared" si="6"/>
        <v>11</v>
      </c>
      <c r="N62" s="18">
        <f t="shared" si="7"/>
        <v>0.6071428571428571</v>
      </c>
      <c r="O62" s="27" t="s">
        <v>1343</v>
      </c>
      <c r="P62" s="8"/>
      <c r="Q62" s="8"/>
      <c r="R62" s="8" t="s">
        <v>1343</v>
      </c>
      <c r="S62" s="27" t="s">
        <v>1343</v>
      </c>
      <c r="T62" s="27" t="s">
        <v>1343</v>
      </c>
      <c r="U62" s="8" t="s">
        <v>1343</v>
      </c>
      <c r="V62" s="8" t="s">
        <v>1343</v>
      </c>
      <c r="W62" s="8" t="s">
        <v>1343</v>
      </c>
      <c r="X62" s="27" t="s">
        <v>1343</v>
      </c>
      <c r="Y62" s="27" t="s">
        <v>1343</v>
      </c>
      <c r="Z62" s="27" t="s">
        <v>1343</v>
      </c>
      <c r="AA62" s="27" t="s">
        <v>1343</v>
      </c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</row>
    <row r="63" spans="1:44" ht="15.75" thickBot="1" x14ac:dyDescent="0.3">
      <c r="A63" t="s">
        <v>80</v>
      </c>
      <c r="C63" s="45" t="s">
        <v>186</v>
      </c>
      <c r="D63" t="s">
        <v>914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984</v>
      </c>
      <c r="L63" s="17">
        <f t="shared" si="5"/>
        <v>17</v>
      </c>
      <c r="M63" s="17">
        <f t="shared" si="6"/>
        <v>11</v>
      </c>
      <c r="N63" s="18">
        <f t="shared" si="7"/>
        <v>0.6071428571428571</v>
      </c>
      <c r="O63" s="27" t="s">
        <v>1343</v>
      </c>
      <c r="P63" s="8"/>
      <c r="Q63" s="8"/>
      <c r="R63" s="8" t="s">
        <v>1343</v>
      </c>
      <c r="S63" s="27" t="s">
        <v>1343</v>
      </c>
      <c r="T63" s="27" t="s">
        <v>1343</v>
      </c>
      <c r="U63" s="8" t="s">
        <v>1343</v>
      </c>
      <c r="V63" s="8" t="s">
        <v>1343</v>
      </c>
      <c r="W63" s="8" t="s">
        <v>1343</v>
      </c>
      <c r="X63" s="27" t="s">
        <v>1343</v>
      </c>
      <c r="Y63" s="27" t="s">
        <v>1343</v>
      </c>
      <c r="Z63" s="27" t="s">
        <v>1343</v>
      </c>
      <c r="AA63" s="27" t="s">
        <v>1343</v>
      </c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</row>
    <row r="64" spans="1:44" ht="15.75" thickBot="1" x14ac:dyDescent="0.3">
      <c r="A64" t="s">
        <v>80</v>
      </c>
      <c r="C64" s="45" t="s">
        <v>187</v>
      </c>
      <c r="D64" t="s">
        <v>188</v>
      </c>
      <c r="E64" t="s">
        <v>24</v>
      </c>
      <c r="F64" t="s">
        <v>36</v>
      </c>
      <c r="G64" t="s">
        <v>185</v>
      </c>
      <c r="H64"/>
      <c r="I64" s="16">
        <v>-348087820000</v>
      </c>
      <c r="J64" s="16">
        <v>-582729860000</v>
      </c>
      <c r="K64" s="16" t="s">
        <v>985</v>
      </c>
      <c r="L64" s="17">
        <f t="shared" si="5"/>
        <v>28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</row>
    <row r="65" spans="1:44" ht="15.75" thickBot="1" x14ac:dyDescent="0.3">
      <c r="A65" t="s">
        <v>80</v>
      </c>
      <c r="C65" s="45" t="s">
        <v>189</v>
      </c>
      <c r="D65" t="s">
        <v>190</v>
      </c>
      <c r="E65" t="s">
        <v>24</v>
      </c>
      <c r="F65" t="s">
        <v>36</v>
      </c>
      <c r="G65" t="s">
        <v>185</v>
      </c>
      <c r="H65"/>
      <c r="I65" s="16">
        <v>-348066860000</v>
      </c>
      <c r="J65" s="16">
        <v>-582731470000</v>
      </c>
      <c r="K65" s="16" t="s">
        <v>986</v>
      </c>
      <c r="L65" s="17">
        <f t="shared" si="5"/>
        <v>17</v>
      </c>
      <c r="M65" s="17">
        <f t="shared" si="6"/>
        <v>11</v>
      </c>
      <c r="N65" s="18">
        <f t="shared" si="7"/>
        <v>0.6071428571428571</v>
      </c>
      <c r="O65" s="27" t="s">
        <v>1343</v>
      </c>
      <c r="P65" s="8"/>
      <c r="Q65" s="8"/>
      <c r="R65" s="8" t="s">
        <v>1343</v>
      </c>
      <c r="S65" s="27" t="s">
        <v>1343</v>
      </c>
      <c r="T65" s="27" t="s">
        <v>1343</v>
      </c>
      <c r="U65" s="8" t="s">
        <v>1343</v>
      </c>
      <c r="V65" s="8" t="s">
        <v>1343</v>
      </c>
      <c r="W65" s="8" t="s">
        <v>1343</v>
      </c>
      <c r="X65" s="27" t="s">
        <v>1343</v>
      </c>
      <c r="Y65" s="27" t="s">
        <v>1343</v>
      </c>
      <c r="Z65" s="27" t="s">
        <v>1343</v>
      </c>
      <c r="AA65" s="27" t="s">
        <v>1343</v>
      </c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</row>
    <row r="66" spans="1:44" ht="15.75" thickBot="1" x14ac:dyDescent="0.3">
      <c r="A66" t="s">
        <v>80</v>
      </c>
      <c r="C66" s="45" t="s">
        <v>191</v>
      </c>
      <c r="D66" t="s">
        <v>192</v>
      </c>
      <c r="E66" t="s">
        <v>24</v>
      </c>
      <c r="F66" t="s">
        <v>36</v>
      </c>
      <c r="G66" t="s">
        <v>193</v>
      </c>
      <c r="H66"/>
      <c r="I66" s="16">
        <v>-348086060000</v>
      </c>
      <c r="J66" s="16">
        <v>-582700470000</v>
      </c>
      <c r="K66" s="16" t="s">
        <v>987</v>
      </c>
      <c r="L66" s="17">
        <f t="shared" si="5"/>
        <v>20</v>
      </c>
      <c r="M66" s="17">
        <f t="shared" si="6"/>
        <v>8</v>
      </c>
      <c r="N66" s="18">
        <f t="shared" si="7"/>
        <v>0.7142857142857143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 t="s">
        <v>1343</v>
      </c>
      <c r="AE66" s="27" t="s">
        <v>1343</v>
      </c>
      <c r="AF66" s="27" t="s">
        <v>1343</v>
      </c>
      <c r="AG66" s="27" t="s">
        <v>1343</v>
      </c>
      <c r="AH66" s="27" t="s">
        <v>1343</v>
      </c>
      <c r="AI66" s="27" t="s">
        <v>1343</v>
      </c>
      <c r="AJ66" s="27" t="s">
        <v>1343</v>
      </c>
      <c r="AK66" s="8" t="s">
        <v>1343</v>
      </c>
      <c r="AL66" s="8"/>
      <c r="AM66" s="8"/>
      <c r="AN66" s="27"/>
      <c r="AO66" s="8"/>
      <c r="AP66" s="8"/>
      <c r="AQ66" s="27"/>
      <c r="AR66" s="27"/>
    </row>
    <row r="67" spans="1:44" ht="15.75" thickBot="1" x14ac:dyDescent="0.3">
      <c r="A67" t="s">
        <v>80</v>
      </c>
      <c r="C67" s="45" t="s">
        <v>194</v>
      </c>
      <c r="D67" t="s">
        <v>195</v>
      </c>
      <c r="E67" t="s">
        <v>24</v>
      </c>
      <c r="F67" t="s">
        <v>36</v>
      </c>
      <c r="G67" t="s">
        <v>196</v>
      </c>
      <c r="H67"/>
      <c r="I67" s="16">
        <v>-348088130000</v>
      </c>
      <c r="J67" s="16">
        <v>-582738390000</v>
      </c>
      <c r="K67" s="16" t="s">
        <v>988</v>
      </c>
      <c r="L67" s="17">
        <f t="shared" si="5"/>
        <v>28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</row>
    <row r="68" spans="1:44" ht="15.75" thickBot="1" x14ac:dyDescent="0.3">
      <c r="A68" t="s">
        <v>80</v>
      </c>
      <c r="C68" s="45" t="s">
        <v>197</v>
      </c>
      <c r="D68" t="s">
        <v>916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989</v>
      </c>
      <c r="L68" s="17">
        <f t="shared" si="5"/>
        <v>17</v>
      </c>
      <c r="M68" s="17">
        <f t="shared" si="6"/>
        <v>11</v>
      </c>
      <c r="N68" s="18">
        <f t="shared" si="7"/>
        <v>0.6071428571428571</v>
      </c>
      <c r="O68" s="27" t="s">
        <v>1343</v>
      </c>
      <c r="P68" s="8"/>
      <c r="Q68" s="8"/>
      <c r="R68" s="8" t="s">
        <v>1343</v>
      </c>
      <c r="S68" s="27" t="s">
        <v>1343</v>
      </c>
      <c r="T68" s="27" t="s">
        <v>1343</v>
      </c>
      <c r="U68" s="8" t="s">
        <v>1343</v>
      </c>
      <c r="V68" s="8" t="s">
        <v>1343</v>
      </c>
      <c r="W68" s="8" t="s">
        <v>1343</v>
      </c>
      <c r="X68" s="27" t="s">
        <v>1343</v>
      </c>
      <c r="Y68" s="27" t="s">
        <v>1343</v>
      </c>
      <c r="Z68" s="27" t="s">
        <v>1343</v>
      </c>
      <c r="AA68" s="27" t="s">
        <v>1343</v>
      </c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</row>
    <row r="69" spans="1:44" ht="15.75" thickBot="1" x14ac:dyDescent="0.3">
      <c r="A69" t="s">
        <v>80</v>
      </c>
      <c r="C69" s="45" t="s">
        <v>198</v>
      </c>
      <c r="D69" t="s">
        <v>199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990</v>
      </c>
      <c r="L69" s="17">
        <f t="shared" ref="L69:L132" si="8">COUNTIF(O69:AP69,"")</f>
        <v>28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</row>
    <row r="70" spans="1:44" ht="15.75" thickBot="1" x14ac:dyDescent="0.3">
      <c r="A70" t="s">
        <v>80</v>
      </c>
      <c r="C70" s="45" t="s">
        <v>200</v>
      </c>
      <c r="D70" t="s">
        <v>918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991</v>
      </c>
      <c r="L70" s="17">
        <f t="shared" si="8"/>
        <v>28</v>
      </c>
      <c r="M70" s="17">
        <f t="shared" si="9"/>
        <v>0</v>
      </c>
      <c r="N70" s="18">
        <f t="shared" si="10"/>
        <v>1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</row>
    <row r="71" spans="1:44" ht="15.75" thickBot="1" x14ac:dyDescent="0.3">
      <c r="A71" t="s">
        <v>80</v>
      </c>
      <c r="C71" s="45" t="s">
        <v>201</v>
      </c>
      <c r="D71" t="s">
        <v>919</v>
      </c>
      <c r="E71" t="s">
        <v>24</v>
      </c>
      <c r="F71" t="s">
        <v>36</v>
      </c>
      <c r="G71" t="s">
        <v>161</v>
      </c>
      <c r="H71"/>
      <c r="I71" s="16">
        <v>-347995320000</v>
      </c>
      <c r="J71" s="16">
        <v>-582767420000</v>
      </c>
      <c r="K71" s="16" t="s">
        <v>992</v>
      </c>
      <c r="L71" s="17">
        <f t="shared" si="8"/>
        <v>28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</row>
    <row r="72" spans="1:44" ht="15.75" thickBot="1" x14ac:dyDescent="0.3">
      <c r="A72" t="s">
        <v>80</v>
      </c>
      <c r="C72" s="45" t="s">
        <v>202</v>
      </c>
      <c r="D72" t="s">
        <v>920</v>
      </c>
      <c r="E72" t="s">
        <v>24</v>
      </c>
      <c r="F72" t="s">
        <v>36</v>
      </c>
      <c r="G72" t="s">
        <v>161</v>
      </c>
      <c r="H72"/>
      <c r="I72" s="16">
        <v>-348027390000</v>
      </c>
      <c r="J72" s="16">
        <v>-582766340000</v>
      </c>
      <c r="K72" s="16" t="s">
        <v>993</v>
      </c>
      <c r="L72" s="17">
        <f t="shared" si="8"/>
        <v>28</v>
      </c>
      <c r="M72" s="17">
        <f t="shared" si="9"/>
        <v>0</v>
      </c>
      <c r="N72" s="18">
        <f t="shared" si="10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</row>
    <row r="73" spans="1:44" ht="15.75" thickBot="1" x14ac:dyDescent="0.3">
      <c r="A73" t="s">
        <v>80</v>
      </c>
      <c r="C73" s="45" t="s">
        <v>203</v>
      </c>
      <c r="D73" t="s">
        <v>204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994</v>
      </c>
      <c r="L73" s="17">
        <f t="shared" si="8"/>
        <v>26</v>
      </c>
      <c r="M73" s="17">
        <f t="shared" si="9"/>
        <v>2</v>
      </c>
      <c r="N73" s="18">
        <f t="shared" si="10"/>
        <v>0.9285714285714286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 t="s">
        <v>1343</v>
      </c>
      <c r="AH73" s="27" t="s">
        <v>1343</v>
      </c>
      <c r="AI73" s="27"/>
      <c r="AJ73" s="27"/>
      <c r="AK73" s="8"/>
      <c r="AL73" s="8"/>
      <c r="AM73" s="8"/>
      <c r="AN73" s="27"/>
      <c r="AO73" s="8"/>
      <c r="AP73" s="8"/>
      <c r="AQ73" s="27"/>
      <c r="AR73" s="27"/>
    </row>
    <row r="74" spans="1:44" ht="15.75" thickBot="1" x14ac:dyDescent="0.3">
      <c r="A74" t="s">
        <v>80</v>
      </c>
      <c r="C74" s="45" t="s">
        <v>205</v>
      </c>
      <c r="D74" t="s">
        <v>206</v>
      </c>
      <c r="E74" t="s">
        <v>24</v>
      </c>
      <c r="F74" t="s">
        <v>36</v>
      </c>
      <c r="G74" t="s">
        <v>161</v>
      </c>
      <c r="H74"/>
      <c r="I74" s="16">
        <v>-348004490000</v>
      </c>
      <c r="J74" s="16">
        <v>-582742520000</v>
      </c>
      <c r="K74" s="16" t="s">
        <v>995</v>
      </c>
      <c r="L74" s="17">
        <f t="shared" si="8"/>
        <v>28</v>
      </c>
      <c r="M74" s="17">
        <f t="shared" si="9"/>
        <v>0</v>
      </c>
      <c r="N74" s="18">
        <f t="shared" si="10"/>
        <v>1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</row>
    <row r="75" spans="1:44" ht="15.75" thickBot="1" x14ac:dyDescent="0.3">
      <c r="A75" t="s">
        <v>80</v>
      </c>
      <c r="C75" s="45" t="s">
        <v>207</v>
      </c>
      <c r="D75" t="s">
        <v>208</v>
      </c>
      <c r="E75" t="s">
        <v>24</v>
      </c>
      <c r="F75" t="s">
        <v>36</v>
      </c>
      <c r="G75" t="s">
        <v>209</v>
      </c>
      <c r="H75"/>
      <c r="I75" s="16">
        <v>-348038310000</v>
      </c>
      <c r="J75" s="16">
        <v>-582781900000</v>
      </c>
      <c r="K75" s="16" t="s">
        <v>996</v>
      </c>
      <c r="L75" s="17">
        <f t="shared" si="8"/>
        <v>28</v>
      </c>
      <c r="M75" s="17">
        <f t="shared" si="9"/>
        <v>0</v>
      </c>
      <c r="N75" s="18">
        <f t="shared" si="10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</row>
    <row r="76" spans="1:44" ht="15.75" thickBot="1" x14ac:dyDescent="0.3">
      <c r="A76" t="s">
        <v>80</v>
      </c>
      <c r="C76" s="45" t="s">
        <v>210</v>
      </c>
      <c r="D76" t="s">
        <v>211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997</v>
      </c>
      <c r="L76" s="17">
        <f t="shared" si="8"/>
        <v>28</v>
      </c>
      <c r="M76" s="17">
        <f t="shared" si="9"/>
        <v>0</v>
      </c>
      <c r="N76" s="18">
        <f t="shared" si="10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</row>
    <row r="77" spans="1:44" ht="15.75" thickBot="1" x14ac:dyDescent="0.3">
      <c r="A77" t="s">
        <v>80</v>
      </c>
      <c r="C77" s="45" t="s">
        <v>212</v>
      </c>
      <c r="D77" t="s">
        <v>213</v>
      </c>
      <c r="E77" t="s">
        <v>24</v>
      </c>
      <c r="F77" t="s">
        <v>36</v>
      </c>
      <c r="G77" t="s">
        <v>214</v>
      </c>
      <c r="H77"/>
      <c r="I77" s="16">
        <v>-348045710000</v>
      </c>
      <c r="J77" s="16">
        <v>-582732760000</v>
      </c>
      <c r="K77" s="16" t="s">
        <v>998</v>
      </c>
      <c r="L77" s="17">
        <f t="shared" si="8"/>
        <v>28</v>
      </c>
      <c r="M77" s="17">
        <f t="shared" si="9"/>
        <v>0</v>
      </c>
      <c r="N77" s="18">
        <f t="shared" si="10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</row>
    <row r="78" spans="1:44" ht="15.75" thickBot="1" x14ac:dyDescent="0.3">
      <c r="A78" t="s">
        <v>80</v>
      </c>
      <c r="C78" s="45" t="s">
        <v>215</v>
      </c>
      <c r="D78" t="s">
        <v>216</v>
      </c>
      <c r="E78" t="s">
        <v>24</v>
      </c>
      <c r="F78" t="s">
        <v>36</v>
      </c>
      <c r="G78" t="s">
        <v>161</v>
      </c>
      <c r="H78"/>
      <c r="I78" s="16">
        <v>-348034610000</v>
      </c>
      <c r="J78" s="16">
        <v>-582706900000</v>
      </c>
      <c r="K78" s="16" t="s">
        <v>999</v>
      </c>
      <c r="L78" s="17">
        <f t="shared" si="8"/>
        <v>27</v>
      </c>
      <c r="M78" s="17">
        <f t="shared" si="9"/>
        <v>1</v>
      </c>
      <c r="N78" s="18">
        <f t="shared" si="10"/>
        <v>0.9642857142857143</v>
      </c>
      <c r="O78" s="27"/>
      <c r="P78" s="8"/>
      <c r="Q78" s="8"/>
      <c r="R78" s="8" t="s">
        <v>1343</v>
      </c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</row>
    <row r="79" spans="1:44" ht="15.75" thickBot="1" x14ac:dyDescent="0.3">
      <c r="A79" t="s">
        <v>80</v>
      </c>
      <c r="C79" s="45" t="s">
        <v>217</v>
      </c>
      <c r="D79" t="s">
        <v>218</v>
      </c>
      <c r="E79" t="s">
        <v>24</v>
      </c>
      <c r="F79" t="s">
        <v>36</v>
      </c>
      <c r="G79" t="s">
        <v>185</v>
      </c>
      <c r="H79" t="s">
        <v>219</v>
      </c>
      <c r="I79" s="16">
        <v>-348076770000</v>
      </c>
      <c r="J79" s="16">
        <v>-582730080000</v>
      </c>
      <c r="K79" s="16" t="s">
        <v>1000</v>
      </c>
      <c r="L79" s="17">
        <f t="shared" si="8"/>
        <v>28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</row>
    <row r="80" spans="1:44" ht="15.75" thickBot="1" x14ac:dyDescent="0.3">
      <c r="A80" t="s">
        <v>80</v>
      </c>
      <c r="C80" s="45" t="s">
        <v>220</v>
      </c>
      <c r="D80" t="s">
        <v>221</v>
      </c>
      <c r="E80" t="s">
        <v>24</v>
      </c>
      <c r="F80" t="s">
        <v>36</v>
      </c>
      <c r="G80" t="s">
        <v>185</v>
      </c>
      <c r="H80"/>
      <c r="I80" s="16">
        <v>-348087290000</v>
      </c>
      <c r="J80" s="16">
        <v>-582714950000</v>
      </c>
      <c r="K80" s="16" t="s">
        <v>1001</v>
      </c>
      <c r="L80" s="17">
        <f t="shared" si="8"/>
        <v>7</v>
      </c>
      <c r="M80" s="17">
        <f t="shared" si="9"/>
        <v>21</v>
      </c>
      <c r="N80" s="18">
        <f t="shared" si="10"/>
        <v>0.25</v>
      </c>
      <c r="O80" s="27" t="s">
        <v>1343</v>
      </c>
      <c r="P80" s="8"/>
      <c r="Q80" s="8"/>
      <c r="R80" s="8" t="s">
        <v>1343</v>
      </c>
      <c r="S80" s="27" t="s">
        <v>1343</v>
      </c>
      <c r="T80" s="27" t="s">
        <v>1343</v>
      </c>
      <c r="U80" s="8" t="s">
        <v>1343</v>
      </c>
      <c r="V80" s="8" t="s">
        <v>1343</v>
      </c>
      <c r="W80" s="8" t="s">
        <v>1343</v>
      </c>
      <c r="X80" s="27" t="s">
        <v>1343</v>
      </c>
      <c r="Y80" s="27" t="s">
        <v>1343</v>
      </c>
      <c r="Z80" s="27" t="s">
        <v>1343</v>
      </c>
      <c r="AA80" s="27" t="s">
        <v>1343</v>
      </c>
      <c r="AB80" s="27" t="s">
        <v>1343</v>
      </c>
      <c r="AC80" s="27" t="s">
        <v>1343</v>
      </c>
      <c r="AD80" s="27" t="s">
        <v>1343</v>
      </c>
      <c r="AE80" s="27" t="s">
        <v>1343</v>
      </c>
      <c r="AF80" s="27" t="s">
        <v>1343</v>
      </c>
      <c r="AG80" s="27" t="s">
        <v>1343</v>
      </c>
      <c r="AH80" s="27" t="s">
        <v>1343</v>
      </c>
      <c r="AI80" s="27" t="s">
        <v>1343</v>
      </c>
      <c r="AJ80" s="27" t="s">
        <v>1343</v>
      </c>
      <c r="AK80" s="8" t="s">
        <v>1343</v>
      </c>
      <c r="AL80" s="8"/>
      <c r="AM80" s="8"/>
      <c r="AN80" s="27"/>
      <c r="AO80" s="8"/>
      <c r="AP80" s="8"/>
      <c r="AQ80" s="27"/>
      <c r="AR80" s="27"/>
    </row>
    <row r="81" spans="1:44" ht="15.75" thickBot="1" x14ac:dyDescent="0.3">
      <c r="A81" t="s">
        <v>80</v>
      </c>
      <c r="C81" s="45" t="s">
        <v>222</v>
      </c>
      <c r="D81" t="s">
        <v>87</v>
      </c>
      <c r="E81" t="s">
        <v>113</v>
      </c>
      <c r="F81" t="s">
        <v>36</v>
      </c>
      <c r="G81"/>
      <c r="H81" t="s">
        <v>223</v>
      </c>
      <c r="I81" s="16">
        <v>-348102990000</v>
      </c>
      <c r="J81" s="16">
        <v>-582835440000</v>
      </c>
      <c r="K81" s="16" t="s">
        <v>1002</v>
      </c>
      <c r="L81" s="17">
        <f t="shared" si="8"/>
        <v>28</v>
      </c>
      <c r="M81" s="17">
        <f t="shared" si="9"/>
        <v>0</v>
      </c>
      <c r="N81" s="18">
        <f t="shared" si="10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</row>
    <row r="82" spans="1:44" ht="15.75" thickBot="1" x14ac:dyDescent="0.3">
      <c r="A82" t="s">
        <v>80</v>
      </c>
      <c r="C82" s="45" t="s">
        <v>224</v>
      </c>
      <c r="D82" t="s">
        <v>87</v>
      </c>
      <c r="E82" t="s">
        <v>113</v>
      </c>
      <c r="F82" t="s">
        <v>36</v>
      </c>
      <c r="G82"/>
      <c r="H82" t="s">
        <v>223</v>
      </c>
      <c r="I82" s="16">
        <v>-348102840000</v>
      </c>
      <c r="J82" s="16">
        <v>-582835020000</v>
      </c>
      <c r="K82" s="16" t="s">
        <v>1003</v>
      </c>
      <c r="L82" s="17">
        <f t="shared" si="8"/>
        <v>28</v>
      </c>
      <c r="M82" s="17">
        <f t="shared" si="9"/>
        <v>0</v>
      </c>
      <c r="N82" s="18">
        <f t="shared" si="10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</row>
    <row r="83" spans="1:44" ht="15.75" thickBot="1" x14ac:dyDescent="0.3">
      <c r="A83" t="s">
        <v>80</v>
      </c>
      <c r="C83" s="45" t="s">
        <v>225</v>
      </c>
      <c r="D83" t="s">
        <v>226</v>
      </c>
      <c r="E83" t="s">
        <v>24</v>
      </c>
      <c r="F83" t="s">
        <v>36</v>
      </c>
      <c r="G83" t="s">
        <v>161</v>
      </c>
      <c r="H83"/>
      <c r="I83" s="16">
        <v>-348076280000</v>
      </c>
      <c r="J83" s="16">
        <v>-582715700000</v>
      </c>
      <c r="K83" s="16" t="s">
        <v>1004</v>
      </c>
      <c r="L83" s="17">
        <f t="shared" si="8"/>
        <v>28</v>
      </c>
      <c r="M83" s="17">
        <f t="shared" si="9"/>
        <v>0</v>
      </c>
      <c r="N83" s="18">
        <f t="shared" si="10"/>
        <v>1</v>
      </c>
      <c r="O83" s="27"/>
      <c r="P83" s="8"/>
      <c r="Q83" s="8"/>
      <c r="R83" s="8"/>
      <c r="S83" s="27"/>
      <c r="T83" s="27"/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</row>
    <row r="84" spans="1:44" ht="15.75" thickBot="1" x14ac:dyDescent="0.3">
      <c r="A84" t="s">
        <v>80</v>
      </c>
      <c r="C84" s="45" t="s">
        <v>227</v>
      </c>
      <c r="D84" t="s">
        <v>228</v>
      </c>
      <c r="E84" t="s">
        <v>24</v>
      </c>
      <c r="F84" t="s">
        <v>25</v>
      </c>
      <c r="G84" t="s">
        <v>229</v>
      </c>
      <c r="H84" t="s">
        <v>230</v>
      </c>
      <c r="I84" s="16">
        <v>-348082910000</v>
      </c>
      <c r="J84" s="16">
        <v>-582832080000</v>
      </c>
      <c r="K84" s="16" t="s">
        <v>1005</v>
      </c>
      <c r="L84" s="17">
        <f t="shared" si="8"/>
        <v>28</v>
      </c>
      <c r="M84" s="17">
        <f t="shared" si="9"/>
        <v>0</v>
      </c>
      <c r="N84" s="18">
        <f t="shared" si="10"/>
        <v>1</v>
      </c>
      <c r="O84" s="27"/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</row>
    <row r="85" spans="1:44" ht="15.75" thickBot="1" x14ac:dyDescent="0.3">
      <c r="A85" t="s">
        <v>80</v>
      </c>
      <c r="C85" s="45" t="s">
        <v>231</v>
      </c>
      <c r="D85" t="s">
        <v>232</v>
      </c>
      <c r="E85" t="s">
        <v>24</v>
      </c>
      <c r="F85" t="s">
        <v>25</v>
      </c>
      <c r="G85" t="s">
        <v>233</v>
      </c>
      <c r="H85"/>
      <c r="I85" s="16">
        <v>-347975480000</v>
      </c>
      <c r="J85" s="16">
        <v>-582789940000</v>
      </c>
      <c r="K85" s="16" t="s">
        <v>1006</v>
      </c>
      <c r="L85" s="17">
        <f t="shared" si="8"/>
        <v>26</v>
      </c>
      <c r="M85" s="17">
        <f t="shared" si="9"/>
        <v>2</v>
      </c>
      <c r="N85" s="18">
        <f t="shared" si="10"/>
        <v>0.9285714285714286</v>
      </c>
      <c r="O85" s="27"/>
      <c r="P85" s="8"/>
      <c r="Q85" s="8"/>
      <c r="R85" s="8" t="s">
        <v>1343</v>
      </c>
      <c r="S85" s="27" t="s">
        <v>1343</v>
      </c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</row>
    <row r="86" spans="1:44" ht="15.75" thickBot="1" x14ac:dyDescent="0.3">
      <c r="A86" t="s">
        <v>80</v>
      </c>
      <c r="C86" s="45" t="s">
        <v>234</v>
      </c>
      <c r="D86" t="s">
        <v>235</v>
      </c>
      <c r="E86" t="s">
        <v>24</v>
      </c>
      <c r="F86" t="s">
        <v>25</v>
      </c>
      <c r="G86" t="s">
        <v>236</v>
      </c>
      <c r="H86" t="s">
        <v>237</v>
      </c>
      <c r="I86" s="16">
        <v>-348070120000</v>
      </c>
      <c r="J86" s="16">
        <v>-582783830000</v>
      </c>
      <c r="K86" s="16" t="s">
        <v>1007</v>
      </c>
      <c r="L86" s="17">
        <f t="shared" si="8"/>
        <v>28</v>
      </c>
      <c r="M86" s="17">
        <f t="shared" si="9"/>
        <v>0</v>
      </c>
      <c r="N86" s="18">
        <f t="shared" si="10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</row>
    <row r="87" spans="1:44" ht="15.75" thickBot="1" x14ac:dyDescent="0.3">
      <c r="C87" s="45" t="s">
        <v>238</v>
      </c>
      <c r="D87" t="s">
        <v>239</v>
      </c>
      <c r="E87" t="s">
        <v>19</v>
      </c>
      <c r="F87" t="s">
        <v>25</v>
      </c>
      <c r="G87"/>
      <c r="H87" t="s">
        <v>240</v>
      </c>
      <c r="I87" s="16">
        <v>-348006380000</v>
      </c>
      <c r="J87" s="16">
        <v>-582785240000</v>
      </c>
      <c r="K87" s="16" t="s">
        <v>1010</v>
      </c>
      <c r="L87" s="17">
        <f t="shared" si="8"/>
        <v>28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</row>
    <row r="88" spans="1:44" ht="15.75" thickBot="1" x14ac:dyDescent="0.3">
      <c r="A88" t="s">
        <v>80</v>
      </c>
      <c r="C88" s="45" t="s">
        <v>241</v>
      </c>
      <c r="D88" t="s">
        <v>242</v>
      </c>
      <c r="E88" t="s">
        <v>73</v>
      </c>
      <c r="F88" t="s">
        <v>36</v>
      </c>
      <c r="G88"/>
      <c r="H88" t="s">
        <v>223</v>
      </c>
      <c r="I88" s="16">
        <v>-348100370000</v>
      </c>
      <c r="J88" s="16">
        <v>-582778830000</v>
      </c>
      <c r="K88" s="16" t="s">
        <v>1023</v>
      </c>
      <c r="L88" s="17">
        <f t="shared" si="8"/>
        <v>28</v>
      </c>
      <c r="M88" s="17">
        <f t="shared" si="9"/>
        <v>0</v>
      </c>
      <c r="N88" s="18">
        <f t="shared" si="10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</row>
    <row r="89" spans="1:44" ht="15.75" thickBot="1" x14ac:dyDescent="0.3">
      <c r="A89" t="s">
        <v>80</v>
      </c>
      <c r="C89" s="45" t="s">
        <v>243</v>
      </c>
      <c r="D89" t="s">
        <v>244</v>
      </c>
      <c r="E89" t="s">
        <v>73</v>
      </c>
      <c r="F89" t="s">
        <v>36</v>
      </c>
      <c r="G89"/>
      <c r="H89" t="s">
        <v>223</v>
      </c>
      <c r="I89" s="16">
        <v>-348107920000</v>
      </c>
      <c r="J89" s="16">
        <v>-582777490000</v>
      </c>
      <c r="K89" s="16" t="s">
        <v>1344</v>
      </c>
      <c r="L89" s="17">
        <f t="shared" si="8"/>
        <v>28</v>
      </c>
      <c r="M89" s="17">
        <f t="shared" si="9"/>
        <v>0</v>
      </c>
      <c r="N89" s="18">
        <f t="shared" si="10"/>
        <v>1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</row>
    <row r="90" spans="1:44" ht="15.75" thickBot="1" x14ac:dyDescent="0.3">
      <c r="A90" t="s">
        <v>80</v>
      </c>
      <c r="C90" s="45" t="s">
        <v>245</v>
      </c>
      <c r="D90" t="s">
        <v>244</v>
      </c>
      <c r="E90" t="s">
        <v>73</v>
      </c>
      <c r="F90" t="s">
        <v>36</v>
      </c>
      <c r="G90"/>
      <c r="H90" t="s">
        <v>223</v>
      </c>
      <c r="I90" s="16">
        <v>-348109620000</v>
      </c>
      <c r="J90" s="16">
        <v>-582777260000</v>
      </c>
      <c r="K90" s="16" t="s">
        <v>1024</v>
      </c>
      <c r="L90" s="17">
        <f t="shared" si="8"/>
        <v>28</v>
      </c>
      <c r="M90" s="17">
        <f t="shared" si="9"/>
        <v>0</v>
      </c>
      <c r="N90" s="18">
        <f t="shared" si="10"/>
        <v>1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</row>
    <row r="91" spans="1:44" ht="13.9" customHeight="1" thickBot="1" x14ac:dyDescent="0.3">
      <c r="A91" t="s">
        <v>80</v>
      </c>
      <c r="C91" s="45" t="s">
        <v>246</v>
      </c>
      <c r="D91" t="s">
        <v>247</v>
      </c>
      <c r="E91" t="s">
        <v>113</v>
      </c>
      <c r="F91" t="s">
        <v>36</v>
      </c>
      <c r="G91"/>
      <c r="H91" t="s">
        <v>248</v>
      </c>
      <c r="I91" s="16">
        <v>-348024610000</v>
      </c>
      <c r="J91" s="16">
        <v>-582715570000</v>
      </c>
      <c r="K91" s="16" t="s">
        <v>1028</v>
      </c>
      <c r="L91" s="17">
        <f t="shared" si="8"/>
        <v>23</v>
      </c>
      <c r="M91" s="17">
        <f t="shared" si="9"/>
        <v>5</v>
      </c>
      <c r="N91" s="18">
        <f t="shared" si="10"/>
        <v>0.8214285714285714</v>
      </c>
      <c r="O91" s="27" t="s">
        <v>1343</v>
      </c>
      <c r="P91" s="8"/>
      <c r="Q91" s="8"/>
      <c r="R91" s="8" t="s">
        <v>1343</v>
      </c>
      <c r="S91" s="27" t="s">
        <v>1343</v>
      </c>
      <c r="T91" s="27" t="s">
        <v>1343</v>
      </c>
      <c r="U91" s="8" t="s">
        <v>1343</v>
      </c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</row>
    <row r="92" spans="1:44" ht="15.75" thickBot="1" x14ac:dyDescent="0.3">
      <c r="A92" t="s">
        <v>80</v>
      </c>
      <c r="C92" s="45" t="s">
        <v>249</v>
      </c>
      <c r="D92" t="s">
        <v>247</v>
      </c>
      <c r="E92" t="s">
        <v>113</v>
      </c>
      <c r="F92" t="s">
        <v>36</v>
      </c>
      <c r="G92"/>
      <c r="H92" t="s">
        <v>248</v>
      </c>
      <c r="I92" s="16">
        <v>-348024610000</v>
      </c>
      <c r="J92" s="16">
        <v>-582715570000</v>
      </c>
      <c r="K92" s="16" t="s">
        <v>1029</v>
      </c>
      <c r="L92" s="17">
        <f t="shared" si="8"/>
        <v>23</v>
      </c>
      <c r="M92" s="17">
        <f t="shared" si="9"/>
        <v>5</v>
      </c>
      <c r="N92" s="18">
        <f t="shared" si="10"/>
        <v>0.8214285714285714</v>
      </c>
      <c r="O92" s="27" t="s">
        <v>1343</v>
      </c>
      <c r="P92" s="8"/>
      <c r="Q92" s="8"/>
      <c r="R92" s="8" t="s">
        <v>1343</v>
      </c>
      <c r="S92" s="27" t="s">
        <v>1343</v>
      </c>
      <c r="T92" s="27" t="s">
        <v>1343</v>
      </c>
      <c r="U92" s="8" t="s">
        <v>1343</v>
      </c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</row>
    <row r="93" spans="1:44" ht="15.75" thickBot="1" x14ac:dyDescent="0.3">
      <c r="A93" t="s">
        <v>80</v>
      </c>
      <c r="C93" s="45" t="s">
        <v>250</v>
      </c>
      <c r="D93" t="s">
        <v>251</v>
      </c>
      <c r="E93" t="s">
        <v>19</v>
      </c>
      <c r="F93" t="s">
        <v>36</v>
      </c>
      <c r="G93"/>
      <c r="H93" t="s">
        <v>252</v>
      </c>
      <c r="I93" s="16">
        <v>-348093230000</v>
      </c>
      <c r="J93" s="16">
        <v>-582817790000</v>
      </c>
      <c r="K93" s="16" t="s">
        <v>1030</v>
      </c>
      <c r="L93" s="17">
        <f t="shared" si="8"/>
        <v>28</v>
      </c>
      <c r="M93" s="17">
        <f t="shared" si="9"/>
        <v>0</v>
      </c>
      <c r="N93" s="18">
        <f t="shared" si="10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</row>
    <row r="94" spans="1:44" ht="15.75" thickBot="1" x14ac:dyDescent="0.3">
      <c r="A94" t="s">
        <v>80</v>
      </c>
      <c r="C94" s="45" t="s">
        <v>253</v>
      </c>
      <c r="D94" t="s">
        <v>254</v>
      </c>
      <c r="E94" t="s">
        <v>19</v>
      </c>
      <c r="F94" t="s">
        <v>36</v>
      </c>
      <c r="G94"/>
      <c r="H94" t="s">
        <v>255</v>
      </c>
      <c r="I94" s="16">
        <v>-347987330000</v>
      </c>
      <c r="J94" s="16">
        <v>-582822490000</v>
      </c>
      <c r="K94" s="16" t="s">
        <v>1034</v>
      </c>
      <c r="L94" s="17">
        <f t="shared" si="8"/>
        <v>28</v>
      </c>
      <c r="M94" s="17">
        <f t="shared" si="9"/>
        <v>0</v>
      </c>
      <c r="N94" s="18">
        <f t="shared" si="10"/>
        <v>1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</row>
    <row r="95" spans="1:44" ht="15.75" thickBot="1" x14ac:dyDescent="0.3">
      <c r="A95" t="s">
        <v>80</v>
      </c>
      <c r="C95" s="45" t="s">
        <v>256</v>
      </c>
      <c r="D95" t="s">
        <v>257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1035</v>
      </c>
      <c r="L95" s="17">
        <f t="shared" si="8"/>
        <v>28</v>
      </c>
      <c r="M95" s="17">
        <f t="shared" si="9"/>
        <v>0</v>
      </c>
      <c r="N95" s="18">
        <f t="shared" si="10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</row>
    <row r="96" spans="1:44" ht="15.75" thickBot="1" x14ac:dyDescent="0.3">
      <c r="A96" t="s">
        <v>258</v>
      </c>
      <c r="C96" s="45" t="s">
        <v>259</v>
      </c>
      <c r="D96" t="s">
        <v>260</v>
      </c>
      <c r="E96" t="s">
        <v>24</v>
      </c>
      <c r="F96" t="s">
        <v>25</v>
      </c>
      <c r="G96" t="s">
        <v>161</v>
      </c>
      <c r="H96"/>
      <c r="I96" s="16">
        <v>-348055400000</v>
      </c>
      <c r="J96" s="16">
        <v>-582972760000</v>
      </c>
      <c r="K96" s="16" t="s">
        <v>1036</v>
      </c>
      <c r="L96" s="17">
        <f t="shared" si="8"/>
        <v>28</v>
      </c>
      <c r="M96" s="17">
        <f t="shared" si="9"/>
        <v>0</v>
      </c>
      <c r="N96" s="18">
        <f t="shared" si="10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</row>
    <row r="97" spans="1:44" ht="15.75" thickBot="1" x14ac:dyDescent="0.3">
      <c r="A97" t="s">
        <v>261</v>
      </c>
      <c r="C97" s="45" t="s">
        <v>262</v>
      </c>
      <c r="D97" t="s">
        <v>263</v>
      </c>
      <c r="E97" t="s">
        <v>24</v>
      </c>
      <c r="F97" t="s">
        <v>25</v>
      </c>
      <c r="G97" t="s">
        <v>185</v>
      </c>
      <c r="H97" t="s">
        <v>264</v>
      </c>
      <c r="I97" s="16">
        <v>-348032560000</v>
      </c>
      <c r="J97" s="16">
        <v>-582926760000</v>
      </c>
      <c r="K97" s="16" t="s">
        <v>1037</v>
      </c>
      <c r="L97" s="17">
        <f t="shared" si="8"/>
        <v>28</v>
      </c>
      <c r="M97" s="17">
        <f t="shared" si="9"/>
        <v>0</v>
      </c>
      <c r="N97" s="18">
        <f t="shared" si="10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</row>
    <row r="98" spans="1:44" ht="15.75" thickBot="1" x14ac:dyDescent="0.3">
      <c r="A98" t="s">
        <v>261</v>
      </c>
      <c r="C98" s="45" t="s">
        <v>265</v>
      </c>
      <c r="D98" t="s">
        <v>266</v>
      </c>
      <c r="E98" t="s">
        <v>19</v>
      </c>
      <c r="F98" t="s">
        <v>36</v>
      </c>
      <c r="G98"/>
      <c r="H98" t="s">
        <v>267</v>
      </c>
      <c r="I98" s="16">
        <v>-348083930000</v>
      </c>
      <c r="J98" s="16">
        <v>-582918310000</v>
      </c>
      <c r="K98" s="16" t="s">
        <v>1038</v>
      </c>
      <c r="L98" s="17">
        <f t="shared" si="8"/>
        <v>28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</row>
    <row r="99" spans="1:44" ht="15.75" thickBot="1" x14ac:dyDescent="0.3">
      <c r="A99" t="s">
        <v>261</v>
      </c>
      <c r="C99" s="45" t="s">
        <v>268</v>
      </c>
      <c r="D99" t="s">
        <v>269</v>
      </c>
      <c r="E99" t="s">
        <v>19</v>
      </c>
      <c r="F99" t="s">
        <v>36</v>
      </c>
      <c r="G99"/>
      <c r="H99" t="s">
        <v>270</v>
      </c>
      <c r="I99" s="16">
        <v>-348019100000</v>
      </c>
      <c r="J99" s="16">
        <v>-582901420000</v>
      </c>
      <c r="K99" s="16" t="s">
        <v>1039</v>
      </c>
      <c r="L99" s="17">
        <f t="shared" si="8"/>
        <v>28</v>
      </c>
      <c r="M99" s="17">
        <f t="shared" si="9"/>
        <v>0</v>
      </c>
      <c r="N99" s="18">
        <f t="shared" si="10"/>
        <v>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</row>
    <row r="100" spans="1:44" ht="15.75" thickBot="1" x14ac:dyDescent="0.3">
      <c r="A100" t="s">
        <v>271</v>
      </c>
      <c r="C100" s="45" t="s">
        <v>272</v>
      </c>
      <c r="D100" t="s">
        <v>273</v>
      </c>
      <c r="E100" t="s">
        <v>24</v>
      </c>
      <c r="F100" t="s">
        <v>25</v>
      </c>
      <c r="G100" t="s">
        <v>161</v>
      </c>
      <c r="H100"/>
      <c r="I100" s="16">
        <v>-348419680000</v>
      </c>
      <c r="J100" s="16">
        <v>-582787590000</v>
      </c>
      <c r="K100" s="16" t="s">
        <v>1040</v>
      </c>
      <c r="L100" s="17">
        <f t="shared" si="8"/>
        <v>28</v>
      </c>
      <c r="M100" s="17">
        <f t="shared" si="9"/>
        <v>0</v>
      </c>
      <c r="N100" s="18">
        <f t="shared" si="10"/>
        <v>1</v>
      </c>
      <c r="O100" s="27"/>
      <c r="P100" s="8"/>
      <c r="Q100" s="8"/>
      <c r="R100" s="8"/>
      <c r="S100" s="27"/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</row>
    <row r="101" spans="1:44" ht="15.75" thickBot="1" x14ac:dyDescent="0.3">
      <c r="A101" t="s">
        <v>274</v>
      </c>
      <c r="C101" s="45" t="s">
        <v>275</v>
      </c>
      <c r="D101" t="s">
        <v>276</v>
      </c>
      <c r="E101" t="s">
        <v>24</v>
      </c>
      <c r="F101" t="s">
        <v>25</v>
      </c>
      <c r="G101" t="s">
        <v>277</v>
      </c>
      <c r="H101"/>
      <c r="I101" s="16">
        <v>-348439980000</v>
      </c>
      <c r="J101" s="16">
        <v>-582786670000</v>
      </c>
      <c r="K101" s="16" t="s">
        <v>1041</v>
      </c>
      <c r="L101" s="17">
        <f t="shared" si="8"/>
        <v>28</v>
      </c>
      <c r="M101" s="17">
        <f t="shared" si="9"/>
        <v>0</v>
      </c>
      <c r="N101" s="18">
        <f t="shared" si="10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</row>
    <row r="102" spans="1:44" ht="15.75" thickBot="1" x14ac:dyDescent="0.3">
      <c r="A102" t="s">
        <v>274</v>
      </c>
      <c r="C102" s="45" t="s">
        <v>278</v>
      </c>
      <c r="D102" t="s">
        <v>279</v>
      </c>
      <c r="E102" t="s">
        <v>19</v>
      </c>
      <c r="F102" t="s">
        <v>25</v>
      </c>
      <c r="G102"/>
      <c r="H102" t="s">
        <v>280</v>
      </c>
      <c r="I102" s="16">
        <v>-348376190000</v>
      </c>
      <c r="J102" s="16">
        <v>-582703080000</v>
      </c>
      <c r="K102" s="16" t="s">
        <v>1042</v>
      </c>
      <c r="L102" s="17">
        <f t="shared" si="8"/>
        <v>26</v>
      </c>
      <c r="M102" s="17">
        <f t="shared" si="9"/>
        <v>2</v>
      </c>
      <c r="N102" s="18">
        <f t="shared" si="10"/>
        <v>0.9285714285714286</v>
      </c>
      <c r="O102" s="27"/>
      <c r="P102" s="8"/>
      <c r="Q102" s="8"/>
      <c r="R102" s="8"/>
      <c r="S102" s="27"/>
      <c r="T102" s="27"/>
      <c r="U102" s="8"/>
      <c r="V102" s="8"/>
      <c r="W102" s="8"/>
      <c r="X102" s="27" t="s">
        <v>1343</v>
      </c>
      <c r="Y102" s="27"/>
      <c r="Z102" s="27"/>
      <c r="AA102" s="27"/>
      <c r="AB102" s="27"/>
      <c r="AC102" s="27"/>
      <c r="AD102" s="27"/>
      <c r="AE102" s="27" t="s">
        <v>1343</v>
      </c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</row>
    <row r="103" spans="1:44" ht="15.75" thickBot="1" x14ac:dyDescent="0.3">
      <c r="C103" s="45" t="s">
        <v>281</v>
      </c>
      <c r="D103" t="s">
        <v>282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1043</v>
      </c>
      <c r="L103" s="17">
        <f t="shared" si="8"/>
        <v>28</v>
      </c>
      <c r="M103" s="17">
        <f t="shared" si="9"/>
        <v>0</v>
      </c>
      <c r="N103" s="18">
        <f t="shared" si="10"/>
        <v>1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</row>
    <row r="104" spans="1:44" ht="15.75" thickBot="1" x14ac:dyDescent="0.3">
      <c r="A104" t="s">
        <v>283</v>
      </c>
      <c r="C104" s="45" t="s">
        <v>284</v>
      </c>
      <c r="D104" t="s">
        <v>285</v>
      </c>
      <c r="E104" t="s">
        <v>113</v>
      </c>
      <c r="F104" t="s">
        <v>944</v>
      </c>
      <c r="G104"/>
      <c r="H104" t="s">
        <v>286</v>
      </c>
      <c r="I104" s="16">
        <v>-347971580000</v>
      </c>
      <c r="J104" s="16">
        <v>-583070820000</v>
      </c>
      <c r="K104" s="16" t="s">
        <v>1044</v>
      </c>
      <c r="L104" s="17">
        <f t="shared" si="8"/>
        <v>28</v>
      </c>
      <c r="M104" s="17">
        <f t="shared" si="9"/>
        <v>0</v>
      </c>
      <c r="N104" s="18">
        <f t="shared" si="10"/>
        <v>1</v>
      </c>
      <c r="O104" s="27"/>
      <c r="P104" s="8"/>
      <c r="Q104" s="8"/>
      <c r="R104" s="8"/>
      <c r="S104" s="27"/>
      <c r="T104" s="27"/>
      <c r="U104" s="8"/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</row>
    <row r="105" spans="1:44" ht="16.149999999999999" customHeight="1" thickBot="1" x14ac:dyDescent="0.3">
      <c r="A105" t="s">
        <v>283</v>
      </c>
      <c r="C105" s="45" t="s">
        <v>287</v>
      </c>
      <c r="D105" t="s">
        <v>285</v>
      </c>
      <c r="E105" t="s">
        <v>113</v>
      </c>
      <c r="F105" t="s">
        <v>944</v>
      </c>
      <c r="G105"/>
      <c r="H105" t="s">
        <v>288</v>
      </c>
      <c r="I105" s="16">
        <v>-347971580000</v>
      </c>
      <c r="J105" s="16">
        <v>-583070820000</v>
      </c>
      <c r="K105" s="16" t="s">
        <v>1045</v>
      </c>
      <c r="L105" s="17">
        <f t="shared" si="8"/>
        <v>28</v>
      </c>
      <c r="M105" s="17">
        <f t="shared" si="9"/>
        <v>0</v>
      </c>
      <c r="N105" s="18">
        <f t="shared" si="10"/>
        <v>1</v>
      </c>
      <c r="O105" s="27"/>
      <c r="P105" s="8"/>
      <c r="Q105" s="8"/>
      <c r="R105" s="8"/>
      <c r="S105" s="27"/>
      <c r="T105" s="27"/>
      <c r="U105" s="8"/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</row>
    <row r="106" spans="1:44" ht="15.75" thickBot="1" x14ac:dyDescent="0.3">
      <c r="A106" t="s">
        <v>289</v>
      </c>
      <c r="C106" s="45" t="s">
        <v>290</v>
      </c>
      <c r="D106" t="s">
        <v>291</v>
      </c>
      <c r="E106" t="s">
        <v>19</v>
      </c>
      <c r="F106" t="s">
        <v>36</v>
      </c>
      <c r="G106"/>
      <c r="H106" t="s">
        <v>292</v>
      </c>
      <c r="I106" s="16">
        <v>-348640160000</v>
      </c>
      <c r="J106" s="16">
        <v>-581864200000</v>
      </c>
      <c r="K106" s="16" t="s">
        <v>1046</v>
      </c>
      <c r="L106" s="17">
        <f t="shared" si="8"/>
        <v>28</v>
      </c>
      <c r="M106" s="17">
        <f t="shared" si="9"/>
        <v>0</v>
      </c>
      <c r="N106" s="18">
        <f t="shared" si="10"/>
        <v>1</v>
      </c>
      <c r="O106" s="27"/>
      <c r="P106" s="8"/>
      <c r="Q106" s="8"/>
      <c r="R106" s="8"/>
      <c r="S106" s="27"/>
      <c r="T106" s="27"/>
      <c r="U106" s="8"/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</row>
    <row r="107" spans="1:44" ht="15.75" thickBot="1" x14ac:dyDescent="0.3">
      <c r="A107" t="s">
        <v>289</v>
      </c>
      <c r="C107" s="45" t="s">
        <v>293</v>
      </c>
      <c r="D107" t="s">
        <v>294</v>
      </c>
      <c r="E107" t="s">
        <v>19</v>
      </c>
      <c r="F107" t="s">
        <v>36</v>
      </c>
      <c r="G107"/>
      <c r="H107" t="s">
        <v>292</v>
      </c>
      <c r="I107" s="16">
        <v>-348649110000</v>
      </c>
      <c r="J107" s="16">
        <v>-581897790000</v>
      </c>
      <c r="K107" s="16" t="s">
        <v>1047</v>
      </c>
      <c r="L107" s="17">
        <f t="shared" si="8"/>
        <v>28</v>
      </c>
      <c r="M107" s="17">
        <f t="shared" si="9"/>
        <v>0</v>
      </c>
      <c r="N107" s="18">
        <f t="shared" si="10"/>
        <v>1</v>
      </c>
      <c r="O107" s="27"/>
      <c r="P107" s="8"/>
      <c r="Q107" s="8"/>
      <c r="R107" s="8"/>
      <c r="S107" s="27"/>
      <c r="T107" s="27"/>
      <c r="U107" s="8"/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</row>
    <row r="108" spans="1:44" ht="15.75" thickBot="1" x14ac:dyDescent="0.3">
      <c r="A108" t="s">
        <v>289</v>
      </c>
      <c r="C108" s="45" t="s">
        <v>295</v>
      </c>
      <c r="D108" t="s">
        <v>296</v>
      </c>
      <c r="E108" t="s">
        <v>24</v>
      </c>
      <c r="F108" t="s">
        <v>36</v>
      </c>
      <c r="G108"/>
      <c r="H108" t="s">
        <v>297</v>
      </c>
      <c r="I108" s="16">
        <v>-348627750000</v>
      </c>
      <c r="J108" s="16">
        <v>-581816550000</v>
      </c>
      <c r="K108" s="16" t="s">
        <v>1048</v>
      </c>
      <c r="L108" s="17">
        <f t="shared" si="8"/>
        <v>28</v>
      </c>
      <c r="M108" s="17">
        <f t="shared" si="9"/>
        <v>0</v>
      </c>
      <c r="N108" s="18">
        <f t="shared" si="10"/>
        <v>1</v>
      </c>
      <c r="O108" s="27"/>
      <c r="P108" s="8"/>
      <c r="Q108" s="8"/>
      <c r="R108" s="8"/>
      <c r="S108" s="27"/>
      <c r="T108" s="27"/>
      <c r="U108" s="8"/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</row>
    <row r="109" spans="1:44" ht="15.75" thickBot="1" x14ac:dyDescent="0.3">
      <c r="A109" t="s">
        <v>289</v>
      </c>
      <c r="C109" s="45" t="s">
        <v>298</v>
      </c>
      <c r="D109" t="s">
        <v>299</v>
      </c>
      <c r="E109" t="s">
        <v>19</v>
      </c>
      <c r="F109" t="s">
        <v>36</v>
      </c>
      <c r="G109"/>
      <c r="H109" t="s">
        <v>300</v>
      </c>
      <c r="I109" s="16">
        <v>-348644840000</v>
      </c>
      <c r="J109" s="16">
        <v>-581880940000</v>
      </c>
      <c r="K109" s="16" t="s">
        <v>1049</v>
      </c>
      <c r="L109" s="17">
        <f t="shared" si="8"/>
        <v>28</v>
      </c>
      <c r="M109" s="17">
        <f t="shared" si="9"/>
        <v>0</v>
      </c>
      <c r="N109" s="18">
        <f t="shared" si="10"/>
        <v>1</v>
      </c>
      <c r="O109" s="27"/>
      <c r="P109" s="8"/>
      <c r="Q109" s="8"/>
      <c r="R109" s="8"/>
      <c r="S109" s="27"/>
      <c r="T109" s="27"/>
      <c r="U109" s="8"/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</row>
    <row r="110" spans="1:44" ht="15.75" thickBot="1" x14ac:dyDescent="0.3">
      <c r="A110" t="s">
        <v>301</v>
      </c>
      <c r="C110" s="45" t="s">
        <v>302</v>
      </c>
      <c r="D110" t="s">
        <v>303</v>
      </c>
      <c r="E110" t="s">
        <v>19</v>
      </c>
      <c r="F110" t="s">
        <v>944</v>
      </c>
      <c r="G110"/>
      <c r="H110" t="s">
        <v>304</v>
      </c>
      <c r="I110" s="16">
        <v>-348185740000</v>
      </c>
      <c r="J110" s="16">
        <v>-582866380000</v>
      </c>
      <c r="K110" s="16" t="s">
        <v>1056</v>
      </c>
      <c r="L110" s="17">
        <f t="shared" si="8"/>
        <v>28</v>
      </c>
      <c r="M110" s="17">
        <f t="shared" si="9"/>
        <v>0</v>
      </c>
      <c r="N110" s="18">
        <f t="shared" si="10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</row>
    <row r="111" spans="1:44" ht="15.75" thickBot="1" x14ac:dyDescent="0.3">
      <c r="A111" t="s">
        <v>301</v>
      </c>
      <c r="C111" s="45" t="s">
        <v>305</v>
      </c>
      <c r="D111" t="s">
        <v>306</v>
      </c>
      <c r="E111" t="s">
        <v>73</v>
      </c>
      <c r="F111" t="s">
        <v>25</v>
      </c>
      <c r="G111"/>
      <c r="H111" t="s">
        <v>307</v>
      </c>
      <c r="I111" s="16">
        <v>-348166000000</v>
      </c>
      <c r="J111" s="16">
        <v>-582800440000</v>
      </c>
      <c r="K111" s="16" t="s">
        <v>1057</v>
      </c>
      <c r="L111" s="17">
        <f t="shared" si="8"/>
        <v>28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</row>
    <row r="112" spans="1:44" ht="15.75" thickBot="1" x14ac:dyDescent="0.3">
      <c r="A112" t="s">
        <v>301</v>
      </c>
      <c r="C112" s="45" t="s">
        <v>308</v>
      </c>
      <c r="D112" t="s">
        <v>309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1050</v>
      </c>
      <c r="L112" s="17">
        <f t="shared" si="8"/>
        <v>28</v>
      </c>
      <c r="M112" s="17">
        <f t="shared" si="9"/>
        <v>0</v>
      </c>
      <c r="N112" s="18">
        <f t="shared" si="10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</row>
    <row r="113" spans="1:44" ht="15.75" thickBot="1" x14ac:dyDescent="0.3">
      <c r="A113" t="s">
        <v>310</v>
      </c>
      <c r="C113" s="45" t="s">
        <v>311</v>
      </c>
      <c r="D113" t="s">
        <v>312</v>
      </c>
      <c r="E113" t="s">
        <v>24</v>
      </c>
      <c r="F113" t="s">
        <v>944</v>
      </c>
      <c r="G113" t="s">
        <v>151</v>
      </c>
      <c r="H113"/>
      <c r="I113" s="16">
        <v>-348125000000</v>
      </c>
      <c r="J113" s="16">
        <v>-582916650000</v>
      </c>
      <c r="K113" s="16" t="s">
        <v>1051</v>
      </c>
      <c r="L113" s="17">
        <f t="shared" si="8"/>
        <v>28</v>
      </c>
      <c r="M113" s="17">
        <f t="shared" si="9"/>
        <v>0</v>
      </c>
      <c r="N113" s="18">
        <f t="shared" si="10"/>
        <v>1</v>
      </c>
      <c r="O113" s="27"/>
      <c r="P113" s="8"/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</row>
    <row r="114" spans="1:44" ht="15.75" thickBot="1" x14ac:dyDescent="0.3">
      <c r="A114" t="s">
        <v>313</v>
      </c>
      <c r="C114" s="45" t="s">
        <v>314</v>
      </c>
      <c r="D114" t="s">
        <v>315</v>
      </c>
      <c r="E114" t="s">
        <v>19</v>
      </c>
      <c r="F114" t="s">
        <v>944</v>
      </c>
      <c r="G114" t="s">
        <v>316</v>
      </c>
      <c r="H114"/>
      <c r="I114" s="16">
        <v>-348215020000</v>
      </c>
      <c r="J114" s="16">
        <v>-582844880000</v>
      </c>
      <c r="K114" s="16" t="s">
        <v>1052</v>
      </c>
      <c r="L114" s="17">
        <f t="shared" si="8"/>
        <v>28</v>
      </c>
      <c r="M114" s="17">
        <f t="shared" si="9"/>
        <v>0</v>
      </c>
      <c r="N114" s="18">
        <f t="shared" si="10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</row>
    <row r="115" spans="1:44" ht="15.75" thickBot="1" x14ac:dyDescent="0.3">
      <c r="A115" t="s">
        <v>301</v>
      </c>
      <c r="C115" s="45" t="s">
        <v>317</v>
      </c>
      <c r="D115" t="s">
        <v>318</v>
      </c>
      <c r="E115" t="s">
        <v>24</v>
      </c>
      <c r="F115" t="s">
        <v>36</v>
      </c>
      <c r="G115" t="s">
        <v>161</v>
      </c>
      <c r="H115"/>
      <c r="I115" s="16">
        <v>-348128700000</v>
      </c>
      <c r="J115" s="16">
        <v>-582840370000</v>
      </c>
      <c r="K115" s="16" t="s">
        <v>1053</v>
      </c>
      <c r="L115" s="17">
        <f t="shared" si="8"/>
        <v>20</v>
      </c>
      <c r="M115" s="17">
        <f t="shared" si="9"/>
        <v>8</v>
      </c>
      <c r="N115" s="18">
        <f t="shared" si="10"/>
        <v>0.7142857142857143</v>
      </c>
      <c r="O115" s="27"/>
      <c r="P115" s="8"/>
      <c r="Q115" s="8"/>
      <c r="R115" s="8"/>
      <c r="S115" s="27"/>
      <c r="T115" s="27"/>
      <c r="U115" s="8" t="s">
        <v>1343</v>
      </c>
      <c r="V115" s="8" t="s">
        <v>1343</v>
      </c>
      <c r="W115" s="8" t="s">
        <v>1343</v>
      </c>
      <c r="X115" s="27"/>
      <c r="Y115" s="27" t="s">
        <v>1343</v>
      </c>
      <c r="Z115" s="27"/>
      <c r="AA115" s="27"/>
      <c r="AB115" s="27"/>
      <c r="AC115" s="27"/>
      <c r="AD115" s="27"/>
      <c r="AE115" s="27"/>
      <c r="AF115" s="27"/>
      <c r="AG115" s="27" t="s">
        <v>1343</v>
      </c>
      <c r="AH115" s="27" t="s">
        <v>1343</v>
      </c>
      <c r="AI115" s="27" t="s">
        <v>1343</v>
      </c>
      <c r="AJ115" s="27" t="s">
        <v>1343</v>
      </c>
      <c r="AK115" s="8"/>
      <c r="AL115" s="8"/>
      <c r="AM115" s="8"/>
      <c r="AN115" s="27"/>
      <c r="AO115" s="8"/>
      <c r="AP115" s="8"/>
      <c r="AQ115" s="27"/>
      <c r="AR115" s="27"/>
    </row>
    <row r="116" spans="1:44" ht="15.75" thickBot="1" x14ac:dyDescent="0.3">
      <c r="A116" t="s">
        <v>301</v>
      </c>
      <c r="C116" s="45" t="s">
        <v>319</v>
      </c>
      <c r="D116" t="s">
        <v>320</v>
      </c>
      <c r="E116" t="s">
        <v>24</v>
      </c>
      <c r="F116" t="s">
        <v>36</v>
      </c>
      <c r="G116" t="s">
        <v>321</v>
      </c>
      <c r="H116"/>
      <c r="I116" s="16">
        <v>-348143510000</v>
      </c>
      <c r="J116" s="16">
        <v>-582840870000</v>
      </c>
      <c r="K116" s="16" t="s">
        <v>1054</v>
      </c>
      <c r="L116" s="17">
        <f t="shared" si="8"/>
        <v>22</v>
      </c>
      <c r="M116" s="17">
        <f t="shared" si="9"/>
        <v>6</v>
      </c>
      <c r="N116" s="18">
        <f t="shared" si="10"/>
        <v>0.7857142857142857</v>
      </c>
      <c r="O116" s="27"/>
      <c r="P116" s="8"/>
      <c r="Q116" s="8"/>
      <c r="R116" s="8"/>
      <c r="S116" s="27"/>
      <c r="T116" s="27"/>
      <c r="U116" s="8"/>
      <c r="V116" s="8"/>
      <c r="W116" s="8"/>
      <c r="X116" s="27"/>
      <c r="Y116" s="27" t="s">
        <v>1343</v>
      </c>
      <c r="Z116" s="27"/>
      <c r="AA116" s="27"/>
      <c r="AB116" s="27"/>
      <c r="AC116" s="27"/>
      <c r="AD116" s="27"/>
      <c r="AE116" s="27"/>
      <c r="AF116" s="27"/>
      <c r="AG116" s="27" t="s">
        <v>1343</v>
      </c>
      <c r="AH116" s="27" t="s">
        <v>1343</v>
      </c>
      <c r="AI116" s="27" t="s">
        <v>1343</v>
      </c>
      <c r="AJ116" s="27" t="s">
        <v>1343</v>
      </c>
      <c r="AK116" s="8" t="s">
        <v>1343</v>
      </c>
      <c r="AL116" s="8"/>
      <c r="AM116" s="8"/>
      <c r="AN116" s="27"/>
      <c r="AO116" s="8"/>
      <c r="AP116" s="8"/>
      <c r="AQ116" s="27"/>
      <c r="AR116" s="27"/>
    </row>
    <row r="117" spans="1:44" ht="15.75" thickBot="1" x14ac:dyDescent="0.3">
      <c r="A117" t="s">
        <v>301</v>
      </c>
      <c r="C117" s="45" t="s">
        <v>322</v>
      </c>
      <c r="D117" t="s">
        <v>323</v>
      </c>
      <c r="E117" t="s">
        <v>24</v>
      </c>
      <c r="F117" t="s">
        <v>25</v>
      </c>
      <c r="G117" t="s">
        <v>324</v>
      </c>
      <c r="H117"/>
      <c r="I117" s="16">
        <v>-348122180000</v>
      </c>
      <c r="J117" s="16">
        <v>-582880340000</v>
      </c>
      <c r="K117" s="16" t="s">
        <v>1055</v>
      </c>
      <c r="L117" s="17">
        <f t="shared" si="8"/>
        <v>28</v>
      </c>
      <c r="M117" s="17">
        <f t="shared" si="9"/>
        <v>0</v>
      </c>
      <c r="N117" s="18">
        <f t="shared" si="10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</row>
    <row r="118" spans="1:44" ht="15.75" thickBot="1" x14ac:dyDescent="0.3">
      <c r="A118" t="s">
        <v>301</v>
      </c>
      <c r="C118" s="45" t="s">
        <v>325</v>
      </c>
      <c r="D118" t="s">
        <v>326</v>
      </c>
      <c r="E118" t="s">
        <v>113</v>
      </c>
      <c r="F118" t="s">
        <v>36</v>
      </c>
      <c r="G118"/>
      <c r="H118" t="s">
        <v>327</v>
      </c>
      <c r="I118" s="16">
        <v>-348119540000</v>
      </c>
      <c r="J118" s="16">
        <v>-582824360000</v>
      </c>
      <c r="K118" s="16" t="s">
        <v>1058</v>
      </c>
      <c r="L118" s="17">
        <f t="shared" si="8"/>
        <v>28</v>
      </c>
      <c r="M118" s="17">
        <f t="shared" si="9"/>
        <v>0</v>
      </c>
      <c r="N118" s="18">
        <f t="shared" si="10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</row>
    <row r="119" spans="1:44" ht="15.75" thickBot="1" x14ac:dyDescent="0.3">
      <c r="A119" t="s">
        <v>301</v>
      </c>
      <c r="C119" s="45" t="s">
        <v>328</v>
      </c>
      <c r="D119" t="s">
        <v>326</v>
      </c>
      <c r="E119" t="s">
        <v>113</v>
      </c>
      <c r="F119" t="s">
        <v>36</v>
      </c>
      <c r="G119"/>
      <c r="H119" t="s">
        <v>329</v>
      </c>
      <c r="I119" s="16">
        <v>-348119550000</v>
      </c>
      <c r="J119" s="16">
        <v>-582824410000</v>
      </c>
      <c r="K119" s="16" t="s">
        <v>1059</v>
      </c>
      <c r="L119" s="17">
        <f t="shared" si="8"/>
        <v>28</v>
      </c>
      <c r="M119" s="17">
        <f t="shared" si="9"/>
        <v>0</v>
      </c>
      <c r="N119" s="18">
        <f t="shared" si="10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</row>
    <row r="120" spans="1:44" ht="15.75" thickBot="1" x14ac:dyDescent="0.3">
      <c r="A120" t="s">
        <v>301</v>
      </c>
      <c r="C120" s="45" t="s">
        <v>330</v>
      </c>
      <c r="D120" t="s">
        <v>331</v>
      </c>
      <c r="E120" t="s">
        <v>113</v>
      </c>
      <c r="F120" t="s">
        <v>36</v>
      </c>
      <c r="G120"/>
      <c r="H120" t="s">
        <v>248</v>
      </c>
      <c r="I120" s="16">
        <v>-348203540000</v>
      </c>
      <c r="J120" s="16">
        <v>-582852520000</v>
      </c>
      <c r="K120" s="16" t="s">
        <v>1026</v>
      </c>
      <c r="L120" s="17">
        <f t="shared" si="8"/>
        <v>28</v>
      </c>
      <c r="M120" s="17">
        <f t="shared" si="9"/>
        <v>0</v>
      </c>
      <c r="N120" s="18">
        <f t="shared" si="10"/>
        <v>1</v>
      </c>
      <c r="O120" s="27"/>
      <c r="P120" s="8"/>
      <c r="Q120" s="8"/>
      <c r="R120" s="8"/>
      <c r="S120" s="27"/>
      <c r="T120" s="27"/>
      <c r="U120" s="8"/>
      <c r="V120" s="8"/>
      <c r="W120" s="8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</row>
    <row r="121" spans="1:44" ht="15.75" thickBot="1" x14ac:dyDescent="0.3">
      <c r="A121" t="s">
        <v>301</v>
      </c>
      <c r="C121" s="45" t="s">
        <v>332</v>
      </c>
      <c r="D121" t="s">
        <v>331</v>
      </c>
      <c r="E121" t="s">
        <v>113</v>
      </c>
      <c r="F121" t="s">
        <v>36</v>
      </c>
      <c r="G121"/>
      <c r="H121" t="s">
        <v>248</v>
      </c>
      <c r="I121" s="16">
        <v>-348203540000</v>
      </c>
      <c r="J121" s="16">
        <v>-582852520000</v>
      </c>
      <c r="K121" s="16" t="s">
        <v>1027</v>
      </c>
      <c r="L121" s="17">
        <f t="shared" si="8"/>
        <v>28</v>
      </c>
      <c r="M121" s="17">
        <f t="shared" si="9"/>
        <v>0</v>
      </c>
      <c r="N121" s="18">
        <f t="shared" si="10"/>
        <v>1</v>
      </c>
      <c r="O121" s="27"/>
      <c r="P121" s="8"/>
      <c r="Q121" s="8"/>
      <c r="R121" s="8"/>
      <c r="S121" s="27"/>
      <c r="T121" s="27"/>
      <c r="U121" s="8"/>
      <c r="V121" s="8"/>
      <c r="W121" s="8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</row>
    <row r="122" spans="1:44" ht="15.75" thickBot="1" x14ac:dyDescent="0.3">
      <c r="A122" t="s">
        <v>333</v>
      </c>
      <c r="C122" s="45" t="s">
        <v>334</v>
      </c>
      <c r="D122" t="s">
        <v>335</v>
      </c>
      <c r="E122" t="s">
        <v>19</v>
      </c>
      <c r="F122" t="s">
        <v>36</v>
      </c>
      <c r="G122"/>
      <c r="H122" t="s">
        <v>292</v>
      </c>
      <c r="I122" s="16">
        <v>-348663680000</v>
      </c>
      <c r="J122" s="16">
        <v>-581917520000</v>
      </c>
      <c r="K122" s="16" t="s">
        <v>1061</v>
      </c>
      <c r="L122" s="17">
        <f t="shared" si="8"/>
        <v>28</v>
      </c>
      <c r="M122" s="17">
        <f t="shared" si="9"/>
        <v>0</v>
      </c>
      <c r="N122" s="18">
        <f t="shared" si="10"/>
        <v>1</v>
      </c>
      <c r="O122" s="27"/>
      <c r="P122" s="8"/>
      <c r="Q122" s="8"/>
      <c r="R122" s="8"/>
      <c r="S122" s="27"/>
      <c r="T122" s="27"/>
      <c r="U122" s="8"/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</row>
    <row r="123" spans="1:44" ht="15.75" thickBot="1" x14ac:dyDescent="0.3">
      <c r="A123" t="s">
        <v>333</v>
      </c>
      <c r="C123" s="45" t="s">
        <v>336</v>
      </c>
      <c r="D123" t="s">
        <v>337</v>
      </c>
      <c r="E123" t="s">
        <v>19</v>
      </c>
      <c r="F123" t="s">
        <v>36</v>
      </c>
      <c r="G123"/>
      <c r="H123" t="s">
        <v>292</v>
      </c>
      <c r="I123" s="16">
        <v>-348677360000</v>
      </c>
      <c r="J123" s="16">
        <v>-581899690000</v>
      </c>
      <c r="K123" s="16" t="s">
        <v>1062</v>
      </c>
      <c r="L123" s="17">
        <f t="shared" si="8"/>
        <v>28</v>
      </c>
      <c r="M123" s="17">
        <f t="shared" si="9"/>
        <v>0</v>
      </c>
      <c r="N123" s="18">
        <f t="shared" si="10"/>
        <v>1</v>
      </c>
      <c r="O123" s="27"/>
      <c r="P123" s="8"/>
      <c r="Q123" s="8"/>
      <c r="R123" s="8"/>
      <c r="S123" s="27"/>
      <c r="T123" s="27"/>
      <c r="U123" s="8"/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</row>
    <row r="124" spans="1:44" ht="15.75" thickBot="1" x14ac:dyDescent="0.3">
      <c r="A124" t="s">
        <v>338</v>
      </c>
      <c r="C124" s="45" t="s">
        <v>339</v>
      </c>
      <c r="D124" t="s">
        <v>340</v>
      </c>
      <c r="E124" t="s">
        <v>19</v>
      </c>
      <c r="F124" t="s">
        <v>36</v>
      </c>
      <c r="G124"/>
      <c r="H124" t="s">
        <v>341</v>
      </c>
      <c r="I124" s="16">
        <v>-348252070000</v>
      </c>
      <c r="J124" s="16">
        <v>-582467880000</v>
      </c>
      <c r="K124" s="16" t="s">
        <v>1063</v>
      </c>
      <c r="L124" s="17">
        <f t="shared" si="8"/>
        <v>25</v>
      </c>
      <c r="M124" s="17">
        <f t="shared" si="9"/>
        <v>3</v>
      </c>
      <c r="N124" s="18">
        <f t="shared" si="10"/>
        <v>0.8928571428571429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 t="s">
        <v>1343</v>
      </c>
      <c r="AH124" s="27" t="s">
        <v>1343</v>
      </c>
      <c r="AI124" s="27" t="s">
        <v>1343</v>
      </c>
      <c r="AJ124" s="27"/>
      <c r="AK124" s="8"/>
      <c r="AL124" s="8"/>
      <c r="AM124" s="8"/>
      <c r="AN124" s="27"/>
      <c r="AO124" s="8"/>
      <c r="AP124" s="8"/>
      <c r="AQ124" s="27"/>
      <c r="AR124" s="27"/>
    </row>
    <row r="125" spans="1:44" ht="15.75" thickBot="1" x14ac:dyDescent="0.3">
      <c r="A125" t="s">
        <v>342</v>
      </c>
      <c r="C125" s="45" t="s">
        <v>343</v>
      </c>
      <c r="D125" t="s">
        <v>344</v>
      </c>
      <c r="E125" t="s">
        <v>19</v>
      </c>
      <c r="F125" t="s">
        <v>25</v>
      </c>
      <c r="G125"/>
      <c r="H125" t="s">
        <v>345</v>
      </c>
      <c r="I125" s="16">
        <v>-348066790000</v>
      </c>
      <c r="J125" s="16">
        <v>-583015690000</v>
      </c>
      <c r="K125" s="16" t="s">
        <v>1070</v>
      </c>
      <c r="L125" s="17">
        <f t="shared" si="8"/>
        <v>28</v>
      </c>
      <c r="M125" s="17">
        <f t="shared" si="9"/>
        <v>0</v>
      </c>
      <c r="N125" s="18">
        <f t="shared" si="10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</row>
    <row r="126" spans="1:44" ht="15.75" thickBot="1" x14ac:dyDescent="0.3">
      <c r="A126" t="s">
        <v>342</v>
      </c>
      <c r="C126" s="45" t="s">
        <v>346</v>
      </c>
      <c r="D126" t="s">
        <v>347</v>
      </c>
      <c r="E126" t="s">
        <v>19</v>
      </c>
      <c r="F126" t="s">
        <v>25</v>
      </c>
      <c r="G126"/>
      <c r="H126" t="s">
        <v>348</v>
      </c>
      <c r="I126" s="16">
        <v>-348074220000</v>
      </c>
      <c r="J126" s="16">
        <v>-582975280000</v>
      </c>
      <c r="K126" s="16" t="s">
        <v>1071</v>
      </c>
      <c r="L126" s="17">
        <f t="shared" si="8"/>
        <v>28</v>
      </c>
      <c r="M126" s="17">
        <f t="shared" si="9"/>
        <v>0</v>
      </c>
      <c r="N126" s="18">
        <f t="shared" si="10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</row>
    <row r="127" spans="1:44" ht="15.75" thickBot="1" x14ac:dyDescent="0.3">
      <c r="A127" t="s">
        <v>342</v>
      </c>
      <c r="C127" s="45" t="s">
        <v>349</v>
      </c>
      <c r="D127" t="s">
        <v>350</v>
      </c>
      <c r="E127" t="s">
        <v>19</v>
      </c>
      <c r="F127" t="s">
        <v>25</v>
      </c>
      <c r="G127"/>
      <c r="H127" t="s">
        <v>351</v>
      </c>
      <c r="I127" s="16">
        <v>-348076100000</v>
      </c>
      <c r="J127" s="16">
        <v>-582957320000</v>
      </c>
      <c r="K127" s="16" t="s">
        <v>1072</v>
      </c>
      <c r="L127" s="17">
        <f t="shared" si="8"/>
        <v>28</v>
      </c>
      <c r="M127" s="17">
        <f t="shared" si="9"/>
        <v>0</v>
      </c>
      <c r="N127" s="18">
        <f t="shared" si="10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</row>
    <row r="128" spans="1:44" ht="15.75" thickBot="1" x14ac:dyDescent="0.3">
      <c r="A128" t="s">
        <v>342</v>
      </c>
      <c r="C128" s="45" t="s">
        <v>352</v>
      </c>
      <c r="D128" t="s">
        <v>353</v>
      </c>
      <c r="E128" t="s">
        <v>19</v>
      </c>
      <c r="F128" t="s">
        <v>25</v>
      </c>
      <c r="G128"/>
      <c r="H128" t="s">
        <v>354</v>
      </c>
      <c r="I128" s="16">
        <v>-348075900000</v>
      </c>
      <c r="J128" s="16">
        <v>-582968630000</v>
      </c>
      <c r="K128" s="16" t="s">
        <v>1073</v>
      </c>
      <c r="L128" s="17">
        <f t="shared" si="8"/>
        <v>28</v>
      </c>
      <c r="M128" s="17">
        <f t="shared" si="9"/>
        <v>0</v>
      </c>
      <c r="N128" s="18">
        <f t="shared" si="10"/>
        <v>1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</row>
    <row r="129" spans="1:44" ht="15.75" thickBot="1" x14ac:dyDescent="0.3">
      <c r="A129" t="s">
        <v>342</v>
      </c>
      <c r="C129" s="45" t="s">
        <v>355</v>
      </c>
      <c r="D129" t="s">
        <v>356</v>
      </c>
      <c r="E129" t="s">
        <v>113</v>
      </c>
      <c r="F129" t="s">
        <v>944</v>
      </c>
      <c r="G129"/>
      <c r="H129" t="s">
        <v>297</v>
      </c>
      <c r="I129" s="16">
        <v>-348034360000</v>
      </c>
      <c r="J129" s="16">
        <v>-583009630000</v>
      </c>
      <c r="K129" s="16" t="s">
        <v>1075</v>
      </c>
      <c r="L129" s="17">
        <f t="shared" si="8"/>
        <v>28</v>
      </c>
      <c r="M129" s="17">
        <f t="shared" si="9"/>
        <v>0</v>
      </c>
      <c r="N129" s="18">
        <f t="shared" si="10"/>
        <v>1</v>
      </c>
      <c r="O129" s="27"/>
      <c r="P129" s="8"/>
      <c r="Q129" s="8"/>
      <c r="R129" s="8"/>
      <c r="S129" s="27"/>
      <c r="T129" s="27"/>
      <c r="U129" s="8"/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</row>
    <row r="130" spans="1:44" ht="15.75" thickBot="1" x14ac:dyDescent="0.3">
      <c r="A130" t="s">
        <v>342</v>
      </c>
      <c r="C130" s="45" t="s">
        <v>357</v>
      </c>
      <c r="D130" t="s">
        <v>356</v>
      </c>
      <c r="E130" t="s">
        <v>113</v>
      </c>
      <c r="F130" t="s">
        <v>944</v>
      </c>
      <c r="G130"/>
      <c r="H130" t="s">
        <v>297</v>
      </c>
      <c r="I130" s="16">
        <v>-348034540000</v>
      </c>
      <c r="J130" s="16">
        <v>-583010170000</v>
      </c>
      <c r="K130" s="16" t="s">
        <v>1076</v>
      </c>
      <c r="L130" s="17">
        <f t="shared" si="8"/>
        <v>28</v>
      </c>
      <c r="M130" s="17">
        <f t="shared" si="9"/>
        <v>0</v>
      </c>
      <c r="N130" s="18">
        <f t="shared" si="10"/>
        <v>1</v>
      </c>
      <c r="O130" s="27"/>
      <c r="P130" s="8"/>
      <c r="Q130" s="8"/>
      <c r="R130" s="8"/>
      <c r="S130" s="27"/>
      <c r="T130" s="27"/>
      <c r="U130" s="8"/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</row>
    <row r="131" spans="1:44" ht="15.75" thickBot="1" x14ac:dyDescent="0.3">
      <c r="A131" t="s">
        <v>358</v>
      </c>
      <c r="C131" s="45" t="s">
        <v>359</v>
      </c>
      <c r="D131" t="s">
        <v>360</v>
      </c>
      <c r="E131" t="s">
        <v>19</v>
      </c>
      <c r="F131" t="s">
        <v>25</v>
      </c>
      <c r="G131" t="s">
        <v>361</v>
      </c>
      <c r="H131"/>
      <c r="I131" s="16">
        <v>-348074000000</v>
      </c>
      <c r="J131" s="16">
        <v>-583095340000</v>
      </c>
      <c r="K131" s="16" t="s">
        <v>1064</v>
      </c>
      <c r="L131" s="17">
        <f t="shared" si="8"/>
        <v>28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</row>
    <row r="132" spans="1:44" ht="15.75" thickBot="1" x14ac:dyDescent="0.3">
      <c r="A132" t="s">
        <v>261</v>
      </c>
      <c r="C132" s="45" t="s">
        <v>362</v>
      </c>
      <c r="D132" t="s">
        <v>363</v>
      </c>
      <c r="E132" t="s">
        <v>24</v>
      </c>
      <c r="F132" t="s">
        <v>25</v>
      </c>
      <c r="G132" t="s">
        <v>364</v>
      </c>
      <c r="H132"/>
      <c r="I132" s="16">
        <v>-348084650000</v>
      </c>
      <c r="J132" s="16">
        <v>-582948520000</v>
      </c>
      <c r="K132" s="16" t="s">
        <v>1065</v>
      </c>
      <c r="L132" s="17">
        <f t="shared" si="8"/>
        <v>28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</row>
    <row r="133" spans="1:44" ht="15.75" thickBot="1" x14ac:dyDescent="0.3">
      <c r="A133" t="s">
        <v>342</v>
      </c>
      <c r="C133" s="45" t="s">
        <v>365</v>
      </c>
      <c r="D133" t="s">
        <v>366</v>
      </c>
      <c r="E133" t="s">
        <v>24</v>
      </c>
      <c r="F133" t="s">
        <v>25</v>
      </c>
      <c r="G133" t="s">
        <v>367</v>
      </c>
      <c r="H133"/>
      <c r="I133" s="16">
        <v>-348022280000</v>
      </c>
      <c r="J133" s="16">
        <v>-583005700000</v>
      </c>
      <c r="K133" s="16" t="s">
        <v>1066</v>
      </c>
      <c r="L133" s="17">
        <f t="shared" ref="L133:L196" si="11">COUNTIF(O133:AP133,"")</f>
        <v>7</v>
      </c>
      <c r="M133" s="17">
        <f t="shared" ref="M133:M196" si="12">COUNTIF(O133:AP133,"APAGADO")</f>
        <v>21</v>
      </c>
      <c r="N133" s="18">
        <f t="shared" ref="N133:N196" si="13">(L133)/(M133+L133)</f>
        <v>0.25</v>
      </c>
      <c r="O133" s="27" t="s">
        <v>1343</v>
      </c>
      <c r="P133" s="8"/>
      <c r="Q133" s="8"/>
      <c r="R133" s="8" t="s">
        <v>1343</v>
      </c>
      <c r="S133" s="27" t="s">
        <v>1343</v>
      </c>
      <c r="T133" s="27" t="s">
        <v>1343</v>
      </c>
      <c r="U133" s="8" t="s">
        <v>1343</v>
      </c>
      <c r="V133" s="8" t="s">
        <v>1343</v>
      </c>
      <c r="W133" s="8" t="s">
        <v>1343</v>
      </c>
      <c r="X133" s="27" t="s">
        <v>1343</v>
      </c>
      <c r="Y133" s="27" t="s">
        <v>1343</v>
      </c>
      <c r="Z133" s="27" t="s">
        <v>1343</v>
      </c>
      <c r="AA133" s="27" t="s">
        <v>1343</v>
      </c>
      <c r="AB133" s="27" t="s">
        <v>1343</v>
      </c>
      <c r="AC133" s="27" t="s">
        <v>1343</v>
      </c>
      <c r="AD133" s="27" t="s">
        <v>1343</v>
      </c>
      <c r="AE133" s="27" t="s">
        <v>1343</v>
      </c>
      <c r="AF133" s="27" t="s">
        <v>1343</v>
      </c>
      <c r="AG133" s="27" t="s">
        <v>1343</v>
      </c>
      <c r="AH133" s="27" t="s">
        <v>1343</v>
      </c>
      <c r="AI133" s="27" t="s">
        <v>1343</v>
      </c>
      <c r="AJ133" s="27" t="s">
        <v>1343</v>
      </c>
      <c r="AK133" s="8" t="s">
        <v>1343</v>
      </c>
      <c r="AL133" s="8"/>
      <c r="AM133" s="8"/>
      <c r="AN133" s="27"/>
      <c r="AO133" s="8"/>
      <c r="AP133" s="8"/>
      <c r="AQ133" s="27"/>
      <c r="AR133" s="27"/>
    </row>
    <row r="134" spans="1:44" ht="15.75" thickBot="1" x14ac:dyDescent="0.3">
      <c r="A134" t="s">
        <v>342</v>
      </c>
      <c r="C134" s="45" t="s">
        <v>368</v>
      </c>
      <c r="D134" t="s">
        <v>369</v>
      </c>
      <c r="E134" t="s">
        <v>24</v>
      </c>
      <c r="F134" t="s">
        <v>25</v>
      </c>
      <c r="G134" t="s">
        <v>370</v>
      </c>
      <c r="H134"/>
      <c r="I134" s="16">
        <v>-348079900000</v>
      </c>
      <c r="J134" s="16">
        <v>-583023830000</v>
      </c>
      <c r="K134" s="16" t="s">
        <v>1067</v>
      </c>
      <c r="L134" s="17">
        <f t="shared" si="11"/>
        <v>28</v>
      </c>
      <c r="M134" s="17">
        <f t="shared" si="12"/>
        <v>0</v>
      </c>
      <c r="N134" s="18">
        <f t="shared" si="13"/>
        <v>1</v>
      </c>
      <c r="O134" s="27"/>
      <c r="P134" s="8"/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</row>
    <row r="135" spans="1:44" ht="15.75" thickBot="1" x14ac:dyDescent="0.3">
      <c r="A135" t="s">
        <v>342</v>
      </c>
      <c r="C135" s="45" t="s">
        <v>371</v>
      </c>
      <c r="D135" t="s">
        <v>372</v>
      </c>
      <c r="E135" t="s">
        <v>24</v>
      </c>
      <c r="F135" t="s">
        <v>25</v>
      </c>
      <c r="G135" t="s">
        <v>361</v>
      </c>
      <c r="H135"/>
      <c r="I135" s="16">
        <v>-348085620000</v>
      </c>
      <c r="J135" s="16">
        <v>-582997660000</v>
      </c>
      <c r="K135" s="16" t="s">
        <v>1068</v>
      </c>
      <c r="L135" s="17">
        <f t="shared" si="11"/>
        <v>28</v>
      </c>
      <c r="M135" s="17">
        <f t="shared" si="12"/>
        <v>0</v>
      </c>
      <c r="N135" s="18">
        <f t="shared" si="13"/>
        <v>1</v>
      </c>
      <c r="O135" s="27"/>
      <c r="P135" s="8"/>
      <c r="Q135" s="8"/>
      <c r="R135" s="8"/>
      <c r="S135" s="27"/>
      <c r="T135" s="27"/>
      <c r="U135" s="8"/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</row>
    <row r="136" spans="1:44" ht="15.75" thickBot="1" x14ac:dyDescent="0.3">
      <c r="A136" t="s">
        <v>342</v>
      </c>
      <c r="C136" s="45" t="s">
        <v>373</v>
      </c>
      <c r="D136" t="s">
        <v>374</v>
      </c>
      <c r="E136" t="s">
        <v>19</v>
      </c>
      <c r="F136" t="s">
        <v>25</v>
      </c>
      <c r="G136" t="s">
        <v>375</v>
      </c>
      <c r="H136"/>
      <c r="I136" s="16">
        <v>-348070910000</v>
      </c>
      <c r="J136" s="16">
        <v>-583063750000</v>
      </c>
      <c r="K136" s="16" t="s">
        <v>1069</v>
      </c>
      <c r="L136" s="17">
        <f t="shared" si="11"/>
        <v>28</v>
      </c>
      <c r="M136" s="17">
        <f t="shared" si="12"/>
        <v>0</v>
      </c>
      <c r="N136" s="18">
        <f t="shared" si="13"/>
        <v>1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</row>
    <row r="137" spans="1:44" ht="15.75" thickBot="1" x14ac:dyDescent="0.3">
      <c r="A137" t="s">
        <v>342</v>
      </c>
      <c r="C137" s="45" t="s">
        <v>376</v>
      </c>
      <c r="D137" t="s">
        <v>377</v>
      </c>
      <c r="E137" t="s">
        <v>19</v>
      </c>
      <c r="F137" t="s">
        <v>36</v>
      </c>
      <c r="G137"/>
      <c r="H137" t="s">
        <v>267</v>
      </c>
      <c r="I137" s="16">
        <v>-348083080000</v>
      </c>
      <c r="J137" s="16">
        <v>-582951030000</v>
      </c>
      <c r="K137" s="16" t="s">
        <v>1074</v>
      </c>
      <c r="L137" s="17">
        <f t="shared" si="11"/>
        <v>28</v>
      </c>
      <c r="M137" s="17">
        <f t="shared" si="12"/>
        <v>0</v>
      </c>
      <c r="N137" s="18">
        <f t="shared" si="13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</row>
    <row r="138" spans="1:44" ht="15.75" thickBot="1" x14ac:dyDescent="0.3">
      <c r="A138" t="s">
        <v>342</v>
      </c>
      <c r="C138" s="45" t="s">
        <v>378</v>
      </c>
      <c r="D138" t="s">
        <v>379</v>
      </c>
      <c r="E138" t="s">
        <v>113</v>
      </c>
      <c r="F138" t="s">
        <v>944</v>
      </c>
      <c r="G138"/>
      <c r="H138" t="s">
        <v>380</v>
      </c>
      <c r="I138" s="16">
        <v>-348053300000</v>
      </c>
      <c r="J138" s="16">
        <v>-583014930000</v>
      </c>
      <c r="K138" s="16" t="s">
        <v>1077</v>
      </c>
      <c r="L138" s="17">
        <f t="shared" si="11"/>
        <v>28</v>
      </c>
      <c r="M138" s="17">
        <f t="shared" si="12"/>
        <v>0</v>
      </c>
      <c r="N138" s="18">
        <f t="shared" si="13"/>
        <v>1</v>
      </c>
      <c r="O138" s="27"/>
      <c r="P138" s="8"/>
      <c r="Q138" s="8"/>
      <c r="R138" s="8"/>
      <c r="S138" s="27"/>
      <c r="T138" s="27"/>
      <c r="U138" s="8"/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</row>
    <row r="139" spans="1:44" ht="15.75" thickBot="1" x14ac:dyDescent="0.3">
      <c r="A139" t="s">
        <v>342</v>
      </c>
      <c r="C139" s="45" t="s">
        <v>381</v>
      </c>
      <c r="D139" t="s">
        <v>379</v>
      </c>
      <c r="E139" t="s">
        <v>113</v>
      </c>
      <c r="F139" t="s">
        <v>944</v>
      </c>
      <c r="G139"/>
      <c r="H139" t="s">
        <v>382</v>
      </c>
      <c r="I139" s="16">
        <v>-348053300000</v>
      </c>
      <c r="J139" s="16">
        <v>-583014930000</v>
      </c>
      <c r="K139" s="16" t="s">
        <v>1078</v>
      </c>
      <c r="L139" s="17">
        <f t="shared" si="11"/>
        <v>28</v>
      </c>
      <c r="M139" s="17">
        <f t="shared" si="12"/>
        <v>0</v>
      </c>
      <c r="N139" s="18">
        <f t="shared" si="13"/>
        <v>1</v>
      </c>
      <c r="O139" s="27"/>
      <c r="P139" s="8"/>
      <c r="Q139" s="8"/>
      <c r="R139" s="8"/>
      <c r="S139" s="27"/>
      <c r="T139" s="27"/>
      <c r="U139" s="8"/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</row>
    <row r="140" spans="1:44" ht="15.75" thickBot="1" x14ac:dyDescent="0.3">
      <c r="A140" t="s">
        <v>342</v>
      </c>
      <c r="C140" s="45" t="s">
        <v>383</v>
      </c>
      <c r="D140" t="s">
        <v>384</v>
      </c>
      <c r="E140" t="s">
        <v>113</v>
      </c>
      <c r="F140" t="s">
        <v>944</v>
      </c>
      <c r="G140"/>
      <c r="H140" t="s">
        <v>385</v>
      </c>
      <c r="I140" s="16">
        <v>-348051560000</v>
      </c>
      <c r="J140" s="16">
        <v>-583023560000</v>
      </c>
      <c r="K140" s="16" t="s">
        <v>1079</v>
      </c>
      <c r="L140" s="17">
        <f t="shared" si="11"/>
        <v>28</v>
      </c>
      <c r="M140" s="17">
        <f t="shared" si="12"/>
        <v>0</v>
      </c>
      <c r="N140" s="18">
        <f t="shared" si="13"/>
        <v>1</v>
      </c>
      <c r="O140" s="27"/>
      <c r="P140" s="8"/>
      <c r="Q140" s="8"/>
      <c r="R140" s="8"/>
      <c r="S140" s="27"/>
      <c r="T140" s="27"/>
      <c r="U140" s="8"/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</row>
    <row r="141" spans="1:44" ht="15.75" thickBot="1" x14ac:dyDescent="0.3">
      <c r="A141" t="s">
        <v>342</v>
      </c>
      <c r="C141" s="45" t="s">
        <v>386</v>
      </c>
      <c r="D141" t="s">
        <v>384</v>
      </c>
      <c r="E141" t="s">
        <v>113</v>
      </c>
      <c r="F141" t="s">
        <v>944</v>
      </c>
      <c r="G141"/>
      <c r="H141" t="s">
        <v>385</v>
      </c>
      <c r="I141" s="16">
        <v>-348051560000</v>
      </c>
      <c r="J141" s="16">
        <v>-583023560000</v>
      </c>
      <c r="K141" s="16" t="s">
        <v>1080</v>
      </c>
      <c r="L141" s="17">
        <f t="shared" si="11"/>
        <v>28</v>
      </c>
      <c r="M141" s="17">
        <f t="shared" si="12"/>
        <v>0</v>
      </c>
      <c r="N141" s="18">
        <f t="shared" si="13"/>
        <v>1</v>
      </c>
      <c r="O141" s="27"/>
      <c r="P141" s="8"/>
      <c r="Q141" s="8"/>
      <c r="R141" s="8"/>
      <c r="S141" s="27"/>
      <c r="T141" s="27"/>
      <c r="U141" s="8"/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</row>
    <row r="142" spans="1:44" ht="15.75" thickBot="1" x14ac:dyDescent="0.3">
      <c r="A142" t="s">
        <v>167</v>
      </c>
      <c r="C142" s="45" t="s">
        <v>387</v>
      </c>
      <c r="D142" t="s">
        <v>388</v>
      </c>
      <c r="E142" t="s">
        <v>19</v>
      </c>
      <c r="F142" t="s">
        <v>944</v>
      </c>
      <c r="G142"/>
      <c r="H142" t="s">
        <v>389</v>
      </c>
      <c r="I142" s="16">
        <v>-347976230000</v>
      </c>
      <c r="J142" s="16">
        <v>-582821290000</v>
      </c>
      <c r="K142" s="16" t="s">
        <v>1081</v>
      </c>
      <c r="L142" s="17">
        <f t="shared" si="11"/>
        <v>28</v>
      </c>
      <c r="M142" s="17">
        <f t="shared" si="12"/>
        <v>0</v>
      </c>
      <c r="N142" s="18">
        <f t="shared" si="13"/>
        <v>1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</row>
    <row r="143" spans="1:44" ht="15.75" thickBot="1" x14ac:dyDescent="0.3">
      <c r="A143" t="s">
        <v>167</v>
      </c>
      <c r="C143" s="45" t="s">
        <v>390</v>
      </c>
      <c r="D143" t="s">
        <v>391</v>
      </c>
      <c r="E143" t="s">
        <v>19</v>
      </c>
      <c r="F143" t="s">
        <v>944</v>
      </c>
      <c r="G143"/>
      <c r="H143" t="s">
        <v>389</v>
      </c>
      <c r="I143" s="16">
        <v>-347960180000</v>
      </c>
      <c r="J143" s="16">
        <v>-582861620000</v>
      </c>
      <c r="K143" s="16" t="s">
        <v>1082</v>
      </c>
      <c r="L143" s="17">
        <f t="shared" si="11"/>
        <v>28</v>
      </c>
      <c r="M143" s="17">
        <f t="shared" si="12"/>
        <v>0</v>
      </c>
      <c r="N143" s="18">
        <f t="shared" si="13"/>
        <v>1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</row>
    <row r="144" spans="1:44" ht="15.75" thickBot="1" x14ac:dyDescent="0.3">
      <c r="A144" t="s">
        <v>167</v>
      </c>
      <c r="B144" s="59">
        <v>44629</v>
      </c>
      <c r="C144" s="61" t="s">
        <v>392</v>
      </c>
      <c r="D144" t="s">
        <v>393</v>
      </c>
      <c r="E144" t="s">
        <v>19</v>
      </c>
      <c r="F144" t="s">
        <v>944</v>
      </c>
      <c r="G144"/>
      <c r="H144" t="s">
        <v>389</v>
      </c>
      <c r="I144" s="16">
        <v>-347947670000</v>
      </c>
      <c r="J144" s="16">
        <v>-582871810000</v>
      </c>
      <c r="K144" s="16" t="s">
        <v>1083</v>
      </c>
      <c r="L144" s="17">
        <f t="shared" si="11"/>
        <v>28</v>
      </c>
      <c r="M144" s="17">
        <f t="shared" si="12"/>
        <v>0</v>
      </c>
      <c r="N144" s="18">
        <f t="shared" si="13"/>
        <v>1</v>
      </c>
      <c r="O144" s="27"/>
      <c r="P144" s="8"/>
      <c r="Q144" s="8"/>
      <c r="R144" s="8"/>
      <c r="S144" s="27"/>
      <c r="T144" s="27"/>
      <c r="U144" s="8"/>
      <c r="V144" s="8"/>
      <c r="W144" s="8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</row>
    <row r="145" spans="1:44" ht="15.75" thickBot="1" x14ac:dyDescent="0.3">
      <c r="A145" t="s">
        <v>261</v>
      </c>
      <c r="C145" s="45" t="s">
        <v>394</v>
      </c>
      <c r="D145" t="s">
        <v>1320</v>
      </c>
      <c r="E145" t="s">
        <v>24</v>
      </c>
      <c r="F145" t="s">
        <v>25</v>
      </c>
      <c r="G145" t="s">
        <v>364</v>
      </c>
      <c r="H145"/>
      <c r="I145" s="16">
        <v>-348070980000</v>
      </c>
      <c r="J145" s="16">
        <v>-582892260000</v>
      </c>
      <c r="K145" s="16" t="s">
        <v>1084</v>
      </c>
      <c r="L145" s="17">
        <f t="shared" si="11"/>
        <v>28</v>
      </c>
      <c r="M145" s="17">
        <f t="shared" si="12"/>
        <v>0</v>
      </c>
      <c r="N145" s="18">
        <f t="shared" si="13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</row>
    <row r="146" spans="1:44" ht="15.75" thickBot="1" x14ac:dyDescent="0.3">
      <c r="C146" s="45" t="s">
        <v>395</v>
      </c>
      <c r="D146" t="s">
        <v>396</v>
      </c>
      <c r="E146" t="s">
        <v>24</v>
      </c>
      <c r="F146" t="s">
        <v>25</v>
      </c>
      <c r="G146" t="s">
        <v>397</v>
      </c>
      <c r="H146" t="s">
        <v>398</v>
      </c>
      <c r="I146" s="16">
        <v>-348065100000</v>
      </c>
      <c r="J146" s="16">
        <v>-582865850000</v>
      </c>
      <c r="K146" s="16" t="s">
        <v>1085</v>
      </c>
      <c r="L146" s="17">
        <f t="shared" si="11"/>
        <v>28</v>
      </c>
      <c r="M146" s="17">
        <f t="shared" si="12"/>
        <v>0</v>
      </c>
      <c r="N146" s="18">
        <f t="shared" si="13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</row>
    <row r="147" spans="1:44" ht="15.75" thickBot="1" x14ac:dyDescent="0.3">
      <c r="A147" t="s">
        <v>399</v>
      </c>
      <c r="C147" s="45" t="s">
        <v>400</v>
      </c>
      <c r="D147" t="s">
        <v>401</v>
      </c>
      <c r="E147" t="s">
        <v>113</v>
      </c>
      <c r="F147" t="s">
        <v>36</v>
      </c>
      <c r="G147"/>
      <c r="H147" t="s">
        <v>248</v>
      </c>
      <c r="I147" s="16">
        <v>-348071440000</v>
      </c>
      <c r="J147" s="16">
        <v>-582892140000</v>
      </c>
      <c r="K147" s="16" t="s">
        <v>1086</v>
      </c>
      <c r="L147" s="17">
        <f t="shared" si="11"/>
        <v>28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</row>
    <row r="148" spans="1:44" ht="15.75" thickBot="1" x14ac:dyDescent="0.3">
      <c r="A148" t="s">
        <v>399</v>
      </c>
      <c r="C148" s="45" t="s">
        <v>402</v>
      </c>
      <c r="D148" t="s">
        <v>401</v>
      </c>
      <c r="E148" t="s">
        <v>73</v>
      </c>
      <c r="F148" t="s">
        <v>36</v>
      </c>
      <c r="G148"/>
      <c r="H148" t="s">
        <v>223</v>
      </c>
      <c r="I148" s="16">
        <v>-348070260000</v>
      </c>
      <c r="J148" s="16">
        <v>-582887990000</v>
      </c>
      <c r="K148" s="16" t="s">
        <v>1060</v>
      </c>
      <c r="L148" s="17">
        <f t="shared" si="11"/>
        <v>28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</row>
    <row r="149" spans="1:44" ht="15.75" thickBot="1" x14ac:dyDescent="0.3">
      <c r="A149" t="s">
        <v>403</v>
      </c>
      <c r="C149" s="45" t="s">
        <v>404</v>
      </c>
      <c r="D149" t="s">
        <v>405</v>
      </c>
      <c r="E149" t="s">
        <v>19</v>
      </c>
      <c r="F149" t="s">
        <v>36</v>
      </c>
      <c r="G149"/>
      <c r="H149" t="s">
        <v>248</v>
      </c>
      <c r="I149" s="16">
        <v>-348519500000</v>
      </c>
      <c r="J149" s="16">
        <v>-582783830000</v>
      </c>
      <c r="K149" s="16" t="s">
        <v>1087</v>
      </c>
      <c r="L149" s="17">
        <f t="shared" si="11"/>
        <v>28</v>
      </c>
      <c r="M149" s="17">
        <f t="shared" si="12"/>
        <v>0</v>
      </c>
      <c r="N149" s="18">
        <f t="shared" si="13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</row>
    <row r="150" spans="1:44" ht="15.75" thickBot="1" x14ac:dyDescent="0.3">
      <c r="A150" t="s">
        <v>403</v>
      </c>
      <c r="C150" s="45" t="s">
        <v>406</v>
      </c>
      <c r="D150" t="s">
        <v>407</v>
      </c>
      <c r="E150" t="s">
        <v>113</v>
      </c>
      <c r="F150" t="s">
        <v>36</v>
      </c>
      <c r="G150"/>
      <c r="H150" t="s">
        <v>329</v>
      </c>
      <c r="I150" s="16">
        <v>-348525210000</v>
      </c>
      <c r="J150" s="16">
        <v>-582783180000</v>
      </c>
      <c r="K150" s="16" t="s">
        <v>1088</v>
      </c>
      <c r="L150" s="17">
        <f t="shared" si="11"/>
        <v>28</v>
      </c>
      <c r="M150" s="17">
        <f t="shared" si="12"/>
        <v>0</v>
      </c>
      <c r="N150" s="18">
        <f t="shared" si="13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</row>
    <row r="151" spans="1:44" ht="15.75" thickBot="1" x14ac:dyDescent="0.3">
      <c r="A151" t="s">
        <v>403</v>
      </c>
      <c r="C151" s="45" t="s">
        <v>408</v>
      </c>
      <c r="D151" t="s">
        <v>407</v>
      </c>
      <c r="E151" t="s">
        <v>113</v>
      </c>
      <c r="F151" t="s">
        <v>36</v>
      </c>
      <c r="G151"/>
      <c r="H151" t="s">
        <v>329</v>
      </c>
      <c r="I151" s="16">
        <v>-348525370000</v>
      </c>
      <c r="J151" s="16">
        <v>-582783380000</v>
      </c>
      <c r="K151" s="16" t="s">
        <v>1089</v>
      </c>
      <c r="L151" s="17">
        <f t="shared" si="11"/>
        <v>28</v>
      </c>
      <c r="M151" s="17">
        <f t="shared" si="12"/>
        <v>0</v>
      </c>
      <c r="N151" s="18">
        <f t="shared" si="13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</row>
    <row r="152" spans="1:44" ht="15.75" thickBot="1" x14ac:dyDescent="0.3">
      <c r="C152" s="45" t="s">
        <v>409</v>
      </c>
      <c r="D152" t="s">
        <v>410</v>
      </c>
      <c r="E152" t="s">
        <v>73</v>
      </c>
      <c r="F152" t="s">
        <v>36</v>
      </c>
      <c r="G152" t="s">
        <v>185</v>
      </c>
      <c r="H152" t="s">
        <v>411</v>
      </c>
      <c r="I152" s="16">
        <v>-347838400000</v>
      </c>
      <c r="J152" s="16">
        <v>-582682780000</v>
      </c>
      <c r="K152" s="16" t="s">
        <v>1090</v>
      </c>
      <c r="L152" s="17">
        <f t="shared" si="11"/>
        <v>28</v>
      </c>
      <c r="M152" s="17">
        <f t="shared" si="12"/>
        <v>0</v>
      </c>
      <c r="N152" s="18">
        <f t="shared" si="13"/>
        <v>1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</row>
    <row r="153" spans="1:44" ht="15.75" thickBot="1" x14ac:dyDescent="0.3">
      <c r="A153" t="s">
        <v>412</v>
      </c>
      <c r="B153" s="64">
        <v>44642</v>
      </c>
      <c r="C153" s="65" t="s">
        <v>413</v>
      </c>
      <c r="D153" s="66" t="s">
        <v>414</v>
      </c>
      <c r="E153" t="s">
        <v>24</v>
      </c>
      <c r="F153" t="s">
        <v>36</v>
      </c>
      <c r="G153" t="s">
        <v>185</v>
      </c>
      <c r="H153"/>
      <c r="I153" s="16">
        <v>-347869330000</v>
      </c>
      <c r="J153" s="16">
        <v>-582738880000</v>
      </c>
      <c r="K153" s="16" t="s">
        <v>1091</v>
      </c>
      <c r="L153" s="17">
        <f t="shared" si="11"/>
        <v>22</v>
      </c>
      <c r="M153" s="17">
        <f t="shared" si="12"/>
        <v>5</v>
      </c>
      <c r="N153" s="18">
        <f t="shared" si="13"/>
        <v>0.81481481481481477</v>
      </c>
      <c r="O153" s="27" t="s">
        <v>1343</v>
      </c>
      <c r="P153" s="8"/>
      <c r="Q153" s="8"/>
      <c r="R153" s="8" t="s">
        <v>1343</v>
      </c>
      <c r="S153" s="27" t="s">
        <v>1346</v>
      </c>
      <c r="T153" s="27" t="s">
        <v>1343</v>
      </c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 t="s">
        <v>1343</v>
      </c>
      <c r="AJ153" s="27" t="s">
        <v>1343</v>
      </c>
      <c r="AK153" s="8"/>
      <c r="AL153" s="8"/>
      <c r="AM153" s="8"/>
      <c r="AN153" s="27"/>
      <c r="AO153" s="8"/>
      <c r="AP153" s="8"/>
      <c r="AQ153" s="27"/>
      <c r="AR153" s="27"/>
    </row>
    <row r="154" spans="1:44" ht="15.75" thickBot="1" x14ac:dyDescent="0.3">
      <c r="A154" t="s">
        <v>415</v>
      </c>
      <c r="C154" s="45" t="s">
        <v>416</v>
      </c>
      <c r="D154" t="s">
        <v>417</v>
      </c>
      <c r="E154" t="s">
        <v>113</v>
      </c>
      <c r="F154" t="s">
        <v>36</v>
      </c>
      <c r="G154" t="s">
        <v>185</v>
      </c>
      <c r="H154"/>
      <c r="I154" s="16">
        <v>-347836020000</v>
      </c>
      <c r="J154" s="16">
        <v>-582678150000</v>
      </c>
      <c r="K154" s="16" t="s">
        <v>1092</v>
      </c>
      <c r="L154" s="17">
        <f t="shared" si="11"/>
        <v>28</v>
      </c>
      <c r="M154" s="17">
        <f t="shared" si="12"/>
        <v>0</v>
      </c>
      <c r="N154" s="18">
        <f t="shared" si="13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</row>
    <row r="155" spans="1:44" ht="15.75" thickBot="1" x14ac:dyDescent="0.3">
      <c r="A155" t="s">
        <v>415</v>
      </c>
      <c r="C155" s="45" t="s">
        <v>418</v>
      </c>
      <c r="D155" t="s">
        <v>419</v>
      </c>
      <c r="E155" t="s">
        <v>73</v>
      </c>
      <c r="F155" t="s">
        <v>36</v>
      </c>
      <c r="G155" t="s">
        <v>185</v>
      </c>
      <c r="H155" t="s">
        <v>420</v>
      </c>
      <c r="I155" s="16">
        <v>-347831840000</v>
      </c>
      <c r="J155" s="16">
        <v>-582670320000</v>
      </c>
      <c r="K155" s="16" t="s">
        <v>1093</v>
      </c>
      <c r="L155" s="17">
        <f t="shared" si="11"/>
        <v>28</v>
      </c>
      <c r="M155" s="17">
        <f t="shared" si="12"/>
        <v>0</v>
      </c>
      <c r="N155" s="18">
        <f t="shared" si="13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</row>
    <row r="156" spans="1:44" ht="15.75" thickBot="1" x14ac:dyDescent="0.3">
      <c r="A156" t="s">
        <v>415</v>
      </c>
      <c r="B156" s="64">
        <v>44642</v>
      </c>
      <c r="C156" s="65" t="s">
        <v>421</v>
      </c>
      <c r="D156" s="66" t="s">
        <v>422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1094</v>
      </c>
      <c r="L156" s="17">
        <f t="shared" si="11"/>
        <v>24</v>
      </c>
      <c r="M156" s="17">
        <f t="shared" si="12"/>
        <v>4</v>
      </c>
      <c r="N156" s="18">
        <f t="shared" si="13"/>
        <v>0.8571428571428571</v>
      </c>
      <c r="O156" s="27" t="s">
        <v>1343</v>
      </c>
      <c r="P156" s="8"/>
      <c r="Q156" s="8"/>
      <c r="R156" s="8" t="s">
        <v>1343</v>
      </c>
      <c r="S156" s="27" t="s">
        <v>1343</v>
      </c>
      <c r="T156" s="27"/>
      <c r="U156" s="8"/>
      <c r="V156" s="8"/>
      <c r="W156" s="8"/>
      <c r="X156" s="27"/>
      <c r="Y156" s="27"/>
      <c r="Z156" s="27"/>
      <c r="AA156" s="27"/>
      <c r="AB156" s="27" t="s">
        <v>1343</v>
      </c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</row>
    <row r="157" spans="1:44" ht="15.75" thickBot="1" x14ac:dyDescent="0.3">
      <c r="A157" t="s">
        <v>412</v>
      </c>
      <c r="C157" s="45" t="s">
        <v>423</v>
      </c>
      <c r="D157" t="s">
        <v>424</v>
      </c>
      <c r="E157" t="s">
        <v>24</v>
      </c>
      <c r="F157" t="s">
        <v>36</v>
      </c>
      <c r="G157" t="s">
        <v>425</v>
      </c>
      <c r="H157"/>
      <c r="I157" s="16">
        <v>-347807820000</v>
      </c>
      <c r="J157" s="16">
        <v>-582625370000</v>
      </c>
      <c r="K157" s="16" t="s">
        <v>1095</v>
      </c>
      <c r="L157" s="17">
        <f t="shared" si="11"/>
        <v>20</v>
      </c>
      <c r="M157" s="17">
        <f t="shared" si="12"/>
        <v>8</v>
      </c>
      <c r="N157" s="18">
        <f t="shared" si="13"/>
        <v>0.7142857142857143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 t="s">
        <v>1343</v>
      </c>
      <c r="Z157" s="27" t="s">
        <v>1343</v>
      </c>
      <c r="AA157" s="27" t="s">
        <v>1343</v>
      </c>
      <c r="AB157" s="27" t="s">
        <v>1343</v>
      </c>
      <c r="AC157" s="27" t="s">
        <v>1343</v>
      </c>
      <c r="AD157" s="27" t="s">
        <v>1343</v>
      </c>
      <c r="AE157" s="27" t="s">
        <v>1343</v>
      </c>
      <c r="AF157" s="27" t="s">
        <v>1343</v>
      </c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</row>
    <row r="158" spans="1:44" ht="15.75" thickBot="1" x14ac:dyDescent="0.3">
      <c r="A158" t="s">
        <v>415</v>
      </c>
      <c r="C158" s="45" t="s">
        <v>426</v>
      </c>
      <c r="D158" t="s">
        <v>427</v>
      </c>
      <c r="E158" t="s">
        <v>24</v>
      </c>
      <c r="F158" t="s">
        <v>36</v>
      </c>
      <c r="G158" t="s">
        <v>185</v>
      </c>
      <c r="H158"/>
      <c r="I158" s="16">
        <v>-347816280000</v>
      </c>
      <c r="J158" s="16">
        <v>-582641460000</v>
      </c>
      <c r="K158" s="16" t="s">
        <v>1096</v>
      </c>
      <c r="L158" s="17">
        <f t="shared" si="11"/>
        <v>27</v>
      </c>
      <c r="M158" s="17">
        <f t="shared" si="12"/>
        <v>1</v>
      </c>
      <c r="N158" s="18">
        <f t="shared" si="13"/>
        <v>0.9642857142857143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 t="s">
        <v>1343</v>
      </c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</row>
    <row r="159" spans="1:44" ht="15.75" thickBot="1" x14ac:dyDescent="0.3">
      <c r="A159" t="s">
        <v>415</v>
      </c>
      <c r="B159" s="64">
        <v>44642</v>
      </c>
      <c r="C159" s="65" t="s">
        <v>428</v>
      </c>
      <c r="D159" s="66" t="s">
        <v>429</v>
      </c>
      <c r="E159" t="s">
        <v>24</v>
      </c>
      <c r="F159" t="s">
        <v>36</v>
      </c>
      <c r="G159" t="s">
        <v>185</v>
      </c>
      <c r="H159"/>
      <c r="I159" s="16">
        <v>-347799500000</v>
      </c>
      <c r="J159" s="16">
        <v>-582656480000</v>
      </c>
      <c r="K159" s="16" t="s">
        <v>1097</v>
      </c>
      <c r="L159" s="17">
        <f t="shared" si="11"/>
        <v>28</v>
      </c>
      <c r="M159" s="17">
        <f t="shared" si="12"/>
        <v>0</v>
      </c>
      <c r="N159" s="18">
        <f t="shared" si="13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</row>
    <row r="160" spans="1:44" ht="15.75" thickBot="1" x14ac:dyDescent="0.3">
      <c r="A160" t="s">
        <v>415</v>
      </c>
      <c r="C160" s="45" t="s">
        <v>430</v>
      </c>
      <c r="D160" t="s">
        <v>1325</v>
      </c>
      <c r="E160" t="s">
        <v>24</v>
      </c>
      <c r="F160" t="s">
        <v>36</v>
      </c>
      <c r="G160" t="s">
        <v>185</v>
      </c>
      <c r="H160"/>
      <c r="I160" s="16">
        <v>-347811260000</v>
      </c>
      <c r="J160" s="16">
        <v>-582702510000</v>
      </c>
      <c r="K160" s="16" t="s">
        <v>1098</v>
      </c>
      <c r="L160" s="17">
        <f t="shared" si="11"/>
        <v>28</v>
      </c>
      <c r="M160" s="17">
        <f t="shared" si="12"/>
        <v>0</v>
      </c>
      <c r="N160" s="18">
        <f t="shared" si="13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</row>
    <row r="161" spans="1:44" ht="15.75" thickBot="1" x14ac:dyDescent="0.3">
      <c r="A161" t="s">
        <v>415</v>
      </c>
      <c r="C161" s="45" t="s">
        <v>431</v>
      </c>
      <c r="D161" t="s">
        <v>432</v>
      </c>
      <c r="E161" t="s">
        <v>24</v>
      </c>
      <c r="F161" t="s">
        <v>36</v>
      </c>
      <c r="G161" t="s">
        <v>185</v>
      </c>
      <c r="H161"/>
      <c r="I161" s="16">
        <v>-347801920000</v>
      </c>
      <c r="J161" s="16">
        <v>-582637810000</v>
      </c>
      <c r="K161" s="16" t="s">
        <v>1099</v>
      </c>
      <c r="L161" s="17">
        <f t="shared" si="11"/>
        <v>23</v>
      </c>
      <c r="M161" s="17">
        <f t="shared" si="12"/>
        <v>5</v>
      </c>
      <c r="N161" s="18">
        <f t="shared" si="13"/>
        <v>0.8214285714285714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 t="s">
        <v>1343</v>
      </c>
      <c r="AC161" s="27" t="s">
        <v>1343</v>
      </c>
      <c r="AD161" s="27" t="s">
        <v>1343</v>
      </c>
      <c r="AE161" s="27" t="s">
        <v>1343</v>
      </c>
      <c r="AF161" s="27" t="s">
        <v>1343</v>
      </c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</row>
    <row r="162" spans="1:44" ht="15.75" thickBot="1" x14ac:dyDescent="0.3">
      <c r="A162" t="s">
        <v>415</v>
      </c>
      <c r="C162" s="45" t="s">
        <v>433</v>
      </c>
      <c r="D162" t="s">
        <v>434</v>
      </c>
      <c r="E162" t="s">
        <v>24</v>
      </c>
      <c r="F162" t="s">
        <v>36</v>
      </c>
      <c r="G162" t="s">
        <v>435</v>
      </c>
      <c r="H162"/>
      <c r="I162" s="16">
        <v>-347837870000</v>
      </c>
      <c r="J162" s="16">
        <v>-582681690000</v>
      </c>
      <c r="K162" s="16" t="s">
        <v>1100</v>
      </c>
      <c r="L162" s="17">
        <f t="shared" si="11"/>
        <v>28</v>
      </c>
      <c r="M162" s="17">
        <f t="shared" si="12"/>
        <v>0</v>
      </c>
      <c r="N162" s="18">
        <f t="shared" si="13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</row>
    <row r="163" spans="1:44" ht="15.75" thickBot="1" x14ac:dyDescent="0.3">
      <c r="A163" t="s">
        <v>415</v>
      </c>
      <c r="C163" s="45" t="s">
        <v>436</v>
      </c>
      <c r="D163" t="s">
        <v>437</v>
      </c>
      <c r="E163" t="s">
        <v>113</v>
      </c>
      <c r="F163" t="s">
        <v>36</v>
      </c>
      <c r="G163"/>
      <c r="H163" t="s">
        <v>438</v>
      </c>
      <c r="I163" s="16">
        <v>-347808370000</v>
      </c>
      <c r="J163" s="16">
        <v>-582696060000</v>
      </c>
      <c r="K163" s="16" t="s">
        <v>1101</v>
      </c>
      <c r="L163" s="17">
        <f t="shared" si="11"/>
        <v>28</v>
      </c>
      <c r="M163" s="17">
        <f t="shared" si="12"/>
        <v>0</v>
      </c>
      <c r="N163" s="18">
        <f t="shared" si="13"/>
        <v>1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</row>
    <row r="164" spans="1:44" ht="15.75" thickBot="1" x14ac:dyDescent="0.3">
      <c r="A164" t="s">
        <v>415</v>
      </c>
      <c r="C164" s="45" t="s">
        <v>439</v>
      </c>
      <c r="D164" t="s">
        <v>437</v>
      </c>
      <c r="E164" t="s">
        <v>113</v>
      </c>
      <c r="F164" t="s">
        <v>36</v>
      </c>
      <c r="G164"/>
      <c r="H164" t="s">
        <v>438</v>
      </c>
      <c r="I164" s="16">
        <v>-347808450000</v>
      </c>
      <c r="J164" s="16">
        <v>-582696230000</v>
      </c>
      <c r="K164" s="16" t="s">
        <v>1102</v>
      </c>
      <c r="L164" s="17">
        <f t="shared" si="11"/>
        <v>28</v>
      </c>
      <c r="M164" s="17">
        <f t="shared" si="12"/>
        <v>0</v>
      </c>
      <c r="N164" s="18">
        <f t="shared" si="13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</row>
    <row r="165" spans="1:44" ht="15.75" thickBot="1" x14ac:dyDescent="0.3">
      <c r="A165" t="s">
        <v>415</v>
      </c>
      <c r="C165" s="45" t="s">
        <v>440</v>
      </c>
      <c r="D165" t="s">
        <v>441</v>
      </c>
      <c r="E165" t="s">
        <v>19</v>
      </c>
      <c r="F165" t="s">
        <v>36</v>
      </c>
      <c r="G165"/>
      <c r="H165" t="s">
        <v>248</v>
      </c>
      <c r="I165" s="16">
        <v>-347812080000</v>
      </c>
      <c r="J165" s="16">
        <v>-582633880000</v>
      </c>
      <c r="K165" s="16" t="s">
        <v>1103</v>
      </c>
      <c r="L165" s="17">
        <f t="shared" si="11"/>
        <v>28</v>
      </c>
      <c r="M165" s="17">
        <f t="shared" si="12"/>
        <v>0</v>
      </c>
      <c r="N165" s="18">
        <f t="shared" si="13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</row>
    <row r="166" spans="1:44" ht="15.75" thickBot="1" x14ac:dyDescent="0.3">
      <c r="A166" t="s">
        <v>358</v>
      </c>
      <c r="C166" s="45" t="s">
        <v>442</v>
      </c>
      <c r="D166" t="s">
        <v>443</v>
      </c>
      <c r="E166" t="s">
        <v>19</v>
      </c>
      <c r="F166" t="s">
        <v>25</v>
      </c>
      <c r="G166"/>
      <c r="H166" t="s">
        <v>444</v>
      </c>
      <c r="I166" s="16">
        <v>-348079950000</v>
      </c>
      <c r="J166" s="16">
        <v>-583078510000</v>
      </c>
      <c r="K166" s="16" t="s">
        <v>1105</v>
      </c>
      <c r="L166" s="17">
        <f t="shared" si="11"/>
        <v>28</v>
      </c>
      <c r="M166" s="17">
        <f t="shared" si="12"/>
        <v>0</v>
      </c>
      <c r="N166" s="18">
        <f t="shared" si="13"/>
        <v>1</v>
      </c>
      <c r="O166" s="27"/>
      <c r="P166" s="8"/>
      <c r="Q166" s="8"/>
      <c r="R166" s="8"/>
      <c r="S166" s="27"/>
      <c r="T166" s="27"/>
      <c r="U166" s="8"/>
      <c r="V166" s="8"/>
      <c r="W166" s="8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</row>
    <row r="167" spans="1:44" ht="15.75" thickBot="1" x14ac:dyDescent="0.3">
      <c r="A167" t="s">
        <v>445</v>
      </c>
      <c r="C167" s="45" t="s">
        <v>446</v>
      </c>
      <c r="D167" t="s">
        <v>933</v>
      </c>
      <c r="E167" t="s">
        <v>24</v>
      </c>
      <c r="F167" t="s">
        <v>25</v>
      </c>
      <c r="G167" t="s">
        <v>161</v>
      </c>
      <c r="H167"/>
      <c r="I167" s="16">
        <v>-348097650000</v>
      </c>
      <c r="J167" s="16">
        <v>-583197750000</v>
      </c>
      <c r="K167" s="16" t="s">
        <v>1104</v>
      </c>
      <c r="L167" s="17">
        <f t="shared" si="11"/>
        <v>28</v>
      </c>
      <c r="M167" s="17">
        <f t="shared" si="12"/>
        <v>0</v>
      </c>
      <c r="N167" s="18">
        <f t="shared" si="13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</row>
    <row r="168" spans="1:44" ht="15.75" thickBot="1" x14ac:dyDescent="0.3">
      <c r="A168" t="s">
        <v>445</v>
      </c>
      <c r="C168" s="45" t="s">
        <v>447</v>
      </c>
      <c r="D168" t="s">
        <v>448</v>
      </c>
      <c r="E168" t="s">
        <v>19</v>
      </c>
      <c r="F168" t="s">
        <v>36</v>
      </c>
      <c r="G168"/>
      <c r="H168" t="s">
        <v>449</v>
      </c>
      <c r="I168" s="16">
        <v>-348065880000</v>
      </c>
      <c r="J168" s="16">
        <v>-583140610000</v>
      </c>
      <c r="K168" s="16" t="s">
        <v>1106</v>
      </c>
      <c r="L168" s="17">
        <f t="shared" si="11"/>
        <v>24</v>
      </c>
      <c r="M168" s="17">
        <f t="shared" si="12"/>
        <v>4</v>
      </c>
      <c r="N168" s="18">
        <f t="shared" si="13"/>
        <v>0.8571428571428571</v>
      </c>
      <c r="O168" s="27"/>
      <c r="P168" s="8"/>
      <c r="Q168" s="8"/>
      <c r="R168" s="8"/>
      <c r="S168" s="27"/>
      <c r="T168" s="27"/>
      <c r="U168" s="8"/>
      <c r="V168" s="8"/>
      <c r="W168" s="8"/>
      <c r="X168" s="27"/>
      <c r="Y168" s="27"/>
      <c r="Z168" s="27" t="s">
        <v>1343</v>
      </c>
      <c r="AA168" s="27" t="s">
        <v>1343</v>
      </c>
      <c r="AB168" s="27" t="s">
        <v>1343</v>
      </c>
      <c r="AC168" s="27"/>
      <c r="AD168" s="27"/>
      <c r="AE168" s="27"/>
      <c r="AF168" s="27"/>
      <c r="AG168" s="27"/>
      <c r="AH168" s="27"/>
      <c r="AI168" s="27"/>
      <c r="AJ168" s="27" t="s">
        <v>1343</v>
      </c>
      <c r="AK168" s="8"/>
      <c r="AL168" s="8"/>
      <c r="AM168" s="8"/>
      <c r="AN168" s="27"/>
      <c r="AO168" s="8"/>
      <c r="AP168" s="8"/>
      <c r="AQ168" s="27"/>
      <c r="AR168" s="27"/>
    </row>
    <row r="169" spans="1:44" ht="15.75" thickBot="1" x14ac:dyDescent="0.3">
      <c r="A169" t="s">
        <v>450</v>
      </c>
      <c r="C169" s="65" t="s">
        <v>451</v>
      </c>
      <c r="D169" s="66" t="s">
        <v>452</v>
      </c>
      <c r="E169" t="s">
        <v>113</v>
      </c>
      <c r="F169" t="s">
        <v>36</v>
      </c>
      <c r="G169" t="s">
        <v>185</v>
      </c>
      <c r="H169" t="s">
        <v>453</v>
      </c>
      <c r="I169" s="16">
        <v>-347782860000</v>
      </c>
      <c r="J169" s="16">
        <v>-582672650000</v>
      </c>
      <c r="K169" s="16" t="s">
        <v>1111</v>
      </c>
      <c r="L169" s="17">
        <f t="shared" si="11"/>
        <v>27</v>
      </c>
      <c r="M169" s="17">
        <f t="shared" si="12"/>
        <v>1</v>
      </c>
      <c r="N169" s="18">
        <f t="shared" si="13"/>
        <v>0.9642857142857143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 t="s">
        <v>1343</v>
      </c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</row>
    <row r="170" spans="1:44" ht="15.75" thickBot="1" x14ac:dyDescent="0.3">
      <c r="A170" t="s">
        <v>415</v>
      </c>
      <c r="C170" s="45" t="s">
        <v>454</v>
      </c>
      <c r="D170" t="s">
        <v>455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1112</v>
      </c>
      <c r="L170" s="17">
        <f t="shared" si="11"/>
        <v>28</v>
      </c>
      <c r="M170" s="17">
        <f t="shared" si="12"/>
        <v>0</v>
      </c>
      <c r="N170" s="18">
        <f t="shared" si="13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</row>
    <row r="171" spans="1:44" ht="15.75" thickBot="1" x14ac:dyDescent="0.3">
      <c r="A171" t="s">
        <v>456</v>
      </c>
      <c r="C171" s="65" t="s">
        <v>457</v>
      </c>
      <c r="D171" s="66" t="s">
        <v>458</v>
      </c>
      <c r="E171" t="s">
        <v>24</v>
      </c>
      <c r="F171" t="s">
        <v>36</v>
      </c>
      <c r="G171" t="s">
        <v>459</v>
      </c>
      <c r="H171"/>
      <c r="I171" s="16">
        <v>-347760150000</v>
      </c>
      <c r="J171" s="16">
        <v>-582715170000</v>
      </c>
      <c r="K171" s="16" t="s">
        <v>1113</v>
      </c>
      <c r="L171" s="17">
        <f t="shared" si="11"/>
        <v>24</v>
      </c>
      <c r="M171" s="17">
        <f t="shared" si="12"/>
        <v>4</v>
      </c>
      <c r="N171" s="18">
        <f t="shared" si="13"/>
        <v>0.8571428571428571</v>
      </c>
      <c r="O171" s="27" t="s">
        <v>1343</v>
      </c>
      <c r="P171" s="8"/>
      <c r="Q171" s="8"/>
      <c r="R171" s="8" t="s">
        <v>1343</v>
      </c>
      <c r="S171" s="27" t="s">
        <v>1343</v>
      </c>
      <c r="T171" s="27"/>
      <c r="U171" s="8"/>
      <c r="V171" s="8"/>
      <c r="W171" s="8"/>
      <c r="X171" s="27"/>
      <c r="Y171" s="27"/>
      <c r="Z171" s="27"/>
      <c r="AA171" s="27"/>
      <c r="AB171" s="27" t="s">
        <v>1343</v>
      </c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</row>
    <row r="172" spans="1:44" ht="15.75" thickBot="1" x14ac:dyDescent="0.3">
      <c r="A172" t="s">
        <v>450</v>
      </c>
      <c r="C172" s="45" t="s">
        <v>460</v>
      </c>
      <c r="D172" t="s">
        <v>461</v>
      </c>
      <c r="E172" t="s">
        <v>24</v>
      </c>
      <c r="F172" t="s">
        <v>36</v>
      </c>
      <c r="G172" t="s">
        <v>462</v>
      </c>
      <c r="H172"/>
      <c r="I172" s="16">
        <v>-347796570000</v>
      </c>
      <c r="J172" s="16">
        <v>-582627950000</v>
      </c>
      <c r="K172" s="16" t="s">
        <v>1114</v>
      </c>
      <c r="L172" s="17">
        <f t="shared" si="11"/>
        <v>28</v>
      </c>
      <c r="M172" s="17">
        <f t="shared" si="12"/>
        <v>0</v>
      </c>
      <c r="N172" s="18">
        <f t="shared" si="13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</row>
    <row r="173" spans="1:44" ht="15.75" thickBot="1" x14ac:dyDescent="0.3">
      <c r="C173" s="65" t="s">
        <v>463</v>
      </c>
      <c r="D173" s="66" t="s">
        <v>464</v>
      </c>
      <c r="E173" t="s">
        <v>24</v>
      </c>
      <c r="F173" t="s">
        <v>36</v>
      </c>
      <c r="G173" t="s">
        <v>465</v>
      </c>
      <c r="H173"/>
      <c r="I173" s="16">
        <v>-347771820000</v>
      </c>
      <c r="J173" s="16">
        <v>-582693640000</v>
      </c>
      <c r="K173" s="16" t="s">
        <v>1115</v>
      </c>
      <c r="L173" s="17">
        <f t="shared" si="11"/>
        <v>26</v>
      </c>
      <c r="M173" s="17">
        <f t="shared" si="12"/>
        <v>2</v>
      </c>
      <c r="N173" s="18">
        <f t="shared" si="13"/>
        <v>0.9285714285714286</v>
      </c>
      <c r="O173" s="27"/>
      <c r="P173" s="8"/>
      <c r="Q173" s="8"/>
      <c r="R173" s="8"/>
      <c r="S173" s="27"/>
      <c r="T173" s="27"/>
      <c r="U173" s="8"/>
      <c r="V173" s="8"/>
      <c r="W173" s="8" t="s">
        <v>1343</v>
      </c>
      <c r="X173" s="27"/>
      <c r="Y173" s="27"/>
      <c r="Z173" s="27"/>
      <c r="AA173" s="27"/>
      <c r="AB173" s="27" t="s">
        <v>1343</v>
      </c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</row>
    <row r="174" spans="1:44" ht="15.75" thickBot="1" x14ac:dyDescent="0.3">
      <c r="A174" t="s">
        <v>456</v>
      </c>
      <c r="C174" s="65" t="s">
        <v>466</v>
      </c>
      <c r="D174" s="66" t="s">
        <v>467</v>
      </c>
      <c r="E174" t="s">
        <v>19</v>
      </c>
      <c r="F174" t="s">
        <v>36</v>
      </c>
      <c r="G174" t="s">
        <v>468</v>
      </c>
      <c r="H174"/>
      <c r="I174" s="16">
        <v>-347739010000</v>
      </c>
      <c r="J174" s="16">
        <v>-582753360000</v>
      </c>
      <c r="K174" s="16" t="s">
        <v>1116</v>
      </c>
      <c r="L174" s="17">
        <f t="shared" si="11"/>
        <v>22</v>
      </c>
      <c r="M174" s="17">
        <f t="shared" si="12"/>
        <v>6</v>
      </c>
      <c r="N174" s="18">
        <f t="shared" si="13"/>
        <v>0.7857142857142857</v>
      </c>
      <c r="O174" s="27" t="s">
        <v>1343</v>
      </c>
      <c r="P174" s="8"/>
      <c r="Q174" s="8"/>
      <c r="R174" s="8" t="s">
        <v>1343</v>
      </c>
      <c r="S174" s="27" t="s">
        <v>1343</v>
      </c>
      <c r="T174" s="27" t="s">
        <v>1343</v>
      </c>
      <c r="U174" s="8" t="s">
        <v>1343</v>
      </c>
      <c r="V174" s="8"/>
      <c r="W174" s="8"/>
      <c r="X174" s="27"/>
      <c r="Y174" s="27"/>
      <c r="Z174" s="27"/>
      <c r="AA174" s="27"/>
      <c r="AB174" s="27" t="s">
        <v>1343</v>
      </c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</row>
    <row r="175" spans="1:44" ht="15.75" thickBot="1" x14ac:dyDescent="0.3">
      <c r="A175" t="s">
        <v>469</v>
      </c>
      <c r="C175" s="45" t="s">
        <v>470</v>
      </c>
      <c r="D175" t="s">
        <v>471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1117</v>
      </c>
      <c r="L175" s="17">
        <f t="shared" si="11"/>
        <v>27</v>
      </c>
      <c r="M175" s="17">
        <f t="shared" si="12"/>
        <v>1</v>
      </c>
      <c r="N175" s="18">
        <f t="shared" si="13"/>
        <v>0.9642857142857143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 t="s">
        <v>1343</v>
      </c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</row>
    <row r="176" spans="1:44" ht="15.75" thickBot="1" x14ac:dyDescent="0.3">
      <c r="A176" t="s">
        <v>469</v>
      </c>
      <c r="C176" s="45" t="s">
        <v>472</v>
      </c>
      <c r="D176" t="s">
        <v>473</v>
      </c>
      <c r="E176" t="s">
        <v>24</v>
      </c>
      <c r="F176" t="s">
        <v>25</v>
      </c>
      <c r="G176" t="s">
        <v>474</v>
      </c>
      <c r="H176"/>
      <c r="I176" s="16">
        <v>-347941910000</v>
      </c>
      <c r="J176" s="16">
        <v>-582702320000</v>
      </c>
      <c r="K176" s="16" t="s">
        <v>1118</v>
      </c>
      <c r="L176" s="17">
        <f t="shared" si="11"/>
        <v>22</v>
      </c>
      <c r="M176" s="17">
        <f t="shared" si="12"/>
        <v>6</v>
      </c>
      <c r="N176" s="18">
        <f t="shared" si="13"/>
        <v>0.7857142857142857</v>
      </c>
      <c r="O176" s="27"/>
      <c r="P176" s="8"/>
      <c r="Q176" s="8"/>
      <c r="R176" s="8" t="s">
        <v>1343</v>
      </c>
      <c r="S176" s="27" t="s">
        <v>1343</v>
      </c>
      <c r="T176" s="27" t="s">
        <v>1343</v>
      </c>
      <c r="U176" s="8" t="s">
        <v>1343</v>
      </c>
      <c r="V176" s="8"/>
      <c r="W176" s="8"/>
      <c r="X176" s="27"/>
      <c r="Y176" s="27" t="s">
        <v>1343</v>
      </c>
      <c r="Z176" s="27" t="s">
        <v>1343</v>
      </c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</row>
    <row r="177" spans="1:44" ht="15.75" thickBot="1" x14ac:dyDescent="0.3">
      <c r="A177" t="s">
        <v>469</v>
      </c>
      <c r="C177" s="45" t="s">
        <v>475</v>
      </c>
      <c r="D177" t="s">
        <v>476</v>
      </c>
      <c r="E177" t="s">
        <v>24</v>
      </c>
      <c r="F177" t="s">
        <v>25</v>
      </c>
      <c r="G177" t="s">
        <v>367</v>
      </c>
      <c r="H177"/>
      <c r="I177" s="16">
        <v>-347965760000</v>
      </c>
      <c r="J177" s="16">
        <v>-582746550000</v>
      </c>
      <c r="K177" s="16" t="s">
        <v>1119</v>
      </c>
      <c r="L177" s="17">
        <f t="shared" si="11"/>
        <v>15</v>
      </c>
      <c r="M177" s="17">
        <f t="shared" si="12"/>
        <v>13</v>
      </c>
      <c r="N177" s="18">
        <f t="shared" si="13"/>
        <v>0.5357142857142857</v>
      </c>
      <c r="O177" s="27"/>
      <c r="P177" s="8"/>
      <c r="Q177" s="8"/>
      <c r="R177" s="8"/>
      <c r="S177" s="27"/>
      <c r="T177" s="27"/>
      <c r="U177" s="8"/>
      <c r="V177" s="8" t="s">
        <v>1343</v>
      </c>
      <c r="W177" s="8" t="s">
        <v>1343</v>
      </c>
      <c r="X177" s="27" t="s">
        <v>1343</v>
      </c>
      <c r="Y177" s="27"/>
      <c r="Z177" s="27"/>
      <c r="AA177" s="27" t="s">
        <v>1343</v>
      </c>
      <c r="AB177" s="27" t="s">
        <v>1343</v>
      </c>
      <c r="AC177" s="27"/>
      <c r="AD177" s="27" t="s">
        <v>1343</v>
      </c>
      <c r="AE177" s="27" t="s">
        <v>1343</v>
      </c>
      <c r="AF177" s="27" t="s">
        <v>1343</v>
      </c>
      <c r="AG177" s="27" t="s">
        <v>1343</v>
      </c>
      <c r="AH177" s="27" t="s">
        <v>1343</v>
      </c>
      <c r="AI177" s="27" t="s">
        <v>1343</v>
      </c>
      <c r="AJ177" s="27" t="s">
        <v>1343</v>
      </c>
      <c r="AK177" s="8" t="s">
        <v>1343</v>
      </c>
      <c r="AL177" s="8"/>
      <c r="AM177" s="8"/>
      <c r="AN177" s="27"/>
      <c r="AO177" s="8"/>
      <c r="AP177" s="8"/>
      <c r="AQ177" s="27"/>
      <c r="AR177" s="27"/>
    </row>
    <row r="178" spans="1:44" ht="15.75" thickBot="1" x14ac:dyDescent="0.3">
      <c r="A178" t="s">
        <v>469</v>
      </c>
      <c r="C178" s="45" t="s">
        <v>477</v>
      </c>
      <c r="D178" t="s">
        <v>478</v>
      </c>
      <c r="E178" t="s">
        <v>24</v>
      </c>
      <c r="F178" t="s">
        <v>25</v>
      </c>
      <c r="G178" t="s">
        <v>479</v>
      </c>
      <c r="H178"/>
      <c r="I178" s="16">
        <v>-347889160000</v>
      </c>
      <c r="J178" s="16">
        <v>-582775030000</v>
      </c>
      <c r="K178" s="16" t="s">
        <v>1120</v>
      </c>
      <c r="L178" s="17">
        <f t="shared" si="11"/>
        <v>28</v>
      </c>
      <c r="M178" s="17">
        <f t="shared" si="12"/>
        <v>0</v>
      </c>
      <c r="N178" s="18">
        <f t="shared" si="13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</row>
    <row r="179" spans="1:44" ht="15.75" thickBot="1" x14ac:dyDescent="0.3">
      <c r="A179" t="s">
        <v>480</v>
      </c>
      <c r="C179" s="45" t="s">
        <v>481</v>
      </c>
      <c r="D179" t="s">
        <v>482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1128</v>
      </c>
      <c r="L179" s="17">
        <f t="shared" si="11"/>
        <v>28</v>
      </c>
      <c r="M179" s="17">
        <f t="shared" si="12"/>
        <v>0</v>
      </c>
      <c r="N179" s="18">
        <f t="shared" si="13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</row>
    <row r="180" spans="1:44" ht="15.75" thickBot="1" x14ac:dyDescent="0.3">
      <c r="A180" t="s">
        <v>480</v>
      </c>
      <c r="C180" s="45" t="s">
        <v>483</v>
      </c>
      <c r="D180" t="s">
        <v>484</v>
      </c>
      <c r="E180" t="s">
        <v>24</v>
      </c>
      <c r="F180" t="s">
        <v>36</v>
      </c>
      <c r="G180" t="s">
        <v>485</v>
      </c>
      <c r="H180"/>
      <c r="I180" s="16">
        <v>-348072540000</v>
      </c>
      <c r="J180" s="16">
        <v>-582665870000</v>
      </c>
      <c r="K180" s="16" t="s">
        <v>1121</v>
      </c>
      <c r="L180" s="17">
        <f t="shared" si="11"/>
        <v>28</v>
      </c>
      <c r="M180" s="17">
        <f t="shared" si="12"/>
        <v>0</v>
      </c>
      <c r="N180" s="18">
        <f t="shared" si="13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</row>
    <row r="181" spans="1:44" ht="15.75" thickBot="1" x14ac:dyDescent="0.3">
      <c r="C181" s="45" t="s">
        <v>486</v>
      </c>
      <c r="D181" t="s">
        <v>487</v>
      </c>
      <c r="E181" t="s">
        <v>24</v>
      </c>
      <c r="F181" t="s">
        <v>25</v>
      </c>
      <c r="G181" t="s">
        <v>161</v>
      </c>
      <c r="H181" t="s">
        <v>488</v>
      </c>
      <c r="I181" s="16">
        <v>-348093100000</v>
      </c>
      <c r="J181" s="16">
        <v>-582605600000</v>
      </c>
      <c r="K181" s="16" t="s">
        <v>1122</v>
      </c>
      <c r="L181" s="17">
        <f t="shared" si="11"/>
        <v>28</v>
      </c>
      <c r="M181" s="17">
        <f t="shared" si="12"/>
        <v>0</v>
      </c>
      <c r="N181" s="18">
        <f t="shared" si="13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</row>
    <row r="182" spans="1:44" ht="15.75" thickBot="1" x14ac:dyDescent="0.3">
      <c r="A182" t="s">
        <v>480</v>
      </c>
      <c r="C182" s="45" t="s">
        <v>489</v>
      </c>
      <c r="D182" t="s">
        <v>490</v>
      </c>
      <c r="E182" t="s">
        <v>24</v>
      </c>
      <c r="F182" t="s">
        <v>944</v>
      </c>
      <c r="G182" t="s">
        <v>491</v>
      </c>
      <c r="H182" t="s">
        <v>492</v>
      </c>
      <c r="I182" s="16">
        <v>-348062580000</v>
      </c>
      <c r="J182" s="16">
        <v>-582667320000</v>
      </c>
      <c r="K182" s="16" t="s">
        <v>1123</v>
      </c>
      <c r="L182" s="17">
        <f t="shared" si="11"/>
        <v>28</v>
      </c>
      <c r="M182" s="17">
        <f t="shared" si="12"/>
        <v>0</v>
      </c>
      <c r="N182" s="18">
        <f t="shared" si="13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</row>
    <row r="183" spans="1:44" ht="15.75" thickBot="1" x14ac:dyDescent="0.3">
      <c r="A183" t="s">
        <v>480</v>
      </c>
      <c r="C183" s="45" t="s">
        <v>493</v>
      </c>
      <c r="D183" t="s">
        <v>494</v>
      </c>
      <c r="E183" t="s">
        <v>24</v>
      </c>
      <c r="F183" t="s">
        <v>25</v>
      </c>
      <c r="G183" t="s">
        <v>161</v>
      </c>
      <c r="H183"/>
      <c r="I183" s="16">
        <v>-348035500000</v>
      </c>
      <c r="J183" s="16">
        <v>-582648750000</v>
      </c>
      <c r="K183" s="16" t="s">
        <v>1124</v>
      </c>
      <c r="L183" s="17">
        <f t="shared" si="11"/>
        <v>28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</row>
    <row r="184" spans="1:44" ht="15.75" thickBot="1" x14ac:dyDescent="0.3">
      <c r="A184" t="s">
        <v>495</v>
      </c>
      <c r="C184" s="45" t="s">
        <v>496</v>
      </c>
      <c r="D184" t="s">
        <v>497</v>
      </c>
      <c r="E184" t="s">
        <v>24</v>
      </c>
      <c r="F184" t="s">
        <v>25</v>
      </c>
      <c r="G184" t="s">
        <v>491</v>
      </c>
      <c r="H184"/>
      <c r="I184" s="16">
        <v>-348026160000</v>
      </c>
      <c r="J184" s="16">
        <v>-582654650000</v>
      </c>
      <c r="K184" s="16" t="s">
        <v>1125</v>
      </c>
      <c r="L184" s="17">
        <f t="shared" si="11"/>
        <v>28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</row>
    <row r="185" spans="1:44" ht="15.75" thickBot="1" x14ac:dyDescent="0.3">
      <c r="A185" t="s">
        <v>80</v>
      </c>
      <c r="C185" s="45" t="s">
        <v>498</v>
      </c>
      <c r="D185" t="s">
        <v>499</v>
      </c>
      <c r="E185" t="s">
        <v>24</v>
      </c>
      <c r="F185" t="s">
        <v>36</v>
      </c>
      <c r="G185" t="s">
        <v>185</v>
      </c>
      <c r="H185"/>
      <c r="I185" s="16">
        <v>-348074170000</v>
      </c>
      <c r="J185" s="16">
        <v>-582683730000</v>
      </c>
      <c r="K185" s="16" t="s">
        <v>1126</v>
      </c>
      <c r="L185" s="17">
        <f t="shared" si="11"/>
        <v>28</v>
      </c>
      <c r="M185" s="17">
        <f t="shared" si="12"/>
        <v>0</v>
      </c>
      <c r="N185" s="18">
        <f t="shared" si="13"/>
        <v>1</v>
      </c>
      <c r="O185" s="27"/>
      <c r="P185" s="8"/>
      <c r="Q185" s="8"/>
      <c r="R185" s="8"/>
      <c r="S185" s="27"/>
      <c r="T185" s="27"/>
      <c r="U185" s="8"/>
      <c r="V185" s="8"/>
      <c r="W185" s="8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</row>
    <row r="186" spans="1:44" ht="15.75" thickBot="1" x14ac:dyDescent="0.3">
      <c r="A186" t="s">
        <v>480</v>
      </c>
      <c r="C186" s="45" t="s">
        <v>500</v>
      </c>
      <c r="D186" t="s">
        <v>501</v>
      </c>
      <c r="E186" t="s">
        <v>24</v>
      </c>
      <c r="F186" t="s">
        <v>36</v>
      </c>
      <c r="G186" t="s">
        <v>502</v>
      </c>
      <c r="H186"/>
      <c r="I186" s="16">
        <v>-348107680000</v>
      </c>
      <c r="J186" s="16">
        <v>-582663690000</v>
      </c>
      <c r="K186" s="16" t="s">
        <v>1127</v>
      </c>
      <c r="L186" s="17">
        <f t="shared" si="11"/>
        <v>24</v>
      </c>
      <c r="M186" s="17">
        <f t="shared" si="12"/>
        <v>4</v>
      </c>
      <c r="N186" s="18">
        <f t="shared" si="13"/>
        <v>0.8571428571428571</v>
      </c>
      <c r="O186" s="27"/>
      <c r="P186" s="8"/>
      <c r="Q186" s="8"/>
      <c r="R186" s="8"/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 t="s">
        <v>1343</v>
      </c>
      <c r="AH186" s="27" t="s">
        <v>1343</v>
      </c>
      <c r="AI186" s="27"/>
      <c r="AJ186" s="27" t="s">
        <v>1343</v>
      </c>
      <c r="AK186" s="8" t="s">
        <v>1343</v>
      </c>
      <c r="AL186" s="8"/>
      <c r="AM186" s="8"/>
      <c r="AN186" s="27"/>
      <c r="AO186" s="8"/>
      <c r="AP186" s="8"/>
      <c r="AQ186" s="27"/>
      <c r="AR186" s="27"/>
    </row>
    <row r="187" spans="1:44" ht="15.75" thickBot="1" x14ac:dyDescent="0.3">
      <c r="C187" s="45" t="s">
        <v>503</v>
      </c>
      <c r="D187" t="s">
        <v>504</v>
      </c>
      <c r="E187" t="s">
        <v>19</v>
      </c>
      <c r="F187" t="s">
        <v>36</v>
      </c>
      <c r="G187"/>
      <c r="H187" t="s">
        <v>505</v>
      </c>
      <c r="I187" s="16">
        <v>-348042930000</v>
      </c>
      <c r="J187" s="16">
        <v>-582667740000</v>
      </c>
      <c r="K187" s="16" t="s">
        <v>1129</v>
      </c>
      <c r="L187" s="17">
        <f t="shared" si="11"/>
        <v>28</v>
      </c>
      <c r="M187" s="17">
        <f t="shared" si="12"/>
        <v>0</v>
      </c>
      <c r="N187" s="18">
        <f t="shared" si="13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</row>
    <row r="188" spans="1:44" ht="15.75" thickBot="1" x14ac:dyDescent="0.3">
      <c r="C188" s="45" t="s">
        <v>506</v>
      </c>
      <c r="D188" t="s">
        <v>507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1130</v>
      </c>
      <c r="L188" s="17">
        <f t="shared" si="11"/>
        <v>28</v>
      </c>
      <c r="M188" s="17">
        <f t="shared" si="12"/>
        <v>0</v>
      </c>
      <c r="N188" s="18">
        <f t="shared" si="13"/>
        <v>1</v>
      </c>
      <c r="O188" s="27"/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</row>
    <row r="189" spans="1:44" ht="15.75" thickBot="1" x14ac:dyDescent="0.3">
      <c r="A189" t="s">
        <v>508</v>
      </c>
      <c r="C189" s="45" t="s">
        <v>509</v>
      </c>
      <c r="D189" t="s">
        <v>510</v>
      </c>
      <c r="E189" t="s">
        <v>113</v>
      </c>
      <c r="F189" t="s">
        <v>36</v>
      </c>
      <c r="G189"/>
      <c r="H189" t="s">
        <v>511</v>
      </c>
      <c r="I189" s="16">
        <v>-348434280000</v>
      </c>
      <c r="J189" s="16">
        <v>-582840340000</v>
      </c>
      <c r="K189" s="16" t="s">
        <v>1131</v>
      </c>
      <c r="L189" s="17">
        <f t="shared" si="11"/>
        <v>28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</row>
    <row r="190" spans="1:44" ht="15.75" thickBot="1" x14ac:dyDescent="0.3">
      <c r="A190" t="s">
        <v>508</v>
      </c>
      <c r="C190" s="45" t="s">
        <v>512</v>
      </c>
      <c r="D190" t="s">
        <v>510</v>
      </c>
      <c r="E190" t="s">
        <v>113</v>
      </c>
      <c r="F190" t="s">
        <v>36</v>
      </c>
      <c r="G190"/>
      <c r="H190" t="s">
        <v>511</v>
      </c>
      <c r="I190" s="16">
        <v>-348434120000</v>
      </c>
      <c r="J190" s="16">
        <v>-582840350000</v>
      </c>
      <c r="K190" s="16" t="s">
        <v>1132</v>
      </c>
      <c r="L190" s="17">
        <f t="shared" si="11"/>
        <v>25</v>
      </c>
      <c r="M190" s="17">
        <f t="shared" si="12"/>
        <v>3</v>
      </c>
      <c r="N190" s="18">
        <f t="shared" si="13"/>
        <v>0.8928571428571429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 t="s">
        <v>1343</v>
      </c>
      <c r="AI190" s="27" t="s">
        <v>1343</v>
      </c>
      <c r="AJ190" s="27" t="s">
        <v>1343</v>
      </c>
      <c r="AK190" s="8"/>
      <c r="AL190" s="8"/>
      <c r="AM190" s="8"/>
      <c r="AN190" s="27"/>
      <c r="AO190" s="8"/>
      <c r="AP190" s="8"/>
      <c r="AQ190" s="27"/>
      <c r="AR190" s="27"/>
    </row>
    <row r="191" spans="1:44" ht="15.75" thickBot="1" x14ac:dyDescent="0.3">
      <c r="A191" t="s">
        <v>508</v>
      </c>
      <c r="C191" s="45" t="s">
        <v>513</v>
      </c>
      <c r="D191" t="s">
        <v>514</v>
      </c>
      <c r="E191" t="s">
        <v>113</v>
      </c>
      <c r="F191" t="s">
        <v>36</v>
      </c>
      <c r="G191"/>
      <c r="H191" t="s">
        <v>515</v>
      </c>
      <c r="I191" s="16">
        <v>-348403890000</v>
      </c>
      <c r="J191" s="16">
        <v>-582866050000</v>
      </c>
      <c r="K191" s="16" t="s">
        <v>1133</v>
      </c>
      <c r="L191" s="17">
        <f t="shared" si="11"/>
        <v>7</v>
      </c>
      <c r="M191" s="17">
        <f t="shared" si="12"/>
        <v>21</v>
      </c>
      <c r="N191" s="18">
        <f t="shared" si="13"/>
        <v>0.25</v>
      </c>
      <c r="O191" s="27" t="s">
        <v>1343</v>
      </c>
      <c r="P191" s="8"/>
      <c r="Q191" s="8"/>
      <c r="R191" s="8" t="s">
        <v>1343</v>
      </c>
      <c r="S191" s="27" t="s">
        <v>1343</v>
      </c>
      <c r="T191" s="27" t="s">
        <v>1343</v>
      </c>
      <c r="U191" s="8" t="s">
        <v>1343</v>
      </c>
      <c r="V191" s="8" t="s">
        <v>1343</v>
      </c>
      <c r="W191" s="8" t="s">
        <v>1343</v>
      </c>
      <c r="X191" s="27" t="s">
        <v>1343</v>
      </c>
      <c r="Y191" s="27" t="s">
        <v>1343</v>
      </c>
      <c r="Z191" s="27" t="s">
        <v>1343</v>
      </c>
      <c r="AA191" s="27" t="s">
        <v>1343</v>
      </c>
      <c r="AB191" s="27" t="s">
        <v>1343</v>
      </c>
      <c r="AC191" s="27" t="s">
        <v>1343</v>
      </c>
      <c r="AD191" s="27" t="s">
        <v>1343</v>
      </c>
      <c r="AE191" s="27" t="s">
        <v>1343</v>
      </c>
      <c r="AF191" s="27" t="s">
        <v>1343</v>
      </c>
      <c r="AG191" s="27" t="s">
        <v>1343</v>
      </c>
      <c r="AH191" s="27" t="s">
        <v>1343</v>
      </c>
      <c r="AI191" s="27" t="s">
        <v>1343</v>
      </c>
      <c r="AJ191" s="27" t="s">
        <v>1343</v>
      </c>
      <c r="AK191" s="8" t="s">
        <v>1343</v>
      </c>
      <c r="AL191" s="8"/>
      <c r="AM191" s="8"/>
      <c r="AN191" s="27"/>
      <c r="AO191" s="8"/>
      <c r="AP191" s="8"/>
      <c r="AQ191" s="27"/>
      <c r="AR191" s="27"/>
    </row>
    <row r="192" spans="1:44" ht="15.75" thickBot="1" x14ac:dyDescent="0.3">
      <c r="A192" t="s">
        <v>508</v>
      </c>
      <c r="C192" s="45" t="s">
        <v>516</v>
      </c>
      <c r="D192" t="s">
        <v>514</v>
      </c>
      <c r="E192" t="s">
        <v>113</v>
      </c>
      <c r="F192" t="s">
        <v>36</v>
      </c>
      <c r="G192"/>
      <c r="H192" t="s">
        <v>515</v>
      </c>
      <c r="I192" s="16">
        <v>-348403890000</v>
      </c>
      <c r="J192" s="16">
        <v>-582866050000</v>
      </c>
      <c r="K192" s="16" t="s">
        <v>1134</v>
      </c>
      <c r="L192" s="17">
        <f t="shared" si="11"/>
        <v>7</v>
      </c>
      <c r="M192" s="17">
        <f t="shared" si="12"/>
        <v>21</v>
      </c>
      <c r="N192" s="18">
        <f t="shared" si="13"/>
        <v>0.25</v>
      </c>
      <c r="O192" s="27" t="s">
        <v>1343</v>
      </c>
      <c r="P192" s="8"/>
      <c r="Q192" s="8"/>
      <c r="R192" s="8" t="s">
        <v>1343</v>
      </c>
      <c r="S192" s="27" t="s">
        <v>1343</v>
      </c>
      <c r="T192" s="27" t="s">
        <v>1343</v>
      </c>
      <c r="U192" s="8" t="s">
        <v>1343</v>
      </c>
      <c r="V192" s="8" t="s">
        <v>1343</v>
      </c>
      <c r="W192" s="8" t="s">
        <v>1343</v>
      </c>
      <c r="X192" s="27" t="s">
        <v>1343</v>
      </c>
      <c r="Y192" s="27" t="s">
        <v>1343</v>
      </c>
      <c r="Z192" s="27" t="s">
        <v>1343</v>
      </c>
      <c r="AA192" s="27" t="s">
        <v>1343</v>
      </c>
      <c r="AB192" s="27" t="s">
        <v>1343</v>
      </c>
      <c r="AC192" s="27" t="s">
        <v>1343</v>
      </c>
      <c r="AD192" s="27" t="s">
        <v>1343</v>
      </c>
      <c r="AE192" s="27" t="s">
        <v>1343</v>
      </c>
      <c r="AF192" s="27" t="s">
        <v>1343</v>
      </c>
      <c r="AG192" s="27" t="s">
        <v>1343</v>
      </c>
      <c r="AH192" s="27" t="s">
        <v>1343</v>
      </c>
      <c r="AI192" s="27" t="s">
        <v>1343</v>
      </c>
      <c r="AJ192" s="27" t="s">
        <v>1343</v>
      </c>
      <c r="AK192" s="8" t="s">
        <v>1343</v>
      </c>
      <c r="AL192" s="8"/>
      <c r="AM192" s="8"/>
      <c r="AN192" s="27"/>
      <c r="AO192" s="8"/>
      <c r="AP192" s="8"/>
      <c r="AQ192" s="27"/>
      <c r="AR192" s="27"/>
    </row>
    <row r="193" spans="1:44" ht="15.75" thickBot="1" x14ac:dyDescent="0.3">
      <c r="A193" t="s">
        <v>412</v>
      </c>
      <c r="C193" s="45" t="s">
        <v>517</v>
      </c>
      <c r="D193" t="s">
        <v>518</v>
      </c>
      <c r="E193" t="s">
        <v>113</v>
      </c>
      <c r="F193" t="s">
        <v>36</v>
      </c>
      <c r="G193"/>
      <c r="H193" t="s">
        <v>248</v>
      </c>
      <c r="I193" s="16">
        <v>-347887260000</v>
      </c>
      <c r="J193" s="16">
        <v>-582696950000</v>
      </c>
      <c r="K193" s="16" t="s">
        <v>1135</v>
      </c>
      <c r="L193" s="17">
        <f t="shared" si="11"/>
        <v>22</v>
      </c>
      <c r="M193" s="17">
        <f t="shared" si="12"/>
        <v>6</v>
      </c>
      <c r="N193" s="18">
        <f t="shared" si="13"/>
        <v>0.7857142857142857</v>
      </c>
      <c r="O193" s="27" t="s">
        <v>1343</v>
      </c>
      <c r="P193" s="8"/>
      <c r="Q193" s="8"/>
      <c r="R193" s="8" t="s">
        <v>1343</v>
      </c>
      <c r="S193" s="27" t="s">
        <v>1343</v>
      </c>
      <c r="T193" s="27" t="s">
        <v>1343</v>
      </c>
      <c r="U193" s="8" t="s">
        <v>1343</v>
      </c>
      <c r="V193" s="8"/>
      <c r="W193" s="8"/>
      <c r="X193" s="27"/>
      <c r="Y193" s="27" t="s">
        <v>1343</v>
      </c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</row>
    <row r="194" spans="1:44" ht="15.75" thickBot="1" x14ac:dyDescent="0.3">
      <c r="A194" t="s">
        <v>412</v>
      </c>
      <c r="B194" s="64">
        <v>44642</v>
      </c>
      <c r="C194" s="65" t="s">
        <v>519</v>
      </c>
      <c r="D194" s="66" t="s">
        <v>518</v>
      </c>
      <c r="E194" t="s">
        <v>113</v>
      </c>
      <c r="F194" t="s">
        <v>36</v>
      </c>
      <c r="G194"/>
      <c r="H194" t="s">
        <v>248</v>
      </c>
      <c r="I194" s="16">
        <v>-347887260000</v>
      </c>
      <c r="J194" s="16">
        <v>-582696950000</v>
      </c>
      <c r="K194" s="16" t="s">
        <v>1136</v>
      </c>
      <c r="L194" s="17">
        <f t="shared" si="11"/>
        <v>13</v>
      </c>
      <c r="M194" s="17">
        <f t="shared" si="12"/>
        <v>15</v>
      </c>
      <c r="N194" s="18">
        <f t="shared" si="13"/>
        <v>0.4642857142857143</v>
      </c>
      <c r="O194" s="27" t="s">
        <v>1343</v>
      </c>
      <c r="P194" s="8"/>
      <c r="Q194" s="8"/>
      <c r="R194" s="8" t="s">
        <v>1343</v>
      </c>
      <c r="S194" s="27" t="s">
        <v>1343</v>
      </c>
      <c r="T194" s="27" t="s">
        <v>1343</v>
      </c>
      <c r="U194" s="8"/>
      <c r="V194" s="8"/>
      <c r="W194" s="8"/>
      <c r="X194" s="27" t="s">
        <v>1343</v>
      </c>
      <c r="Y194" s="27" t="s">
        <v>1343</v>
      </c>
      <c r="Z194" s="27" t="s">
        <v>1343</v>
      </c>
      <c r="AA194" s="27"/>
      <c r="AB194" s="27"/>
      <c r="AC194" s="27" t="s">
        <v>1343</v>
      </c>
      <c r="AD194" s="27" t="s">
        <v>1343</v>
      </c>
      <c r="AE194" s="27"/>
      <c r="AF194" s="27" t="s">
        <v>1343</v>
      </c>
      <c r="AG194" s="27" t="s">
        <v>1343</v>
      </c>
      <c r="AH194" s="27" t="s">
        <v>1343</v>
      </c>
      <c r="AI194" s="27" t="s">
        <v>1343</v>
      </c>
      <c r="AJ194" s="27" t="s">
        <v>1343</v>
      </c>
      <c r="AK194" s="8" t="s">
        <v>1343</v>
      </c>
      <c r="AL194" s="8"/>
      <c r="AM194" s="8"/>
      <c r="AN194" s="27"/>
      <c r="AO194" s="8"/>
      <c r="AP194" s="8"/>
      <c r="AQ194" s="27"/>
      <c r="AR194" s="27"/>
    </row>
    <row r="195" spans="1:44" ht="15.75" thickBot="1" x14ac:dyDescent="0.3">
      <c r="A195" t="s">
        <v>62</v>
      </c>
      <c r="C195" s="45" t="s">
        <v>520</v>
      </c>
      <c r="D195" t="s">
        <v>521</v>
      </c>
      <c r="E195" t="s">
        <v>19</v>
      </c>
      <c r="F195" t="s">
        <v>36</v>
      </c>
      <c r="G195"/>
      <c r="H195" t="s">
        <v>522</v>
      </c>
      <c r="I195" s="16">
        <v>-347980180000</v>
      </c>
      <c r="J195" s="16">
        <v>-583162160000</v>
      </c>
      <c r="K195" s="16" t="s">
        <v>1137</v>
      </c>
      <c r="L195" s="17">
        <f t="shared" si="11"/>
        <v>28</v>
      </c>
      <c r="M195" s="17">
        <f t="shared" si="12"/>
        <v>0</v>
      </c>
      <c r="N195" s="18">
        <f t="shared" si="13"/>
        <v>1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</row>
    <row r="196" spans="1:44" ht="15.75" thickBot="1" x14ac:dyDescent="0.3">
      <c r="A196" t="s">
        <v>62</v>
      </c>
      <c r="C196" s="45" t="s">
        <v>523</v>
      </c>
      <c r="D196" t="s">
        <v>521</v>
      </c>
      <c r="E196" t="s">
        <v>113</v>
      </c>
      <c r="F196" t="s">
        <v>36</v>
      </c>
      <c r="G196"/>
      <c r="H196" t="s">
        <v>522</v>
      </c>
      <c r="I196" s="16">
        <v>-347980200000</v>
      </c>
      <c r="J196" s="16">
        <v>-583162180000</v>
      </c>
      <c r="K196" s="16" t="s">
        <v>1138</v>
      </c>
      <c r="L196" s="17">
        <f t="shared" si="11"/>
        <v>28</v>
      </c>
      <c r="M196" s="17">
        <f t="shared" si="12"/>
        <v>0</v>
      </c>
      <c r="N196" s="18">
        <f t="shared" si="13"/>
        <v>1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</row>
    <row r="197" spans="1:44" ht="15.75" thickBot="1" x14ac:dyDescent="0.3">
      <c r="A197" t="s">
        <v>289</v>
      </c>
      <c r="C197" s="45" t="s">
        <v>524</v>
      </c>
      <c r="D197" t="s">
        <v>525</v>
      </c>
      <c r="E197" t="s">
        <v>19</v>
      </c>
      <c r="F197" t="s">
        <v>36</v>
      </c>
      <c r="G197"/>
      <c r="H197" t="s">
        <v>526</v>
      </c>
      <c r="I197" s="16">
        <v>-348657160000</v>
      </c>
      <c r="J197" s="16">
        <v>-581910020000</v>
      </c>
      <c r="K197" s="16" t="s">
        <v>1139</v>
      </c>
      <c r="L197" s="17">
        <f t="shared" ref="L197:L262" si="14">COUNTIF(O197:AP197,"")</f>
        <v>18</v>
      </c>
      <c r="M197" s="17">
        <f t="shared" ref="M197:M262" si="15">COUNTIF(O197:AP197,"APAGADO")</f>
        <v>10</v>
      </c>
      <c r="N197" s="18">
        <f t="shared" ref="N197:N262" si="16">(L197)/(M197+L197)</f>
        <v>0.6428571428571429</v>
      </c>
      <c r="O197" s="27" t="s">
        <v>1343</v>
      </c>
      <c r="P197" s="8"/>
      <c r="Q197" s="8"/>
      <c r="R197" s="8" t="s">
        <v>1343</v>
      </c>
      <c r="S197" s="27" t="s">
        <v>1343</v>
      </c>
      <c r="T197" s="27" t="s">
        <v>1343</v>
      </c>
      <c r="U197" s="8" t="s">
        <v>1343</v>
      </c>
      <c r="V197" s="8" t="s">
        <v>1343</v>
      </c>
      <c r="W197" s="8" t="s">
        <v>1343</v>
      </c>
      <c r="X197" s="27" t="s">
        <v>1343</v>
      </c>
      <c r="Y197" s="27" t="s">
        <v>1343</v>
      </c>
      <c r="Z197" s="27" t="s">
        <v>1343</v>
      </c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</row>
    <row r="198" spans="1:44" ht="15.75" thickBot="1" x14ac:dyDescent="0.3">
      <c r="A198" t="s">
        <v>289</v>
      </c>
      <c r="C198" s="45" t="s">
        <v>527</v>
      </c>
      <c r="D198" t="s">
        <v>525</v>
      </c>
      <c r="E198" t="s">
        <v>113</v>
      </c>
      <c r="F198" t="s">
        <v>36</v>
      </c>
      <c r="G198"/>
      <c r="H198" t="s">
        <v>528</v>
      </c>
      <c r="I198" s="16">
        <v>-348657160000</v>
      </c>
      <c r="J198" s="16">
        <v>-581910020000</v>
      </c>
      <c r="K198" s="16" t="s">
        <v>1140</v>
      </c>
      <c r="L198" s="17">
        <f t="shared" si="14"/>
        <v>27</v>
      </c>
      <c r="M198" s="17">
        <f t="shared" si="15"/>
        <v>1</v>
      </c>
      <c r="N198" s="18">
        <f t="shared" si="16"/>
        <v>0.9642857142857143</v>
      </c>
      <c r="O198" s="27"/>
      <c r="P198" s="8"/>
      <c r="Q198" s="8"/>
      <c r="R198" s="8"/>
      <c r="S198" s="27"/>
      <c r="T198" s="27"/>
      <c r="U198" s="8"/>
      <c r="V198" s="8"/>
      <c r="W198" s="8"/>
      <c r="X198" s="27" t="s">
        <v>1343</v>
      </c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</row>
    <row r="199" spans="1:44" ht="15.75" thickBot="1" x14ac:dyDescent="0.3">
      <c r="A199" t="s">
        <v>333</v>
      </c>
      <c r="C199" s="45" t="s">
        <v>529</v>
      </c>
      <c r="D199" t="s">
        <v>530</v>
      </c>
      <c r="E199" t="s">
        <v>19</v>
      </c>
      <c r="F199" t="s">
        <v>36</v>
      </c>
      <c r="G199"/>
      <c r="H199" t="s">
        <v>526</v>
      </c>
      <c r="I199" s="16">
        <v>-348711900000</v>
      </c>
      <c r="J199" s="16">
        <v>-581914850000</v>
      </c>
      <c r="K199" s="16" t="s">
        <v>1141</v>
      </c>
      <c r="L199" s="17">
        <f t="shared" si="14"/>
        <v>17</v>
      </c>
      <c r="M199" s="17">
        <f t="shared" si="15"/>
        <v>11</v>
      </c>
      <c r="N199" s="18">
        <f t="shared" si="16"/>
        <v>0.6071428571428571</v>
      </c>
      <c r="O199" s="27"/>
      <c r="P199" s="8"/>
      <c r="Q199" s="8"/>
      <c r="R199" s="8"/>
      <c r="S199" s="27"/>
      <c r="T199" s="27"/>
      <c r="U199" s="8"/>
      <c r="V199" s="8"/>
      <c r="W199" s="8"/>
      <c r="X199" s="27"/>
      <c r="Y199" s="27"/>
      <c r="Z199" s="27"/>
      <c r="AA199" s="27" t="s">
        <v>1343</v>
      </c>
      <c r="AB199" s="27" t="s">
        <v>1343</v>
      </c>
      <c r="AC199" s="27" t="s">
        <v>1343</v>
      </c>
      <c r="AD199" s="27" t="s">
        <v>1343</v>
      </c>
      <c r="AE199" s="27" t="s">
        <v>1343</v>
      </c>
      <c r="AF199" s="27" t="s">
        <v>1343</v>
      </c>
      <c r="AG199" s="27" t="s">
        <v>1343</v>
      </c>
      <c r="AH199" s="27" t="s">
        <v>1343</v>
      </c>
      <c r="AI199" s="27" t="s">
        <v>1343</v>
      </c>
      <c r="AJ199" s="27" t="s">
        <v>1343</v>
      </c>
      <c r="AK199" s="8" t="s">
        <v>1343</v>
      </c>
      <c r="AL199" s="8"/>
      <c r="AM199" s="8"/>
      <c r="AN199" s="27"/>
      <c r="AO199" s="8"/>
      <c r="AP199" s="8"/>
      <c r="AQ199" s="27"/>
      <c r="AR199" s="27"/>
    </row>
    <row r="200" spans="1:44" ht="15.75" thickBot="1" x14ac:dyDescent="0.3">
      <c r="A200" t="s">
        <v>333</v>
      </c>
      <c r="C200" s="45" t="s">
        <v>531</v>
      </c>
      <c r="D200" t="s">
        <v>530</v>
      </c>
      <c r="E200" t="s">
        <v>113</v>
      </c>
      <c r="F200" t="s">
        <v>36</v>
      </c>
      <c r="G200"/>
      <c r="H200" t="s">
        <v>528</v>
      </c>
      <c r="I200" s="16">
        <v>-348711900000</v>
      </c>
      <c r="J200" s="16">
        <v>-581914850000</v>
      </c>
      <c r="K200" s="16" t="s">
        <v>1142</v>
      </c>
      <c r="L200" s="17">
        <f t="shared" si="14"/>
        <v>19</v>
      </c>
      <c r="M200" s="17">
        <f t="shared" si="15"/>
        <v>9</v>
      </c>
      <c r="N200" s="18">
        <f t="shared" si="16"/>
        <v>0.6785714285714286</v>
      </c>
      <c r="O200" s="27"/>
      <c r="P200" s="8"/>
      <c r="Q200" s="8"/>
      <c r="R200" s="8"/>
      <c r="S200" s="27"/>
      <c r="T200" s="27"/>
      <c r="U200" s="8"/>
      <c r="V200" s="8"/>
      <c r="W200" s="8"/>
      <c r="X200" s="27"/>
      <c r="Y200" s="27"/>
      <c r="Z200" s="27"/>
      <c r="AA200" s="27" t="s">
        <v>1343</v>
      </c>
      <c r="AB200" s="27" t="s">
        <v>1343</v>
      </c>
      <c r="AC200" s="27" t="s">
        <v>1343</v>
      </c>
      <c r="AD200" s="27" t="s">
        <v>1343</v>
      </c>
      <c r="AE200" s="27" t="s">
        <v>1343</v>
      </c>
      <c r="AF200" s="27" t="s">
        <v>1343</v>
      </c>
      <c r="AG200" s="27" t="s">
        <v>1343</v>
      </c>
      <c r="AH200" s="27" t="s">
        <v>1343</v>
      </c>
      <c r="AI200" s="27" t="s">
        <v>1343</v>
      </c>
      <c r="AJ200" s="27"/>
      <c r="AK200" s="8"/>
      <c r="AL200" s="8"/>
      <c r="AM200" s="8"/>
      <c r="AN200" s="27"/>
      <c r="AO200" s="8"/>
      <c r="AP200" s="8"/>
      <c r="AQ200" s="27"/>
      <c r="AR200" s="27"/>
    </row>
    <row r="201" spans="1:44" ht="15.75" thickBot="1" x14ac:dyDescent="0.3">
      <c r="A201" t="s">
        <v>358</v>
      </c>
      <c r="C201" s="45" t="s">
        <v>1152</v>
      </c>
      <c r="D201" t="s">
        <v>532</v>
      </c>
      <c r="E201" t="s">
        <v>24</v>
      </c>
      <c r="F201" t="s">
        <v>36</v>
      </c>
      <c r="G201"/>
      <c r="H201" t="s">
        <v>297</v>
      </c>
      <c r="I201" s="16">
        <v>-348096600000</v>
      </c>
      <c r="J201" s="16">
        <v>-583016800000</v>
      </c>
      <c r="K201" s="16" t="s">
        <v>1153</v>
      </c>
      <c r="L201" s="17">
        <f t="shared" si="14"/>
        <v>22</v>
      </c>
      <c r="M201" s="17">
        <f t="shared" si="15"/>
        <v>6</v>
      </c>
      <c r="N201" s="18">
        <f t="shared" si="16"/>
        <v>0.7857142857142857</v>
      </c>
      <c r="O201" s="27" t="s">
        <v>1343</v>
      </c>
      <c r="P201" s="8"/>
      <c r="Q201" s="8"/>
      <c r="R201" s="8" t="s">
        <v>1343</v>
      </c>
      <c r="S201" s="27" t="s">
        <v>1343</v>
      </c>
      <c r="T201" s="27" t="s">
        <v>1343</v>
      </c>
      <c r="U201" s="8" t="s">
        <v>1343</v>
      </c>
      <c r="V201" s="8"/>
      <c r="W201" s="8"/>
      <c r="X201" s="27" t="s">
        <v>1343</v>
      </c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</row>
    <row r="202" spans="1:44" ht="15.75" thickBot="1" x14ac:dyDescent="0.3">
      <c r="A202" t="s">
        <v>358</v>
      </c>
      <c r="C202" s="45" t="s">
        <v>533</v>
      </c>
      <c r="D202" t="s">
        <v>532</v>
      </c>
      <c r="E202" t="s">
        <v>113</v>
      </c>
      <c r="F202" t="s">
        <v>36</v>
      </c>
      <c r="G202"/>
      <c r="H202" t="s">
        <v>534</v>
      </c>
      <c r="I202" s="16">
        <v>-348095830000</v>
      </c>
      <c r="J202" s="16">
        <v>-583017120000</v>
      </c>
      <c r="K202" s="16" t="s">
        <v>1143</v>
      </c>
      <c r="L202" s="17">
        <f t="shared" si="14"/>
        <v>22</v>
      </c>
      <c r="M202" s="17">
        <f t="shared" si="15"/>
        <v>6</v>
      </c>
      <c r="N202" s="18">
        <f t="shared" si="16"/>
        <v>0.7857142857142857</v>
      </c>
      <c r="O202" s="27" t="s">
        <v>1343</v>
      </c>
      <c r="P202" s="8"/>
      <c r="Q202" s="8"/>
      <c r="R202" s="8" t="s">
        <v>1343</v>
      </c>
      <c r="S202" s="27" t="s">
        <v>1343</v>
      </c>
      <c r="T202" s="27" t="s">
        <v>1343</v>
      </c>
      <c r="U202" s="8" t="s">
        <v>1343</v>
      </c>
      <c r="V202" s="8"/>
      <c r="W202" s="8"/>
      <c r="X202" s="27" t="s">
        <v>1343</v>
      </c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</row>
    <row r="203" spans="1:44" ht="15.75" thickBot="1" x14ac:dyDescent="0.3">
      <c r="A203" t="s">
        <v>445</v>
      </c>
      <c r="C203" s="45" t="s">
        <v>535</v>
      </c>
      <c r="D203" t="s">
        <v>536</v>
      </c>
      <c r="E203" t="s">
        <v>113</v>
      </c>
      <c r="F203" t="s">
        <v>36</v>
      </c>
      <c r="G203"/>
      <c r="H203" t="s">
        <v>537</v>
      </c>
      <c r="I203" s="16">
        <v>-348071780000</v>
      </c>
      <c r="J203" s="16">
        <v>-583115710000</v>
      </c>
      <c r="K203" s="16" t="s">
        <v>1144</v>
      </c>
      <c r="L203" s="17">
        <f t="shared" si="14"/>
        <v>24</v>
      </c>
      <c r="M203" s="17">
        <f t="shared" si="15"/>
        <v>4</v>
      </c>
      <c r="N203" s="18">
        <f t="shared" si="16"/>
        <v>0.8571428571428571</v>
      </c>
      <c r="O203" s="27"/>
      <c r="P203" s="8"/>
      <c r="Q203" s="8"/>
      <c r="R203" s="8"/>
      <c r="S203" s="27"/>
      <c r="T203" s="27"/>
      <c r="U203" s="8"/>
      <c r="V203" s="8"/>
      <c r="W203" s="8"/>
      <c r="X203" s="27"/>
      <c r="Y203" s="27"/>
      <c r="Z203" s="27" t="s">
        <v>1343</v>
      </c>
      <c r="AA203" s="27" t="s">
        <v>1343</v>
      </c>
      <c r="AB203" s="27" t="s">
        <v>1343</v>
      </c>
      <c r="AC203" s="27"/>
      <c r="AD203" s="27"/>
      <c r="AE203" s="27"/>
      <c r="AF203" s="27"/>
      <c r="AG203" s="27"/>
      <c r="AH203" s="27"/>
      <c r="AI203" s="27"/>
      <c r="AJ203" s="27" t="s">
        <v>1343</v>
      </c>
      <c r="AK203" s="8"/>
      <c r="AL203" s="8"/>
      <c r="AM203" s="8"/>
      <c r="AN203" s="27"/>
      <c r="AO203" s="8"/>
      <c r="AP203" s="8"/>
      <c r="AQ203" s="27"/>
      <c r="AR203" s="27"/>
    </row>
    <row r="204" spans="1:44" ht="15.75" thickBot="1" x14ac:dyDescent="0.3">
      <c r="A204" t="s">
        <v>538</v>
      </c>
      <c r="C204" s="45" t="s">
        <v>539</v>
      </c>
      <c r="D204" t="s">
        <v>540</v>
      </c>
      <c r="E204" t="s">
        <v>19</v>
      </c>
      <c r="F204" t="s">
        <v>36</v>
      </c>
      <c r="G204"/>
      <c r="H204" t="s">
        <v>534</v>
      </c>
      <c r="I204" s="16">
        <v>-348476780000</v>
      </c>
      <c r="J204" s="16">
        <v>-582894530000</v>
      </c>
      <c r="K204" s="16" t="s">
        <v>1146</v>
      </c>
      <c r="L204" s="17">
        <f t="shared" si="14"/>
        <v>28</v>
      </c>
      <c r="M204" s="17">
        <f t="shared" si="15"/>
        <v>0</v>
      </c>
      <c r="N204" s="18">
        <f t="shared" si="16"/>
        <v>1</v>
      </c>
      <c r="O204" s="27"/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</row>
    <row r="205" spans="1:44" ht="15.75" thickBot="1" x14ac:dyDescent="0.3">
      <c r="A205" t="s">
        <v>538</v>
      </c>
      <c r="C205" s="45" t="s">
        <v>541</v>
      </c>
      <c r="D205" t="s">
        <v>540</v>
      </c>
      <c r="E205" t="s">
        <v>113</v>
      </c>
      <c r="F205" t="s">
        <v>36</v>
      </c>
      <c r="G205"/>
      <c r="H205" t="s">
        <v>534</v>
      </c>
      <c r="I205" s="16">
        <v>-348477280000</v>
      </c>
      <c r="J205" s="16">
        <v>-582894670000</v>
      </c>
      <c r="K205" s="16" t="s">
        <v>1147</v>
      </c>
      <c r="L205" s="17">
        <f t="shared" si="14"/>
        <v>28</v>
      </c>
      <c r="M205" s="17">
        <f t="shared" si="15"/>
        <v>0</v>
      </c>
      <c r="N205" s="18">
        <f t="shared" si="16"/>
        <v>1</v>
      </c>
      <c r="O205" s="27"/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</row>
    <row r="206" spans="1:44" ht="15.75" thickBot="1" x14ac:dyDescent="0.3">
      <c r="A206" t="s">
        <v>542</v>
      </c>
      <c r="C206" s="45" t="s">
        <v>543</v>
      </c>
      <c r="D206" t="s">
        <v>544</v>
      </c>
      <c r="E206" t="s">
        <v>19</v>
      </c>
      <c r="F206" t="s">
        <v>36</v>
      </c>
      <c r="G206"/>
      <c r="H206" t="s">
        <v>534</v>
      </c>
      <c r="I206" s="16">
        <v>-348676700000</v>
      </c>
      <c r="J206" s="16">
        <v>-582754020000</v>
      </c>
      <c r="K206" s="16" t="s">
        <v>1154</v>
      </c>
      <c r="L206" s="17">
        <f t="shared" si="14"/>
        <v>7</v>
      </c>
      <c r="M206" s="17">
        <f t="shared" si="15"/>
        <v>21</v>
      </c>
      <c r="N206" s="18">
        <f t="shared" si="16"/>
        <v>0.25</v>
      </c>
      <c r="O206" s="27" t="s">
        <v>1343</v>
      </c>
      <c r="P206" s="8"/>
      <c r="Q206" s="8"/>
      <c r="R206" s="8" t="s">
        <v>1343</v>
      </c>
      <c r="S206" s="27" t="s">
        <v>1343</v>
      </c>
      <c r="T206" s="27" t="s">
        <v>1343</v>
      </c>
      <c r="U206" s="8" t="s">
        <v>1343</v>
      </c>
      <c r="V206" s="8" t="s">
        <v>1343</v>
      </c>
      <c r="W206" s="8" t="s">
        <v>1343</v>
      </c>
      <c r="X206" s="27" t="s">
        <v>1343</v>
      </c>
      <c r="Y206" s="27" t="s">
        <v>1343</v>
      </c>
      <c r="Z206" s="27" t="s">
        <v>1343</v>
      </c>
      <c r="AA206" s="27" t="s">
        <v>1343</v>
      </c>
      <c r="AB206" s="27" t="s">
        <v>1343</v>
      </c>
      <c r="AC206" s="27" t="s">
        <v>1343</v>
      </c>
      <c r="AD206" s="27" t="s">
        <v>1343</v>
      </c>
      <c r="AE206" s="27" t="s">
        <v>1343</v>
      </c>
      <c r="AF206" s="27" t="s">
        <v>1343</v>
      </c>
      <c r="AG206" s="27" t="s">
        <v>1343</v>
      </c>
      <c r="AH206" s="27" t="s">
        <v>1343</v>
      </c>
      <c r="AI206" s="27" t="s">
        <v>1343</v>
      </c>
      <c r="AJ206" s="27" t="s">
        <v>1343</v>
      </c>
      <c r="AK206" s="8" t="s">
        <v>1343</v>
      </c>
      <c r="AL206" s="8"/>
      <c r="AM206" s="8"/>
      <c r="AN206" s="27"/>
      <c r="AO206" s="8"/>
      <c r="AP206" s="8"/>
      <c r="AQ206" s="27"/>
      <c r="AR206" s="27"/>
    </row>
    <row r="207" spans="1:44" ht="15.75" thickBot="1" x14ac:dyDescent="0.3">
      <c r="A207" t="s">
        <v>310</v>
      </c>
      <c r="C207" s="45" t="s">
        <v>545</v>
      </c>
      <c r="D207" t="s">
        <v>546</v>
      </c>
      <c r="E207" t="s">
        <v>19</v>
      </c>
      <c r="F207" t="s">
        <v>944</v>
      </c>
      <c r="G207"/>
      <c r="H207" t="s">
        <v>547</v>
      </c>
      <c r="I207" s="16">
        <v>-348181990000</v>
      </c>
      <c r="J207" s="16">
        <v>-583002490000</v>
      </c>
      <c r="K207" s="16" t="s">
        <v>1148</v>
      </c>
      <c r="L207" s="17">
        <f t="shared" si="14"/>
        <v>12</v>
      </c>
      <c r="M207" s="17">
        <f t="shared" si="15"/>
        <v>16</v>
      </c>
      <c r="N207" s="18">
        <f t="shared" si="16"/>
        <v>0.42857142857142855</v>
      </c>
      <c r="O207" s="27" t="s">
        <v>1343</v>
      </c>
      <c r="P207" s="8"/>
      <c r="Q207" s="8"/>
      <c r="R207" s="8" t="s">
        <v>1343</v>
      </c>
      <c r="S207" s="27" t="s">
        <v>1343</v>
      </c>
      <c r="T207" s="27" t="s">
        <v>1343</v>
      </c>
      <c r="U207" s="8" t="s">
        <v>1343</v>
      </c>
      <c r="V207" s="8" t="s">
        <v>1343</v>
      </c>
      <c r="W207" s="8" t="s">
        <v>1343</v>
      </c>
      <c r="X207" s="27" t="s">
        <v>1343</v>
      </c>
      <c r="Y207" s="27" t="s">
        <v>1343</v>
      </c>
      <c r="Z207" s="27" t="s">
        <v>1343</v>
      </c>
      <c r="AA207" s="27" t="s">
        <v>1343</v>
      </c>
      <c r="AB207" s="27" t="s">
        <v>1343</v>
      </c>
      <c r="AC207" s="27" t="s">
        <v>1343</v>
      </c>
      <c r="AD207" s="27" t="s">
        <v>1343</v>
      </c>
      <c r="AE207" s="27" t="s">
        <v>1343</v>
      </c>
      <c r="AF207" s="27" t="s">
        <v>1343</v>
      </c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</row>
    <row r="208" spans="1:44" ht="15.75" thickBot="1" x14ac:dyDescent="0.3">
      <c r="A208" t="s">
        <v>310</v>
      </c>
      <c r="C208" s="45" t="s">
        <v>548</v>
      </c>
      <c r="D208" t="s">
        <v>546</v>
      </c>
      <c r="E208" t="s">
        <v>113</v>
      </c>
      <c r="F208" t="s">
        <v>944</v>
      </c>
      <c r="G208"/>
      <c r="H208" t="s">
        <v>547</v>
      </c>
      <c r="I208" s="16">
        <v>-348181940000</v>
      </c>
      <c r="J208" s="16">
        <v>-583002740000</v>
      </c>
      <c r="K208" s="16" t="s">
        <v>1149</v>
      </c>
      <c r="L208" s="17">
        <f t="shared" si="14"/>
        <v>28</v>
      </c>
      <c r="M208" s="17">
        <f t="shared" si="15"/>
        <v>0</v>
      </c>
      <c r="N208" s="18">
        <f t="shared" si="16"/>
        <v>1</v>
      </c>
      <c r="O208" s="27"/>
      <c r="P208" s="8"/>
      <c r="Q208" s="8"/>
      <c r="R208" s="8"/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</row>
    <row r="209" spans="1:44" ht="15.75" thickBot="1" x14ac:dyDescent="0.3">
      <c r="A209" t="s">
        <v>549</v>
      </c>
      <c r="C209" s="45" t="s">
        <v>550</v>
      </c>
      <c r="D209" t="s">
        <v>551</v>
      </c>
      <c r="E209" t="s">
        <v>19</v>
      </c>
      <c r="F209" t="s">
        <v>36</v>
      </c>
      <c r="G209"/>
      <c r="H209" t="s">
        <v>341</v>
      </c>
      <c r="I209" s="16">
        <v>-348181790000</v>
      </c>
      <c r="J209" s="16">
        <v>-582067620000</v>
      </c>
      <c r="K209" s="16" t="s">
        <v>1155</v>
      </c>
      <c r="L209" s="17">
        <f t="shared" si="14"/>
        <v>25</v>
      </c>
      <c r="M209" s="17">
        <f t="shared" si="15"/>
        <v>3</v>
      </c>
      <c r="N209" s="18">
        <f t="shared" si="16"/>
        <v>0.8928571428571429</v>
      </c>
      <c r="O209" s="27" t="s">
        <v>1343</v>
      </c>
      <c r="P209" s="8"/>
      <c r="Q209" s="8"/>
      <c r="R209" s="8" t="s">
        <v>1343</v>
      </c>
      <c r="S209" s="27" t="s">
        <v>1343</v>
      </c>
      <c r="T209" s="27"/>
      <c r="U209" s="8"/>
      <c r="V209" s="8"/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</row>
    <row r="210" spans="1:44" ht="15.75" thickBot="1" x14ac:dyDescent="0.3">
      <c r="A210" t="s">
        <v>549</v>
      </c>
      <c r="C210" s="45" t="s">
        <v>552</v>
      </c>
      <c r="D210" t="s">
        <v>551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1156</v>
      </c>
      <c r="L210" s="17">
        <f t="shared" si="14"/>
        <v>27</v>
      </c>
      <c r="M210" s="17">
        <f t="shared" si="15"/>
        <v>1</v>
      </c>
      <c r="N210" s="18">
        <f t="shared" si="16"/>
        <v>0.9642857142857143</v>
      </c>
      <c r="O210" s="27" t="s">
        <v>1343</v>
      </c>
      <c r="P210" s="8"/>
      <c r="Q210" s="8"/>
      <c r="R210" s="8"/>
      <c r="S210" s="27"/>
      <c r="T210" s="27"/>
      <c r="U210" s="8"/>
      <c r="V210" s="8"/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</row>
    <row r="211" spans="1:44" ht="15.75" thickBot="1" x14ac:dyDescent="0.3">
      <c r="A211" t="s">
        <v>538</v>
      </c>
      <c r="C211" s="45" t="s">
        <v>553</v>
      </c>
      <c r="D211" t="s">
        <v>554</v>
      </c>
      <c r="E211" t="s">
        <v>19</v>
      </c>
      <c r="F211" t="s">
        <v>36</v>
      </c>
      <c r="G211"/>
      <c r="H211" t="s">
        <v>534</v>
      </c>
      <c r="I211" s="16">
        <v>-348315930000</v>
      </c>
      <c r="J211" s="16">
        <v>-582907280000</v>
      </c>
      <c r="K211" s="16" t="s">
        <v>1151</v>
      </c>
      <c r="L211" s="17">
        <f t="shared" si="14"/>
        <v>28</v>
      </c>
      <c r="M211" s="17">
        <f t="shared" si="15"/>
        <v>0</v>
      </c>
      <c r="N211" s="18">
        <f t="shared" si="16"/>
        <v>1</v>
      </c>
      <c r="O211" s="27"/>
      <c r="P211" s="8"/>
      <c r="Q211" s="8"/>
      <c r="R211" s="8"/>
      <c r="S211" s="27"/>
      <c r="T211" s="27"/>
      <c r="U211" s="8"/>
      <c r="V211" s="8"/>
      <c r="W211" s="8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</row>
    <row r="212" spans="1:44" ht="15.75" thickBot="1" x14ac:dyDescent="0.3">
      <c r="A212" t="s">
        <v>538</v>
      </c>
      <c r="C212" s="45" t="s">
        <v>555</v>
      </c>
      <c r="D212" t="s">
        <v>554</v>
      </c>
      <c r="E212" t="s">
        <v>113</v>
      </c>
      <c r="F212" t="s">
        <v>36</v>
      </c>
      <c r="G212"/>
      <c r="H212" t="s">
        <v>534</v>
      </c>
      <c r="I212" s="16">
        <v>-348315930000</v>
      </c>
      <c r="J212" s="16">
        <v>-582907280000</v>
      </c>
      <c r="K212" s="16" t="s">
        <v>1150</v>
      </c>
      <c r="L212" s="17">
        <f t="shared" si="14"/>
        <v>28</v>
      </c>
      <c r="M212" s="17">
        <f t="shared" si="15"/>
        <v>0</v>
      </c>
      <c r="N212" s="18">
        <f t="shared" si="16"/>
        <v>1</v>
      </c>
      <c r="O212" s="27"/>
      <c r="P212" s="8"/>
      <c r="Q212" s="8"/>
      <c r="R212" s="8"/>
      <c r="S212" s="27"/>
      <c r="T212" s="27"/>
      <c r="U212" s="8"/>
      <c r="V212" s="8"/>
      <c r="W212" s="8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</row>
    <row r="213" spans="1:44" ht="15.75" thickBot="1" x14ac:dyDescent="0.3">
      <c r="A213" t="s">
        <v>445</v>
      </c>
      <c r="C213" s="45" t="s">
        <v>556</v>
      </c>
      <c r="D213" t="s">
        <v>536</v>
      </c>
      <c r="E213" t="s">
        <v>19</v>
      </c>
      <c r="F213" t="s">
        <v>36</v>
      </c>
      <c r="G213"/>
      <c r="H213" t="s">
        <v>534</v>
      </c>
      <c r="I213" s="16">
        <v>-348071730000</v>
      </c>
      <c r="J213" s="16">
        <v>-583116710000</v>
      </c>
      <c r="K213" s="16" t="s">
        <v>1145</v>
      </c>
      <c r="L213" s="17">
        <f t="shared" si="14"/>
        <v>24</v>
      </c>
      <c r="M213" s="17">
        <f t="shared" si="15"/>
        <v>4</v>
      </c>
      <c r="N213" s="18">
        <f t="shared" si="16"/>
        <v>0.8571428571428571</v>
      </c>
      <c r="O213" s="27"/>
      <c r="P213" s="8"/>
      <c r="Q213" s="8"/>
      <c r="R213" s="8"/>
      <c r="S213" s="27"/>
      <c r="T213" s="27"/>
      <c r="U213" s="8"/>
      <c r="V213" s="8"/>
      <c r="W213" s="8"/>
      <c r="X213" s="27"/>
      <c r="Y213" s="27"/>
      <c r="Z213" s="27" t="s">
        <v>1343</v>
      </c>
      <c r="AA213" s="27" t="s">
        <v>1343</v>
      </c>
      <c r="AB213" s="27" t="s">
        <v>1343</v>
      </c>
      <c r="AC213" s="27"/>
      <c r="AD213" s="27"/>
      <c r="AE213" s="27"/>
      <c r="AF213" s="27"/>
      <c r="AG213" s="27"/>
      <c r="AH213" s="27"/>
      <c r="AI213" s="27"/>
      <c r="AJ213" s="27" t="s">
        <v>1343</v>
      </c>
      <c r="AK213" s="8"/>
      <c r="AL213" s="8"/>
      <c r="AM213" s="8"/>
      <c r="AN213" s="27"/>
      <c r="AO213" s="8"/>
      <c r="AP213" s="8"/>
      <c r="AQ213" s="27"/>
      <c r="AR213" s="27"/>
    </row>
    <row r="214" spans="1:44" ht="15.75" thickBot="1" x14ac:dyDescent="0.3">
      <c r="A214" t="s">
        <v>557</v>
      </c>
      <c r="C214" s="45" t="s">
        <v>558</v>
      </c>
      <c r="D214" t="s">
        <v>559</v>
      </c>
      <c r="E214" t="s">
        <v>19</v>
      </c>
      <c r="F214" t="s">
        <v>36</v>
      </c>
      <c r="G214"/>
      <c r="H214" t="s">
        <v>560</v>
      </c>
      <c r="I214" s="16">
        <v>-348307510000</v>
      </c>
      <c r="J214" s="16">
        <v>-582304880000</v>
      </c>
      <c r="K214" s="16" t="s">
        <v>1157</v>
      </c>
      <c r="L214" s="17">
        <f t="shared" si="14"/>
        <v>28</v>
      </c>
      <c r="M214" s="17">
        <f t="shared" si="15"/>
        <v>0</v>
      </c>
      <c r="N214" s="18">
        <f t="shared" si="16"/>
        <v>1</v>
      </c>
      <c r="O214" s="27"/>
      <c r="P214" s="8"/>
      <c r="Q214" s="8"/>
      <c r="R214" s="8"/>
      <c r="S214" s="27"/>
      <c r="T214" s="27"/>
      <c r="U214" s="8"/>
      <c r="V214" s="8"/>
      <c r="W214" s="8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</row>
    <row r="215" spans="1:44" ht="15.75" thickBot="1" x14ac:dyDescent="0.3">
      <c r="A215" t="s">
        <v>557</v>
      </c>
      <c r="C215" s="45" t="s">
        <v>561</v>
      </c>
      <c r="D215" t="s">
        <v>562</v>
      </c>
      <c r="E215" t="s">
        <v>19</v>
      </c>
      <c r="F215" t="s">
        <v>36</v>
      </c>
      <c r="G215"/>
      <c r="H215" t="s">
        <v>341</v>
      </c>
      <c r="I215" s="16">
        <v>-348296530000</v>
      </c>
      <c r="J215" s="16">
        <v>-582293330000</v>
      </c>
      <c r="K215" s="16" t="s">
        <v>1158</v>
      </c>
      <c r="L215" s="17">
        <f t="shared" si="14"/>
        <v>28</v>
      </c>
      <c r="M215" s="17">
        <f t="shared" si="15"/>
        <v>0</v>
      </c>
      <c r="N215" s="18">
        <f t="shared" si="16"/>
        <v>1</v>
      </c>
      <c r="O215" s="27"/>
      <c r="P215" s="8"/>
      <c r="Q215" s="8"/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</row>
    <row r="216" spans="1:44" ht="15.75" thickBot="1" x14ac:dyDescent="0.3">
      <c r="A216" t="s">
        <v>557</v>
      </c>
      <c r="C216" s="45" t="s">
        <v>563</v>
      </c>
      <c r="D216" t="s">
        <v>564</v>
      </c>
      <c r="E216" t="s">
        <v>113</v>
      </c>
      <c r="F216" t="s">
        <v>36</v>
      </c>
      <c r="G216"/>
      <c r="H216" t="s">
        <v>565</v>
      </c>
      <c r="I216" s="16">
        <v>-348304210000</v>
      </c>
      <c r="J216" s="16">
        <v>-582269250000</v>
      </c>
      <c r="K216" s="16" t="s">
        <v>1159</v>
      </c>
      <c r="L216" s="17">
        <f t="shared" si="14"/>
        <v>28</v>
      </c>
      <c r="M216" s="17">
        <f t="shared" si="15"/>
        <v>0</v>
      </c>
      <c r="N216" s="18">
        <f t="shared" si="16"/>
        <v>1</v>
      </c>
      <c r="O216" s="27"/>
      <c r="P216" s="8"/>
      <c r="Q216" s="8"/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</row>
    <row r="217" spans="1:44" ht="15.75" thickBot="1" x14ac:dyDescent="0.3">
      <c r="A217" t="s">
        <v>557</v>
      </c>
      <c r="C217" s="45" t="s">
        <v>566</v>
      </c>
      <c r="D217" t="s">
        <v>564</v>
      </c>
      <c r="E217" t="s">
        <v>113</v>
      </c>
      <c r="F217" t="s">
        <v>36</v>
      </c>
      <c r="G217"/>
      <c r="H217" t="s">
        <v>565</v>
      </c>
      <c r="I217" s="16">
        <v>-348304120000</v>
      </c>
      <c r="J217" s="16">
        <v>-582269240000</v>
      </c>
      <c r="K217" s="16" t="s">
        <v>1160</v>
      </c>
      <c r="L217" s="17">
        <f t="shared" si="14"/>
        <v>28</v>
      </c>
      <c r="M217" s="17">
        <f t="shared" si="15"/>
        <v>0</v>
      </c>
      <c r="N217" s="18">
        <f t="shared" si="16"/>
        <v>1</v>
      </c>
      <c r="O217" s="27"/>
      <c r="P217" s="8"/>
      <c r="Q217" s="8"/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</row>
    <row r="218" spans="1:44" ht="15.75" thickBot="1" x14ac:dyDescent="0.3">
      <c r="A218" t="s">
        <v>557</v>
      </c>
      <c r="C218" s="45" t="s">
        <v>567</v>
      </c>
      <c r="D218" t="s">
        <v>568</v>
      </c>
      <c r="E218" t="s">
        <v>113</v>
      </c>
      <c r="F218" t="s">
        <v>36</v>
      </c>
      <c r="G218"/>
      <c r="H218" t="s">
        <v>248</v>
      </c>
      <c r="I218" s="16">
        <v>-348327470000</v>
      </c>
      <c r="J218" s="16">
        <v>-582277380000</v>
      </c>
      <c r="K218" s="16" t="s">
        <v>1161</v>
      </c>
      <c r="L218" s="17">
        <f t="shared" si="14"/>
        <v>28</v>
      </c>
      <c r="M218" s="17">
        <f t="shared" si="15"/>
        <v>0</v>
      </c>
      <c r="N218" s="18">
        <f t="shared" si="16"/>
        <v>1</v>
      </c>
      <c r="O218" s="27"/>
      <c r="P218" s="8"/>
      <c r="Q218" s="8"/>
      <c r="R218" s="8"/>
      <c r="S218" s="27"/>
      <c r="T218" s="27"/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</row>
    <row r="219" spans="1:44" ht="15.75" thickBot="1" x14ac:dyDescent="0.3">
      <c r="A219" t="s">
        <v>557</v>
      </c>
      <c r="C219" s="45" t="s">
        <v>569</v>
      </c>
      <c r="D219" t="s">
        <v>568</v>
      </c>
      <c r="E219" t="s">
        <v>73</v>
      </c>
      <c r="F219" t="s">
        <v>36</v>
      </c>
      <c r="G219"/>
      <c r="H219" t="s">
        <v>570</v>
      </c>
      <c r="I219" s="16">
        <v>-348327560000</v>
      </c>
      <c r="J219" s="16">
        <v>-582277570000</v>
      </c>
      <c r="K219" s="16" t="s">
        <v>1162</v>
      </c>
      <c r="L219" s="17">
        <f t="shared" si="14"/>
        <v>28</v>
      </c>
      <c r="M219" s="17">
        <f t="shared" si="15"/>
        <v>0</v>
      </c>
      <c r="N219" s="18">
        <f t="shared" si="16"/>
        <v>1</v>
      </c>
      <c r="O219" s="27"/>
      <c r="P219" s="8"/>
      <c r="Q219" s="8"/>
      <c r="R219" s="8"/>
      <c r="S219" s="27"/>
      <c r="T219" s="27"/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</row>
    <row r="220" spans="1:44" ht="15.75" thickBot="1" x14ac:dyDescent="0.3">
      <c r="A220" t="s">
        <v>571</v>
      </c>
      <c r="C220" s="45" t="s">
        <v>572</v>
      </c>
      <c r="D220" t="s">
        <v>573</v>
      </c>
      <c r="E220" t="s">
        <v>19</v>
      </c>
      <c r="F220" t="s">
        <v>36</v>
      </c>
      <c r="G220"/>
      <c r="H220" t="s">
        <v>341</v>
      </c>
      <c r="I220" s="16">
        <v>-348284690000</v>
      </c>
      <c r="J220" s="16">
        <v>-582281770000</v>
      </c>
      <c r="K220" s="16" t="s">
        <v>1163</v>
      </c>
      <c r="L220" s="17">
        <f t="shared" si="14"/>
        <v>28</v>
      </c>
      <c r="M220" s="17">
        <f t="shared" si="15"/>
        <v>0</v>
      </c>
      <c r="N220" s="18">
        <f t="shared" si="16"/>
        <v>1</v>
      </c>
      <c r="O220" s="27"/>
      <c r="P220" s="8"/>
      <c r="Q220" s="8"/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</row>
    <row r="221" spans="1:44" ht="15.75" thickBot="1" x14ac:dyDescent="0.3">
      <c r="A221" t="s">
        <v>571</v>
      </c>
      <c r="C221" s="45" t="s">
        <v>574</v>
      </c>
      <c r="D221" t="s">
        <v>575</v>
      </c>
      <c r="E221" t="s">
        <v>19</v>
      </c>
      <c r="F221" t="s">
        <v>36</v>
      </c>
      <c r="G221"/>
      <c r="H221" t="s">
        <v>341</v>
      </c>
      <c r="I221" s="16">
        <v>-348266150000</v>
      </c>
      <c r="J221" s="16">
        <v>-582261560000</v>
      </c>
      <c r="K221" s="16" t="s">
        <v>1166</v>
      </c>
      <c r="L221" s="17">
        <f t="shared" si="14"/>
        <v>28</v>
      </c>
      <c r="M221" s="17">
        <f t="shared" si="15"/>
        <v>0</v>
      </c>
      <c r="N221" s="18">
        <f t="shared" si="16"/>
        <v>1</v>
      </c>
      <c r="O221" s="27"/>
      <c r="P221" s="8"/>
      <c r="Q221" s="8"/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</row>
    <row r="222" spans="1:44" ht="15.75" thickBot="1" x14ac:dyDescent="0.3">
      <c r="A222" t="s">
        <v>571</v>
      </c>
      <c r="C222" s="45" t="s">
        <v>576</v>
      </c>
      <c r="D222" t="s">
        <v>577</v>
      </c>
      <c r="E222" t="s">
        <v>113</v>
      </c>
      <c r="F222" t="s">
        <v>36</v>
      </c>
      <c r="G222"/>
      <c r="H222" t="s">
        <v>565</v>
      </c>
      <c r="I222" s="16">
        <v>-348268070000</v>
      </c>
      <c r="J222" s="16">
        <v>-582275680000</v>
      </c>
      <c r="K222" s="16" t="s">
        <v>1164</v>
      </c>
      <c r="L222" s="17">
        <f t="shared" si="14"/>
        <v>28</v>
      </c>
      <c r="M222" s="17">
        <f t="shared" si="15"/>
        <v>0</v>
      </c>
      <c r="N222" s="18">
        <f t="shared" si="16"/>
        <v>1</v>
      </c>
      <c r="O222" s="27"/>
      <c r="P222" s="8"/>
      <c r="Q222" s="8"/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</row>
    <row r="223" spans="1:44" ht="15.75" thickBot="1" x14ac:dyDescent="0.3">
      <c r="A223" t="s">
        <v>571</v>
      </c>
      <c r="C223" s="45" t="s">
        <v>578</v>
      </c>
      <c r="D223" t="s">
        <v>577</v>
      </c>
      <c r="E223" t="s">
        <v>113</v>
      </c>
      <c r="F223" t="s">
        <v>36</v>
      </c>
      <c r="G223"/>
      <c r="H223" t="s">
        <v>579</v>
      </c>
      <c r="I223" s="16">
        <v>-348268070000</v>
      </c>
      <c r="J223" s="16">
        <v>-582275680000</v>
      </c>
      <c r="K223" s="16" t="s">
        <v>1165</v>
      </c>
      <c r="L223" s="17">
        <f t="shared" si="14"/>
        <v>28</v>
      </c>
      <c r="M223" s="17">
        <f t="shared" si="15"/>
        <v>0</v>
      </c>
      <c r="N223" s="18">
        <f t="shared" si="16"/>
        <v>1</v>
      </c>
      <c r="O223" s="27"/>
      <c r="P223" s="8"/>
      <c r="Q223" s="8"/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</row>
    <row r="224" spans="1:44" ht="15.75" thickBot="1" x14ac:dyDescent="0.3">
      <c r="A224" t="s">
        <v>571</v>
      </c>
      <c r="B224" s="59">
        <v>44629</v>
      </c>
      <c r="C224" s="61" t="s">
        <v>580</v>
      </c>
      <c r="D224" t="s">
        <v>581</v>
      </c>
      <c r="E224" t="s">
        <v>19</v>
      </c>
      <c r="F224" t="s">
        <v>36</v>
      </c>
      <c r="G224"/>
      <c r="H224" t="s">
        <v>582</v>
      </c>
      <c r="I224" s="16">
        <v>-348255670000</v>
      </c>
      <c r="J224" s="16">
        <v>-582250020000</v>
      </c>
      <c r="K224" s="16" t="s">
        <v>1167</v>
      </c>
      <c r="L224" s="17">
        <f t="shared" si="14"/>
        <v>28</v>
      </c>
      <c r="M224" s="17">
        <f t="shared" si="15"/>
        <v>0</v>
      </c>
      <c r="N224" s="18">
        <f t="shared" si="16"/>
        <v>1</v>
      </c>
      <c r="O224" s="27"/>
      <c r="P224" s="8"/>
      <c r="Q224" s="8"/>
      <c r="R224" s="8"/>
      <c r="S224" s="27"/>
      <c r="T224" s="27"/>
      <c r="U224" s="8"/>
      <c r="V224" s="8"/>
      <c r="W224" s="8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</row>
    <row r="225" spans="1:44" ht="15.75" thickBot="1" x14ac:dyDescent="0.3">
      <c r="A225" t="s">
        <v>412</v>
      </c>
      <c r="C225" s="45" t="s">
        <v>583</v>
      </c>
      <c r="D225" t="s">
        <v>584</v>
      </c>
      <c r="E225" t="s">
        <v>24</v>
      </c>
      <c r="F225" t="s">
        <v>36</v>
      </c>
      <c r="G225" t="s">
        <v>585</v>
      </c>
      <c r="H225"/>
      <c r="I225" s="16">
        <v>-347820290000</v>
      </c>
      <c r="J225" s="16">
        <v>-582627140000</v>
      </c>
      <c r="K225" s="16" t="s">
        <v>1168</v>
      </c>
      <c r="L225" s="17">
        <f t="shared" si="14"/>
        <v>28</v>
      </c>
      <c r="M225" s="17">
        <f t="shared" si="15"/>
        <v>0</v>
      </c>
      <c r="N225" s="18">
        <f t="shared" si="16"/>
        <v>1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</row>
    <row r="226" spans="1:44" ht="15.75" thickBot="1" x14ac:dyDescent="0.3">
      <c r="A226" t="s">
        <v>586</v>
      </c>
      <c r="C226" s="45" t="s">
        <v>587</v>
      </c>
      <c r="D226" t="s">
        <v>588</v>
      </c>
      <c r="E226" t="s">
        <v>24</v>
      </c>
      <c r="F226" t="s">
        <v>36</v>
      </c>
      <c r="G226" t="s">
        <v>589</v>
      </c>
      <c r="H226"/>
      <c r="I226" s="16">
        <v>-347820510000</v>
      </c>
      <c r="J226" s="16">
        <v>-582792740000</v>
      </c>
      <c r="K226" s="16" t="s">
        <v>1169</v>
      </c>
      <c r="L226" s="17">
        <f t="shared" si="14"/>
        <v>27</v>
      </c>
      <c r="M226" s="17">
        <f t="shared" si="15"/>
        <v>1</v>
      </c>
      <c r="N226" s="18">
        <f t="shared" si="16"/>
        <v>0.9642857142857143</v>
      </c>
      <c r="O226" s="27"/>
      <c r="P226" s="8"/>
      <c r="Q226" s="8"/>
      <c r="R226" s="8"/>
      <c r="S226" s="27"/>
      <c r="T226" s="27"/>
      <c r="U226" s="8"/>
      <c r="V226" s="8"/>
      <c r="W226" s="8"/>
      <c r="X226" s="27"/>
      <c r="Y226" s="27" t="s">
        <v>1343</v>
      </c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</row>
    <row r="227" spans="1:44" ht="15.75" thickBot="1" x14ac:dyDescent="0.3">
      <c r="A227" t="s">
        <v>586</v>
      </c>
      <c r="C227" s="45" t="s">
        <v>590</v>
      </c>
      <c r="D227" t="s">
        <v>591</v>
      </c>
      <c r="E227" t="s">
        <v>24</v>
      </c>
      <c r="F227" t="s">
        <v>36</v>
      </c>
      <c r="G227" t="s">
        <v>592</v>
      </c>
      <c r="H227"/>
      <c r="I227" s="16">
        <v>-347891490000</v>
      </c>
      <c r="J227" s="16">
        <v>-582788520000</v>
      </c>
      <c r="K227" s="16" t="s">
        <v>1170</v>
      </c>
      <c r="L227" s="17">
        <f t="shared" si="14"/>
        <v>23</v>
      </c>
      <c r="M227" s="17">
        <f t="shared" si="15"/>
        <v>5</v>
      </c>
      <c r="N227" s="18">
        <f t="shared" si="16"/>
        <v>0.8214285714285714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 t="s">
        <v>1343</v>
      </c>
      <c r="AH227" s="27" t="s">
        <v>1343</v>
      </c>
      <c r="AI227" s="27" t="s">
        <v>1343</v>
      </c>
      <c r="AJ227" s="27" t="s">
        <v>1343</v>
      </c>
      <c r="AK227" s="8" t="s">
        <v>1343</v>
      </c>
      <c r="AL227" s="8"/>
      <c r="AM227" s="8"/>
      <c r="AN227" s="27"/>
      <c r="AO227" s="8"/>
      <c r="AP227" s="8"/>
      <c r="AQ227" s="27"/>
      <c r="AR227" s="27"/>
    </row>
    <row r="228" spans="1:44" ht="15.75" thickBot="1" x14ac:dyDescent="0.3">
      <c r="A228" t="s">
        <v>593</v>
      </c>
      <c r="C228" s="45" t="s">
        <v>594</v>
      </c>
      <c r="D228" t="s">
        <v>595</v>
      </c>
      <c r="E228" t="s">
        <v>24</v>
      </c>
      <c r="F228" t="s">
        <v>25</v>
      </c>
      <c r="G228" t="s">
        <v>277</v>
      </c>
      <c r="H228"/>
      <c r="I228" s="16">
        <v>-347858230000</v>
      </c>
      <c r="J228" s="16">
        <v>-582788230000</v>
      </c>
      <c r="K228" s="16" t="s">
        <v>1171</v>
      </c>
      <c r="L228" s="17">
        <f t="shared" si="14"/>
        <v>28</v>
      </c>
      <c r="M228" s="17">
        <f t="shared" si="15"/>
        <v>0</v>
      </c>
      <c r="N228" s="18">
        <f t="shared" si="16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</row>
    <row r="229" spans="1:44" ht="15.75" thickBot="1" x14ac:dyDescent="0.3">
      <c r="A229" t="s">
        <v>456</v>
      </c>
      <c r="C229" s="45" t="s">
        <v>596</v>
      </c>
      <c r="D229" t="s">
        <v>597</v>
      </c>
      <c r="E229" t="s">
        <v>24</v>
      </c>
      <c r="F229" t="s">
        <v>36</v>
      </c>
      <c r="G229" t="s">
        <v>598</v>
      </c>
      <c r="H229"/>
      <c r="I229" s="16">
        <v>-347803150000</v>
      </c>
      <c r="J229" s="16">
        <v>-582792150000</v>
      </c>
      <c r="K229" s="16" t="s">
        <v>1174</v>
      </c>
      <c r="L229" s="17">
        <f t="shared" si="14"/>
        <v>27</v>
      </c>
      <c r="M229" s="17">
        <f t="shared" si="15"/>
        <v>1</v>
      </c>
      <c r="N229" s="18">
        <f t="shared" si="16"/>
        <v>0.9642857142857143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 t="s">
        <v>1343</v>
      </c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</row>
    <row r="230" spans="1:44" ht="15.75" thickBot="1" x14ac:dyDescent="0.3">
      <c r="A230" t="s">
        <v>456</v>
      </c>
      <c r="B230" s="64">
        <v>44642</v>
      </c>
      <c r="C230" s="65" t="s">
        <v>599</v>
      </c>
      <c r="D230" t="s">
        <v>600</v>
      </c>
      <c r="E230" t="s">
        <v>24</v>
      </c>
      <c r="F230" t="s">
        <v>36</v>
      </c>
      <c r="G230" t="s">
        <v>601</v>
      </c>
      <c r="H230"/>
      <c r="I230" s="16">
        <v>-347724810000</v>
      </c>
      <c r="J230" s="16">
        <v>-582779860000</v>
      </c>
      <c r="K230" s="16" t="s">
        <v>1175</v>
      </c>
      <c r="L230" s="17">
        <f t="shared" si="14"/>
        <v>27</v>
      </c>
      <c r="M230" s="17">
        <f t="shared" si="15"/>
        <v>1</v>
      </c>
      <c r="N230" s="18">
        <f t="shared" si="16"/>
        <v>0.9642857142857143</v>
      </c>
      <c r="O230" s="27"/>
      <c r="P230" s="8"/>
      <c r="Q230" s="8"/>
      <c r="R230" s="8"/>
      <c r="S230" s="27"/>
      <c r="T230" s="27"/>
      <c r="U230" s="8"/>
      <c r="V230" s="8"/>
      <c r="W230" s="8"/>
      <c r="X230" s="27"/>
      <c r="Y230" s="27"/>
      <c r="Z230" s="27"/>
      <c r="AA230" s="27"/>
      <c r="AB230" s="27" t="s">
        <v>1343</v>
      </c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</row>
    <row r="231" spans="1:44" ht="15.75" thickBot="1" x14ac:dyDescent="0.3">
      <c r="A231" t="s">
        <v>456</v>
      </c>
      <c r="C231" s="45" t="s">
        <v>602</v>
      </c>
      <c r="D231" t="s">
        <v>603</v>
      </c>
      <c r="E231" t="s">
        <v>113</v>
      </c>
      <c r="F231" t="s">
        <v>36</v>
      </c>
      <c r="G231"/>
      <c r="H231" t="s">
        <v>248</v>
      </c>
      <c r="I231" s="16">
        <v>-347758420000</v>
      </c>
      <c r="J231" s="16">
        <v>-582787380000</v>
      </c>
      <c r="K231" s="16" t="s">
        <v>1172</v>
      </c>
      <c r="L231" s="17">
        <f t="shared" si="14"/>
        <v>27</v>
      </c>
      <c r="M231" s="17">
        <f t="shared" si="15"/>
        <v>1</v>
      </c>
      <c r="N231" s="18">
        <f t="shared" si="16"/>
        <v>0.9642857142857143</v>
      </c>
      <c r="O231" s="27"/>
      <c r="P231" s="8"/>
      <c r="Q231" s="8"/>
      <c r="R231" s="8"/>
      <c r="S231" s="27"/>
      <c r="T231" s="27"/>
      <c r="U231" s="8"/>
      <c r="V231" s="8"/>
      <c r="W231" s="8"/>
      <c r="X231" s="27"/>
      <c r="Y231" s="27" t="s">
        <v>1343</v>
      </c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</row>
    <row r="232" spans="1:44" ht="15.75" thickBot="1" x14ac:dyDescent="0.3">
      <c r="A232" t="s">
        <v>456</v>
      </c>
      <c r="C232" s="45" t="s">
        <v>604</v>
      </c>
      <c r="D232" t="s">
        <v>603</v>
      </c>
      <c r="E232" t="s">
        <v>113</v>
      </c>
      <c r="F232" t="s">
        <v>36</v>
      </c>
      <c r="G232"/>
      <c r="H232" t="s">
        <v>248</v>
      </c>
      <c r="I232" s="16">
        <v>-347758300000</v>
      </c>
      <c r="J232" s="16">
        <v>-582787420000</v>
      </c>
      <c r="K232" s="16" t="s">
        <v>1173</v>
      </c>
      <c r="L232" s="17">
        <f t="shared" si="14"/>
        <v>28</v>
      </c>
      <c r="M232" s="17">
        <f t="shared" si="15"/>
        <v>0</v>
      </c>
      <c r="N232" s="18">
        <f t="shared" si="16"/>
        <v>1</v>
      </c>
      <c r="O232" s="27"/>
      <c r="P232" s="8"/>
      <c r="Q232" s="8"/>
      <c r="R232" s="8"/>
      <c r="S232" s="27"/>
      <c r="T232" s="27"/>
      <c r="U232" s="8"/>
      <c r="V232" s="8"/>
      <c r="W232" s="8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</row>
    <row r="233" spans="1:44" ht="15.75" thickBot="1" x14ac:dyDescent="0.3">
      <c r="A233" t="s">
        <v>586</v>
      </c>
      <c r="C233" s="45" t="s">
        <v>605</v>
      </c>
      <c r="D233" t="s">
        <v>606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1177</v>
      </c>
      <c r="L233" s="17">
        <f t="shared" si="14"/>
        <v>27</v>
      </c>
      <c r="M233" s="17">
        <f t="shared" si="15"/>
        <v>1</v>
      </c>
      <c r="N233" s="18">
        <f t="shared" si="16"/>
        <v>0.9642857142857143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 t="s">
        <v>1343</v>
      </c>
      <c r="AJ233" s="27"/>
      <c r="AK233" s="8"/>
      <c r="AL233" s="8"/>
      <c r="AM233" s="8"/>
      <c r="AN233" s="27"/>
      <c r="AO233" s="8"/>
      <c r="AP233" s="8"/>
      <c r="AQ233" s="27"/>
      <c r="AR233" s="27"/>
    </row>
    <row r="234" spans="1:44" ht="15.75" thickBot="1" x14ac:dyDescent="0.3">
      <c r="C234" s="45" t="s">
        <v>607</v>
      </c>
      <c r="D234" t="s">
        <v>608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1178</v>
      </c>
      <c r="L234" s="17">
        <f t="shared" si="14"/>
        <v>28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</row>
    <row r="235" spans="1:44" ht="15.75" thickBot="1" x14ac:dyDescent="0.3">
      <c r="A235" t="s">
        <v>609</v>
      </c>
      <c r="C235" s="45" t="s">
        <v>610</v>
      </c>
      <c r="D235" t="s">
        <v>611</v>
      </c>
      <c r="E235" t="s">
        <v>24</v>
      </c>
      <c r="F235" t="s">
        <v>36</v>
      </c>
      <c r="G235"/>
      <c r="H235" t="s">
        <v>612</v>
      </c>
      <c r="I235" s="16">
        <v>-347813810000</v>
      </c>
      <c r="J235" s="16">
        <v>-582945970000</v>
      </c>
      <c r="K235" s="16" t="s">
        <v>1179</v>
      </c>
      <c r="L235" s="17">
        <f t="shared" si="14"/>
        <v>28</v>
      </c>
      <c r="M235" s="17">
        <f t="shared" si="15"/>
        <v>0</v>
      </c>
      <c r="N235" s="18">
        <f t="shared" si="16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</row>
    <row r="236" spans="1:44" ht="15.75" thickBot="1" x14ac:dyDescent="0.3">
      <c r="A236" t="s">
        <v>609</v>
      </c>
      <c r="C236" s="45" t="s">
        <v>613</v>
      </c>
      <c r="D236" t="s">
        <v>611</v>
      </c>
      <c r="E236" t="s">
        <v>113</v>
      </c>
      <c r="F236" t="s">
        <v>36</v>
      </c>
      <c r="G236"/>
      <c r="H236" t="s">
        <v>614</v>
      </c>
      <c r="I236" s="16">
        <v>-347813820000</v>
      </c>
      <c r="J236" s="16">
        <v>-582946080000</v>
      </c>
      <c r="K236" s="16" t="s">
        <v>1180</v>
      </c>
      <c r="L236" s="17">
        <f t="shared" si="14"/>
        <v>27</v>
      </c>
      <c r="M236" s="17">
        <f t="shared" si="15"/>
        <v>1</v>
      </c>
      <c r="N236" s="18">
        <f t="shared" si="16"/>
        <v>0.9642857142857143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 t="s">
        <v>1343</v>
      </c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</row>
    <row r="237" spans="1:44" ht="15.75" thickBot="1" x14ac:dyDescent="0.3">
      <c r="A237" t="s">
        <v>609</v>
      </c>
      <c r="C237" s="45" t="s">
        <v>615</v>
      </c>
      <c r="D237" t="s">
        <v>611</v>
      </c>
      <c r="E237" t="s">
        <v>113</v>
      </c>
      <c r="F237" t="s">
        <v>36</v>
      </c>
      <c r="G237"/>
      <c r="H237" t="s">
        <v>614</v>
      </c>
      <c r="I237" s="16">
        <v>-347813760000</v>
      </c>
      <c r="J237" s="16">
        <v>-582945930000</v>
      </c>
      <c r="K237" s="16" t="s">
        <v>1181</v>
      </c>
      <c r="L237" s="17">
        <f t="shared" si="14"/>
        <v>28</v>
      </c>
      <c r="M237" s="17">
        <f t="shared" si="15"/>
        <v>0</v>
      </c>
      <c r="N237" s="18">
        <f t="shared" si="16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</row>
    <row r="238" spans="1:44" ht="15.75" thickBot="1" x14ac:dyDescent="0.3">
      <c r="A238" t="s">
        <v>609</v>
      </c>
      <c r="C238" s="45" t="s">
        <v>616</v>
      </c>
      <c r="D238" t="s">
        <v>617</v>
      </c>
      <c r="E238" t="s">
        <v>19</v>
      </c>
      <c r="F238" t="s">
        <v>25</v>
      </c>
      <c r="G238" t="s">
        <v>185</v>
      </c>
      <c r="H238" t="s">
        <v>618</v>
      </c>
      <c r="I238" s="16">
        <v>-347871630000</v>
      </c>
      <c r="J238" s="16">
        <v>-582901360000</v>
      </c>
      <c r="K238" s="16" t="s">
        <v>1176</v>
      </c>
      <c r="L238" s="17">
        <f t="shared" si="14"/>
        <v>28</v>
      </c>
      <c r="M238" s="17">
        <f t="shared" si="15"/>
        <v>0</v>
      </c>
      <c r="N238" s="18">
        <f t="shared" si="16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</row>
    <row r="239" spans="1:44" ht="15.75" thickBot="1" x14ac:dyDescent="0.3">
      <c r="A239" t="s">
        <v>619</v>
      </c>
      <c r="C239" s="45" t="s">
        <v>620</v>
      </c>
      <c r="D239" t="s">
        <v>621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1182</v>
      </c>
      <c r="L239" s="17">
        <f t="shared" si="14"/>
        <v>28</v>
      </c>
      <c r="M239" s="17">
        <f t="shared" si="15"/>
        <v>0</v>
      </c>
      <c r="N239" s="18">
        <f t="shared" si="16"/>
        <v>1</v>
      </c>
      <c r="O239" s="27"/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</row>
    <row r="240" spans="1:44" ht="15.75" thickBot="1" x14ac:dyDescent="0.3">
      <c r="A240" t="s">
        <v>619</v>
      </c>
      <c r="C240" s="45" t="s">
        <v>622</v>
      </c>
      <c r="D240" t="s">
        <v>621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1183</v>
      </c>
      <c r="L240" s="17">
        <f t="shared" si="14"/>
        <v>27</v>
      </c>
      <c r="M240" s="17">
        <f t="shared" si="15"/>
        <v>1</v>
      </c>
      <c r="N240" s="18">
        <f t="shared" si="16"/>
        <v>0.9642857142857143</v>
      </c>
      <c r="O240" s="27"/>
      <c r="P240" s="8"/>
      <c r="Q240" s="8"/>
      <c r="R240" s="8"/>
      <c r="S240" s="27"/>
      <c r="T240" s="27"/>
      <c r="U240" s="8"/>
      <c r="V240" s="8"/>
      <c r="W240" s="8"/>
      <c r="X240" s="27"/>
      <c r="Y240" s="27" t="s">
        <v>1343</v>
      </c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</row>
    <row r="241" spans="1:44" ht="15.75" thickBot="1" x14ac:dyDescent="0.3">
      <c r="A241" t="s">
        <v>609</v>
      </c>
      <c r="C241" s="45" t="s">
        <v>623</v>
      </c>
      <c r="D241" t="s">
        <v>624</v>
      </c>
      <c r="E241" t="s">
        <v>113</v>
      </c>
      <c r="F241" t="s">
        <v>36</v>
      </c>
      <c r="G241" t="s">
        <v>625</v>
      </c>
      <c r="H241"/>
      <c r="I241" s="16">
        <v>-347831700000</v>
      </c>
      <c r="J241" s="16">
        <v>-582932590000</v>
      </c>
      <c r="K241" s="16" t="s">
        <v>1184</v>
      </c>
      <c r="L241" s="17">
        <f t="shared" si="14"/>
        <v>18</v>
      </c>
      <c r="M241" s="17">
        <f t="shared" si="15"/>
        <v>10</v>
      </c>
      <c r="N241" s="18">
        <f t="shared" si="16"/>
        <v>0.6428571428571429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 t="s">
        <v>1343</v>
      </c>
      <c r="Z241" s="27"/>
      <c r="AA241" s="27"/>
      <c r="AB241" s="27"/>
      <c r="AC241" s="27" t="s">
        <v>1343</v>
      </c>
      <c r="AD241" s="27" t="s">
        <v>1343</v>
      </c>
      <c r="AE241" s="27" t="s">
        <v>1343</v>
      </c>
      <c r="AF241" s="27" t="s">
        <v>1343</v>
      </c>
      <c r="AG241" s="27" t="s">
        <v>1343</v>
      </c>
      <c r="AH241" s="27" t="s">
        <v>1343</v>
      </c>
      <c r="AI241" s="27" t="s">
        <v>1343</v>
      </c>
      <c r="AJ241" s="27" t="s">
        <v>1343</v>
      </c>
      <c r="AK241" s="8" t="s">
        <v>1343</v>
      </c>
      <c r="AL241" s="8"/>
      <c r="AM241" s="8"/>
      <c r="AN241" s="27"/>
      <c r="AO241" s="8"/>
      <c r="AP241" s="8"/>
      <c r="AQ241" s="27"/>
      <c r="AR241" s="27"/>
    </row>
    <row r="242" spans="1:44" ht="15.75" thickBot="1" x14ac:dyDescent="0.3">
      <c r="A242" t="s">
        <v>609</v>
      </c>
      <c r="C242" s="45" t="s">
        <v>626</v>
      </c>
      <c r="D242" t="s">
        <v>624</v>
      </c>
      <c r="E242" t="s">
        <v>113</v>
      </c>
      <c r="F242" t="s">
        <v>36</v>
      </c>
      <c r="G242" t="s">
        <v>625</v>
      </c>
      <c r="H242"/>
      <c r="I242" s="16">
        <v>-347832580000</v>
      </c>
      <c r="J242" s="16">
        <v>-582932170000</v>
      </c>
      <c r="K242" s="16" t="s">
        <v>1185</v>
      </c>
      <c r="L242" s="17">
        <f t="shared" si="14"/>
        <v>19</v>
      </c>
      <c r="M242" s="17">
        <f t="shared" si="15"/>
        <v>9</v>
      </c>
      <c r="N242" s="18">
        <f t="shared" si="16"/>
        <v>0.6785714285714286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 t="s">
        <v>1343</v>
      </c>
      <c r="AD242" s="27" t="s">
        <v>1343</v>
      </c>
      <c r="AE242" s="27" t="s">
        <v>1343</v>
      </c>
      <c r="AF242" s="27" t="s">
        <v>1343</v>
      </c>
      <c r="AG242" s="27" t="s">
        <v>1343</v>
      </c>
      <c r="AH242" s="27" t="s">
        <v>1343</v>
      </c>
      <c r="AI242" s="27" t="s">
        <v>1343</v>
      </c>
      <c r="AJ242" s="27" t="s">
        <v>1343</v>
      </c>
      <c r="AK242" s="8" t="s">
        <v>1343</v>
      </c>
      <c r="AL242" s="8"/>
      <c r="AM242" s="8"/>
      <c r="AN242" s="27"/>
      <c r="AO242" s="8"/>
      <c r="AP242" s="8"/>
      <c r="AQ242" s="27"/>
      <c r="AR242" s="27"/>
    </row>
    <row r="243" spans="1:44" ht="15.75" thickBot="1" x14ac:dyDescent="0.3">
      <c r="A243" t="s">
        <v>609</v>
      </c>
      <c r="C243" s="45" t="s">
        <v>627</v>
      </c>
      <c r="D243" t="s">
        <v>628</v>
      </c>
      <c r="E243" t="s">
        <v>113</v>
      </c>
      <c r="F243" t="s">
        <v>36</v>
      </c>
      <c r="G243" t="s">
        <v>629</v>
      </c>
      <c r="H243"/>
      <c r="I243" s="16">
        <v>-347819280000</v>
      </c>
      <c r="J243" s="16">
        <v>-582932800000</v>
      </c>
      <c r="K243" s="16" t="s">
        <v>1186</v>
      </c>
      <c r="L243" s="17">
        <f t="shared" si="14"/>
        <v>19</v>
      </c>
      <c r="M243" s="17">
        <f t="shared" si="15"/>
        <v>9</v>
      </c>
      <c r="N243" s="18">
        <f t="shared" si="16"/>
        <v>0.6785714285714286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 t="s">
        <v>1343</v>
      </c>
      <c r="AD243" s="27" t="s">
        <v>1343</v>
      </c>
      <c r="AE243" s="27" t="s">
        <v>1343</v>
      </c>
      <c r="AF243" s="27" t="s">
        <v>1343</v>
      </c>
      <c r="AG243" s="27" t="s">
        <v>1343</v>
      </c>
      <c r="AH243" s="27" t="s">
        <v>1343</v>
      </c>
      <c r="AI243" s="27" t="s">
        <v>1343</v>
      </c>
      <c r="AJ243" s="27" t="s">
        <v>1343</v>
      </c>
      <c r="AK243" s="8" t="s">
        <v>1343</v>
      </c>
      <c r="AL243" s="8"/>
      <c r="AM243" s="8"/>
      <c r="AN243" s="27"/>
      <c r="AO243" s="8"/>
      <c r="AP243" s="8"/>
      <c r="AQ243" s="27"/>
      <c r="AR243" s="27"/>
    </row>
    <row r="244" spans="1:44" ht="15.75" thickBot="1" x14ac:dyDescent="0.3">
      <c r="A244" t="s">
        <v>609</v>
      </c>
      <c r="C244" s="45" t="s">
        <v>630</v>
      </c>
      <c r="D244" t="s">
        <v>628</v>
      </c>
      <c r="E244" t="s">
        <v>113</v>
      </c>
      <c r="F244" t="s">
        <v>36</v>
      </c>
      <c r="G244" t="s">
        <v>629</v>
      </c>
      <c r="H244"/>
      <c r="I244" s="16">
        <v>-347819190000</v>
      </c>
      <c r="J244" s="16">
        <v>-582932910000</v>
      </c>
      <c r="K244" s="16" t="s">
        <v>1187</v>
      </c>
      <c r="L244" s="17">
        <f t="shared" si="14"/>
        <v>18</v>
      </c>
      <c r="M244" s="17">
        <f t="shared" si="15"/>
        <v>10</v>
      </c>
      <c r="N244" s="18">
        <f t="shared" si="16"/>
        <v>0.6428571428571429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 t="s">
        <v>1343</v>
      </c>
      <c r="Z244" s="27"/>
      <c r="AA244" s="27"/>
      <c r="AB244" s="27"/>
      <c r="AC244" s="27" t="s">
        <v>1343</v>
      </c>
      <c r="AD244" s="27" t="s">
        <v>1343</v>
      </c>
      <c r="AE244" s="27" t="s">
        <v>1343</v>
      </c>
      <c r="AF244" s="27" t="s">
        <v>1343</v>
      </c>
      <c r="AG244" s="27" t="s">
        <v>1343</v>
      </c>
      <c r="AH244" s="27" t="s">
        <v>1343</v>
      </c>
      <c r="AI244" s="27" t="s">
        <v>1343</v>
      </c>
      <c r="AJ244" s="27" t="s">
        <v>1343</v>
      </c>
      <c r="AK244" s="8" t="s">
        <v>1343</v>
      </c>
      <c r="AL244" s="8"/>
      <c r="AM244" s="8"/>
      <c r="AN244" s="27"/>
      <c r="AO244" s="8"/>
      <c r="AP244" s="8"/>
      <c r="AQ244" s="27"/>
      <c r="AR244" s="27"/>
    </row>
    <row r="245" spans="1:44" ht="15.75" thickBot="1" x14ac:dyDescent="0.3">
      <c r="A245" t="s">
        <v>619</v>
      </c>
      <c r="C245" s="45" t="s">
        <v>1327</v>
      </c>
      <c r="D245" t="s">
        <v>1328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1344</v>
      </c>
      <c r="L245" s="17">
        <f t="shared" si="14"/>
        <v>28</v>
      </c>
      <c r="M245" s="17">
        <f t="shared" si="15"/>
        <v>0</v>
      </c>
      <c r="N245" s="18">
        <f t="shared" si="16"/>
        <v>1</v>
      </c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</row>
    <row r="246" spans="1:44" ht="15.75" thickBot="1" x14ac:dyDescent="0.3">
      <c r="A246" t="s">
        <v>609</v>
      </c>
      <c r="C246" s="45" t="s">
        <v>1329</v>
      </c>
      <c r="D246" t="s">
        <v>1330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1345</v>
      </c>
      <c r="L246" s="17">
        <f t="shared" si="14"/>
        <v>18</v>
      </c>
      <c r="M246" s="17">
        <f t="shared" si="15"/>
        <v>10</v>
      </c>
      <c r="N246" s="18">
        <f t="shared" si="16"/>
        <v>0.6428571428571429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 t="s">
        <v>1343</v>
      </c>
      <c r="Z246" s="27"/>
      <c r="AA246" s="27"/>
      <c r="AB246" s="27"/>
      <c r="AC246" s="27" t="s">
        <v>1343</v>
      </c>
      <c r="AD246" s="27" t="s">
        <v>1343</v>
      </c>
      <c r="AE246" s="27" t="s">
        <v>1343</v>
      </c>
      <c r="AF246" s="27" t="s">
        <v>1343</v>
      </c>
      <c r="AG246" s="27" t="s">
        <v>1343</v>
      </c>
      <c r="AH246" s="27" t="s">
        <v>1343</v>
      </c>
      <c r="AI246" s="27" t="s">
        <v>1343</v>
      </c>
      <c r="AJ246" s="27" t="s">
        <v>1343</v>
      </c>
      <c r="AK246" s="27" t="s">
        <v>1343</v>
      </c>
      <c r="AL246" s="27"/>
      <c r="AM246" s="27"/>
      <c r="AN246" s="27"/>
      <c r="AO246" s="27"/>
      <c r="AP246" s="27"/>
      <c r="AQ246" s="27"/>
      <c r="AR246" s="27"/>
    </row>
    <row r="247" spans="1:44" ht="15.75" thickBot="1" x14ac:dyDescent="0.3">
      <c r="A247" t="s">
        <v>310</v>
      </c>
      <c r="C247" s="45" t="s">
        <v>631</v>
      </c>
      <c r="D247" t="s">
        <v>632</v>
      </c>
      <c r="E247" t="s">
        <v>19</v>
      </c>
      <c r="F247" t="s">
        <v>25</v>
      </c>
      <c r="G247"/>
      <c r="H247" t="s">
        <v>633</v>
      </c>
      <c r="I247" s="16">
        <v>-348247270000</v>
      </c>
      <c r="J247" s="16">
        <v>-582923280000</v>
      </c>
      <c r="K247" s="16" t="s">
        <v>1190</v>
      </c>
      <c r="L247" s="17">
        <f t="shared" si="14"/>
        <v>27</v>
      </c>
      <c r="M247" s="17">
        <f t="shared" si="15"/>
        <v>1</v>
      </c>
      <c r="N247" s="18">
        <f t="shared" si="16"/>
        <v>0.9642857142857143</v>
      </c>
      <c r="O247" s="27"/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 t="s">
        <v>1343</v>
      </c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</row>
    <row r="248" spans="1:44" ht="15.75" thickBot="1" x14ac:dyDescent="0.3">
      <c r="A248" t="s">
        <v>310</v>
      </c>
      <c r="C248" s="45" t="s">
        <v>634</v>
      </c>
      <c r="D248" t="s">
        <v>635</v>
      </c>
      <c r="E248" t="s">
        <v>19</v>
      </c>
      <c r="F248" t="s">
        <v>25</v>
      </c>
      <c r="G248"/>
      <c r="H248" t="s">
        <v>633</v>
      </c>
      <c r="I248" s="16">
        <v>-348165060000</v>
      </c>
      <c r="J248" s="16">
        <v>-582994990000</v>
      </c>
      <c r="K248" s="16" t="s">
        <v>1192</v>
      </c>
      <c r="L248" s="17">
        <f t="shared" si="14"/>
        <v>28</v>
      </c>
      <c r="M248" s="17">
        <f t="shared" si="15"/>
        <v>0</v>
      </c>
      <c r="N248" s="18">
        <f t="shared" si="16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</row>
    <row r="249" spans="1:44" ht="15.75" thickBot="1" x14ac:dyDescent="0.3">
      <c r="A249" t="s">
        <v>310</v>
      </c>
      <c r="C249" s="45" t="s">
        <v>636</v>
      </c>
      <c r="D249" t="s">
        <v>637</v>
      </c>
      <c r="E249" t="s">
        <v>24</v>
      </c>
      <c r="F249" t="s">
        <v>25</v>
      </c>
      <c r="G249" t="s">
        <v>165</v>
      </c>
      <c r="H249"/>
      <c r="I249" s="16">
        <v>-348184850000</v>
      </c>
      <c r="J249" s="16">
        <v>-583019920000</v>
      </c>
      <c r="K249" s="16" t="s">
        <v>1188</v>
      </c>
      <c r="L249" s="17">
        <f t="shared" si="14"/>
        <v>28</v>
      </c>
      <c r="M249" s="17">
        <f t="shared" si="15"/>
        <v>0</v>
      </c>
      <c r="N249" s="18">
        <f t="shared" si="16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</row>
    <row r="250" spans="1:44" ht="15.75" thickBot="1" x14ac:dyDescent="0.3">
      <c r="A250" t="s">
        <v>310</v>
      </c>
      <c r="C250" s="45" t="s">
        <v>638</v>
      </c>
      <c r="D250" t="s">
        <v>639</v>
      </c>
      <c r="E250" t="s">
        <v>24</v>
      </c>
      <c r="F250" t="s">
        <v>25</v>
      </c>
      <c r="G250" t="s">
        <v>185</v>
      </c>
      <c r="H250" t="s">
        <v>640</v>
      </c>
      <c r="I250" s="16">
        <v>-348155560000</v>
      </c>
      <c r="J250" s="16">
        <v>-582959460000</v>
      </c>
      <c r="K250" s="16" t="s">
        <v>1189</v>
      </c>
      <c r="L250" s="17">
        <f t="shared" si="14"/>
        <v>28</v>
      </c>
      <c r="M250" s="17">
        <f t="shared" si="15"/>
        <v>0</v>
      </c>
      <c r="N250" s="18">
        <f t="shared" si="16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</row>
    <row r="251" spans="1:44" ht="15.75" thickBot="1" x14ac:dyDescent="0.3">
      <c r="A251" t="s">
        <v>310</v>
      </c>
      <c r="B251" s="62">
        <v>44634</v>
      </c>
      <c r="C251" s="63" t="s">
        <v>641</v>
      </c>
      <c r="D251" t="s">
        <v>642</v>
      </c>
      <c r="E251" t="s">
        <v>113</v>
      </c>
      <c r="F251" t="s">
        <v>36</v>
      </c>
      <c r="G251"/>
      <c r="H251" t="s">
        <v>522</v>
      </c>
      <c r="I251" s="16">
        <v>-348174220000</v>
      </c>
      <c r="J251" s="16">
        <v>-582945170000</v>
      </c>
      <c r="K251" s="16" t="s">
        <v>1193</v>
      </c>
      <c r="L251" s="17">
        <f t="shared" si="14"/>
        <v>28</v>
      </c>
      <c r="M251" s="17">
        <f t="shared" si="15"/>
        <v>0</v>
      </c>
      <c r="N251" s="18">
        <f t="shared" si="16"/>
        <v>1</v>
      </c>
      <c r="O251" s="27"/>
      <c r="P251" s="8"/>
      <c r="Q251" s="8"/>
      <c r="R251" s="8"/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</row>
    <row r="252" spans="1:44" ht="15.75" thickBot="1" x14ac:dyDescent="0.3">
      <c r="A252" t="s">
        <v>310</v>
      </c>
      <c r="B252" s="62">
        <v>44634</v>
      </c>
      <c r="C252" s="63" t="s">
        <v>643</v>
      </c>
      <c r="D252" t="s">
        <v>642</v>
      </c>
      <c r="E252" t="s">
        <v>113</v>
      </c>
      <c r="F252" t="s">
        <v>36</v>
      </c>
      <c r="G252"/>
      <c r="H252" t="s">
        <v>522</v>
      </c>
      <c r="I252" s="16">
        <v>-348174220000</v>
      </c>
      <c r="J252" s="16">
        <v>-582945170000</v>
      </c>
      <c r="K252" s="16" t="s">
        <v>1194</v>
      </c>
      <c r="L252" s="17">
        <f t="shared" si="14"/>
        <v>28</v>
      </c>
      <c r="M252" s="17">
        <f t="shared" si="15"/>
        <v>0</v>
      </c>
      <c r="N252" s="18">
        <f t="shared" si="16"/>
        <v>1</v>
      </c>
      <c r="O252" s="27"/>
      <c r="P252" s="8"/>
      <c r="Q252" s="8"/>
      <c r="R252" s="8"/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</row>
    <row r="253" spans="1:44" ht="15.75" thickBot="1" x14ac:dyDescent="0.3">
      <c r="A253" t="s">
        <v>310</v>
      </c>
      <c r="B253" s="62">
        <v>44634</v>
      </c>
      <c r="C253" s="63" t="s">
        <v>644</v>
      </c>
      <c r="D253" t="s">
        <v>645</v>
      </c>
      <c r="E253" t="s">
        <v>113</v>
      </c>
      <c r="F253" t="s">
        <v>36</v>
      </c>
      <c r="G253"/>
      <c r="H253" t="s">
        <v>286</v>
      </c>
      <c r="I253" s="16">
        <v>-348145600000</v>
      </c>
      <c r="J253" s="16">
        <v>-582924490000</v>
      </c>
      <c r="K253" s="16" t="s">
        <v>1195</v>
      </c>
      <c r="L253" s="17">
        <f t="shared" si="14"/>
        <v>28</v>
      </c>
      <c r="M253" s="17">
        <f t="shared" si="15"/>
        <v>0</v>
      </c>
      <c r="N253" s="18">
        <f t="shared" si="16"/>
        <v>1</v>
      </c>
      <c r="O253" s="27"/>
      <c r="P253" s="8"/>
      <c r="Q253" s="8"/>
      <c r="R253" s="8"/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</row>
    <row r="254" spans="1:44" ht="15.75" thickBot="1" x14ac:dyDescent="0.3">
      <c r="A254" t="s">
        <v>310</v>
      </c>
      <c r="B254" s="62">
        <v>44634</v>
      </c>
      <c r="C254" s="63" t="s">
        <v>646</v>
      </c>
      <c r="D254" t="s">
        <v>645</v>
      </c>
      <c r="E254" t="s">
        <v>113</v>
      </c>
      <c r="F254" t="s">
        <v>36</v>
      </c>
      <c r="G254"/>
      <c r="H254" t="s">
        <v>286</v>
      </c>
      <c r="I254" s="16">
        <v>-348145600000</v>
      </c>
      <c r="J254" s="16">
        <v>-582924490000</v>
      </c>
      <c r="K254" s="16" t="s">
        <v>1196</v>
      </c>
      <c r="L254" s="17">
        <f t="shared" si="14"/>
        <v>28</v>
      </c>
      <c r="M254" s="17">
        <f t="shared" si="15"/>
        <v>0</v>
      </c>
      <c r="N254" s="18">
        <f t="shared" si="16"/>
        <v>1</v>
      </c>
      <c r="O254" s="27"/>
      <c r="P254" s="8"/>
      <c r="Q254" s="8"/>
      <c r="R254" s="8"/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</row>
    <row r="255" spans="1:44" ht="15.75" thickBot="1" x14ac:dyDescent="0.3">
      <c r="A255" t="s">
        <v>647</v>
      </c>
      <c r="C255" s="45" t="s">
        <v>648</v>
      </c>
      <c r="D255" t="s">
        <v>649</v>
      </c>
      <c r="E255" t="s">
        <v>24</v>
      </c>
      <c r="F255" t="s">
        <v>25</v>
      </c>
      <c r="G255" t="s">
        <v>650</v>
      </c>
      <c r="H255" t="s">
        <v>651</v>
      </c>
      <c r="I255" s="16">
        <v>-348007570000</v>
      </c>
      <c r="J255" s="16">
        <v>-582391960000</v>
      </c>
      <c r="K255" s="16" t="s">
        <v>1197</v>
      </c>
      <c r="L255" s="17">
        <f t="shared" si="14"/>
        <v>28</v>
      </c>
      <c r="M255" s="17">
        <f t="shared" si="15"/>
        <v>0</v>
      </c>
      <c r="N255" s="18">
        <f t="shared" si="16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</row>
    <row r="256" spans="1:44" ht="15.75" thickBot="1" x14ac:dyDescent="0.3">
      <c r="C256" s="45" t="s">
        <v>652</v>
      </c>
      <c r="D256" t="s">
        <v>653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1200</v>
      </c>
      <c r="L256" s="17">
        <f t="shared" si="14"/>
        <v>28</v>
      </c>
      <c r="M256" s="17">
        <f t="shared" si="15"/>
        <v>0</v>
      </c>
      <c r="N256" s="18">
        <f t="shared" si="16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</row>
    <row r="257" spans="1:44" ht="15.75" thickBot="1" x14ac:dyDescent="0.3">
      <c r="A257" t="s">
        <v>654</v>
      </c>
      <c r="C257" s="45" t="s">
        <v>655</v>
      </c>
      <c r="D257" t="s">
        <v>656</v>
      </c>
      <c r="E257" t="s">
        <v>73</v>
      </c>
      <c r="F257" t="s">
        <v>25</v>
      </c>
      <c r="G257" t="s">
        <v>657</v>
      </c>
      <c r="H257" t="s">
        <v>658</v>
      </c>
      <c r="I257" s="16">
        <v>-348119330000</v>
      </c>
      <c r="J257" s="16">
        <v>-582583640000</v>
      </c>
      <c r="K257" s="16" t="s">
        <v>1201</v>
      </c>
      <c r="L257" s="17">
        <f t="shared" si="14"/>
        <v>28</v>
      </c>
      <c r="M257" s="17">
        <f t="shared" si="15"/>
        <v>0</v>
      </c>
      <c r="N257" s="18">
        <f t="shared" si="16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</row>
    <row r="258" spans="1:44" ht="15.75" thickBot="1" x14ac:dyDescent="0.3">
      <c r="A258" t="s">
        <v>654</v>
      </c>
      <c r="C258" s="45" t="s">
        <v>659</v>
      </c>
      <c r="D258" t="s">
        <v>660</v>
      </c>
      <c r="E258" t="s">
        <v>19</v>
      </c>
      <c r="F258" t="s">
        <v>36</v>
      </c>
      <c r="G258"/>
      <c r="H258" t="s">
        <v>341</v>
      </c>
      <c r="I258" s="16">
        <v>-348167840000</v>
      </c>
      <c r="J258" s="16">
        <v>-582534370000</v>
      </c>
      <c r="K258" s="16" t="s">
        <v>1203</v>
      </c>
      <c r="L258" s="17">
        <f t="shared" si="14"/>
        <v>27</v>
      </c>
      <c r="M258" s="17">
        <f t="shared" si="15"/>
        <v>1</v>
      </c>
      <c r="N258" s="18">
        <f t="shared" si="16"/>
        <v>0.9642857142857143</v>
      </c>
      <c r="O258" s="27" t="s">
        <v>1343</v>
      </c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</row>
    <row r="259" spans="1:44" ht="15.75" thickBot="1" x14ac:dyDescent="0.3">
      <c r="A259" t="s">
        <v>654</v>
      </c>
      <c r="C259" s="45" t="s">
        <v>661</v>
      </c>
      <c r="D259" t="s">
        <v>662</v>
      </c>
      <c r="E259" t="s">
        <v>19</v>
      </c>
      <c r="F259" t="s">
        <v>36</v>
      </c>
      <c r="G259"/>
      <c r="H259" t="s">
        <v>341</v>
      </c>
      <c r="I259" s="16">
        <v>-348194100000</v>
      </c>
      <c r="J259" s="16">
        <v>-582514340000</v>
      </c>
      <c r="K259" s="16" t="s">
        <v>1204</v>
      </c>
      <c r="L259" s="17">
        <f t="shared" si="14"/>
        <v>28</v>
      </c>
      <c r="M259" s="17">
        <f t="shared" si="15"/>
        <v>0</v>
      </c>
      <c r="N259" s="18">
        <f t="shared" si="16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</row>
    <row r="260" spans="1:44" ht="15.75" thickBot="1" x14ac:dyDescent="0.3">
      <c r="A260" t="s">
        <v>654</v>
      </c>
      <c r="C260" s="45" t="s">
        <v>663</v>
      </c>
      <c r="D260" t="s">
        <v>664</v>
      </c>
      <c r="E260" t="s">
        <v>19</v>
      </c>
      <c r="F260" t="s">
        <v>25</v>
      </c>
      <c r="G260" t="s">
        <v>185</v>
      </c>
      <c r="H260"/>
      <c r="I260" s="16">
        <v>-348119410000</v>
      </c>
      <c r="J260" s="16">
        <v>-582582760000</v>
      </c>
      <c r="K260" s="16" t="s">
        <v>1198</v>
      </c>
      <c r="L260" s="17">
        <f t="shared" si="14"/>
        <v>28</v>
      </c>
      <c r="M260" s="17">
        <f t="shared" si="15"/>
        <v>0</v>
      </c>
      <c r="N260" s="18">
        <f t="shared" si="16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</row>
    <row r="261" spans="1:44" ht="15.75" thickBot="1" x14ac:dyDescent="0.3">
      <c r="A261" t="s">
        <v>654</v>
      </c>
      <c r="B261" s="59">
        <v>44629</v>
      </c>
      <c r="C261" s="61" t="s">
        <v>665</v>
      </c>
      <c r="D261" t="s">
        <v>666</v>
      </c>
      <c r="E261" t="s">
        <v>24</v>
      </c>
      <c r="F261" t="s">
        <v>25</v>
      </c>
      <c r="G261" t="s">
        <v>185</v>
      </c>
      <c r="H261"/>
      <c r="I261" s="16">
        <v>-348150360000</v>
      </c>
      <c r="J261" s="16">
        <v>-582549730000</v>
      </c>
      <c r="K261" s="16" t="s">
        <v>1199</v>
      </c>
      <c r="L261" s="17">
        <f t="shared" si="14"/>
        <v>27</v>
      </c>
      <c r="M261" s="17">
        <f t="shared" si="15"/>
        <v>1</v>
      </c>
      <c r="N261" s="18">
        <f t="shared" si="16"/>
        <v>0.9642857142857143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 t="s">
        <v>1343</v>
      </c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</row>
    <row r="262" spans="1:44" ht="15.75" thickBot="1" x14ac:dyDescent="0.3">
      <c r="A262" t="s">
        <v>654</v>
      </c>
      <c r="C262" s="45" t="s">
        <v>667</v>
      </c>
      <c r="D262" t="s">
        <v>668</v>
      </c>
      <c r="E262" t="s">
        <v>19</v>
      </c>
      <c r="F262" t="s">
        <v>944</v>
      </c>
      <c r="G262"/>
      <c r="H262" t="s">
        <v>669</v>
      </c>
      <c r="I262" s="16">
        <v>-348150250000</v>
      </c>
      <c r="J262" s="16">
        <v>-582640890000</v>
      </c>
      <c r="K262" s="16" t="s">
        <v>1202</v>
      </c>
      <c r="L262" s="17">
        <f t="shared" si="14"/>
        <v>27</v>
      </c>
      <c r="M262" s="17">
        <f t="shared" si="15"/>
        <v>1</v>
      </c>
      <c r="N262" s="18">
        <f t="shared" si="16"/>
        <v>0.9642857142857143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 t="s">
        <v>1343</v>
      </c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</row>
    <row r="263" spans="1:44" ht="15.75" thickBot="1" x14ac:dyDescent="0.3">
      <c r="A263" t="s">
        <v>258</v>
      </c>
      <c r="C263" s="45" t="s">
        <v>670</v>
      </c>
      <c r="D263" t="s">
        <v>671</v>
      </c>
      <c r="E263" t="s">
        <v>113</v>
      </c>
      <c r="F263" t="s">
        <v>36</v>
      </c>
      <c r="G263"/>
      <c r="H263" t="s">
        <v>672</v>
      </c>
      <c r="I263" s="16">
        <v>-348003780000</v>
      </c>
      <c r="J263" s="16">
        <v>-582918660000</v>
      </c>
      <c r="K263" s="16" t="s">
        <v>1205</v>
      </c>
      <c r="L263" s="17">
        <f t="shared" ref="L263:L326" si="17">COUNTIF(O263:AP263,"")</f>
        <v>28</v>
      </c>
      <c r="M263" s="17">
        <f t="shared" ref="M263:M326" si="18">COUNTIF(O263:AP263,"APAGADO")</f>
        <v>0</v>
      </c>
      <c r="N263" s="18">
        <f t="shared" ref="N263:N326" si="19">(L263)/(M263+L263)</f>
        <v>1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</row>
    <row r="264" spans="1:44" ht="15.75" thickBot="1" x14ac:dyDescent="0.3">
      <c r="A264" t="s">
        <v>258</v>
      </c>
      <c r="C264" s="45" t="s">
        <v>673</v>
      </c>
      <c r="D264" t="s">
        <v>671</v>
      </c>
      <c r="E264" t="s">
        <v>113</v>
      </c>
      <c r="F264" t="s">
        <v>36</v>
      </c>
      <c r="G264"/>
      <c r="H264" t="s">
        <v>672</v>
      </c>
      <c r="I264" s="16">
        <v>-348003590000</v>
      </c>
      <c r="J264" s="16">
        <v>-582918370000</v>
      </c>
      <c r="K264" s="16" t="s">
        <v>1206</v>
      </c>
      <c r="L264" s="17">
        <f t="shared" si="17"/>
        <v>28</v>
      </c>
      <c r="M264" s="17">
        <f t="shared" si="18"/>
        <v>0</v>
      </c>
      <c r="N264" s="18">
        <f t="shared" si="19"/>
        <v>1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</row>
    <row r="265" spans="1:44" ht="15.75" thickBot="1" x14ac:dyDescent="0.3">
      <c r="A265" t="s">
        <v>258</v>
      </c>
      <c r="C265" s="45" t="s">
        <v>674</v>
      </c>
      <c r="D265" t="s">
        <v>675</v>
      </c>
      <c r="E265" t="s">
        <v>113</v>
      </c>
      <c r="F265" t="s">
        <v>36</v>
      </c>
      <c r="G265"/>
      <c r="H265" t="s">
        <v>270</v>
      </c>
      <c r="I265" s="16">
        <v>-348013110000</v>
      </c>
      <c r="J265" s="16">
        <v>-582936040000</v>
      </c>
      <c r="K265" s="16" t="s">
        <v>1207</v>
      </c>
      <c r="L265" s="17">
        <f t="shared" si="17"/>
        <v>28</v>
      </c>
      <c r="M265" s="17">
        <f t="shared" si="18"/>
        <v>0</v>
      </c>
      <c r="N265" s="18">
        <f t="shared" si="19"/>
        <v>1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</row>
    <row r="266" spans="1:44" ht="15.75" thickBot="1" x14ac:dyDescent="0.3">
      <c r="A266" t="s">
        <v>258</v>
      </c>
      <c r="C266" s="45" t="s">
        <v>676</v>
      </c>
      <c r="D266" t="s">
        <v>675</v>
      </c>
      <c r="E266" t="s">
        <v>113</v>
      </c>
      <c r="F266" t="s">
        <v>36</v>
      </c>
      <c r="G266"/>
      <c r="H266" t="s">
        <v>672</v>
      </c>
      <c r="I266" s="16">
        <v>-348013110000</v>
      </c>
      <c r="J266" s="16">
        <v>-582936040000</v>
      </c>
      <c r="K266" s="16" t="s">
        <v>1208</v>
      </c>
      <c r="L266" s="17">
        <f t="shared" si="17"/>
        <v>28</v>
      </c>
      <c r="M266" s="17">
        <f t="shared" si="18"/>
        <v>0</v>
      </c>
      <c r="N266" s="18">
        <f t="shared" si="19"/>
        <v>1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</row>
    <row r="267" spans="1:44" ht="15.75" thickBot="1" x14ac:dyDescent="0.3">
      <c r="A267" t="s">
        <v>677</v>
      </c>
      <c r="C267" s="45" t="s">
        <v>678</v>
      </c>
      <c r="D267" t="s">
        <v>679</v>
      </c>
      <c r="E267" t="s">
        <v>19</v>
      </c>
      <c r="F267" t="s">
        <v>25</v>
      </c>
      <c r="G267"/>
      <c r="H267" t="s">
        <v>633</v>
      </c>
      <c r="I267" s="16">
        <v>-348253350000</v>
      </c>
      <c r="J267" s="16">
        <v>-582845700000</v>
      </c>
      <c r="K267" s="16" t="s">
        <v>1215</v>
      </c>
      <c r="L267" s="17">
        <f t="shared" si="17"/>
        <v>28</v>
      </c>
      <c r="M267" s="17">
        <f t="shared" si="18"/>
        <v>0</v>
      </c>
      <c r="N267" s="18">
        <f t="shared" si="19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</row>
    <row r="268" spans="1:44" ht="15.75" thickBot="1" x14ac:dyDescent="0.3">
      <c r="A268" t="s">
        <v>677</v>
      </c>
      <c r="C268" s="45" t="s">
        <v>680</v>
      </c>
      <c r="D268" t="s">
        <v>681</v>
      </c>
      <c r="E268" t="s">
        <v>24</v>
      </c>
      <c r="F268" t="s">
        <v>36</v>
      </c>
      <c r="G268" t="s">
        <v>682</v>
      </c>
      <c r="H268"/>
      <c r="I268" s="16">
        <v>-348241790000</v>
      </c>
      <c r="J268" s="16">
        <v>-582823410000</v>
      </c>
      <c r="K268" s="16" t="s">
        <v>1216</v>
      </c>
      <c r="L268" s="17">
        <f t="shared" si="17"/>
        <v>28</v>
      </c>
      <c r="M268" s="17">
        <f t="shared" si="18"/>
        <v>0</v>
      </c>
      <c r="N268" s="18">
        <f t="shared" si="19"/>
        <v>1</v>
      </c>
      <c r="O268" s="27"/>
      <c r="P268" s="8"/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</row>
    <row r="269" spans="1:44" ht="15.75" thickBot="1" x14ac:dyDescent="0.3">
      <c r="A269" t="s">
        <v>677</v>
      </c>
      <c r="C269" s="45" t="s">
        <v>683</v>
      </c>
      <c r="D269" t="s">
        <v>684</v>
      </c>
      <c r="E269" t="s">
        <v>24</v>
      </c>
      <c r="F269" t="s">
        <v>36</v>
      </c>
      <c r="G269" t="s">
        <v>682</v>
      </c>
      <c r="H269"/>
      <c r="I269" s="16">
        <v>-348222800000</v>
      </c>
      <c r="J269" s="16">
        <v>-582835650000</v>
      </c>
      <c r="K269" s="16" t="s">
        <v>1217</v>
      </c>
      <c r="L269" s="17">
        <f t="shared" si="17"/>
        <v>28</v>
      </c>
      <c r="M269" s="17">
        <f t="shared" si="18"/>
        <v>0</v>
      </c>
      <c r="N269" s="18">
        <f t="shared" si="19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</row>
    <row r="270" spans="1:44" ht="15.75" thickBot="1" x14ac:dyDescent="0.3">
      <c r="A270" t="s">
        <v>677</v>
      </c>
      <c r="C270" s="45" t="s">
        <v>685</v>
      </c>
      <c r="D270" t="s">
        <v>686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1218</v>
      </c>
      <c r="L270" s="17">
        <f t="shared" si="17"/>
        <v>27</v>
      </c>
      <c r="M270" s="17">
        <f t="shared" si="18"/>
        <v>1</v>
      </c>
      <c r="N270" s="18">
        <f t="shared" si="19"/>
        <v>0.9642857142857143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 t="s">
        <v>1343</v>
      </c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</row>
    <row r="271" spans="1:44" ht="15.75" thickBot="1" x14ac:dyDescent="0.3">
      <c r="A271" t="s">
        <v>677</v>
      </c>
      <c r="C271" s="45" t="s">
        <v>687</v>
      </c>
      <c r="D271" t="s">
        <v>688</v>
      </c>
      <c r="E271" t="s">
        <v>19</v>
      </c>
      <c r="F271" t="s">
        <v>25</v>
      </c>
      <c r="G271"/>
      <c r="H271" t="s">
        <v>689</v>
      </c>
      <c r="I271" s="16">
        <v>-348290430000</v>
      </c>
      <c r="J271" s="16">
        <v>-582797810000</v>
      </c>
      <c r="K271" s="16" t="s">
        <v>1191</v>
      </c>
      <c r="L271" s="17">
        <f t="shared" si="17"/>
        <v>28</v>
      </c>
      <c r="M271" s="17">
        <f t="shared" si="18"/>
        <v>0</v>
      </c>
      <c r="N271" s="18">
        <f t="shared" si="19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</row>
    <row r="272" spans="1:44" ht="15.75" thickBot="1" x14ac:dyDescent="0.3">
      <c r="A272" t="s">
        <v>677</v>
      </c>
      <c r="B272" s="59">
        <v>44629</v>
      </c>
      <c r="C272" s="61" t="s">
        <v>690</v>
      </c>
      <c r="D272" t="s">
        <v>691</v>
      </c>
      <c r="E272" t="s">
        <v>19</v>
      </c>
      <c r="F272" t="s">
        <v>25</v>
      </c>
      <c r="G272"/>
      <c r="H272" t="s">
        <v>692</v>
      </c>
      <c r="I272" s="16">
        <v>-348289520000</v>
      </c>
      <c r="J272" s="16">
        <v>-582878780000</v>
      </c>
      <c r="K272" s="16" t="s">
        <v>1219</v>
      </c>
      <c r="L272" s="17">
        <f t="shared" si="17"/>
        <v>26</v>
      </c>
      <c r="M272" s="17">
        <f t="shared" si="18"/>
        <v>2</v>
      </c>
      <c r="N272" s="18">
        <f t="shared" si="19"/>
        <v>0.9285714285714286</v>
      </c>
      <c r="O272" s="27" t="s">
        <v>1343</v>
      </c>
      <c r="P272" s="8"/>
      <c r="Q272" s="8"/>
      <c r="R272" s="8"/>
      <c r="S272" s="27"/>
      <c r="T272" s="27"/>
      <c r="U272" s="8"/>
      <c r="V272" s="8"/>
      <c r="W272" s="8"/>
      <c r="X272" s="27" t="s">
        <v>1343</v>
      </c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</row>
    <row r="273" spans="1:44" ht="15.75" thickBot="1" x14ac:dyDescent="0.3">
      <c r="A273" t="s">
        <v>677</v>
      </c>
      <c r="B273" s="62">
        <v>44634</v>
      </c>
      <c r="C273" s="63" t="s">
        <v>693</v>
      </c>
      <c r="D273" t="s">
        <v>694</v>
      </c>
      <c r="E273" t="s">
        <v>113</v>
      </c>
      <c r="F273" t="s">
        <v>36</v>
      </c>
      <c r="G273"/>
      <c r="H273" t="s">
        <v>695</v>
      </c>
      <c r="I273" s="16">
        <v>-348214110000</v>
      </c>
      <c r="J273" s="16">
        <v>-582806410000</v>
      </c>
      <c r="K273" s="16" t="s">
        <v>1223</v>
      </c>
      <c r="L273" s="17">
        <f t="shared" si="17"/>
        <v>28</v>
      </c>
      <c r="M273" s="17">
        <f t="shared" si="18"/>
        <v>0</v>
      </c>
      <c r="N273" s="18">
        <f t="shared" si="19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</row>
    <row r="274" spans="1:44" ht="15.75" thickBot="1" x14ac:dyDescent="0.3">
      <c r="A274" t="s">
        <v>677</v>
      </c>
      <c r="B274" s="62">
        <v>44634</v>
      </c>
      <c r="C274" s="63" t="s">
        <v>696</v>
      </c>
      <c r="D274" t="s">
        <v>694</v>
      </c>
      <c r="E274" t="s">
        <v>113</v>
      </c>
      <c r="F274" t="s">
        <v>36</v>
      </c>
      <c r="G274"/>
      <c r="H274" t="s">
        <v>695</v>
      </c>
      <c r="I274" s="16">
        <v>-348214480000</v>
      </c>
      <c r="J274" s="16">
        <v>-582806290000</v>
      </c>
      <c r="K274" s="16" t="s">
        <v>1224</v>
      </c>
      <c r="L274" s="17">
        <f t="shared" si="17"/>
        <v>28</v>
      </c>
      <c r="M274" s="17">
        <f t="shared" si="18"/>
        <v>0</v>
      </c>
      <c r="N274" s="18">
        <f t="shared" si="19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</row>
    <row r="275" spans="1:44" ht="15.75" thickBot="1" x14ac:dyDescent="0.3">
      <c r="A275" t="s">
        <v>677</v>
      </c>
      <c r="C275" s="45" t="s">
        <v>697</v>
      </c>
      <c r="D275" t="s">
        <v>923</v>
      </c>
      <c r="E275" t="s">
        <v>24</v>
      </c>
      <c r="F275" t="s">
        <v>25</v>
      </c>
      <c r="G275" t="s">
        <v>364</v>
      </c>
      <c r="H275"/>
      <c r="I275" s="16">
        <v>-348304140000</v>
      </c>
      <c r="J275" s="16">
        <v>-582906680000</v>
      </c>
      <c r="K275" s="16" t="s">
        <v>1211</v>
      </c>
      <c r="L275" s="17">
        <f t="shared" si="17"/>
        <v>28</v>
      </c>
      <c r="M275" s="17">
        <f t="shared" si="18"/>
        <v>0</v>
      </c>
      <c r="N275" s="18">
        <f t="shared" si="19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</row>
    <row r="276" spans="1:44" ht="15.75" thickBot="1" x14ac:dyDescent="0.3">
      <c r="A276" t="s">
        <v>538</v>
      </c>
      <c r="C276" s="45" t="s">
        <v>698</v>
      </c>
      <c r="D276" t="s">
        <v>699</v>
      </c>
      <c r="E276" t="s">
        <v>24</v>
      </c>
      <c r="F276" t="s">
        <v>25</v>
      </c>
      <c r="G276" t="s">
        <v>161</v>
      </c>
      <c r="H276"/>
      <c r="I276" s="16">
        <v>-348364740000</v>
      </c>
      <c r="J276" s="16">
        <v>-583002200000</v>
      </c>
      <c r="K276" s="16" t="s">
        <v>1212</v>
      </c>
      <c r="L276" s="17">
        <f t="shared" si="17"/>
        <v>28</v>
      </c>
      <c r="M276" s="17">
        <f t="shared" si="18"/>
        <v>0</v>
      </c>
      <c r="N276" s="18">
        <f t="shared" si="19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</row>
    <row r="277" spans="1:44" ht="15.75" thickBot="1" x14ac:dyDescent="0.3">
      <c r="A277" t="s">
        <v>677</v>
      </c>
      <c r="C277" s="45" t="s">
        <v>700</v>
      </c>
      <c r="D277" t="s">
        <v>701</v>
      </c>
      <c r="E277" t="s">
        <v>24</v>
      </c>
      <c r="F277" t="s">
        <v>25</v>
      </c>
      <c r="G277" t="s">
        <v>702</v>
      </c>
      <c r="H277"/>
      <c r="I277" s="16">
        <v>-348289220000</v>
      </c>
      <c r="J277" s="16">
        <v>-582776430000</v>
      </c>
      <c r="K277" s="16" t="s">
        <v>1213</v>
      </c>
      <c r="L277" s="17">
        <f t="shared" si="17"/>
        <v>28</v>
      </c>
      <c r="M277" s="17">
        <f t="shared" si="18"/>
        <v>0</v>
      </c>
      <c r="N277" s="18">
        <f t="shared" si="19"/>
        <v>1</v>
      </c>
      <c r="O277" s="27"/>
      <c r="P277" s="8"/>
      <c r="Q277" s="8"/>
      <c r="R277" s="8"/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</row>
    <row r="278" spans="1:44" ht="15.75" thickBot="1" x14ac:dyDescent="0.3">
      <c r="A278" t="s">
        <v>677</v>
      </c>
      <c r="C278" s="45" t="s">
        <v>703</v>
      </c>
      <c r="D278" t="s">
        <v>704</v>
      </c>
      <c r="E278" t="s">
        <v>24</v>
      </c>
      <c r="F278" t="s">
        <v>25</v>
      </c>
      <c r="G278" t="s">
        <v>705</v>
      </c>
      <c r="H278"/>
      <c r="I278" s="16">
        <v>-348208590000</v>
      </c>
      <c r="J278" s="16">
        <v>-582810870000</v>
      </c>
      <c r="K278" s="16" t="s">
        <v>1214</v>
      </c>
      <c r="L278" s="17">
        <f t="shared" si="17"/>
        <v>28</v>
      </c>
      <c r="M278" s="17">
        <f t="shared" si="18"/>
        <v>0</v>
      </c>
      <c r="N278" s="18">
        <f t="shared" si="19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</row>
    <row r="279" spans="1:44" ht="15.75" thickBot="1" x14ac:dyDescent="0.3">
      <c r="A279" t="s">
        <v>677</v>
      </c>
      <c r="C279" s="45" t="s">
        <v>706</v>
      </c>
      <c r="D279" t="s">
        <v>707</v>
      </c>
      <c r="E279" t="s">
        <v>19</v>
      </c>
      <c r="F279" t="s">
        <v>25</v>
      </c>
      <c r="G279"/>
      <c r="H279" t="s">
        <v>708</v>
      </c>
      <c r="I279" s="16">
        <v>-348280830000</v>
      </c>
      <c r="J279" s="16">
        <v>-582861650000</v>
      </c>
      <c r="K279" s="16" t="s">
        <v>1209</v>
      </c>
      <c r="L279" s="17">
        <f t="shared" si="17"/>
        <v>26</v>
      </c>
      <c r="M279" s="17">
        <f t="shared" si="18"/>
        <v>2</v>
      </c>
      <c r="N279" s="18">
        <f t="shared" si="19"/>
        <v>0.9285714285714286</v>
      </c>
      <c r="O279" s="27" t="s">
        <v>1343</v>
      </c>
      <c r="P279" s="8"/>
      <c r="Q279" s="8"/>
      <c r="R279" s="8"/>
      <c r="S279" s="27"/>
      <c r="T279" s="27"/>
      <c r="U279" s="8"/>
      <c r="V279" s="8"/>
      <c r="W279" s="8"/>
      <c r="X279" s="27" t="s">
        <v>1343</v>
      </c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</row>
    <row r="280" spans="1:44" ht="15.75" thickBot="1" x14ac:dyDescent="0.3">
      <c r="A280" t="s">
        <v>677</v>
      </c>
      <c r="C280" s="45" t="s">
        <v>709</v>
      </c>
      <c r="D280" t="s">
        <v>710</v>
      </c>
      <c r="E280" t="s">
        <v>19</v>
      </c>
      <c r="F280" t="s">
        <v>25</v>
      </c>
      <c r="G280"/>
      <c r="H280" t="s">
        <v>708</v>
      </c>
      <c r="I280" s="16">
        <v>-348340000000</v>
      </c>
      <c r="J280" s="16">
        <v>-582878750000</v>
      </c>
      <c r="K280" s="16" t="s">
        <v>1210</v>
      </c>
      <c r="L280" s="17">
        <f t="shared" si="17"/>
        <v>28</v>
      </c>
      <c r="M280" s="17">
        <f t="shared" si="18"/>
        <v>0</v>
      </c>
      <c r="N280" s="18">
        <f t="shared" si="19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</row>
    <row r="281" spans="1:44" ht="15.75" thickBot="1" x14ac:dyDescent="0.3">
      <c r="A281" t="s">
        <v>538</v>
      </c>
      <c r="B281" s="62">
        <v>44634</v>
      </c>
      <c r="C281" s="63" t="s">
        <v>711</v>
      </c>
      <c r="D281" t="s">
        <v>712</v>
      </c>
      <c r="E281" t="s">
        <v>113</v>
      </c>
      <c r="F281" t="s">
        <v>20</v>
      </c>
      <c r="G281"/>
      <c r="H281" t="s">
        <v>270</v>
      </c>
      <c r="I281" s="16">
        <v>-348335600000</v>
      </c>
      <c r="J281" s="16">
        <v>-582946050000</v>
      </c>
      <c r="K281" s="16" t="s">
        <v>1220</v>
      </c>
      <c r="L281" s="17">
        <f t="shared" si="17"/>
        <v>26</v>
      </c>
      <c r="M281" s="17">
        <f t="shared" si="18"/>
        <v>2</v>
      </c>
      <c r="N281" s="18">
        <f t="shared" si="19"/>
        <v>0.9285714285714286</v>
      </c>
      <c r="O281" s="27"/>
      <c r="P281" s="8"/>
      <c r="Q281" s="8"/>
      <c r="R281" s="8"/>
      <c r="S281" s="27"/>
      <c r="T281" s="27"/>
      <c r="U281" s="8" t="s">
        <v>1343</v>
      </c>
      <c r="V281" s="8"/>
      <c r="W281" s="8" t="s">
        <v>1343</v>
      </c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</row>
    <row r="282" spans="1:44" ht="15.75" thickBot="1" x14ac:dyDescent="0.3">
      <c r="A282" t="s">
        <v>538</v>
      </c>
      <c r="B282" s="62">
        <v>44634</v>
      </c>
      <c r="C282" s="63" t="s">
        <v>713</v>
      </c>
      <c r="D282" t="s">
        <v>712</v>
      </c>
      <c r="E282" t="s">
        <v>113</v>
      </c>
      <c r="F282" t="s">
        <v>20</v>
      </c>
      <c r="G282"/>
      <c r="H282" t="s">
        <v>270</v>
      </c>
      <c r="I282" s="16">
        <v>-348335740000</v>
      </c>
      <c r="J282" s="16">
        <v>-582946270000</v>
      </c>
      <c r="K282" s="16" t="s">
        <v>1221</v>
      </c>
      <c r="L282" s="17">
        <f t="shared" si="17"/>
        <v>26</v>
      </c>
      <c r="M282" s="17">
        <f t="shared" si="18"/>
        <v>2</v>
      </c>
      <c r="N282" s="18">
        <f t="shared" si="19"/>
        <v>0.9285714285714286</v>
      </c>
      <c r="O282" s="27"/>
      <c r="P282" s="8"/>
      <c r="Q282" s="8"/>
      <c r="R282" s="8"/>
      <c r="S282" s="27"/>
      <c r="T282" s="27"/>
      <c r="U282" s="8" t="s">
        <v>1343</v>
      </c>
      <c r="V282" s="8"/>
      <c r="W282" s="8" t="s">
        <v>1343</v>
      </c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</row>
    <row r="283" spans="1:44" ht="15.75" thickBot="1" x14ac:dyDescent="0.3">
      <c r="A283" t="s">
        <v>677</v>
      </c>
      <c r="C283" s="45" t="s">
        <v>714</v>
      </c>
      <c r="D283" t="s">
        <v>715</v>
      </c>
      <c r="E283" t="s">
        <v>19</v>
      </c>
      <c r="F283" t="s">
        <v>36</v>
      </c>
      <c r="G283"/>
      <c r="H283" t="s">
        <v>716</v>
      </c>
      <c r="I283" s="16">
        <v>-348275750000</v>
      </c>
      <c r="J283" s="16">
        <v>-582788330000</v>
      </c>
      <c r="K283" s="16" t="s">
        <v>1222</v>
      </c>
      <c r="L283" s="17">
        <f t="shared" si="17"/>
        <v>19</v>
      </c>
      <c r="M283" s="17">
        <f t="shared" si="18"/>
        <v>9</v>
      </c>
      <c r="N283" s="18">
        <f t="shared" si="19"/>
        <v>0.6785714285714286</v>
      </c>
      <c r="O283" s="27" t="s">
        <v>1343</v>
      </c>
      <c r="P283" s="8"/>
      <c r="Q283" s="8"/>
      <c r="R283" s="8"/>
      <c r="S283" s="27" t="s">
        <v>1343</v>
      </c>
      <c r="T283" s="27" t="s">
        <v>1343</v>
      </c>
      <c r="U283" s="8" t="s">
        <v>1343</v>
      </c>
      <c r="V283" s="8" t="s">
        <v>1343</v>
      </c>
      <c r="W283" s="8" t="s">
        <v>1343</v>
      </c>
      <c r="X283" s="27"/>
      <c r="Y283" s="27" t="s">
        <v>1343</v>
      </c>
      <c r="Z283" s="27" t="s">
        <v>1343</v>
      </c>
      <c r="AA283" s="27" t="s">
        <v>1343</v>
      </c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</row>
    <row r="284" spans="1:44" ht="15.75" thickBot="1" x14ac:dyDescent="0.3">
      <c r="A284" t="s">
        <v>677</v>
      </c>
      <c r="C284" s="45" t="s">
        <v>717</v>
      </c>
      <c r="D284" t="s">
        <v>718</v>
      </c>
      <c r="E284" t="s">
        <v>113</v>
      </c>
      <c r="F284" t="s">
        <v>36</v>
      </c>
      <c r="G284" t="s">
        <v>629</v>
      </c>
      <c r="H284" t="s">
        <v>719</v>
      </c>
      <c r="I284" s="16">
        <v>-348258430000</v>
      </c>
      <c r="J284" s="16">
        <v>-582890260000</v>
      </c>
      <c r="K284" s="16" t="s">
        <v>1225</v>
      </c>
      <c r="L284" s="17">
        <f t="shared" si="17"/>
        <v>26</v>
      </c>
      <c r="M284" s="17">
        <f t="shared" si="18"/>
        <v>2</v>
      </c>
      <c r="N284" s="18">
        <f t="shared" si="19"/>
        <v>0.9285714285714286</v>
      </c>
      <c r="O284" s="27"/>
      <c r="P284" s="8"/>
      <c r="Q284" s="8"/>
      <c r="R284" s="8"/>
      <c r="S284" s="27"/>
      <c r="T284" s="27"/>
      <c r="U284" s="8" t="s">
        <v>1343</v>
      </c>
      <c r="V284" s="8" t="s">
        <v>1343</v>
      </c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</row>
    <row r="285" spans="1:44" ht="15.75" thickBot="1" x14ac:dyDescent="0.3">
      <c r="A285" t="s">
        <v>677</v>
      </c>
      <c r="C285" s="45" t="s">
        <v>720</v>
      </c>
      <c r="D285" t="s">
        <v>718</v>
      </c>
      <c r="E285" t="s">
        <v>113</v>
      </c>
      <c r="F285" t="s">
        <v>36</v>
      </c>
      <c r="G285" t="s">
        <v>629</v>
      </c>
      <c r="H285" t="s">
        <v>719</v>
      </c>
      <c r="I285" s="16">
        <v>-348258430000</v>
      </c>
      <c r="J285" s="16">
        <v>-582889510000</v>
      </c>
      <c r="K285" s="16" t="s">
        <v>1226</v>
      </c>
      <c r="L285" s="17">
        <f t="shared" si="17"/>
        <v>26</v>
      </c>
      <c r="M285" s="17">
        <f t="shared" si="18"/>
        <v>2</v>
      </c>
      <c r="N285" s="18">
        <f t="shared" si="19"/>
        <v>0.9285714285714286</v>
      </c>
      <c r="O285" s="27"/>
      <c r="P285" s="8"/>
      <c r="Q285" s="8"/>
      <c r="R285" s="8"/>
      <c r="S285" s="27"/>
      <c r="T285" s="27"/>
      <c r="U285" s="8" t="s">
        <v>1343</v>
      </c>
      <c r="V285" s="8" t="s">
        <v>1343</v>
      </c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</row>
    <row r="286" spans="1:44" ht="15.75" thickBot="1" x14ac:dyDescent="0.3">
      <c r="A286" t="s">
        <v>549</v>
      </c>
      <c r="C286" s="45" t="s">
        <v>721</v>
      </c>
      <c r="D286" t="s">
        <v>722</v>
      </c>
      <c r="E286" t="s">
        <v>113</v>
      </c>
      <c r="F286" t="s">
        <v>36</v>
      </c>
      <c r="G286"/>
      <c r="H286" t="s">
        <v>672</v>
      </c>
      <c r="I286" s="16">
        <v>-348182670000</v>
      </c>
      <c r="J286" s="16">
        <v>-582049970000</v>
      </c>
      <c r="K286" s="16" t="s">
        <v>1227</v>
      </c>
      <c r="L286" s="17">
        <f t="shared" si="17"/>
        <v>28</v>
      </c>
      <c r="M286" s="17">
        <f t="shared" si="18"/>
        <v>0</v>
      </c>
      <c r="N286" s="18">
        <f t="shared" si="19"/>
        <v>1</v>
      </c>
      <c r="O286" s="27"/>
      <c r="P286" s="8"/>
      <c r="Q286" s="8"/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</row>
    <row r="287" spans="1:44" ht="15.75" thickBot="1" x14ac:dyDescent="0.3">
      <c r="A287" t="s">
        <v>549</v>
      </c>
      <c r="C287" s="45" t="s">
        <v>723</v>
      </c>
      <c r="D287" t="s">
        <v>722</v>
      </c>
      <c r="E287" t="s">
        <v>113</v>
      </c>
      <c r="F287" t="s">
        <v>36</v>
      </c>
      <c r="G287"/>
      <c r="H287" t="s">
        <v>672</v>
      </c>
      <c r="I287" s="16">
        <v>-348182670000</v>
      </c>
      <c r="J287" s="16">
        <v>-582049970000</v>
      </c>
      <c r="K287" s="16" t="s">
        <v>1228</v>
      </c>
      <c r="L287" s="17">
        <f t="shared" si="17"/>
        <v>28</v>
      </c>
      <c r="M287" s="17">
        <f t="shared" si="18"/>
        <v>0</v>
      </c>
      <c r="N287" s="18">
        <f t="shared" si="19"/>
        <v>1</v>
      </c>
      <c r="O287" s="27"/>
      <c r="P287" s="8"/>
      <c r="Q287" s="8"/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</row>
    <row r="288" spans="1:44" ht="15.75" thickBot="1" x14ac:dyDescent="0.3">
      <c r="A288" t="s">
        <v>724</v>
      </c>
      <c r="C288" s="45" t="s">
        <v>725</v>
      </c>
      <c r="D288" t="s">
        <v>726</v>
      </c>
      <c r="E288" t="s">
        <v>24</v>
      </c>
      <c r="F288" t="s">
        <v>944</v>
      </c>
      <c r="G288" t="s">
        <v>727</v>
      </c>
      <c r="H288"/>
      <c r="I288" s="16">
        <v>-347888010000</v>
      </c>
      <c r="J288" s="16">
        <v>-582597900000</v>
      </c>
      <c r="K288" s="16" t="s">
        <v>1229</v>
      </c>
      <c r="L288" s="17">
        <f t="shared" si="17"/>
        <v>26</v>
      </c>
      <c r="M288" s="17">
        <f t="shared" si="18"/>
        <v>2</v>
      </c>
      <c r="N288" s="18">
        <f t="shared" si="19"/>
        <v>0.9285714285714286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 t="s">
        <v>1343</v>
      </c>
      <c r="AD288" s="27"/>
      <c r="AE288" s="27" t="s">
        <v>1343</v>
      </c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</row>
    <row r="289" spans="1:44" ht="16.899999999999999" customHeight="1" thickBot="1" x14ac:dyDescent="0.3">
      <c r="A289" t="s">
        <v>724</v>
      </c>
      <c r="C289" s="45" t="s">
        <v>728</v>
      </c>
      <c r="D289" t="s">
        <v>729</v>
      </c>
      <c r="E289" t="s">
        <v>24</v>
      </c>
      <c r="F289" t="s">
        <v>36</v>
      </c>
      <c r="G289" t="s">
        <v>367</v>
      </c>
      <c r="H289"/>
      <c r="I289" s="16">
        <v>-347926510000</v>
      </c>
      <c r="J289" s="16">
        <v>-582499030000</v>
      </c>
      <c r="K289" s="16" t="s">
        <v>1230</v>
      </c>
      <c r="L289" s="17">
        <f t="shared" si="17"/>
        <v>17</v>
      </c>
      <c r="M289" s="17">
        <f t="shared" si="18"/>
        <v>11</v>
      </c>
      <c r="N289" s="18">
        <f t="shared" si="19"/>
        <v>0.6071428571428571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 t="s">
        <v>1343</v>
      </c>
      <c r="AB289" s="27" t="s">
        <v>1343</v>
      </c>
      <c r="AC289" s="27" t="s">
        <v>1343</v>
      </c>
      <c r="AD289" s="27" t="s">
        <v>1343</v>
      </c>
      <c r="AE289" s="27" t="s">
        <v>1343</v>
      </c>
      <c r="AF289" s="27" t="s">
        <v>1343</v>
      </c>
      <c r="AG289" s="27" t="s">
        <v>1343</v>
      </c>
      <c r="AH289" s="27" t="s">
        <v>1343</v>
      </c>
      <c r="AI289" s="27" t="s">
        <v>1343</v>
      </c>
      <c r="AJ289" s="27" t="s">
        <v>1343</v>
      </c>
      <c r="AK289" s="8" t="s">
        <v>1343</v>
      </c>
      <c r="AL289" s="8"/>
      <c r="AM289" s="8"/>
      <c r="AN289" s="27"/>
      <c r="AO289" s="8"/>
      <c r="AP289" s="8"/>
      <c r="AQ289" s="27"/>
      <c r="AR289" s="27"/>
    </row>
    <row r="290" spans="1:44" ht="15.75" thickBot="1" x14ac:dyDescent="0.3">
      <c r="A290" t="s">
        <v>730</v>
      </c>
      <c r="C290" s="45" t="s">
        <v>731</v>
      </c>
      <c r="D290" t="s">
        <v>732</v>
      </c>
      <c r="E290" t="s">
        <v>24</v>
      </c>
      <c r="F290" t="s">
        <v>36</v>
      </c>
      <c r="G290" t="s">
        <v>367</v>
      </c>
      <c r="H290"/>
      <c r="I290" s="16">
        <v>-347955320000</v>
      </c>
      <c r="J290" s="16">
        <v>-582553260000</v>
      </c>
      <c r="K290" s="16" t="s">
        <v>1231</v>
      </c>
      <c r="L290" s="17">
        <f t="shared" si="17"/>
        <v>28</v>
      </c>
      <c r="M290" s="17">
        <f t="shared" si="18"/>
        <v>0</v>
      </c>
      <c r="N290" s="18">
        <f t="shared" si="19"/>
        <v>1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</row>
    <row r="291" spans="1:44" ht="15.75" thickBot="1" x14ac:dyDescent="0.3">
      <c r="A291" t="s">
        <v>724</v>
      </c>
      <c r="C291" s="45" t="s">
        <v>733</v>
      </c>
      <c r="D291" t="s">
        <v>734</v>
      </c>
      <c r="E291" t="s">
        <v>19</v>
      </c>
      <c r="F291" t="s">
        <v>36</v>
      </c>
      <c r="G291" t="s">
        <v>735</v>
      </c>
      <c r="H291" t="s">
        <v>736</v>
      </c>
      <c r="I291" s="16">
        <v>-347933300000</v>
      </c>
      <c r="J291" s="16">
        <v>-582534600000</v>
      </c>
      <c r="K291" s="16" t="s">
        <v>1232</v>
      </c>
      <c r="L291" s="17">
        <f t="shared" si="17"/>
        <v>25</v>
      </c>
      <c r="M291" s="17">
        <f t="shared" si="18"/>
        <v>3</v>
      </c>
      <c r="N291" s="18">
        <f t="shared" si="19"/>
        <v>0.8928571428571429</v>
      </c>
      <c r="O291" s="27" t="s">
        <v>1343</v>
      </c>
      <c r="P291" s="8"/>
      <c r="Q291" s="8"/>
      <c r="R291" s="8" t="s">
        <v>1343</v>
      </c>
      <c r="S291" s="27" t="s">
        <v>1343</v>
      </c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</row>
    <row r="292" spans="1:44" ht="15.75" thickBot="1" x14ac:dyDescent="0.3">
      <c r="A292" t="s">
        <v>724</v>
      </c>
      <c r="C292" s="45" t="s">
        <v>737</v>
      </c>
      <c r="D292" t="s">
        <v>738</v>
      </c>
      <c r="E292" t="s">
        <v>24</v>
      </c>
      <c r="F292" t="s">
        <v>36</v>
      </c>
      <c r="G292" t="s">
        <v>367</v>
      </c>
      <c r="H292"/>
      <c r="I292" s="16">
        <v>-347941580000</v>
      </c>
      <c r="J292" s="16">
        <v>-582528380000</v>
      </c>
      <c r="K292" s="16" t="s">
        <v>1233</v>
      </c>
      <c r="L292" s="17">
        <f t="shared" si="17"/>
        <v>26</v>
      </c>
      <c r="M292" s="17">
        <f t="shared" si="18"/>
        <v>2</v>
      </c>
      <c r="N292" s="18">
        <f t="shared" si="19"/>
        <v>0.9285714285714286</v>
      </c>
      <c r="O292" s="27" t="s">
        <v>1343</v>
      </c>
      <c r="P292" s="8"/>
      <c r="Q292" s="8"/>
      <c r="R292" s="8" t="s">
        <v>1343</v>
      </c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</row>
    <row r="293" spans="1:44" ht="15.75" thickBot="1" x14ac:dyDescent="0.3">
      <c r="A293" t="s">
        <v>724</v>
      </c>
      <c r="C293" s="45" t="s">
        <v>739</v>
      </c>
      <c r="D293" t="s">
        <v>740</v>
      </c>
      <c r="E293" t="s">
        <v>19</v>
      </c>
      <c r="F293" t="s">
        <v>36</v>
      </c>
      <c r="G293" t="s">
        <v>735</v>
      </c>
      <c r="H293" t="s">
        <v>741</v>
      </c>
      <c r="I293" s="16">
        <v>-347928980000</v>
      </c>
      <c r="J293" s="16">
        <v>-582523980000</v>
      </c>
      <c r="K293" s="16" t="s">
        <v>1234</v>
      </c>
      <c r="L293" s="17">
        <f t="shared" si="17"/>
        <v>26</v>
      </c>
      <c r="M293" s="17">
        <f t="shared" si="18"/>
        <v>2</v>
      </c>
      <c r="N293" s="18">
        <f t="shared" si="19"/>
        <v>0.9285714285714286</v>
      </c>
      <c r="O293" s="27" t="s">
        <v>1343</v>
      </c>
      <c r="P293" s="8"/>
      <c r="Q293" s="8"/>
      <c r="R293" s="8" t="s">
        <v>1343</v>
      </c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</row>
    <row r="294" spans="1:44" ht="15.75" thickBot="1" x14ac:dyDescent="0.3">
      <c r="A294" t="s">
        <v>724</v>
      </c>
      <c r="C294" s="45" t="s">
        <v>742</v>
      </c>
      <c r="D294" t="s">
        <v>743</v>
      </c>
      <c r="E294" t="s">
        <v>24</v>
      </c>
      <c r="F294" t="s">
        <v>36</v>
      </c>
      <c r="G294" t="s">
        <v>367</v>
      </c>
      <c r="H294"/>
      <c r="I294" s="16">
        <v>-347936470000</v>
      </c>
      <c r="J294" s="16">
        <v>-582518290000</v>
      </c>
      <c r="K294" s="16" t="s">
        <v>1235</v>
      </c>
      <c r="L294" s="17">
        <f t="shared" si="17"/>
        <v>26</v>
      </c>
      <c r="M294" s="17">
        <f t="shared" si="18"/>
        <v>2</v>
      </c>
      <c r="N294" s="18">
        <f t="shared" si="19"/>
        <v>0.9285714285714286</v>
      </c>
      <c r="O294" s="27" t="s">
        <v>1343</v>
      </c>
      <c r="P294" s="8"/>
      <c r="Q294" s="8"/>
      <c r="R294" s="8" t="s">
        <v>1343</v>
      </c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</row>
    <row r="295" spans="1:44" ht="15.75" thickBot="1" x14ac:dyDescent="0.3">
      <c r="A295" t="s">
        <v>724</v>
      </c>
      <c r="C295" s="45" t="s">
        <v>744</v>
      </c>
      <c r="D295" t="s">
        <v>745</v>
      </c>
      <c r="E295" t="s">
        <v>24</v>
      </c>
      <c r="F295" t="s">
        <v>944</v>
      </c>
      <c r="G295" t="s">
        <v>735</v>
      </c>
      <c r="H295"/>
      <c r="I295" s="16">
        <v>-347917260000</v>
      </c>
      <c r="J295" s="16">
        <v>-582524730000</v>
      </c>
      <c r="K295" s="16" t="s">
        <v>1236</v>
      </c>
      <c r="L295" s="17">
        <f t="shared" si="17"/>
        <v>26</v>
      </c>
      <c r="M295" s="17">
        <f t="shared" si="18"/>
        <v>2</v>
      </c>
      <c r="N295" s="18">
        <f t="shared" si="19"/>
        <v>0.9285714285714286</v>
      </c>
      <c r="O295" s="27" t="s">
        <v>1343</v>
      </c>
      <c r="P295" s="8"/>
      <c r="Q295" s="8"/>
      <c r="R295" s="8" t="s">
        <v>1343</v>
      </c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</row>
    <row r="296" spans="1:44" ht="15.75" thickBot="1" x14ac:dyDescent="0.3">
      <c r="A296" t="s">
        <v>412</v>
      </c>
      <c r="C296" s="45" t="s">
        <v>746</v>
      </c>
      <c r="D296" t="s">
        <v>747</v>
      </c>
      <c r="E296" t="s">
        <v>24</v>
      </c>
      <c r="F296" t="s">
        <v>944</v>
      </c>
      <c r="G296" t="s">
        <v>161</v>
      </c>
      <c r="H296"/>
      <c r="I296" s="16">
        <v>-347867610000</v>
      </c>
      <c r="J296" s="16">
        <v>-582563190000</v>
      </c>
      <c r="K296" s="16" t="s">
        <v>1237</v>
      </c>
      <c r="L296" s="17">
        <f t="shared" si="17"/>
        <v>21</v>
      </c>
      <c r="M296" s="17">
        <f t="shared" si="18"/>
        <v>7</v>
      </c>
      <c r="N296" s="18">
        <f t="shared" si="19"/>
        <v>0.75</v>
      </c>
      <c r="O296" s="27" t="s">
        <v>1343</v>
      </c>
      <c r="P296" s="8"/>
      <c r="Q296" s="8"/>
      <c r="R296" s="8"/>
      <c r="S296" s="27"/>
      <c r="T296" s="27"/>
      <c r="U296" s="8" t="s">
        <v>1343</v>
      </c>
      <c r="V296" s="8" t="s">
        <v>1343</v>
      </c>
      <c r="W296" s="8" t="s">
        <v>1343</v>
      </c>
      <c r="X296" s="27" t="s">
        <v>1343</v>
      </c>
      <c r="Y296" s="27"/>
      <c r="Z296" s="27"/>
      <c r="AA296" s="27"/>
      <c r="AB296" s="27"/>
      <c r="AC296" s="27"/>
      <c r="AD296" s="27"/>
      <c r="AE296" s="27"/>
      <c r="AF296" s="27"/>
      <c r="AG296" s="27" t="s">
        <v>1343</v>
      </c>
      <c r="AH296" s="27" t="s">
        <v>1343</v>
      </c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</row>
    <row r="297" spans="1:44" ht="15.75" thickBot="1" x14ac:dyDescent="0.3">
      <c r="A297" t="s">
        <v>358</v>
      </c>
      <c r="C297" s="45" t="s">
        <v>748</v>
      </c>
      <c r="D297" t="s">
        <v>749</v>
      </c>
      <c r="E297" t="s">
        <v>24</v>
      </c>
      <c r="F297" t="s">
        <v>25</v>
      </c>
      <c r="G297" t="s">
        <v>750</v>
      </c>
      <c r="H297"/>
      <c r="I297" s="16">
        <v>-348145260000</v>
      </c>
      <c r="J297" s="16">
        <v>-583009670000</v>
      </c>
      <c r="K297" s="16" t="s">
        <v>1238</v>
      </c>
      <c r="L297" s="17">
        <f t="shared" si="17"/>
        <v>24</v>
      </c>
      <c r="M297" s="17">
        <f t="shared" si="18"/>
        <v>4</v>
      </c>
      <c r="N297" s="18">
        <f t="shared" si="19"/>
        <v>0.8571428571428571</v>
      </c>
      <c r="O297" s="27" t="s">
        <v>1343</v>
      </c>
      <c r="P297" s="8"/>
      <c r="Q297" s="8"/>
      <c r="R297" s="8"/>
      <c r="S297" s="27"/>
      <c r="T297" s="27"/>
      <c r="U297" s="8"/>
      <c r="V297" s="8" t="s">
        <v>1343</v>
      </c>
      <c r="W297" s="8" t="s">
        <v>1343</v>
      </c>
      <c r="X297" s="27" t="s">
        <v>1343</v>
      </c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</row>
    <row r="298" spans="1:44" ht="15.75" thickBot="1" x14ac:dyDescent="0.3">
      <c r="A298" t="s">
        <v>358</v>
      </c>
      <c r="C298" s="45" t="s">
        <v>751</v>
      </c>
      <c r="D298" t="s">
        <v>752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1239</v>
      </c>
      <c r="L298" s="17">
        <f t="shared" si="17"/>
        <v>28</v>
      </c>
      <c r="M298" s="17">
        <f t="shared" si="18"/>
        <v>0</v>
      </c>
      <c r="N298" s="18">
        <f t="shared" si="19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</row>
    <row r="299" spans="1:44" ht="15.75" thickBot="1" x14ac:dyDescent="0.3">
      <c r="A299" t="s">
        <v>358</v>
      </c>
      <c r="C299" s="45" t="s">
        <v>753</v>
      </c>
      <c r="D299" t="s">
        <v>754</v>
      </c>
      <c r="E299" t="s">
        <v>113</v>
      </c>
      <c r="F299" t="s">
        <v>20</v>
      </c>
      <c r="G299"/>
      <c r="H299" t="s">
        <v>270</v>
      </c>
      <c r="I299" s="16">
        <v>-348125630000</v>
      </c>
      <c r="J299" s="16">
        <v>-582971310000</v>
      </c>
      <c r="K299" s="16" t="s">
        <v>1240</v>
      </c>
      <c r="L299" s="17">
        <f t="shared" si="17"/>
        <v>28</v>
      </c>
      <c r="M299" s="17">
        <f t="shared" si="18"/>
        <v>0</v>
      </c>
      <c r="N299" s="18">
        <f t="shared" si="19"/>
        <v>1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</row>
    <row r="300" spans="1:44" ht="15.75" thickBot="1" x14ac:dyDescent="0.3">
      <c r="A300" t="s">
        <v>358</v>
      </c>
      <c r="C300" s="45" t="s">
        <v>755</v>
      </c>
      <c r="D300" t="s">
        <v>754</v>
      </c>
      <c r="E300" t="s">
        <v>113</v>
      </c>
      <c r="F300" t="s">
        <v>20</v>
      </c>
      <c r="G300"/>
      <c r="H300" t="s">
        <v>270</v>
      </c>
      <c r="I300" s="16">
        <v>-348125630000</v>
      </c>
      <c r="J300" s="16">
        <v>-582971310000</v>
      </c>
      <c r="K300" s="16" t="s">
        <v>1241</v>
      </c>
      <c r="L300" s="17">
        <f t="shared" si="17"/>
        <v>28</v>
      </c>
      <c r="M300" s="17">
        <f t="shared" si="18"/>
        <v>0</v>
      </c>
      <c r="N300" s="18">
        <f t="shared" si="19"/>
        <v>1</v>
      </c>
      <c r="O300" s="27"/>
      <c r="P300" s="8"/>
      <c r="Q300" s="8"/>
      <c r="R300" s="8"/>
      <c r="S300" s="27"/>
      <c r="T300" s="27"/>
      <c r="U300" s="8"/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</row>
    <row r="301" spans="1:44" ht="15.75" thickBot="1" x14ac:dyDescent="0.3">
      <c r="A301" t="s">
        <v>358</v>
      </c>
      <c r="C301" s="45" t="s">
        <v>756</v>
      </c>
      <c r="D301" t="s">
        <v>757</v>
      </c>
      <c r="E301" t="s">
        <v>113</v>
      </c>
      <c r="F301" t="s">
        <v>20</v>
      </c>
      <c r="G301"/>
      <c r="H301" t="s">
        <v>270</v>
      </c>
      <c r="I301" s="16">
        <v>-348125690000</v>
      </c>
      <c r="J301" s="16">
        <v>-582982090000</v>
      </c>
      <c r="K301" s="16" t="s">
        <v>1242</v>
      </c>
      <c r="L301" s="17">
        <f t="shared" si="17"/>
        <v>28</v>
      </c>
      <c r="M301" s="17">
        <f t="shared" si="18"/>
        <v>0</v>
      </c>
      <c r="N301" s="18">
        <f t="shared" si="19"/>
        <v>1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</row>
    <row r="302" spans="1:44" ht="15.75" thickBot="1" x14ac:dyDescent="0.3">
      <c r="A302" t="s">
        <v>358</v>
      </c>
      <c r="C302" s="45" t="s">
        <v>758</v>
      </c>
      <c r="D302" t="s">
        <v>757</v>
      </c>
      <c r="E302" t="s">
        <v>113</v>
      </c>
      <c r="F302" t="s">
        <v>20</v>
      </c>
      <c r="G302"/>
      <c r="H302" t="s">
        <v>270</v>
      </c>
      <c r="I302" s="16">
        <v>-348126020000</v>
      </c>
      <c r="J302" s="16">
        <v>-582981720000</v>
      </c>
      <c r="K302" s="16" t="s">
        <v>1243</v>
      </c>
      <c r="L302" s="17">
        <f t="shared" si="17"/>
        <v>28</v>
      </c>
      <c r="M302" s="17">
        <f t="shared" si="18"/>
        <v>0</v>
      </c>
      <c r="N302" s="18">
        <f t="shared" si="19"/>
        <v>1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</row>
    <row r="303" spans="1:44" ht="15.75" thickBot="1" x14ac:dyDescent="0.3">
      <c r="A303" t="s">
        <v>358</v>
      </c>
      <c r="C303" s="45" t="s">
        <v>759</v>
      </c>
      <c r="D303" t="s">
        <v>760</v>
      </c>
      <c r="E303" t="s">
        <v>19</v>
      </c>
      <c r="F303" t="s">
        <v>36</v>
      </c>
      <c r="G303"/>
      <c r="H303" t="s">
        <v>248</v>
      </c>
      <c r="I303" s="16">
        <v>-348088620000</v>
      </c>
      <c r="J303" s="16">
        <v>-583035370000</v>
      </c>
      <c r="K303" s="16" t="s">
        <v>1244</v>
      </c>
      <c r="L303" s="17">
        <f t="shared" si="17"/>
        <v>7</v>
      </c>
      <c r="M303" s="17">
        <f t="shared" si="18"/>
        <v>21</v>
      </c>
      <c r="N303" s="18">
        <f t="shared" si="19"/>
        <v>0.25</v>
      </c>
      <c r="O303" s="27" t="s">
        <v>1343</v>
      </c>
      <c r="P303" s="8"/>
      <c r="Q303" s="8"/>
      <c r="R303" s="8" t="s">
        <v>1343</v>
      </c>
      <c r="S303" s="27" t="s">
        <v>1343</v>
      </c>
      <c r="T303" s="27" t="s">
        <v>1343</v>
      </c>
      <c r="U303" s="8" t="s">
        <v>1343</v>
      </c>
      <c r="V303" s="8" t="s">
        <v>1343</v>
      </c>
      <c r="W303" s="8" t="s">
        <v>1343</v>
      </c>
      <c r="X303" s="27" t="s">
        <v>1343</v>
      </c>
      <c r="Y303" s="27" t="s">
        <v>1343</v>
      </c>
      <c r="Z303" s="27" t="s">
        <v>1343</v>
      </c>
      <c r="AA303" s="27" t="s">
        <v>1343</v>
      </c>
      <c r="AB303" s="27" t="s">
        <v>1343</v>
      </c>
      <c r="AC303" s="27" t="s">
        <v>1343</v>
      </c>
      <c r="AD303" s="27" t="s">
        <v>1343</v>
      </c>
      <c r="AE303" s="27" t="s">
        <v>1343</v>
      </c>
      <c r="AF303" s="27" t="s">
        <v>1343</v>
      </c>
      <c r="AG303" s="27" t="s">
        <v>1343</v>
      </c>
      <c r="AH303" s="27" t="s">
        <v>1343</v>
      </c>
      <c r="AI303" s="27" t="s">
        <v>1343</v>
      </c>
      <c r="AJ303" s="27" t="s">
        <v>1343</v>
      </c>
      <c r="AK303" s="8" t="s">
        <v>1343</v>
      </c>
      <c r="AL303" s="8"/>
      <c r="AM303" s="8"/>
      <c r="AN303" s="27"/>
      <c r="AO303" s="8"/>
      <c r="AP303" s="8"/>
      <c r="AQ303" s="27"/>
      <c r="AR303" s="27"/>
    </row>
    <row r="304" spans="1:44" ht="15.75" thickBot="1" x14ac:dyDescent="0.3">
      <c r="A304" t="s">
        <v>358</v>
      </c>
      <c r="B304" s="62">
        <v>44634</v>
      </c>
      <c r="C304" s="63" t="s">
        <v>761</v>
      </c>
      <c r="D304" t="s">
        <v>762</v>
      </c>
      <c r="E304" t="s">
        <v>113</v>
      </c>
      <c r="F304" t="s">
        <v>36</v>
      </c>
      <c r="G304"/>
      <c r="H304" t="s">
        <v>763</v>
      </c>
      <c r="I304" s="16">
        <v>-348105760000</v>
      </c>
      <c r="J304" s="16">
        <v>-583061370000</v>
      </c>
      <c r="K304" s="16" t="s">
        <v>1245</v>
      </c>
      <c r="L304" s="17">
        <f t="shared" si="17"/>
        <v>28</v>
      </c>
      <c r="M304" s="17">
        <f t="shared" si="18"/>
        <v>0</v>
      </c>
      <c r="N304" s="18">
        <f t="shared" si="19"/>
        <v>1</v>
      </c>
      <c r="O304" s="27"/>
      <c r="P304" s="8"/>
      <c r="Q304" s="8"/>
      <c r="R304" s="8"/>
      <c r="S304" s="27"/>
      <c r="T304" s="27"/>
      <c r="U304" s="8"/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</row>
    <row r="305" spans="1:44" ht="15.75" thickBot="1" x14ac:dyDescent="0.3">
      <c r="A305" t="s">
        <v>358</v>
      </c>
      <c r="B305" s="62">
        <v>44634</v>
      </c>
      <c r="C305" s="63" t="s">
        <v>764</v>
      </c>
      <c r="D305" t="s">
        <v>762</v>
      </c>
      <c r="E305" t="s">
        <v>113</v>
      </c>
      <c r="F305" t="s">
        <v>36</v>
      </c>
      <c r="G305"/>
      <c r="H305" t="s">
        <v>763</v>
      </c>
      <c r="I305" s="16">
        <v>-348105760000</v>
      </c>
      <c r="J305" s="16">
        <v>-583061370000</v>
      </c>
      <c r="K305" s="16" t="s">
        <v>1246</v>
      </c>
      <c r="L305" s="17">
        <f t="shared" si="17"/>
        <v>28</v>
      </c>
      <c r="M305" s="17">
        <f t="shared" si="18"/>
        <v>0</v>
      </c>
      <c r="N305" s="18">
        <f t="shared" si="19"/>
        <v>1</v>
      </c>
      <c r="O305" s="27"/>
      <c r="P305" s="8"/>
      <c r="Q305" s="8"/>
      <c r="R305" s="8"/>
      <c r="S305" s="27"/>
      <c r="T305" s="27"/>
      <c r="U305" s="8"/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</row>
    <row r="306" spans="1:44" ht="15.75" thickBot="1" x14ac:dyDescent="0.3">
      <c r="A306" t="s">
        <v>358</v>
      </c>
      <c r="B306" s="62">
        <v>44634</v>
      </c>
      <c r="C306" s="63" t="s">
        <v>765</v>
      </c>
      <c r="D306" t="s">
        <v>766</v>
      </c>
      <c r="E306" t="s">
        <v>113</v>
      </c>
      <c r="F306" t="s">
        <v>36</v>
      </c>
      <c r="G306"/>
      <c r="H306" t="s">
        <v>767</v>
      </c>
      <c r="I306" s="16">
        <v>-348100750000</v>
      </c>
      <c r="J306" s="16">
        <v>-583065270000</v>
      </c>
      <c r="K306" s="16" t="s">
        <v>1247</v>
      </c>
      <c r="L306" s="17">
        <f t="shared" si="17"/>
        <v>28</v>
      </c>
      <c r="M306" s="17">
        <f t="shared" si="18"/>
        <v>0</v>
      </c>
      <c r="N306" s="18">
        <f t="shared" si="19"/>
        <v>1</v>
      </c>
      <c r="O306" s="27"/>
      <c r="P306" s="8"/>
      <c r="Q306" s="8"/>
      <c r="R306" s="8"/>
      <c r="S306" s="27"/>
      <c r="T306" s="27"/>
      <c r="U306" s="8"/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</row>
    <row r="307" spans="1:44" ht="15.75" thickBot="1" x14ac:dyDescent="0.3">
      <c r="A307" t="s">
        <v>358</v>
      </c>
      <c r="B307" s="62">
        <v>44634</v>
      </c>
      <c r="C307" s="63" t="s">
        <v>768</v>
      </c>
      <c r="D307" t="s">
        <v>766</v>
      </c>
      <c r="E307" t="s">
        <v>113</v>
      </c>
      <c r="F307" t="s">
        <v>36</v>
      </c>
      <c r="G307"/>
      <c r="H307" t="s">
        <v>767</v>
      </c>
      <c r="I307" s="16">
        <v>-348100750000</v>
      </c>
      <c r="J307" s="16">
        <v>-583065270000</v>
      </c>
      <c r="K307" s="16" t="s">
        <v>1248</v>
      </c>
      <c r="L307" s="17">
        <f t="shared" si="17"/>
        <v>28</v>
      </c>
      <c r="M307" s="17">
        <f t="shared" si="18"/>
        <v>0</v>
      </c>
      <c r="N307" s="18">
        <f t="shared" si="19"/>
        <v>1</v>
      </c>
      <c r="O307" s="27"/>
      <c r="P307" s="8"/>
      <c r="Q307" s="8"/>
      <c r="R307" s="8"/>
      <c r="S307" s="27"/>
      <c r="T307" s="27"/>
      <c r="U307" s="8"/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</row>
    <row r="308" spans="1:44" ht="15.75" thickBot="1" x14ac:dyDescent="0.3">
      <c r="C308" s="45" t="s">
        <v>769</v>
      </c>
      <c r="D308" t="s">
        <v>770</v>
      </c>
      <c r="E308" t="s">
        <v>19</v>
      </c>
      <c r="F308" t="s">
        <v>944</v>
      </c>
      <c r="G308" t="s">
        <v>185</v>
      </c>
      <c r="H308" t="s">
        <v>771</v>
      </c>
      <c r="I308" s="16">
        <v>-348153800000</v>
      </c>
      <c r="J308" s="16">
        <v>-582706170000</v>
      </c>
      <c r="K308" s="16" t="s">
        <v>1260</v>
      </c>
      <c r="L308" s="17">
        <f t="shared" si="17"/>
        <v>28</v>
      </c>
      <c r="M308" s="17">
        <f t="shared" si="18"/>
        <v>0</v>
      </c>
      <c r="N308" s="18">
        <f t="shared" si="19"/>
        <v>1</v>
      </c>
      <c r="O308" s="27"/>
      <c r="P308" s="8"/>
      <c r="Q308" s="8"/>
      <c r="R308" s="8"/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</row>
    <row r="309" spans="1:44" ht="15.75" thickBot="1" x14ac:dyDescent="0.3">
      <c r="A309" t="s">
        <v>772</v>
      </c>
      <c r="C309" s="45" t="s">
        <v>773</v>
      </c>
      <c r="D309" t="s">
        <v>774</v>
      </c>
      <c r="E309" t="s">
        <v>24</v>
      </c>
      <c r="F309" t="s">
        <v>944</v>
      </c>
      <c r="G309" t="s">
        <v>185</v>
      </c>
      <c r="H309" t="s">
        <v>775</v>
      </c>
      <c r="I309" s="16">
        <v>-348171860000</v>
      </c>
      <c r="J309" s="16">
        <v>-582741990000</v>
      </c>
      <c r="K309" s="16" t="s">
        <v>1261</v>
      </c>
      <c r="L309" s="17">
        <f t="shared" si="17"/>
        <v>23</v>
      </c>
      <c r="M309" s="17">
        <f t="shared" si="18"/>
        <v>5</v>
      </c>
      <c r="N309" s="18">
        <f t="shared" si="19"/>
        <v>0.8214285714285714</v>
      </c>
      <c r="O309" s="27"/>
      <c r="P309" s="8"/>
      <c r="Q309" s="8"/>
      <c r="R309" s="8"/>
      <c r="S309" s="27"/>
      <c r="T309" s="27"/>
      <c r="U309" s="8" t="s">
        <v>1343</v>
      </c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 t="s">
        <v>1343</v>
      </c>
      <c r="AH309" s="27" t="s">
        <v>1343</v>
      </c>
      <c r="AI309" s="27" t="s">
        <v>1343</v>
      </c>
      <c r="AJ309" s="27" t="s">
        <v>1343</v>
      </c>
      <c r="AK309" s="8"/>
      <c r="AL309" s="8"/>
      <c r="AM309" s="8"/>
      <c r="AN309" s="27"/>
      <c r="AO309" s="8"/>
      <c r="AP309" s="8"/>
      <c r="AQ309" s="27"/>
      <c r="AR309" s="27"/>
    </row>
    <row r="310" spans="1:44" ht="15.75" thickBot="1" x14ac:dyDescent="0.3">
      <c r="C310" s="45" t="s">
        <v>776</v>
      </c>
      <c r="D310" t="s">
        <v>777</v>
      </c>
      <c r="E310" t="s">
        <v>19</v>
      </c>
      <c r="F310" t="s">
        <v>944</v>
      </c>
      <c r="G310" t="s">
        <v>778</v>
      </c>
      <c r="H310"/>
      <c r="I310" s="16">
        <v>-348129440000</v>
      </c>
      <c r="J310" s="16">
        <v>-582759900000</v>
      </c>
      <c r="K310" s="16" t="s">
        <v>1263</v>
      </c>
      <c r="L310" s="17">
        <f t="shared" si="17"/>
        <v>27</v>
      </c>
      <c r="M310" s="17">
        <f t="shared" si="18"/>
        <v>1</v>
      </c>
      <c r="N310" s="18">
        <f t="shared" si="19"/>
        <v>0.9642857142857143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 t="s">
        <v>1343</v>
      </c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</row>
    <row r="311" spans="1:44" ht="15.75" thickBot="1" x14ac:dyDescent="0.3">
      <c r="A311" t="s">
        <v>779</v>
      </c>
      <c r="C311" s="45" t="s">
        <v>780</v>
      </c>
      <c r="D311" t="s">
        <v>781</v>
      </c>
      <c r="E311" t="s">
        <v>19</v>
      </c>
      <c r="F311" t="s">
        <v>944</v>
      </c>
      <c r="G311"/>
      <c r="H311" t="s">
        <v>782</v>
      </c>
      <c r="I311" s="16">
        <v>-348174960000</v>
      </c>
      <c r="J311" s="16">
        <v>-582687670000</v>
      </c>
      <c r="K311" s="16" t="s">
        <v>1264</v>
      </c>
      <c r="L311" s="17">
        <f t="shared" si="17"/>
        <v>28</v>
      </c>
      <c r="M311" s="17">
        <f t="shared" si="18"/>
        <v>0</v>
      </c>
      <c r="N311" s="18">
        <f t="shared" si="19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</row>
    <row r="312" spans="1:44" ht="15.75" thickBot="1" x14ac:dyDescent="0.3">
      <c r="A312" t="s">
        <v>779</v>
      </c>
      <c r="C312" s="45" t="s">
        <v>783</v>
      </c>
      <c r="D312" t="s">
        <v>928</v>
      </c>
      <c r="E312" t="s">
        <v>19</v>
      </c>
      <c r="F312" t="s">
        <v>944</v>
      </c>
      <c r="G312"/>
      <c r="H312" t="s">
        <v>30</v>
      </c>
      <c r="I312" s="16">
        <v>-348206040000</v>
      </c>
      <c r="J312" s="16">
        <v>-582725050000</v>
      </c>
      <c r="K312" s="16" t="s">
        <v>1265</v>
      </c>
      <c r="L312" s="17">
        <f t="shared" si="17"/>
        <v>28</v>
      </c>
      <c r="M312" s="17">
        <f t="shared" si="18"/>
        <v>0</v>
      </c>
      <c r="N312" s="18">
        <f t="shared" si="19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</row>
    <row r="313" spans="1:44" ht="15.75" thickBot="1" x14ac:dyDescent="0.3">
      <c r="A313" t="s">
        <v>772</v>
      </c>
      <c r="C313" s="45" t="s">
        <v>784</v>
      </c>
      <c r="D313" t="s">
        <v>785</v>
      </c>
      <c r="E313" t="s">
        <v>19</v>
      </c>
      <c r="F313" t="s">
        <v>944</v>
      </c>
      <c r="G313"/>
      <c r="H313" t="s">
        <v>692</v>
      </c>
      <c r="I313" s="16">
        <v>-348117590000</v>
      </c>
      <c r="J313" s="16">
        <v>-582727020000</v>
      </c>
      <c r="K313" s="16" t="s">
        <v>1266</v>
      </c>
      <c r="L313" s="17">
        <f t="shared" si="17"/>
        <v>28</v>
      </c>
      <c r="M313" s="17">
        <f t="shared" si="18"/>
        <v>0</v>
      </c>
      <c r="N313" s="18">
        <f t="shared" si="19"/>
        <v>1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</row>
    <row r="314" spans="1:44" ht="15.75" thickBot="1" x14ac:dyDescent="0.3">
      <c r="A314" t="s">
        <v>772</v>
      </c>
      <c r="C314" s="45" t="s">
        <v>786</v>
      </c>
      <c r="D314" t="s">
        <v>787</v>
      </c>
      <c r="E314" t="s">
        <v>19</v>
      </c>
      <c r="F314" t="s">
        <v>25</v>
      </c>
      <c r="G314"/>
      <c r="H314" t="s">
        <v>692</v>
      </c>
      <c r="I314" s="16">
        <v>-348137760000</v>
      </c>
      <c r="J314" s="16">
        <v>-582704960000</v>
      </c>
      <c r="K314" s="16" t="s">
        <v>1267</v>
      </c>
      <c r="L314" s="17">
        <f t="shared" si="17"/>
        <v>28</v>
      </c>
      <c r="M314" s="17">
        <f t="shared" si="18"/>
        <v>0</v>
      </c>
      <c r="N314" s="18">
        <f t="shared" si="19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</row>
    <row r="315" spans="1:44" ht="15.75" thickBot="1" x14ac:dyDescent="0.3">
      <c r="A315" t="s">
        <v>779</v>
      </c>
      <c r="C315" s="45" t="s">
        <v>788</v>
      </c>
      <c r="D315" t="s">
        <v>789</v>
      </c>
      <c r="E315" t="s">
        <v>73</v>
      </c>
      <c r="F315" t="s">
        <v>25</v>
      </c>
      <c r="G315"/>
      <c r="H315" t="s">
        <v>307</v>
      </c>
      <c r="I315" s="16">
        <v>-348227100000</v>
      </c>
      <c r="J315" s="16">
        <v>-582764200000</v>
      </c>
      <c r="K315" s="16" t="s">
        <v>1268</v>
      </c>
      <c r="L315" s="17">
        <f t="shared" si="17"/>
        <v>28</v>
      </c>
      <c r="M315" s="17">
        <f t="shared" si="18"/>
        <v>0</v>
      </c>
      <c r="N315" s="18">
        <f t="shared" si="19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</row>
    <row r="316" spans="1:44" ht="15.75" thickBot="1" x14ac:dyDescent="0.3">
      <c r="A316" t="s">
        <v>779</v>
      </c>
      <c r="C316" s="45" t="s">
        <v>790</v>
      </c>
      <c r="D316" t="s">
        <v>927</v>
      </c>
      <c r="E316" t="s">
        <v>24</v>
      </c>
      <c r="F316" t="s">
        <v>36</v>
      </c>
      <c r="G316" t="s">
        <v>791</v>
      </c>
      <c r="H316"/>
      <c r="I316" s="16">
        <v>-348197840000</v>
      </c>
      <c r="J316" s="16">
        <v>-582731040000</v>
      </c>
      <c r="K316" s="16" t="s">
        <v>1249</v>
      </c>
      <c r="L316" s="17">
        <f t="shared" si="17"/>
        <v>28</v>
      </c>
      <c r="M316" s="17">
        <f t="shared" si="18"/>
        <v>0</v>
      </c>
      <c r="N316" s="18">
        <f t="shared" si="19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</row>
    <row r="317" spans="1:44" ht="15.75" thickBot="1" x14ac:dyDescent="0.3">
      <c r="A317" t="s">
        <v>772</v>
      </c>
      <c r="C317" s="45" t="s">
        <v>792</v>
      </c>
      <c r="D317" t="s">
        <v>926</v>
      </c>
      <c r="E317" t="s">
        <v>24</v>
      </c>
      <c r="F317" t="s">
        <v>36</v>
      </c>
      <c r="G317" t="s">
        <v>185</v>
      </c>
      <c r="H317"/>
      <c r="I317" s="16">
        <v>-348187010000</v>
      </c>
      <c r="J317" s="16">
        <v>-582769880000</v>
      </c>
      <c r="K317" s="16" t="s">
        <v>1250</v>
      </c>
      <c r="L317" s="17">
        <f t="shared" si="17"/>
        <v>28</v>
      </c>
      <c r="M317" s="17">
        <f t="shared" si="18"/>
        <v>0</v>
      </c>
      <c r="N317" s="18">
        <f t="shared" si="19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</row>
    <row r="318" spans="1:44" ht="15.75" thickBot="1" x14ac:dyDescent="0.3">
      <c r="A318" t="s">
        <v>772</v>
      </c>
      <c r="C318" s="45" t="s">
        <v>793</v>
      </c>
      <c r="D318" t="s">
        <v>794</v>
      </c>
      <c r="E318" t="s">
        <v>24</v>
      </c>
      <c r="F318" t="s">
        <v>36</v>
      </c>
      <c r="G318" t="s">
        <v>795</v>
      </c>
      <c r="H318"/>
      <c r="I318" s="16">
        <v>-348117420000</v>
      </c>
      <c r="J318" s="16">
        <v>-582744990000</v>
      </c>
      <c r="K318" s="16" t="s">
        <v>1251</v>
      </c>
      <c r="L318" s="17">
        <f t="shared" si="17"/>
        <v>28</v>
      </c>
      <c r="M318" s="17">
        <f t="shared" si="18"/>
        <v>0</v>
      </c>
      <c r="N318" s="18">
        <f t="shared" si="19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</row>
    <row r="319" spans="1:44" ht="15.75" thickBot="1" x14ac:dyDescent="0.3">
      <c r="A319" t="s">
        <v>772</v>
      </c>
      <c r="C319" s="45" t="s">
        <v>796</v>
      </c>
      <c r="D319" t="s">
        <v>797</v>
      </c>
      <c r="E319" t="s">
        <v>24</v>
      </c>
      <c r="F319" t="s">
        <v>36</v>
      </c>
      <c r="G319" t="s">
        <v>798</v>
      </c>
      <c r="H319"/>
      <c r="I319" s="16">
        <v>-348115920000</v>
      </c>
      <c r="J319" s="16">
        <v>-582697890000</v>
      </c>
      <c r="K319" s="16" t="s">
        <v>1252</v>
      </c>
      <c r="L319" s="17">
        <f t="shared" si="17"/>
        <v>28</v>
      </c>
      <c r="M319" s="17">
        <f t="shared" si="18"/>
        <v>0</v>
      </c>
      <c r="N319" s="18">
        <f t="shared" si="19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</row>
    <row r="320" spans="1:44" ht="15.75" thickBot="1" x14ac:dyDescent="0.3">
      <c r="A320" t="s">
        <v>772</v>
      </c>
      <c r="C320" s="45" t="s">
        <v>799</v>
      </c>
      <c r="D320" t="s">
        <v>800</v>
      </c>
      <c r="E320" t="s">
        <v>24</v>
      </c>
      <c r="F320" t="s">
        <v>25</v>
      </c>
      <c r="G320" t="s">
        <v>801</v>
      </c>
      <c r="H320"/>
      <c r="I320" s="16">
        <v>-348115310000</v>
      </c>
      <c r="J320" s="16">
        <v>-582685340000</v>
      </c>
      <c r="K320" s="16" t="s">
        <v>1253</v>
      </c>
      <c r="L320" s="17">
        <f t="shared" si="17"/>
        <v>28</v>
      </c>
      <c r="M320" s="17">
        <f t="shared" si="18"/>
        <v>0</v>
      </c>
      <c r="N320" s="18">
        <f t="shared" si="19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</row>
    <row r="321" spans="1:44" ht="15.75" thickBot="1" x14ac:dyDescent="0.3">
      <c r="A321" t="s">
        <v>772</v>
      </c>
      <c r="C321" s="45" t="s">
        <v>802</v>
      </c>
      <c r="D321" t="s">
        <v>924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1254</v>
      </c>
      <c r="L321" s="17">
        <f t="shared" si="17"/>
        <v>27</v>
      </c>
      <c r="M321" s="17">
        <f t="shared" si="18"/>
        <v>1</v>
      </c>
      <c r="N321" s="18">
        <f t="shared" si="19"/>
        <v>0.9642857142857143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 t="s">
        <v>1343</v>
      </c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</row>
    <row r="322" spans="1:44" ht="15.75" thickBot="1" x14ac:dyDescent="0.3">
      <c r="A322" t="s">
        <v>772</v>
      </c>
      <c r="C322" s="45" t="s">
        <v>803</v>
      </c>
      <c r="D322" t="s">
        <v>925</v>
      </c>
      <c r="E322" t="s">
        <v>19</v>
      </c>
      <c r="F322" t="s">
        <v>944</v>
      </c>
      <c r="G322" t="s">
        <v>804</v>
      </c>
      <c r="H322"/>
      <c r="I322" s="16">
        <v>-348119360000</v>
      </c>
      <c r="J322" s="16">
        <v>-582777500000</v>
      </c>
      <c r="K322" s="16" t="s">
        <v>1255</v>
      </c>
      <c r="L322" s="17">
        <f t="shared" si="17"/>
        <v>28</v>
      </c>
      <c r="M322" s="17">
        <f t="shared" si="18"/>
        <v>0</v>
      </c>
      <c r="N322" s="18">
        <f t="shared" si="19"/>
        <v>1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</row>
    <row r="323" spans="1:44" ht="15.75" thickBot="1" x14ac:dyDescent="0.3">
      <c r="A323" t="s">
        <v>779</v>
      </c>
      <c r="C323" s="45" t="s">
        <v>805</v>
      </c>
      <c r="D323" t="s">
        <v>806</v>
      </c>
      <c r="E323" t="s">
        <v>24</v>
      </c>
      <c r="F323" t="s">
        <v>36</v>
      </c>
      <c r="G323" t="s">
        <v>161</v>
      </c>
      <c r="H323"/>
      <c r="I323" s="16">
        <v>-348165160000</v>
      </c>
      <c r="J323" s="16">
        <v>-582725140000</v>
      </c>
      <c r="K323" s="16" t="s">
        <v>1256</v>
      </c>
      <c r="L323" s="17">
        <f t="shared" si="17"/>
        <v>28</v>
      </c>
      <c r="M323" s="17">
        <f t="shared" si="18"/>
        <v>0</v>
      </c>
      <c r="N323" s="18">
        <f t="shared" si="19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</row>
    <row r="324" spans="1:44" ht="15.75" thickBot="1" x14ac:dyDescent="0.3">
      <c r="A324" t="s">
        <v>779</v>
      </c>
      <c r="C324" s="45" t="s">
        <v>807</v>
      </c>
      <c r="D324" t="s">
        <v>808</v>
      </c>
      <c r="E324" t="s">
        <v>24</v>
      </c>
      <c r="F324" t="s">
        <v>36</v>
      </c>
      <c r="G324" t="s">
        <v>161</v>
      </c>
      <c r="H324" t="s">
        <v>809</v>
      </c>
      <c r="I324" s="16">
        <v>-348159830000</v>
      </c>
      <c r="J324" s="16">
        <v>-582660100000</v>
      </c>
      <c r="K324" s="16" t="s">
        <v>1257</v>
      </c>
      <c r="L324" s="17">
        <f t="shared" si="17"/>
        <v>27</v>
      </c>
      <c r="M324" s="17">
        <f t="shared" si="18"/>
        <v>1</v>
      </c>
      <c r="N324" s="18">
        <f t="shared" si="19"/>
        <v>0.9642857142857143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 t="s">
        <v>1343</v>
      </c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</row>
    <row r="325" spans="1:44" ht="15.75" thickBot="1" x14ac:dyDescent="0.3">
      <c r="A325" t="s">
        <v>772</v>
      </c>
      <c r="C325" s="45" t="s">
        <v>810</v>
      </c>
      <c r="D325" t="s">
        <v>811</v>
      </c>
      <c r="E325" t="s">
        <v>24</v>
      </c>
      <c r="F325" t="s">
        <v>36</v>
      </c>
      <c r="G325" t="s">
        <v>161</v>
      </c>
      <c r="H325"/>
      <c r="I325" s="16">
        <v>-348139270000</v>
      </c>
      <c r="J325" s="16">
        <v>-582743600000</v>
      </c>
      <c r="K325" s="16" t="s">
        <v>1258</v>
      </c>
      <c r="L325" s="17">
        <f t="shared" si="17"/>
        <v>24</v>
      </c>
      <c r="M325" s="17">
        <f t="shared" si="18"/>
        <v>4</v>
      </c>
      <c r="N325" s="18">
        <f t="shared" si="19"/>
        <v>0.8571428571428571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 t="s">
        <v>1343</v>
      </c>
      <c r="AH325" s="27" t="s">
        <v>1343</v>
      </c>
      <c r="AI325" s="27" t="s">
        <v>1343</v>
      </c>
      <c r="AJ325" s="27"/>
      <c r="AK325" s="8" t="s">
        <v>1343</v>
      </c>
      <c r="AL325" s="8"/>
      <c r="AM325" s="8"/>
      <c r="AN325" s="27"/>
      <c r="AO325" s="8"/>
      <c r="AP325" s="8"/>
      <c r="AQ325" s="27"/>
      <c r="AR325" s="27"/>
    </row>
    <row r="326" spans="1:44" ht="15.75" thickBot="1" x14ac:dyDescent="0.3">
      <c r="A326" t="s">
        <v>779</v>
      </c>
      <c r="C326" s="45" t="s">
        <v>812</v>
      </c>
      <c r="D326" t="s">
        <v>813</v>
      </c>
      <c r="E326" t="s">
        <v>24</v>
      </c>
      <c r="F326" t="s">
        <v>36</v>
      </c>
      <c r="G326" t="s">
        <v>791</v>
      </c>
      <c r="H326"/>
      <c r="I326" s="16">
        <v>-348191940000</v>
      </c>
      <c r="J326" s="16">
        <v>-582720740000</v>
      </c>
      <c r="K326" s="16" t="s">
        <v>1259</v>
      </c>
      <c r="L326" s="17">
        <f t="shared" si="17"/>
        <v>28</v>
      </c>
      <c r="M326" s="17">
        <f t="shared" si="18"/>
        <v>0</v>
      </c>
      <c r="N326" s="18">
        <f t="shared" si="19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</row>
    <row r="327" spans="1:44" ht="15.75" thickBot="1" x14ac:dyDescent="0.3">
      <c r="C327" s="45" t="s">
        <v>814</v>
      </c>
      <c r="D327" t="s">
        <v>815</v>
      </c>
      <c r="E327" t="s">
        <v>19</v>
      </c>
      <c r="F327" t="s">
        <v>36</v>
      </c>
      <c r="G327" t="s">
        <v>816</v>
      </c>
      <c r="H327" t="s">
        <v>817</v>
      </c>
      <c r="I327" s="16">
        <v>-348187470000</v>
      </c>
      <c r="J327" s="16">
        <v>-582709000000</v>
      </c>
      <c r="K327" s="16" t="s">
        <v>1262</v>
      </c>
      <c r="L327" s="17">
        <f t="shared" ref="L327:L372" si="20">COUNTIF(O327:AP327,"")</f>
        <v>25</v>
      </c>
      <c r="M327" s="17">
        <f t="shared" ref="M327:M372" si="21">COUNTIF(O327:AP327,"APAGADO")</f>
        <v>3</v>
      </c>
      <c r="N327" s="18">
        <f t="shared" ref="N327:N372" si="22">(L327)/(M327+L327)</f>
        <v>0.8928571428571429</v>
      </c>
      <c r="O327" s="27"/>
      <c r="P327" s="8"/>
      <c r="Q327" s="8"/>
      <c r="R327" s="8"/>
      <c r="S327" s="27"/>
      <c r="T327" s="27"/>
      <c r="U327" s="8" t="s">
        <v>1343</v>
      </c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 t="s">
        <v>1343</v>
      </c>
      <c r="AH327" s="27" t="s">
        <v>1343</v>
      </c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</row>
    <row r="328" spans="1:44" ht="15.75" thickBot="1" x14ac:dyDescent="0.3">
      <c r="A328" t="s">
        <v>772</v>
      </c>
      <c r="C328" s="45" t="s">
        <v>818</v>
      </c>
      <c r="D328" t="s">
        <v>819</v>
      </c>
      <c r="E328" t="s">
        <v>113</v>
      </c>
      <c r="F328" t="s">
        <v>36</v>
      </c>
      <c r="G328"/>
      <c r="H328" t="s">
        <v>248</v>
      </c>
      <c r="I328" s="16">
        <v>-348138590000</v>
      </c>
      <c r="J328" s="16">
        <v>-582734640000</v>
      </c>
      <c r="K328" s="16" t="s">
        <v>1269</v>
      </c>
      <c r="L328" s="17">
        <f t="shared" si="20"/>
        <v>28</v>
      </c>
      <c r="M328" s="17">
        <f t="shared" si="21"/>
        <v>0</v>
      </c>
      <c r="N328" s="18">
        <f t="shared" si="22"/>
        <v>1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</row>
    <row r="329" spans="1:44" ht="15.75" thickBot="1" x14ac:dyDescent="0.3">
      <c r="A329" t="s">
        <v>772</v>
      </c>
      <c r="C329" s="45" t="s">
        <v>820</v>
      </c>
      <c r="D329" t="s">
        <v>819</v>
      </c>
      <c r="E329" t="s">
        <v>113</v>
      </c>
      <c r="F329" t="s">
        <v>36</v>
      </c>
      <c r="G329"/>
      <c r="H329" t="s">
        <v>248</v>
      </c>
      <c r="I329" s="16">
        <v>-348138540000</v>
      </c>
      <c r="J329" s="16">
        <v>-582734290000</v>
      </c>
      <c r="K329" s="16" t="s">
        <v>1270</v>
      </c>
      <c r="L329" s="17">
        <f t="shared" si="20"/>
        <v>28</v>
      </c>
      <c r="M329" s="17">
        <f t="shared" si="21"/>
        <v>0</v>
      </c>
      <c r="N329" s="18">
        <f t="shared" si="22"/>
        <v>1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</row>
    <row r="330" spans="1:44" ht="15.75" thickBot="1" x14ac:dyDescent="0.3">
      <c r="A330" t="s">
        <v>772</v>
      </c>
      <c r="C330" s="45" t="s">
        <v>821</v>
      </c>
      <c r="D330" t="s">
        <v>822</v>
      </c>
      <c r="E330" t="s">
        <v>113</v>
      </c>
      <c r="F330" t="s">
        <v>36</v>
      </c>
      <c r="G330"/>
      <c r="H330" t="s">
        <v>300</v>
      </c>
      <c r="I330" s="16">
        <v>-348114320000</v>
      </c>
      <c r="J330" s="16">
        <v>-582778570000</v>
      </c>
      <c r="K330" s="16" t="s">
        <v>1025</v>
      </c>
      <c r="L330" s="17">
        <f t="shared" si="20"/>
        <v>28</v>
      </c>
      <c r="M330" s="17">
        <f t="shared" si="21"/>
        <v>0</v>
      </c>
      <c r="N330" s="18">
        <f t="shared" si="22"/>
        <v>1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</row>
    <row r="331" spans="1:44" ht="15.75" thickBot="1" x14ac:dyDescent="0.3">
      <c r="A331" t="s">
        <v>772</v>
      </c>
      <c r="C331" s="45" t="s">
        <v>823</v>
      </c>
      <c r="D331" t="s">
        <v>822</v>
      </c>
      <c r="E331" t="s">
        <v>113</v>
      </c>
      <c r="F331" t="s">
        <v>36</v>
      </c>
      <c r="G331"/>
      <c r="H331" t="s">
        <v>300</v>
      </c>
      <c r="I331" s="16">
        <v>-348114300000</v>
      </c>
      <c r="J331" s="16">
        <v>-582778730000</v>
      </c>
      <c r="K331" s="16" t="s">
        <v>1271</v>
      </c>
      <c r="L331" s="17">
        <f t="shared" si="20"/>
        <v>28</v>
      </c>
      <c r="M331" s="17">
        <f t="shared" si="21"/>
        <v>0</v>
      </c>
      <c r="N331" s="18">
        <f t="shared" si="22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</row>
    <row r="332" spans="1:44" ht="15.75" thickBot="1" x14ac:dyDescent="0.3">
      <c r="A332" t="s">
        <v>619</v>
      </c>
      <c r="C332" s="45" t="s">
        <v>824</v>
      </c>
      <c r="D332" t="s">
        <v>825</v>
      </c>
      <c r="E332" t="s">
        <v>24</v>
      </c>
      <c r="F332" t="s">
        <v>36</v>
      </c>
      <c r="G332" t="s">
        <v>826</v>
      </c>
      <c r="H332" t="s">
        <v>827</v>
      </c>
      <c r="I332" s="16">
        <v>-347781830000</v>
      </c>
      <c r="J332" s="16">
        <v>-582883670000</v>
      </c>
      <c r="K332" s="16" t="s">
        <v>1278</v>
      </c>
      <c r="L332" s="17">
        <f t="shared" si="20"/>
        <v>28</v>
      </c>
      <c r="M332" s="17">
        <f t="shared" si="21"/>
        <v>0</v>
      </c>
      <c r="N332" s="18">
        <f t="shared" si="22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</row>
    <row r="333" spans="1:44" ht="15.75" thickBot="1" x14ac:dyDescent="0.3">
      <c r="A333" t="s">
        <v>619</v>
      </c>
      <c r="C333" s="45" t="s">
        <v>828</v>
      </c>
      <c r="D333" t="s">
        <v>829</v>
      </c>
      <c r="E333" t="s">
        <v>24</v>
      </c>
      <c r="F333" t="s">
        <v>36</v>
      </c>
      <c r="G333" t="s">
        <v>601</v>
      </c>
      <c r="H333"/>
      <c r="I333" s="16">
        <v>-347743850000</v>
      </c>
      <c r="J333" s="16">
        <v>-582816550000</v>
      </c>
      <c r="K333" s="16" t="s">
        <v>1274</v>
      </c>
      <c r="L333" s="17">
        <f t="shared" si="20"/>
        <v>27</v>
      </c>
      <c r="M333" s="17">
        <f t="shared" si="21"/>
        <v>1</v>
      </c>
      <c r="N333" s="18">
        <f t="shared" si="22"/>
        <v>0.9642857142857143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 t="s">
        <v>1343</v>
      </c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</row>
    <row r="334" spans="1:44" ht="15.75" thickBot="1" x14ac:dyDescent="0.3">
      <c r="A334" t="s">
        <v>456</v>
      </c>
      <c r="C334" s="45" t="s">
        <v>830</v>
      </c>
      <c r="D334" t="s">
        <v>831</v>
      </c>
      <c r="E334" t="s">
        <v>24</v>
      </c>
      <c r="F334" t="s">
        <v>36</v>
      </c>
      <c r="G334" t="s">
        <v>185</v>
      </c>
      <c r="H334"/>
      <c r="I334" s="16">
        <v>-347773100000</v>
      </c>
      <c r="J334" s="16">
        <v>-582804110000</v>
      </c>
      <c r="K334" s="16" t="s">
        <v>1275</v>
      </c>
      <c r="L334" s="17">
        <f t="shared" si="20"/>
        <v>26</v>
      </c>
      <c r="M334" s="17">
        <f t="shared" si="21"/>
        <v>2</v>
      </c>
      <c r="N334" s="18">
        <f t="shared" si="22"/>
        <v>0.9285714285714286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 t="s">
        <v>1343</v>
      </c>
      <c r="AH334" s="27" t="s">
        <v>1343</v>
      </c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</row>
    <row r="335" spans="1:44" ht="15.75" thickBot="1" x14ac:dyDescent="0.3">
      <c r="A335" t="s">
        <v>619</v>
      </c>
      <c r="C335" s="45" t="s">
        <v>832</v>
      </c>
      <c r="D335" t="s">
        <v>833</v>
      </c>
      <c r="E335" t="s">
        <v>113</v>
      </c>
      <c r="F335" t="s">
        <v>36</v>
      </c>
      <c r="G335"/>
      <c r="H335" t="s">
        <v>248</v>
      </c>
      <c r="I335" s="16">
        <v>-347807260000</v>
      </c>
      <c r="J335" s="16">
        <v>-582820830000</v>
      </c>
      <c r="K335" s="16" t="s">
        <v>1272</v>
      </c>
      <c r="L335" s="17">
        <f t="shared" si="20"/>
        <v>28</v>
      </c>
      <c r="M335" s="17">
        <f t="shared" si="21"/>
        <v>0</v>
      </c>
      <c r="N335" s="18">
        <f t="shared" si="22"/>
        <v>1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</row>
    <row r="336" spans="1:44" ht="15.75" thickBot="1" x14ac:dyDescent="0.3">
      <c r="A336" t="s">
        <v>619</v>
      </c>
      <c r="C336" s="45" t="s">
        <v>834</v>
      </c>
      <c r="D336" t="s">
        <v>833</v>
      </c>
      <c r="E336" t="s">
        <v>113</v>
      </c>
      <c r="F336" t="s">
        <v>36</v>
      </c>
      <c r="G336"/>
      <c r="H336" t="s">
        <v>248</v>
      </c>
      <c r="I336" s="16">
        <v>-347807260000</v>
      </c>
      <c r="J336" s="16">
        <v>-582820830000</v>
      </c>
      <c r="K336" s="16" t="s">
        <v>1273</v>
      </c>
      <c r="L336" s="17">
        <f t="shared" si="20"/>
        <v>28</v>
      </c>
      <c r="M336" s="17">
        <f t="shared" si="21"/>
        <v>0</v>
      </c>
      <c r="N336" s="18">
        <f t="shared" si="22"/>
        <v>1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</row>
    <row r="337" spans="1:44" ht="15.75" thickBot="1" x14ac:dyDescent="0.3">
      <c r="A337" t="s">
        <v>619</v>
      </c>
      <c r="C337" s="45" t="s">
        <v>835</v>
      </c>
      <c r="D337" t="s">
        <v>836</v>
      </c>
      <c r="E337" t="s">
        <v>113</v>
      </c>
      <c r="F337" t="s">
        <v>36</v>
      </c>
      <c r="G337" t="s">
        <v>837</v>
      </c>
      <c r="H337" t="s">
        <v>827</v>
      </c>
      <c r="I337" s="16">
        <v>-347798010000</v>
      </c>
      <c r="J337" s="16">
        <v>-582870530000</v>
      </c>
      <c r="K337" s="16" t="s">
        <v>1276</v>
      </c>
      <c r="L337" s="17">
        <f t="shared" si="20"/>
        <v>28</v>
      </c>
      <c r="M337" s="17">
        <f t="shared" si="21"/>
        <v>0</v>
      </c>
      <c r="N337" s="18">
        <f t="shared" si="22"/>
        <v>1</v>
      </c>
      <c r="O337" s="27"/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</row>
    <row r="338" spans="1:44" ht="15.75" thickBot="1" x14ac:dyDescent="0.3">
      <c r="A338" t="s">
        <v>619</v>
      </c>
      <c r="C338" s="45" t="s">
        <v>838</v>
      </c>
      <c r="D338" t="s">
        <v>836</v>
      </c>
      <c r="E338" t="s">
        <v>113</v>
      </c>
      <c r="F338" t="s">
        <v>36</v>
      </c>
      <c r="G338" t="s">
        <v>837</v>
      </c>
      <c r="H338" t="s">
        <v>827</v>
      </c>
      <c r="I338" s="16">
        <v>-347797690000</v>
      </c>
      <c r="J338" s="16">
        <v>-582869910000</v>
      </c>
      <c r="K338" s="16" t="s">
        <v>1277</v>
      </c>
      <c r="L338" s="17">
        <f t="shared" si="20"/>
        <v>28</v>
      </c>
      <c r="M338" s="17">
        <f t="shared" si="21"/>
        <v>0</v>
      </c>
      <c r="N338" s="18">
        <f t="shared" si="22"/>
        <v>1</v>
      </c>
      <c r="O338" s="27"/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</row>
    <row r="339" spans="1:44" ht="15.75" thickBot="1" x14ac:dyDescent="0.3">
      <c r="A339" t="s">
        <v>619</v>
      </c>
      <c r="C339" s="45" t="s">
        <v>839</v>
      </c>
      <c r="D339" t="s">
        <v>840</v>
      </c>
      <c r="E339" t="s">
        <v>19</v>
      </c>
      <c r="F339" t="s">
        <v>36</v>
      </c>
      <c r="G339"/>
      <c r="H339" t="s">
        <v>255</v>
      </c>
      <c r="I339" s="16">
        <v>-347753360000</v>
      </c>
      <c r="J339" s="16">
        <v>-582834130000</v>
      </c>
      <c r="K339" s="16" t="s">
        <v>1279</v>
      </c>
      <c r="L339" s="17">
        <f t="shared" si="20"/>
        <v>27</v>
      </c>
      <c r="M339" s="17">
        <f t="shared" si="21"/>
        <v>1</v>
      </c>
      <c r="N339" s="18">
        <f t="shared" si="22"/>
        <v>0.9642857142857143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 t="s">
        <v>1343</v>
      </c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</row>
    <row r="340" spans="1:44" ht="15.75" thickBot="1" x14ac:dyDescent="0.3">
      <c r="A340" t="s">
        <v>730</v>
      </c>
      <c r="C340" s="45" t="s">
        <v>841</v>
      </c>
      <c r="D340" t="s">
        <v>842</v>
      </c>
      <c r="E340" t="s">
        <v>24</v>
      </c>
      <c r="F340" t="s">
        <v>36</v>
      </c>
      <c r="G340" t="s">
        <v>367</v>
      </c>
      <c r="H340"/>
      <c r="I340" s="16">
        <v>-347957790000</v>
      </c>
      <c r="J340" s="16">
        <v>-582557990000</v>
      </c>
      <c r="K340" s="16" t="s">
        <v>1280</v>
      </c>
      <c r="L340" s="17">
        <f t="shared" si="20"/>
        <v>28</v>
      </c>
      <c r="M340" s="17">
        <f t="shared" si="21"/>
        <v>0</v>
      </c>
      <c r="N340" s="18">
        <f t="shared" si="22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</row>
    <row r="341" spans="1:44" ht="15.75" thickBot="1" x14ac:dyDescent="0.3">
      <c r="A341" t="s">
        <v>730</v>
      </c>
      <c r="C341" s="45" t="s">
        <v>843</v>
      </c>
      <c r="D341" t="s">
        <v>844</v>
      </c>
      <c r="E341" t="s">
        <v>24</v>
      </c>
      <c r="F341" t="s">
        <v>25</v>
      </c>
      <c r="G341" t="s">
        <v>65</v>
      </c>
      <c r="H341" t="s">
        <v>845</v>
      </c>
      <c r="I341" s="16">
        <v>-347986250000</v>
      </c>
      <c r="J341" s="16">
        <v>-582551820000</v>
      </c>
      <c r="K341" s="16" t="s">
        <v>1281</v>
      </c>
      <c r="L341" s="17">
        <f t="shared" si="20"/>
        <v>28</v>
      </c>
      <c r="M341" s="17">
        <f t="shared" si="21"/>
        <v>0</v>
      </c>
      <c r="N341" s="18">
        <f t="shared" si="22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</row>
    <row r="342" spans="1:44" ht="15.75" thickBot="1" x14ac:dyDescent="0.3">
      <c r="A342" t="s">
        <v>730</v>
      </c>
      <c r="C342" s="45" t="s">
        <v>846</v>
      </c>
      <c r="D342" t="s">
        <v>847</v>
      </c>
      <c r="E342" t="s">
        <v>24</v>
      </c>
      <c r="F342" t="s">
        <v>25</v>
      </c>
      <c r="G342" t="s">
        <v>161</v>
      </c>
      <c r="H342"/>
      <c r="I342" s="16">
        <v>-348016910000</v>
      </c>
      <c r="J342" s="16">
        <v>-582610020000</v>
      </c>
      <c r="K342" s="16" t="s">
        <v>1282</v>
      </c>
      <c r="L342" s="17">
        <f t="shared" si="20"/>
        <v>28</v>
      </c>
      <c r="M342" s="17">
        <f t="shared" si="21"/>
        <v>0</v>
      </c>
      <c r="N342" s="18">
        <f t="shared" si="22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</row>
    <row r="343" spans="1:44" ht="15.75" thickBot="1" x14ac:dyDescent="0.3">
      <c r="A343" t="s">
        <v>730</v>
      </c>
      <c r="C343" s="45" t="s">
        <v>848</v>
      </c>
      <c r="D343" t="s">
        <v>849</v>
      </c>
      <c r="E343" t="s">
        <v>24</v>
      </c>
      <c r="F343" t="s">
        <v>944</v>
      </c>
      <c r="G343" t="s">
        <v>65</v>
      </c>
      <c r="H343"/>
      <c r="I343" s="16">
        <v>-347937530000</v>
      </c>
      <c r="J343" s="16">
        <v>-582478490000</v>
      </c>
      <c r="K343" s="16" t="s">
        <v>1283</v>
      </c>
      <c r="L343" s="17">
        <f t="shared" si="20"/>
        <v>17</v>
      </c>
      <c r="M343" s="17">
        <f t="shared" si="21"/>
        <v>11</v>
      </c>
      <c r="N343" s="18">
        <f t="shared" si="22"/>
        <v>0.6071428571428571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 t="s">
        <v>1343</v>
      </c>
      <c r="AB343" s="27" t="s">
        <v>1343</v>
      </c>
      <c r="AC343" s="27" t="s">
        <v>1343</v>
      </c>
      <c r="AD343" s="27" t="s">
        <v>1343</v>
      </c>
      <c r="AE343" s="27" t="s">
        <v>1343</v>
      </c>
      <c r="AF343" s="27" t="s">
        <v>1343</v>
      </c>
      <c r="AG343" s="27" t="s">
        <v>1343</v>
      </c>
      <c r="AH343" s="27" t="s">
        <v>1343</v>
      </c>
      <c r="AI343" s="27" t="s">
        <v>1343</v>
      </c>
      <c r="AJ343" s="27" t="s">
        <v>1343</v>
      </c>
      <c r="AK343" s="8" t="s">
        <v>1343</v>
      </c>
      <c r="AL343" s="8"/>
      <c r="AM343" s="8"/>
      <c r="AN343" s="27"/>
      <c r="AO343" s="8"/>
      <c r="AP343" s="8"/>
      <c r="AQ343" s="27"/>
      <c r="AR343" s="27"/>
    </row>
    <row r="344" spans="1:44" ht="15.75" thickBot="1" x14ac:dyDescent="0.3">
      <c r="A344" t="s">
        <v>724</v>
      </c>
      <c r="C344" s="45" t="s">
        <v>850</v>
      </c>
      <c r="D344" t="s">
        <v>851</v>
      </c>
      <c r="E344" t="s">
        <v>24</v>
      </c>
      <c r="F344" t="s">
        <v>25</v>
      </c>
      <c r="G344" t="s">
        <v>852</v>
      </c>
      <c r="H344"/>
      <c r="I344" s="16">
        <v>-347994440000</v>
      </c>
      <c r="J344" s="16">
        <v>-582627080000</v>
      </c>
      <c r="K344" s="16" t="s">
        <v>1284</v>
      </c>
      <c r="L344" s="17">
        <f t="shared" si="20"/>
        <v>28</v>
      </c>
      <c r="M344" s="17">
        <f t="shared" si="21"/>
        <v>0</v>
      </c>
      <c r="N344" s="18">
        <f t="shared" si="22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</row>
    <row r="345" spans="1:44" ht="15.75" thickBot="1" x14ac:dyDescent="0.3">
      <c r="A345" t="s">
        <v>853</v>
      </c>
      <c r="C345" s="45" t="s">
        <v>854</v>
      </c>
      <c r="D345" t="s">
        <v>855</v>
      </c>
      <c r="E345" t="s">
        <v>19</v>
      </c>
      <c r="F345" t="s">
        <v>36</v>
      </c>
      <c r="G345"/>
      <c r="H345" t="s">
        <v>341</v>
      </c>
      <c r="I345" s="16">
        <v>-348374820000</v>
      </c>
      <c r="J345" s="16">
        <v>-582378510000</v>
      </c>
      <c r="K345" s="16" t="s">
        <v>1285</v>
      </c>
      <c r="L345" s="17">
        <f t="shared" si="20"/>
        <v>28</v>
      </c>
      <c r="M345" s="17">
        <f t="shared" si="21"/>
        <v>0</v>
      </c>
      <c r="N345" s="18">
        <f t="shared" si="22"/>
        <v>1</v>
      </c>
      <c r="O345" s="27"/>
      <c r="P345" s="8"/>
      <c r="Q345" s="8"/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</row>
    <row r="346" spans="1:44" ht="15.75" thickBot="1" x14ac:dyDescent="0.3">
      <c r="A346" t="s">
        <v>853</v>
      </c>
      <c r="C346" s="45" t="s">
        <v>856</v>
      </c>
      <c r="D346" t="s">
        <v>857</v>
      </c>
      <c r="E346" t="s">
        <v>19</v>
      </c>
      <c r="F346" t="s">
        <v>36</v>
      </c>
      <c r="G346"/>
      <c r="H346" t="s">
        <v>341</v>
      </c>
      <c r="I346" s="16">
        <v>-348349880000</v>
      </c>
      <c r="J346" s="16">
        <v>-582351700000</v>
      </c>
      <c r="K346" s="16" t="s">
        <v>1286</v>
      </c>
      <c r="L346" s="17">
        <f t="shared" si="20"/>
        <v>28</v>
      </c>
      <c r="M346" s="17">
        <f t="shared" si="21"/>
        <v>0</v>
      </c>
      <c r="N346" s="18">
        <f t="shared" si="22"/>
        <v>1</v>
      </c>
      <c r="O346" s="27"/>
      <c r="P346" s="8"/>
      <c r="Q346" s="8"/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</row>
    <row r="347" spans="1:44" ht="15.75" thickBot="1" x14ac:dyDescent="0.3">
      <c r="A347" t="s">
        <v>853</v>
      </c>
      <c r="B347" s="59">
        <v>44629</v>
      </c>
      <c r="C347" s="61" t="s">
        <v>858</v>
      </c>
      <c r="D347" t="s">
        <v>859</v>
      </c>
      <c r="E347" t="s">
        <v>113</v>
      </c>
      <c r="F347" t="s">
        <v>36</v>
      </c>
      <c r="G347"/>
      <c r="H347" t="s">
        <v>248</v>
      </c>
      <c r="I347" s="16">
        <v>-348382350000</v>
      </c>
      <c r="J347" s="16">
        <v>-582372950000</v>
      </c>
      <c r="K347" s="16" t="s">
        <v>1287</v>
      </c>
      <c r="L347" s="17">
        <f t="shared" si="20"/>
        <v>28</v>
      </c>
      <c r="M347" s="17">
        <f t="shared" si="21"/>
        <v>0</v>
      </c>
      <c r="N347" s="18">
        <f t="shared" si="22"/>
        <v>1</v>
      </c>
      <c r="O347" s="27"/>
      <c r="P347" s="8"/>
      <c r="Q347" s="8"/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</row>
    <row r="348" spans="1:44" ht="15.75" thickBot="1" x14ac:dyDescent="0.3">
      <c r="A348" t="s">
        <v>853</v>
      </c>
      <c r="B348" s="59">
        <v>44629</v>
      </c>
      <c r="C348" s="61" t="s">
        <v>860</v>
      </c>
      <c r="D348" t="s">
        <v>859</v>
      </c>
      <c r="E348" t="s">
        <v>113</v>
      </c>
      <c r="F348" t="s">
        <v>36</v>
      </c>
      <c r="G348"/>
      <c r="H348" t="s">
        <v>248</v>
      </c>
      <c r="I348" s="16">
        <v>-348382440000</v>
      </c>
      <c r="J348" s="16">
        <v>-582373030000</v>
      </c>
      <c r="K348" s="16" t="s">
        <v>1288</v>
      </c>
      <c r="L348" s="17">
        <f t="shared" si="20"/>
        <v>28</v>
      </c>
      <c r="M348" s="17">
        <f t="shared" si="21"/>
        <v>0</v>
      </c>
      <c r="N348" s="18">
        <f t="shared" si="22"/>
        <v>1</v>
      </c>
      <c r="O348" s="27"/>
      <c r="P348" s="8"/>
      <c r="Q348" s="8"/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</row>
    <row r="349" spans="1:44" ht="15.75" thickBot="1" x14ac:dyDescent="0.3">
      <c r="A349" t="s">
        <v>861</v>
      </c>
      <c r="B349" s="59">
        <v>44629</v>
      </c>
      <c r="C349" s="61" t="s">
        <v>862</v>
      </c>
      <c r="D349" t="s">
        <v>863</v>
      </c>
      <c r="E349" t="s">
        <v>113</v>
      </c>
      <c r="F349" t="s">
        <v>36</v>
      </c>
      <c r="G349"/>
      <c r="H349" t="s">
        <v>864</v>
      </c>
      <c r="I349" s="16">
        <v>-348173980000</v>
      </c>
      <c r="J349" s="16">
        <v>-582515460000</v>
      </c>
      <c r="K349" s="16" t="s">
        <v>1289</v>
      </c>
      <c r="L349" s="17">
        <f t="shared" si="20"/>
        <v>28</v>
      </c>
      <c r="M349" s="17">
        <f t="shared" si="21"/>
        <v>0</v>
      </c>
      <c r="N349" s="18">
        <f t="shared" si="22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</row>
    <row r="350" spans="1:44" ht="15.75" thickBot="1" x14ac:dyDescent="0.3">
      <c r="A350" t="s">
        <v>861</v>
      </c>
      <c r="C350" s="45" t="s">
        <v>865</v>
      </c>
      <c r="D350" t="s">
        <v>866</v>
      </c>
      <c r="E350" t="s">
        <v>19</v>
      </c>
      <c r="F350" t="s">
        <v>36</v>
      </c>
      <c r="G350"/>
      <c r="H350" t="s">
        <v>248</v>
      </c>
      <c r="I350" s="16">
        <v>-348108560000</v>
      </c>
      <c r="J350" s="16">
        <v>-582592810000</v>
      </c>
      <c r="K350" s="16" t="s">
        <v>1290</v>
      </c>
      <c r="L350" s="17">
        <f t="shared" si="20"/>
        <v>28</v>
      </c>
      <c r="M350" s="17">
        <f t="shared" si="21"/>
        <v>0</v>
      </c>
      <c r="N350" s="18">
        <f t="shared" si="22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</row>
    <row r="351" spans="1:44" ht="15.75" thickBot="1" x14ac:dyDescent="0.3">
      <c r="A351" t="s">
        <v>861</v>
      </c>
      <c r="B351" s="59">
        <v>44629</v>
      </c>
      <c r="C351" s="61" t="s">
        <v>867</v>
      </c>
      <c r="D351" t="s">
        <v>868</v>
      </c>
      <c r="E351" t="s">
        <v>113</v>
      </c>
      <c r="F351" t="s">
        <v>36</v>
      </c>
      <c r="G351"/>
      <c r="H351" t="s">
        <v>869</v>
      </c>
      <c r="I351" s="16">
        <v>-348173990000</v>
      </c>
      <c r="J351" s="16">
        <v>-582515250000</v>
      </c>
      <c r="K351" s="16" t="s">
        <v>1291</v>
      </c>
      <c r="L351" s="17">
        <f t="shared" si="20"/>
        <v>28</v>
      </c>
      <c r="M351" s="17">
        <f t="shared" si="21"/>
        <v>0</v>
      </c>
      <c r="N351" s="18">
        <f t="shared" si="22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</row>
    <row r="352" spans="1:44" ht="15.75" thickBot="1" x14ac:dyDescent="0.3">
      <c r="A352" t="s">
        <v>861</v>
      </c>
      <c r="C352" s="45" t="s">
        <v>870</v>
      </c>
      <c r="D352" t="s">
        <v>871</v>
      </c>
      <c r="E352" t="s">
        <v>19</v>
      </c>
      <c r="F352" t="s">
        <v>36</v>
      </c>
      <c r="G352"/>
      <c r="H352" t="s">
        <v>869</v>
      </c>
      <c r="I352" s="16">
        <v>-348116860000</v>
      </c>
      <c r="J352" s="16">
        <v>-582556310000</v>
      </c>
      <c r="K352" s="16" t="s">
        <v>1292</v>
      </c>
      <c r="L352" s="17">
        <f t="shared" si="20"/>
        <v>7</v>
      </c>
      <c r="M352" s="17">
        <f t="shared" si="21"/>
        <v>21</v>
      </c>
      <c r="N352" s="18">
        <f t="shared" si="22"/>
        <v>0.25</v>
      </c>
      <c r="O352" s="27" t="s">
        <v>1343</v>
      </c>
      <c r="P352" s="8"/>
      <c r="Q352" s="8"/>
      <c r="R352" s="8" t="s">
        <v>1343</v>
      </c>
      <c r="S352" s="27" t="s">
        <v>1343</v>
      </c>
      <c r="T352" s="27" t="s">
        <v>1343</v>
      </c>
      <c r="U352" s="8" t="s">
        <v>1343</v>
      </c>
      <c r="V352" s="8" t="s">
        <v>1343</v>
      </c>
      <c r="W352" s="8" t="s">
        <v>1343</v>
      </c>
      <c r="X352" s="27" t="s">
        <v>1343</v>
      </c>
      <c r="Y352" s="27" t="s">
        <v>1343</v>
      </c>
      <c r="Z352" s="27" t="s">
        <v>1343</v>
      </c>
      <c r="AA352" s="27" t="s">
        <v>1343</v>
      </c>
      <c r="AB352" s="27" t="s">
        <v>1343</v>
      </c>
      <c r="AC352" s="27" t="s">
        <v>1343</v>
      </c>
      <c r="AD352" s="27" t="s">
        <v>1343</v>
      </c>
      <c r="AE352" s="27" t="s">
        <v>1343</v>
      </c>
      <c r="AF352" s="27" t="s">
        <v>1343</v>
      </c>
      <c r="AG352" s="27" t="s">
        <v>1343</v>
      </c>
      <c r="AH352" s="27" t="s">
        <v>1343</v>
      </c>
      <c r="AI352" s="27" t="s">
        <v>1343</v>
      </c>
      <c r="AJ352" s="27" t="s">
        <v>1343</v>
      </c>
      <c r="AK352" s="8" t="s">
        <v>1343</v>
      </c>
      <c r="AL352" s="8"/>
      <c r="AM352" s="8"/>
      <c r="AN352" s="27"/>
      <c r="AO352" s="8"/>
      <c r="AP352" s="8"/>
      <c r="AQ352" s="27"/>
      <c r="AR352" s="27"/>
    </row>
    <row r="353" spans="1:44" ht="15.75" thickBot="1" x14ac:dyDescent="0.3">
      <c r="A353" t="s">
        <v>861</v>
      </c>
      <c r="C353" s="45" t="s">
        <v>872</v>
      </c>
      <c r="D353" t="s">
        <v>873</v>
      </c>
      <c r="E353" t="s">
        <v>19</v>
      </c>
      <c r="F353" t="s">
        <v>36</v>
      </c>
      <c r="G353"/>
      <c r="H353" t="s">
        <v>869</v>
      </c>
      <c r="I353" s="16">
        <v>-348113810000</v>
      </c>
      <c r="J353" s="16">
        <v>-582573240000</v>
      </c>
      <c r="K353" s="16" t="s">
        <v>1293</v>
      </c>
      <c r="L353" s="17">
        <f t="shared" si="20"/>
        <v>28</v>
      </c>
      <c r="M353" s="17">
        <f t="shared" si="21"/>
        <v>0</v>
      </c>
      <c r="N353" s="18">
        <f t="shared" si="22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</row>
    <row r="354" spans="1:44" ht="15.75" thickBot="1" x14ac:dyDescent="0.3">
      <c r="A354" t="s">
        <v>271</v>
      </c>
      <c r="C354" s="45" t="s">
        <v>874</v>
      </c>
      <c r="D354" t="s">
        <v>929</v>
      </c>
      <c r="E354" t="s">
        <v>24</v>
      </c>
      <c r="F354" t="s">
        <v>25</v>
      </c>
      <c r="G354" t="s">
        <v>705</v>
      </c>
      <c r="H354"/>
      <c r="I354" s="16">
        <v>-348336200000</v>
      </c>
      <c r="J354" s="16">
        <v>-582709260000</v>
      </c>
      <c r="K354" s="16" t="s">
        <v>1294</v>
      </c>
      <c r="L354" s="17">
        <f t="shared" si="20"/>
        <v>28</v>
      </c>
      <c r="M354" s="17">
        <f t="shared" si="21"/>
        <v>0</v>
      </c>
      <c r="N354" s="18">
        <f t="shared" si="22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</row>
    <row r="355" spans="1:44" ht="15.75" thickBot="1" x14ac:dyDescent="0.3">
      <c r="C355" s="45" t="s">
        <v>875</v>
      </c>
      <c r="D355" t="s">
        <v>930</v>
      </c>
      <c r="E355" t="s">
        <v>19</v>
      </c>
      <c r="F355"/>
      <c r="G355" t="s">
        <v>876</v>
      </c>
      <c r="H355" t="s">
        <v>877</v>
      </c>
      <c r="I355" s="16">
        <v>-348339360000</v>
      </c>
      <c r="J355" s="16">
        <v>-582778770000</v>
      </c>
      <c r="K355" s="16"/>
      <c r="L355" s="17">
        <f t="shared" si="20"/>
        <v>22</v>
      </c>
      <c r="M355" s="17">
        <f t="shared" si="21"/>
        <v>6</v>
      </c>
      <c r="N355" s="18">
        <f t="shared" si="22"/>
        <v>0.7857142857142857</v>
      </c>
      <c r="O355" s="27"/>
      <c r="P355" s="8"/>
      <c r="Q355" s="8"/>
      <c r="R355" s="8"/>
      <c r="S355" s="27"/>
      <c r="T355" s="27"/>
      <c r="U355" s="8"/>
      <c r="V355" s="8"/>
      <c r="W355" s="8" t="s">
        <v>1343</v>
      </c>
      <c r="X355" s="27" t="s">
        <v>1343</v>
      </c>
      <c r="Y355" s="27"/>
      <c r="Z355" s="27"/>
      <c r="AA355" s="27"/>
      <c r="AB355" s="27" t="s">
        <v>1343</v>
      </c>
      <c r="AC355" s="27" t="s">
        <v>1343</v>
      </c>
      <c r="AD355" s="27" t="s">
        <v>1343</v>
      </c>
      <c r="AE355" s="27" t="s">
        <v>1343</v>
      </c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</row>
    <row r="356" spans="1:44" ht="15.75" thickBot="1" x14ac:dyDescent="0.3">
      <c r="A356" t="s">
        <v>271</v>
      </c>
      <c r="C356" s="45" t="s">
        <v>878</v>
      </c>
      <c r="D356" t="s">
        <v>931</v>
      </c>
      <c r="E356" t="s">
        <v>113</v>
      </c>
      <c r="F356" t="s">
        <v>36</v>
      </c>
      <c r="G356"/>
      <c r="H356" t="s">
        <v>879</v>
      </c>
      <c r="I356" s="16">
        <v>-348368690000</v>
      </c>
      <c r="J356" s="16">
        <v>-582780410000</v>
      </c>
      <c r="K356" s="16" t="s">
        <v>1295</v>
      </c>
      <c r="L356" s="17">
        <f t="shared" si="20"/>
        <v>28</v>
      </c>
      <c r="M356" s="17">
        <f t="shared" si="21"/>
        <v>0</v>
      </c>
      <c r="N356" s="18">
        <f t="shared" si="22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</row>
    <row r="357" spans="1:44" ht="15.75" thickBot="1" x14ac:dyDescent="0.3">
      <c r="A357" t="s">
        <v>271</v>
      </c>
      <c r="C357" s="45" t="s">
        <v>880</v>
      </c>
      <c r="D357" t="s">
        <v>931</v>
      </c>
      <c r="E357" t="s">
        <v>113</v>
      </c>
      <c r="F357" t="s">
        <v>36</v>
      </c>
      <c r="G357"/>
      <c r="H357" t="s">
        <v>881</v>
      </c>
      <c r="I357" s="16">
        <v>-348367000000</v>
      </c>
      <c r="J357" s="16">
        <v>-582781300000</v>
      </c>
      <c r="K357" s="16" t="s">
        <v>1296</v>
      </c>
      <c r="L357" s="17">
        <f t="shared" si="20"/>
        <v>28</v>
      </c>
      <c r="M357" s="17">
        <f t="shared" si="21"/>
        <v>0</v>
      </c>
      <c r="N357" s="18">
        <f t="shared" si="22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</row>
    <row r="358" spans="1:44" ht="15.75" thickBot="1" x14ac:dyDescent="0.3">
      <c r="A358" t="s">
        <v>271</v>
      </c>
      <c r="C358" s="45" t="s">
        <v>882</v>
      </c>
      <c r="D358" t="s">
        <v>932</v>
      </c>
      <c r="E358" t="s">
        <v>19</v>
      </c>
      <c r="F358" t="s">
        <v>36</v>
      </c>
      <c r="G358"/>
      <c r="H358" t="s">
        <v>883</v>
      </c>
      <c r="I358" s="16">
        <v>-348375310000</v>
      </c>
      <c r="J358" s="16">
        <v>-582782110000</v>
      </c>
      <c r="K358" s="16" t="s">
        <v>1297</v>
      </c>
      <c r="L358" s="17">
        <f t="shared" si="20"/>
        <v>25</v>
      </c>
      <c r="M358" s="17">
        <f t="shared" si="21"/>
        <v>3</v>
      </c>
      <c r="N358" s="18">
        <f t="shared" si="22"/>
        <v>0.8928571428571429</v>
      </c>
      <c r="O358" s="27" t="s">
        <v>1343</v>
      </c>
      <c r="P358" s="8"/>
      <c r="Q358" s="8"/>
      <c r="R358" s="8" t="s">
        <v>1343</v>
      </c>
      <c r="S358" s="27" t="s">
        <v>1343</v>
      </c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</row>
    <row r="359" spans="1:44" ht="15.75" thickBot="1" x14ac:dyDescent="0.3">
      <c r="A359" t="s">
        <v>884</v>
      </c>
      <c r="C359" s="45" t="s">
        <v>885</v>
      </c>
      <c r="D359" t="s">
        <v>886</v>
      </c>
      <c r="E359" t="s">
        <v>113</v>
      </c>
      <c r="F359" t="s">
        <v>36</v>
      </c>
      <c r="G359"/>
      <c r="H359" t="s">
        <v>887</v>
      </c>
      <c r="I359" s="16">
        <v>-348344030000</v>
      </c>
      <c r="J359" s="16">
        <v>-582802100000</v>
      </c>
      <c r="K359" s="16" t="s">
        <v>1298</v>
      </c>
      <c r="L359" s="17">
        <f t="shared" si="20"/>
        <v>28</v>
      </c>
      <c r="M359" s="17">
        <f t="shared" si="21"/>
        <v>0</v>
      </c>
      <c r="N359" s="18">
        <f t="shared" si="22"/>
        <v>1</v>
      </c>
      <c r="O359" s="27"/>
      <c r="P359" s="8"/>
      <c r="Q359" s="8"/>
      <c r="R359" s="8"/>
      <c r="S359" s="27"/>
      <c r="T359" s="27"/>
      <c r="U359" s="8"/>
      <c r="V359" s="8"/>
      <c r="W359" s="8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</row>
    <row r="360" spans="1:44" ht="15.75" thickBot="1" x14ac:dyDescent="0.3">
      <c r="A360" t="s">
        <v>884</v>
      </c>
      <c r="C360" s="45" t="s">
        <v>888</v>
      </c>
      <c r="D360" t="s">
        <v>886</v>
      </c>
      <c r="E360" t="s">
        <v>113</v>
      </c>
      <c r="F360" t="s">
        <v>36</v>
      </c>
      <c r="G360"/>
      <c r="H360" t="s">
        <v>887</v>
      </c>
      <c r="I360" s="16">
        <v>-348343990000</v>
      </c>
      <c r="J360" s="16">
        <v>-582802050000</v>
      </c>
      <c r="K360" s="16" t="s">
        <v>1299</v>
      </c>
      <c r="L360" s="17">
        <f t="shared" si="20"/>
        <v>28</v>
      </c>
      <c r="M360" s="17">
        <f t="shared" si="21"/>
        <v>0</v>
      </c>
      <c r="N360" s="18">
        <f t="shared" si="22"/>
        <v>1</v>
      </c>
      <c r="O360" s="27"/>
      <c r="P360" s="8"/>
      <c r="Q360" s="8"/>
      <c r="R360" s="8"/>
      <c r="S360" s="27"/>
      <c r="T360" s="27"/>
      <c r="U360" s="8"/>
      <c r="V360" s="8"/>
      <c r="W360" s="8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</row>
    <row r="361" spans="1:44" ht="15.75" thickBot="1" x14ac:dyDescent="0.3">
      <c r="A361" t="s">
        <v>884</v>
      </c>
      <c r="C361" s="45" t="s">
        <v>889</v>
      </c>
      <c r="D361" t="s">
        <v>890</v>
      </c>
      <c r="E361" t="s">
        <v>113</v>
      </c>
      <c r="F361" t="s">
        <v>36</v>
      </c>
      <c r="G361"/>
      <c r="H361" t="s">
        <v>887</v>
      </c>
      <c r="I361" s="16">
        <v>-348350290000</v>
      </c>
      <c r="J361" s="16">
        <v>-582814190000</v>
      </c>
      <c r="K361" s="16" t="s">
        <v>1300</v>
      </c>
      <c r="L361" s="17">
        <f t="shared" si="20"/>
        <v>28</v>
      </c>
      <c r="M361" s="17">
        <f t="shared" si="21"/>
        <v>0</v>
      </c>
      <c r="N361" s="18">
        <f t="shared" si="22"/>
        <v>1</v>
      </c>
      <c r="O361" s="27"/>
      <c r="P361" s="8"/>
      <c r="Q361" s="8"/>
      <c r="R361" s="8"/>
      <c r="S361" s="27"/>
      <c r="T361" s="27"/>
      <c r="U361" s="8"/>
      <c r="V361" s="8"/>
      <c r="W361" s="8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</row>
    <row r="362" spans="1:44" ht="15.75" thickBot="1" x14ac:dyDescent="0.3">
      <c r="A362" t="s">
        <v>884</v>
      </c>
      <c r="C362" s="45" t="s">
        <v>891</v>
      </c>
      <c r="D362" t="s">
        <v>890</v>
      </c>
      <c r="E362" t="s">
        <v>113</v>
      </c>
      <c r="F362" t="s">
        <v>36</v>
      </c>
      <c r="G362"/>
      <c r="H362" t="s">
        <v>887</v>
      </c>
      <c r="I362" s="16">
        <v>-348350240000</v>
      </c>
      <c r="J362" s="16">
        <v>-582814080000</v>
      </c>
      <c r="K362" s="16" t="s">
        <v>1301</v>
      </c>
      <c r="L362" s="17">
        <f t="shared" si="20"/>
        <v>28</v>
      </c>
      <c r="M362" s="17">
        <f t="shared" si="21"/>
        <v>0</v>
      </c>
      <c r="N362" s="18">
        <f t="shared" si="22"/>
        <v>1</v>
      </c>
      <c r="O362" s="27"/>
      <c r="P362" s="8"/>
      <c r="Q362" s="8"/>
      <c r="R362" s="8"/>
      <c r="S362" s="27"/>
      <c r="T362" s="27"/>
      <c r="U362" s="8"/>
      <c r="V362" s="8"/>
      <c r="W362" s="8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</row>
    <row r="363" spans="1:44" ht="15.75" thickBot="1" x14ac:dyDescent="0.3">
      <c r="A363" t="s">
        <v>892</v>
      </c>
      <c r="C363" s="45" t="s">
        <v>893</v>
      </c>
      <c r="D363" t="s">
        <v>894</v>
      </c>
      <c r="E363" t="s">
        <v>19</v>
      </c>
      <c r="F363" t="s">
        <v>36</v>
      </c>
      <c r="G363"/>
      <c r="H363" t="s">
        <v>341</v>
      </c>
      <c r="I363" s="16">
        <v>-348331020000</v>
      </c>
      <c r="J363" s="16">
        <v>-582411500000</v>
      </c>
      <c r="K363" s="16" t="s">
        <v>1302</v>
      </c>
      <c r="L363" s="17">
        <f t="shared" si="20"/>
        <v>23</v>
      </c>
      <c r="M363" s="17">
        <f t="shared" si="21"/>
        <v>5</v>
      </c>
      <c r="N363" s="18">
        <f t="shared" si="22"/>
        <v>0.8214285714285714</v>
      </c>
      <c r="O363" s="27"/>
      <c r="P363" s="8"/>
      <c r="Q363" s="8"/>
      <c r="R363" s="8"/>
      <c r="S363" s="27"/>
      <c r="T363" s="27"/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 t="s">
        <v>1343</v>
      </c>
      <c r="AH363" s="27" t="s">
        <v>1343</v>
      </c>
      <c r="AI363" s="27" t="s">
        <v>1343</v>
      </c>
      <c r="AJ363" s="27" t="s">
        <v>1343</v>
      </c>
      <c r="AK363" s="8" t="s">
        <v>1343</v>
      </c>
      <c r="AL363" s="8"/>
      <c r="AM363" s="8"/>
      <c r="AN363" s="27"/>
      <c r="AO363" s="8"/>
      <c r="AP363" s="8"/>
      <c r="AQ363" s="27"/>
      <c r="AR363" s="27"/>
    </row>
    <row r="364" spans="1:44" ht="15.75" thickBot="1" x14ac:dyDescent="0.3">
      <c r="A364" t="s">
        <v>895</v>
      </c>
      <c r="C364" s="45" t="s">
        <v>896</v>
      </c>
      <c r="D364" t="s">
        <v>897</v>
      </c>
      <c r="E364" t="s">
        <v>19</v>
      </c>
      <c r="F364" t="s">
        <v>25</v>
      </c>
      <c r="G364"/>
      <c r="H364" t="s">
        <v>689</v>
      </c>
      <c r="I364" s="16">
        <v>-348140350000</v>
      </c>
      <c r="J364" s="16">
        <v>-582788310000</v>
      </c>
      <c r="K364" s="16" t="s">
        <v>1303</v>
      </c>
      <c r="L364" s="17">
        <f t="shared" si="20"/>
        <v>28</v>
      </c>
      <c r="M364" s="17">
        <f t="shared" si="21"/>
        <v>0</v>
      </c>
      <c r="N364" s="18">
        <f t="shared" si="22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</row>
    <row r="365" spans="1:44" ht="15.75" thickBot="1" x14ac:dyDescent="0.3">
      <c r="A365" t="s">
        <v>895</v>
      </c>
      <c r="C365" s="45" t="s">
        <v>898</v>
      </c>
      <c r="D365" t="s">
        <v>899</v>
      </c>
      <c r="E365" t="s">
        <v>19</v>
      </c>
      <c r="F365" t="s">
        <v>25</v>
      </c>
      <c r="G365"/>
      <c r="H365" t="s">
        <v>900</v>
      </c>
      <c r="I365" s="16">
        <v>-348118850000</v>
      </c>
      <c r="J365" s="16">
        <v>-582790580000</v>
      </c>
      <c r="K365" s="16" t="s">
        <v>1304</v>
      </c>
      <c r="L365" s="17">
        <f t="shared" si="20"/>
        <v>28</v>
      </c>
      <c r="M365" s="17">
        <f t="shared" si="21"/>
        <v>0</v>
      </c>
      <c r="N365" s="18">
        <f t="shared" si="22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</row>
    <row r="366" spans="1:44" ht="15.75" thickBot="1" x14ac:dyDescent="0.3">
      <c r="A366" t="s">
        <v>895</v>
      </c>
      <c r="C366" s="45" t="s">
        <v>901</v>
      </c>
      <c r="D366" t="s">
        <v>902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1305</v>
      </c>
      <c r="L366" s="17">
        <f t="shared" si="20"/>
        <v>28</v>
      </c>
      <c r="M366" s="17">
        <f t="shared" si="21"/>
        <v>0</v>
      </c>
      <c r="N366" s="18">
        <f t="shared" si="22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</row>
    <row r="367" spans="1:44" ht="15.75" thickBot="1" x14ac:dyDescent="0.3">
      <c r="C367" s="45" t="s">
        <v>903</v>
      </c>
      <c r="D367" t="s">
        <v>904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1309</v>
      </c>
      <c r="L367" s="17">
        <f t="shared" si="20"/>
        <v>28</v>
      </c>
      <c r="M367" s="17">
        <f t="shared" si="21"/>
        <v>0</v>
      </c>
      <c r="N367" s="18">
        <f t="shared" si="22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</row>
    <row r="368" spans="1:44" ht="15.75" thickBot="1" x14ac:dyDescent="0.3">
      <c r="A368" t="s">
        <v>905</v>
      </c>
      <c r="C368" s="45" t="s">
        <v>906</v>
      </c>
      <c r="D368" t="s">
        <v>907</v>
      </c>
      <c r="E368" t="s">
        <v>24</v>
      </c>
      <c r="F368" t="s">
        <v>25</v>
      </c>
      <c r="G368" t="s">
        <v>795</v>
      </c>
      <c r="H368"/>
      <c r="I368" s="16">
        <v>-348108520000</v>
      </c>
      <c r="J368" s="16">
        <v>-582564000000</v>
      </c>
      <c r="K368" s="16" t="s">
        <v>1306</v>
      </c>
      <c r="L368" s="17">
        <f t="shared" si="20"/>
        <v>28</v>
      </c>
      <c r="M368" s="17">
        <f t="shared" si="21"/>
        <v>0</v>
      </c>
      <c r="N368" s="18">
        <f t="shared" si="22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</row>
    <row r="369" spans="1:44" ht="15.75" thickBot="1" x14ac:dyDescent="0.3">
      <c r="A369" t="s">
        <v>480</v>
      </c>
      <c r="B369" s="59">
        <v>44629</v>
      </c>
      <c r="C369" s="61" t="s">
        <v>908</v>
      </c>
      <c r="D369" t="s">
        <v>909</v>
      </c>
      <c r="E369" t="s">
        <v>24</v>
      </c>
      <c r="F369" t="s">
        <v>25</v>
      </c>
      <c r="G369" t="s">
        <v>795</v>
      </c>
      <c r="H369"/>
      <c r="I369" s="16">
        <v>-348105440000</v>
      </c>
      <c r="J369" s="16">
        <v>-582580200000</v>
      </c>
      <c r="K369" s="16" t="s">
        <v>1307</v>
      </c>
      <c r="L369" s="17">
        <f t="shared" si="20"/>
        <v>28</v>
      </c>
      <c r="M369" s="17">
        <f t="shared" si="21"/>
        <v>0</v>
      </c>
      <c r="N369" s="18">
        <f t="shared" si="22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</row>
    <row r="370" spans="1:44" ht="15.75" thickBot="1" x14ac:dyDescent="0.3">
      <c r="C370" s="45" t="s">
        <v>910</v>
      </c>
      <c r="D370" t="s">
        <v>911</v>
      </c>
      <c r="E370" t="s">
        <v>19</v>
      </c>
      <c r="F370" t="s">
        <v>25</v>
      </c>
      <c r="G370"/>
      <c r="H370" t="s">
        <v>912</v>
      </c>
      <c r="I370" s="16">
        <v>-348006770000</v>
      </c>
      <c r="J370" s="16">
        <v>-582652130000</v>
      </c>
      <c r="K370" s="16" t="s">
        <v>1308</v>
      </c>
      <c r="L370" s="17">
        <f t="shared" si="20"/>
        <v>28</v>
      </c>
      <c r="M370" s="17">
        <f t="shared" si="21"/>
        <v>0</v>
      </c>
      <c r="N370" s="18">
        <f t="shared" si="22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</row>
    <row r="371" spans="1:44" ht="15.75" thickBot="1" x14ac:dyDescent="0.3">
      <c r="A371" t="s">
        <v>1316</v>
      </c>
      <c r="C371" s="45" t="s">
        <v>1312</v>
      </c>
      <c r="D371" t="s">
        <v>1314</v>
      </c>
      <c r="E371" s="45" t="s">
        <v>113</v>
      </c>
      <c r="F371" s="45" t="s">
        <v>36</v>
      </c>
      <c r="G371" s="9"/>
      <c r="H371" s="9" t="s">
        <v>1319</v>
      </c>
      <c r="I371" s="9"/>
      <c r="J371" s="9"/>
      <c r="K371" s="28" t="s">
        <v>1317</v>
      </c>
      <c r="L371" s="17">
        <f t="shared" si="20"/>
        <v>28</v>
      </c>
      <c r="M371" s="17">
        <f t="shared" si="21"/>
        <v>0</v>
      </c>
      <c r="N371" s="18">
        <f t="shared" si="22"/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</row>
    <row r="372" spans="1:44" ht="15.75" thickBot="1" x14ac:dyDescent="0.3">
      <c r="A372" t="s">
        <v>1316</v>
      </c>
      <c r="C372" s="45" t="s">
        <v>1313</v>
      </c>
      <c r="D372" t="s">
        <v>1315</v>
      </c>
      <c r="E372" s="45" t="s">
        <v>113</v>
      </c>
      <c r="F372" s="45" t="s">
        <v>36</v>
      </c>
      <c r="G372" s="9" t="s">
        <v>1319</v>
      </c>
      <c r="H372" s="9"/>
      <c r="I372" s="9"/>
      <c r="J372" s="9"/>
      <c r="K372" s="28" t="s">
        <v>1318</v>
      </c>
      <c r="L372" s="17">
        <f t="shared" si="20"/>
        <v>28</v>
      </c>
      <c r="M372" s="17">
        <f t="shared" si="21"/>
        <v>0</v>
      </c>
      <c r="N372" s="18">
        <f t="shared" si="22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</row>
    <row r="373" spans="1:44" ht="15.75" thickBot="1" x14ac:dyDescent="0.3">
      <c r="A373" s="67" t="s">
        <v>571</v>
      </c>
      <c r="C373" s="68" t="s">
        <v>1331</v>
      </c>
      <c r="D373" s="69" t="s">
        <v>1335</v>
      </c>
      <c r="E373" s="70" t="s">
        <v>19</v>
      </c>
      <c r="F373" s="71" t="s">
        <v>36</v>
      </c>
      <c r="G373" s="9"/>
      <c r="H373" s="9"/>
      <c r="I373" s="9"/>
      <c r="J373" s="9"/>
      <c r="K373" s="72" t="s">
        <v>1339</v>
      </c>
      <c r="L373" s="73">
        <f t="shared" ref="L373:L377" si="23">COUNTIF(O373:AP373,"")</f>
        <v>28</v>
      </c>
      <c r="M373" s="73">
        <f t="shared" ref="M373:M377" si="24">COUNTIF(O373:AP373,"APAGADO")</f>
        <v>0</v>
      </c>
      <c r="N373" s="74">
        <f t="shared" ref="N373:N377" si="25">(L373)/(M373+L373)</f>
        <v>1</v>
      </c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  <c r="AA373" s="75"/>
      <c r="AB373" s="75"/>
      <c r="AC373" s="75"/>
      <c r="AD373" s="75"/>
      <c r="AE373" s="75"/>
      <c r="AF373" s="75"/>
      <c r="AG373" s="75"/>
      <c r="AH373" s="75"/>
      <c r="AI373" s="75"/>
      <c r="AJ373" s="75"/>
      <c r="AK373" s="75"/>
      <c r="AL373" s="75"/>
      <c r="AM373" s="75"/>
      <c r="AN373" s="75"/>
      <c r="AO373" s="75"/>
      <c r="AP373" s="75"/>
      <c r="AQ373" s="75"/>
      <c r="AR373" s="75"/>
    </row>
    <row r="374" spans="1:44" ht="15.75" thickBot="1" x14ac:dyDescent="0.3">
      <c r="A374" s="67" t="s">
        <v>571</v>
      </c>
      <c r="C374" s="68" t="s">
        <v>1332</v>
      </c>
      <c r="D374" s="69" t="s">
        <v>1336</v>
      </c>
      <c r="E374" s="70" t="s">
        <v>19</v>
      </c>
      <c r="F374" s="71" t="s">
        <v>36</v>
      </c>
      <c r="G374" s="9"/>
      <c r="H374" s="9"/>
      <c r="I374" s="9"/>
      <c r="J374" s="9"/>
      <c r="K374" s="72" t="s">
        <v>1340</v>
      </c>
      <c r="L374" s="73">
        <f t="shared" si="23"/>
        <v>28</v>
      </c>
      <c r="M374" s="73">
        <f t="shared" si="24"/>
        <v>0</v>
      </c>
      <c r="N374" s="74">
        <f t="shared" si="25"/>
        <v>1</v>
      </c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  <c r="AA374" s="75"/>
      <c r="AB374" s="75"/>
      <c r="AC374" s="75"/>
      <c r="AD374" s="75"/>
      <c r="AE374" s="75"/>
      <c r="AF374" s="75"/>
      <c r="AG374" s="75"/>
      <c r="AH374" s="75"/>
      <c r="AI374" s="75"/>
      <c r="AJ374" s="75"/>
      <c r="AK374" s="75"/>
      <c r="AL374" s="75"/>
      <c r="AM374" s="75"/>
      <c r="AN374" s="75"/>
      <c r="AO374" s="75"/>
      <c r="AP374" s="75"/>
      <c r="AQ374" s="75"/>
      <c r="AR374" s="75"/>
    </row>
    <row r="375" spans="1:44" ht="15.75" thickBot="1" x14ac:dyDescent="0.3">
      <c r="A375" s="67" t="s">
        <v>571</v>
      </c>
      <c r="C375" s="68" t="s">
        <v>1333</v>
      </c>
      <c r="D375" s="69" t="s">
        <v>1337</v>
      </c>
      <c r="E375" s="70" t="s">
        <v>19</v>
      </c>
      <c r="F375" s="71" t="s">
        <v>36</v>
      </c>
      <c r="G375" s="9"/>
      <c r="H375" s="9"/>
      <c r="I375" s="9"/>
      <c r="J375" s="9"/>
      <c r="K375" s="72" t="s">
        <v>1341</v>
      </c>
      <c r="L375" s="73">
        <f t="shared" si="23"/>
        <v>28</v>
      </c>
      <c r="M375" s="73">
        <f t="shared" si="24"/>
        <v>0</v>
      </c>
      <c r="N375" s="74">
        <f t="shared" si="25"/>
        <v>1</v>
      </c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  <c r="AA375" s="75"/>
      <c r="AB375" s="75"/>
      <c r="AC375" s="75"/>
      <c r="AD375" s="75"/>
      <c r="AE375" s="75"/>
      <c r="AF375" s="75"/>
      <c r="AG375" s="75"/>
      <c r="AH375" s="75"/>
      <c r="AI375" s="75"/>
      <c r="AJ375" s="75"/>
      <c r="AK375" s="75"/>
      <c r="AL375" s="75"/>
      <c r="AM375" s="75"/>
      <c r="AN375" s="75"/>
      <c r="AO375" s="75"/>
      <c r="AP375" s="75"/>
      <c r="AQ375" s="75"/>
      <c r="AR375" s="75"/>
    </row>
    <row r="376" spans="1:44" ht="15.75" thickBot="1" x14ac:dyDescent="0.3">
      <c r="A376" s="67" t="s">
        <v>571</v>
      </c>
      <c r="C376" s="68" t="s">
        <v>1334</v>
      </c>
      <c r="D376" s="69" t="s">
        <v>1338</v>
      </c>
      <c r="E376" s="70" t="s">
        <v>19</v>
      </c>
      <c r="F376" s="71" t="s">
        <v>36</v>
      </c>
      <c r="G376" s="9"/>
      <c r="H376" s="9"/>
      <c r="I376" s="9"/>
      <c r="J376" s="9"/>
      <c r="K376" s="72" t="s">
        <v>1342</v>
      </c>
      <c r="L376" s="73">
        <f t="shared" si="23"/>
        <v>28</v>
      </c>
      <c r="M376" s="73">
        <f t="shared" si="24"/>
        <v>0</v>
      </c>
      <c r="N376" s="74">
        <f t="shared" si="25"/>
        <v>1</v>
      </c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  <c r="AA376" s="75"/>
      <c r="AB376" s="75"/>
      <c r="AC376" s="75"/>
      <c r="AD376" s="75"/>
      <c r="AE376" s="75"/>
      <c r="AF376" s="75"/>
      <c r="AG376" s="75"/>
      <c r="AH376" s="75"/>
      <c r="AI376" s="75"/>
      <c r="AJ376" s="75"/>
      <c r="AK376" s="75"/>
      <c r="AL376" s="75"/>
      <c r="AM376" s="75"/>
      <c r="AN376" s="75"/>
      <c r="AO376" s="75"/>
      <c r="AP376" s="75"/>
      <c r="AQ376" s="75"/>
      <c r="AR376" s="75"/>
    </row>
    <row r="377" spans="1:44" s="70" customFormat="1" ht="15.75" thickBot="1" x14ac:dyDescent="0.3">
      <c r="A377" s="70" t="s">
        <v>80</v>
      </c>
      <c r="C377" s="71" t="s">
        <v>1349</v>
      </c>
      <c r="D377" s="70" t="s">
        <v>1347</v>
      </c>
      <c r="E377" s="70" t="s">
        <v>19</v>
      </c>
      <c r="F377" s="71" t="s">
        <v>36</v>
      </c>
      <c r="G377" s="72"/>
      <c r="H377" s="72"/>
      <c r="I377" s="72"/>
      <c r="J377" s="72"/>
      <c r="K377" s="72" t="s">
        <v>1348</v>
      </c>
      <c r="L377" s="73">
        <f t="shared" si="23"/>
        <v>28</v>
      </c>
      <c r="M377" s="73">
        <f t="shared" si="24"/>
        <v>0</v>
      </c>
      <c r="N377" s="74">
        <f t="shared" si="25"/>
        <v>1</v>
      </c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  <c r="Z377" s="75"/>
      <c r="AA377" s="75"/>
      <c r="AB377" s="75"/>
      <c r="AC377" s="75"/>
      <c r="AD377" s="75"/>
      <c r="AE377" s="75"/>
      <c r="AF377" s="75"/>
      <c r="AG377" s="75"/>
      <c r="AH377" s="75"/>
      <c r="AI377" s="75"/>
      <c r="AJ377" s="75"/>
      <c r="AK377" s="75"/>
      <c r="AL377" s="75"/>
      <c r="AM377" s="75"/>
      <c r="AN377" s="75"/>
      <c r="AO377" s="75"/>
      <c r="AP377" s="75"/>
      <c r="AQ377" s="75"/>
      <c r="AR377" s="75"/>
    </row>
    <row r="378" spans="1:44" x14ac:dyDescent="0.25">
      <c r="E378" s="9"/>
      <c r="F378" s="9"/>
      <c r="G378" s="9"/>
      <c r="H378" s="9"/>
      <c r="I378" s="9"/>
      <c r="J378" s="9"/>
      <c r="K378" s="28"/>
      <c r="N378" s="21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9"/>
      <c r="AL378" s="9"/>
      <c r="AM378" s="9"/>
      <c r="AN378" s="9"/>
      <c r="AO378" s="9"/>
      <c r="AP378" s="9"/>
      <c r="AQ378" s="28"/>
      <c r="AR378" s="28"/>
    </row>
    <row r="379" spans="1:44" x14ac:dyDescent="0.25">
      <c r="E379" s="9"/>
      <c r="F379" s="9"/>
      <c r="G379" s="9"/>
      <c r="H379" s="9"/>
      <c r="I379" s="9"/>
      <c r="J379" s="9"/>
      <c r="K379" s="28"/>
      <c r="N379" s="21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9"/>
      <c r="AL379" s="9"/>
      <c r="AM379" s="9"/>
      <c r="AN379" s="9"/>
      <c r="AO379" s="9"/>
      <c r="AP379" s="9"/>
      <c r="AQ379" s="28"/>
      <c r="AR379" s="28"/>
    </row>
    <row r="380" spans="1:44" x14ac:dyDescent="0.25"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</row>
    <row r="381" spans="1:44" x14ac:dyDescent="0.25"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</row>
    <row r="382" spans="1:44" x14ac:dyDescent="0.25"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</row>
    <row r="383" spans="1:44" x14ac:dyDescent="0.25"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</row>
    <row r="384" spans="1:44" x14ac:dyDescent="0.25"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</row>
    <row r="385" spans="5:44" x14ac:dyDescent="0.25"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</row>
    <row r="386" spans="5:44" x14ac:dyDescent="0.25"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</row>
    <row r="387" spans="5:44" x14ac:dyDescent="0.25"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</row>
    <row r="388" spans="5:44" x14ac:dyDescent="0.25"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</row>
    <row r="389" spans="5:44" x14ac:dyDescent="0.25"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</row>
    <row r="390" spans="5:44" x14ac:dyDescent="0.25"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</row>
    <row r="391" spans="5:44" x14ac:dyDescent="0.25"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</row>
    <row r="392" spans="5:44" x14ac:dyDescent="0.25"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</row>
    <row r="393" spans="5:44" x14ac:dyDescent="0.25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</row>
    <row r="394" spans="5:44" x14ac:dyDescent="0.25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</row>
    <row r="395" spans="5:44" x14ac:dyDescent="0.25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</row>
    <row r="396" spans="5:44" x14ac:dyDescent="0.25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</row>
    <row r="397" spans="5:44" x14ac:dyDescent="0.25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5:44" x14ac:dyDescent="0.25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5:44" x14ac:dyDescent="0.25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5:44" x14ac:dyDescent="0.25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25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25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25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25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25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25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25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25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25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25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25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25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25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25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25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25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25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25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25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25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25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25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25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25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25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25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25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25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25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25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25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25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25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25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25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25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25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25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25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25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25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25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25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25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25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25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25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25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25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25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25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25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25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25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25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25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25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25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25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25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25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25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25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25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25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25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25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25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25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25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25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25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25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25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25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25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25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25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25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25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25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25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25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25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25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25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25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25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25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25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25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25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25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25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25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25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25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25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25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25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25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25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25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25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25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25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25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25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25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25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25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25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25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25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25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25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25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25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25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25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25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25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25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25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25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25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25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25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25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25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25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25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25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25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25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25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25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25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25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25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25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25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25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25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25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25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25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25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25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25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25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25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25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25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25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25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25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25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25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25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25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25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25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25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25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25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25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25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25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25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25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25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25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25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25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25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25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25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25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25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25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25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25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25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25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25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25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25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25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25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25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25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25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25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25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25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25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25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25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25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25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25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25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25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25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25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25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25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25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25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25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25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25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25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25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25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25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25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25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25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25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25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25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25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25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25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25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25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25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25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25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25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25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25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25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25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25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25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25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25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25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25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25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25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25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25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25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25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25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25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25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25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25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25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25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25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25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25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25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25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25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25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25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25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25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25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25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25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25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25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25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25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25">
      <c r="E673" s="9"/>
      <c r="F673" s="9"/>
      <c r="G673" s="9"/>
      <c r="H673" s="9"/>
      <c r="I673" s="9"/>
      <c r="J673" s="9"/>
      <c r="K673" s="28"/>
      <c r="N673" s="21"/>
    </row>
    <row r="674" spans="5:14" x14ac:dyDescent="0.25">
      <c r="E674" s="9"/>
      <c r="F674" s="9"/>
      <c r="G674" s="9"/>
      <c r="H674" s="9"/>
      <c r="I674" s="9"/>
      <c r="J674" s="9"/>
      <c r="K674" s="28"/>
      <c r="N674" s="21"/>
    </row>
    <row r="675" spans="5:14" x14ac:dyDescent="0.25">
      <c r="E675" s="9"/>
      <c r="F675" s="9"/>
      <c r="G675" s="9"/>
      <c r="H675" s="9"/>
      <c r="I675" s="9"/>
      <c r="J675" s="9"/>
      <c r="K675" s="28"/>
      <c r="N675" s="21"/>
    </row>
    <row r="676" spans="5:14" x14ac:dyDescent="0.25">
      <c r="N676" s="21"/>
    </row>
  </sheetData>
  <conditionalFormatting sqref="N4:N244 P236:U244 P247:U281 O95:O244 O247:O369 V96:X244 V247:X372 Y96:AJ372 AK95:AP369 AR95:AR369 N245:X246 N247:N377">
    <cfRule type="cellIs" dxfId="517" priority="1893" operator="lessThan">
      <formula>0.8</formula>
    </cfRule>
    <cfRule type="cellIs" dxfId="516" priority="1894" operator="greaterThan">
      <formula>0.8</formula>
    </cfRule>
  </conditionalFormatting>
  <conditionalFormatting sqref="E1:K3 E284:K334 E236:K236 E5:K32 E36:K91 E94:K230 E337:K364 E369:K372 E243:K281 E391:K1048576">
    <cfRule type="containsText" dxfId="515" priority="1892" operator="containsText" text="Radio">
      <formula>NOT(ISERROR(SEARCH("Radio",E1)))</formula>
    </cfRule>
  </conditionalFormatting>
  <conditionalFormatting sqref="P236:U244 P247:U281 O95:O244 O247:O372 V96:X244 V247:X372 O245:X246 Y96:AJ372 AK95:AP372 V391:AP1048576 AR391:AR1048576 AR95:AR372">
    <cfRule type="notContainsText" dxfId="514" priority="1888" operator="notContains" text="Caida">
      <formula>ISERROR(SEARCH("Caida",O95))</formula>
    </cfRule>
    <cfRule type="containsText" dxfId="513" priority="1889" operator="containsText" text="Caida">
      <formula>NOT(ISERROR(SEARCH("Caida",O95)))</formula>
    </cfRule>
  </conditionalFormatting>
  <conditionalFormatting sqref="E282:K282">
    <cfRule type="containsText" dxfId="512" priority="1861" operator="containsText" text="Radio">
      <formula>NOT(ISERROR(SEARCH("Radio",E282)))</formula>
    </cfRule>
  </conditionalFormatting>
  <conditionalFormatting sqref="E283:K283">
    <cfRule type="containsText" dxfId="511" priority="1836" operator="containsText" text="Radio">
      <formula>NOT(ISERROR(SEARCH("Radio",E283)))</formula>
    </cfRule>
  </conditionalFormatting>
  <conditionalFormatting sqref="E4:K4">
    <cfRule type="containsText" dxfId="510" priority="1811" operator="containsText" text="Radio">
      <formula>NOT(ISERROR(SEARCH("Radio",E4)))</formula>
    </cfRule>
  </conditionalFormatting>
  <conditionalFormatting sqref="E231:K231">
    <cfRule type="containsText" dxfId="509" priority="1810" operator="containsText" text="Radio">
      <formula>NOT(ISERROR(SEARCH("Radio",E231)))</formula>
    </cfRule>
  </conditionalFormatting>
  <conditionalFormatting sqref="E232:K232">
    <cfRule type="containsText" dxfId="508" priority="1785" operator="containsText" text="Radio">
      <formula>NOT(ISERROR(SEARCH("Radio",E232)))</formula>
    </cfRule>
  </conditionalFormatting>
  <conditionalFormatting sqref="E233:K233">
    <cfRule type="containsText" dxfId="507" priority="1760" operator="containsText" text="Radio">
      <formula>NOT(ISERROR(SEARCH("Radio",E233)))</formula>
    </cfRule>
  </conditionalFormatting>
  <conditionalFormatting sqref="E234:K234">
    <cfRule type="containsText" dxfId="506" priority="1735" operator="containsText" text="Radio">
      <formula>NOT(ISERROR(SEARCH("Radio",E234)))</formula>
    </cfRule>
  </conditionalFormatting>
  <conditionalFormatting sqref="E235:K235">
    <cfRule type="containsText" dxfId="505" priority="1710" operator="containsText" text="Radio">
      <formula>NOT(ISERROR(SEARCH("Radio",E235)))</formula>
    </cfRule>
  </conditionalFormatting>
  <conditionalFormatting sqref="E335:K335">
    <cfRule type="containsText" dxfId="504" priority="1661" operator="containsText" text="Radio">
      <formula>NOT(ISERROR(SEARCH("Radio",E335)))</formula>
    </cfRule>
  </conditionalFormatting>
  <conditionalFormatting sqref="E336:K336">
    <cfRule type="containsText" dxfId="503" priority="1636" operator="containsText" text="Radio">
      <formula>NOT(ISERROR(SEARCH("Radio",E336)))</formula>
    </cfRule>
  </conditionalFormatting>
  <conditionalFormatting sqref="E237:K237">
    <cfRule type="containsText" dxfId="502" priority="1611" operator="containsText" text="Radio">
      <formula>NOT(ISERROR(SEARCH("Radio",E237)))</formula>
    </cfRule>
  </conditionalFormatting>
  <conditionalFormatting sqref="E238:K238">
    <cfRule type="containsText" dxfId="501" priority="1586" operator="containsText" text="Radio">
      <formula>NOT(ISERROR(SEARCH("Radio",E238)))</formula>
    </cfRule>
  </conditionalFormatting>
  <conditionalFormatting sqref="E33:K35">
    <cfRule type="containsText" dxfId="500" priority="1561" operator="containsText" text="Radio">
      <formula>NOT(ISERROR(SEARCH("Radio",E33)))</formula>
    </cfRule>
  </conditionalFormatting>
  <conditionalFormatting sqref="E239:K239">
    <cfRule type="containsText" dxfId="499" priority="1536" operator="containsText" text="Radio">
      <formula>NOT(ISERROR(SEARCH("Radio",E239)))</formula>
    </cfRule>
  </conditionalFormatting>
  <conditionalFormatting sqref="E240:K240">
    <cfRule type="containsText" dxfId="498" priority="1511" operator="containsText" text="Radio">
      <formula>NOT(ISERROR(SEARCH("Radio",E240)))</formula>
    </cfRule>
  </conditionalFormatting>
  <conditionalFormatting sqref="E241:K241">
    <cfRule type="containsText" dxfId="497" priority="1486" operator="containsText" text="Radio">
      <formula>NOT(ISERROR(SEARCH("Radio",E241)))</formula>
    </cfRule>
  </conditionalFormatting>
  <conditionalFormatting sqref="E242:K242">
    <cfRule type="containsText" dxfId="496" priority="1461" operator="containsText" text="Radio">
      <formula>NOT(ISERROR(SEARCH("Radio",E242)))</formula>
    </cfRule>
  </conditionalFormatting>
  <conditionalFormatting sqref="P6:P92 P96:P230">
    <cfRule type="cellIs" dxfId="495" priority="1386" operator="lessThan">
      <formula>0.8</formula>
    </cfRule>
    <cfRule type="cellIs" dxfId="494" priority="1387" operator="greaterThan">
      <formula>0.8</formula>
    </cfRule>
  </conditionalFormatting>
  <conditionalFormatting sqref="P6:P92 P96:P230">
    <cfRule type="notContainsText" dxfId="493" priority="1384" operator="notContains" text="Caida">
      <formula>ISERROR(SEARCH("Caida",P6))</formula>
    </cfRule>
    <cfRule type="containsText" dxfId="492" priority="1385" operator="containsText" text="Caida">
      <formula>NOT(ISERROR(SEARCH("Caida",P6)))</formula>
    </cfRule>
  </conditionalFormatting>
  <conditionalFormatting sqref="P337:P366 P284:P334">
    <cfRule type="cellIs" dxfId="491" priority="1382" operator="lessThan">
      <formula>0.8</formula>
    </cfRule>
    <cfRule type="cellIs" dxfId="490" priority="1383" operator="greaterThan">
      <formula>0.8</formula>
    </cfRule>
  </conditionalFormatting>
  <conditionalFormatting sqref="P337:P366 P284:P334 P391:P1048576">
    <cfRule type="notContainsText" dxfId="489" priority="1380" operator="notContains" text="Caida">
      <formula>ISERROR(SEARCH("Caida",P284))</formula>
    </cfRule>
    <cfRule type="containsText" dxfId="488" priority="1381" operator="containsText" text="Caida">
      <formula>NOT(ISERROR(SEARCH("Caida",P284)))</formula>
    </cfRule>
  </conditionalFormatting>
  <conditionalFormatting sqref="O391:O1048576">
    <cfRule type="notContainsText" dxfId="487" priority="1429" operator="notContains" text="Caida">
      <formula>ISERROR(SEARCH("Caida",O391))</formula>
    </cfRule>
    <cfRule type="containsText" dxfId="486" priority="1430" operator="containsText" text="Caida">
      <formula>NOT(ISERROR(SEARCH("Caida",O391)))</formula>
    </cfRule>
  </conditionalFormatting>
  <conditionalFormatting sqref="P336">
    <cfRule type="cellIs" dxfId="485" priority="1341" operator="lessThan">
      <formula>0.8</formula>
    </cfRule>
    <cfRule type="cellIs" dxfId="484" priority="1342" operator="greaterThan">
      <formula>0.8</formula>
    </cfRule>
  </conditionalFormatting>
  <conditionalFormatting sqref="P336">
    <cfRule type="notContainsText" dxfId="483" priority="1339" operator="notContains" text="Caida">
      <formula>ISERROR(SEARCH("Caida",P336))</formula>
    </cfRule>
    <cfRule type="containsText" dxfId="482" priority="1340" operator="containsText" text="Caida">
      <formula>NOT(ISERROR(SEARCH("Caida",P336)))</formula>
    </cfRule>
  </conditionalFormatting>
  <conditionalFormatting sqref="P22">
    <cfRule type="containsText" dxfId="481" priority="1379" operator="containsText" text="Instaladas en Funcionamiento Caida">
      <formula>NOT(ISERROR(SEARCH("Instaladas en Funcionamiento Caida",P22)))</formula>
    </cfRule>
  </conditionalFormatting>
  <conditionalFormatting sqref="P282">
    <cfRule type="cellIs" dxfId="480" priority="1377" operator="lessThan">
      <formula>0.8</formula>
    </cfRule>
    <cfRule type="cellIs" dxfId="479" priority="1378" operator="greaterThan">
      <formula>0.8</formula>
    </cfRule>
  </conditionalFormatting>
  <conditionalFormatting sqref="P282">
    <cfRule type="notContainsText" dxfId="478" priority="1375" operator="notContains" text="Caida">
      <formula>ISERROR(SEARCH("Caida",P282))</formula>
    </cfRule>
    <cfRule type="containsText" dxfId="477" priority="1376" operator="containsText" text="Caida">
      <formula>NOT(ISERROR(SEARCH("Caida",P282)))</formula>
    </cfRule>
  </conditionalFormatting>
  <conditionalFormatting sqref="P283">
    <cfRule type="cellIs" dxfId="476" priority="1373" operator="lessThan">
      <formula>0.8</formula>
    </cfRule>
    <cfRule type="cellIs" dxfId="475" priority="1374" operator="greaterThan">
      <formula>0.8</formula>
    </cfRule>
  </conditionalFormatting>
  <conditionalFormatting sqref="P283">
    <cfRule type="notContainsText" dxfId="474" priority="1371" operator="notContains" text="Caida">
      <formula>ISERROR(SEARCH("Caida",P283))</formula>
    </cfRule>
    <cfRule type="containsText" dxfId="473" priority="1372" operator="containsText" text="Caida">
      <formula>NOT(ISERROR(SEARCH("Caida",P283)))</formula>
    </cfRule>
  </conditionalFormatting>
  <conditionalFormatting sqref="P5">
    <cfRule type="cellIs" dxfId="472" priority="1369" operator="lessThan">
      <formula>0.8</formula>
    </cfRule>
    <cfRule type="cellIs" dxfId="471" priority="1370" operator="greaterThan">
      <formula>0.8</formula>
    </cfRule>
  </conditionalFormatting>
  <conditionalFormatting sqref="P5">
    <cfRule type="notContainsText" dxfId="470" priority="1367" operator="notContains" text="Caida">
      <formula>ISERROR(SEARCH("Caida",P5))</formula>
    </cfRule>
    <cfRule type="containsText" dxfId="469" priority="1368" operator="containsText" text="Caida">
      <formula>NOT(ISERROR(SEARCH("Caida",P5)))</formula>
    </cfRule>
  </conditionalFormatting>
  <conditionalFormatting sqref="P231">
    <cfRule type="cellIs" dxfId="468" priority="1365" operator="lessThan">
      <formula>0.8</formula>
    </cfRule>
    <cfRule type="cellIs" dxfId="467" priority="1366" operator="greaterThan">
      <formula>0.8</formula>
    </cfRule>
  </conditionalFormatting>
  <conditionalFormatting sqref="P231">
    <cfRule type="notContainsText" dxfId="466" priority="1363" operator="notContains" text="Caida">
      <formula>ISERROR(SEARCH("Caida",P231))</formula>
    </cfRule>
    <cfRule type="containsText" dxfId="465" priority="1364" operator="containsText" text="Caida">
      <formula>NOT(ISERROR(SEARCH("Caida",P231)))</formula>
    </cfRule>
  </conditionalFormatting>
  <conditionalFormatting sqref="P232">
    <cfRule type="cellIs" dxfId="464" priority="1361" operator="lessThan">
      <formula>0.8</formula>
    </cfRule>
    <cfRule type="cellIs" dxfId="463" priority="1362" operator="greaterThan">
      <formula>0.8</formula>
    </cfRule>
  </conditionalFormatting>
  <conditionalFormatting sqref="P232">
    <cfRule type="notContainsText" dxfId="462" priority="1359" operator="notContains" text="Caida">
      <formula>ISERROR(SEARCH("Caida",P232))</formula>
    </cfRule>
    <cfRule type="containsText" dxfId="461" priority="1360" operator="containsText" text="Caida">
      <formula>NOT(ISERROR(SEARCH("Caida",P232)))</formula>
    </cfRule>
  </conditionalFormatting>
  <conditionalFormatting sqref="P233">
    <cfRule type="cellIs" dxfId="460" priority="1357" operator="lessThan">
      <formula>0.8</formula>
    </cfRule>
    <cfRule type="cellIs" dxfId="459" priority="1358" operator="greaterThan">
      <formula>0.8</formula>
    </cfRule>
  </conditionalFormatting>
  <conditionalFormatting sqref="P233">
    <cfRule type="notContainsText" dxfId="458" priority="1355" operator="notContains" text="Caida">
      <formula>ISERROR(SEARCH("Caida",P233))</formula>
    </cfRule>
    <cfRule type="containsText" dxfId="457" priority="1356" operator="containsText" text="Caida">
      <formula>NOT(ISERROR(SEARCH("Caida",P233)))</formula>
    </cfRule>
  </conditionalFormatting>
  <conditionalFormatting sqref="P234">
    <cfRule type="cellIs" dxfId="456" priority="1353" operator="lessThan">
      <formula>0.8</formula>
    </cfRule>
    <cfRule type="cellIs" dxfId="455" priority="1354" operator="greaterThan">
      <formula>0.8</formula>
    </cfRule>
  </conditionalFormatting>
  <conditionalFormatting sqref="P234">
    <cfRule type="notContainsText" dxfId="454" priority="1351" operator="notContains" text="Caida">
      <formula>ISERROR(SEARCH("Caida",P234))</formula>
    </cfRule>
    <cfRule type="containsText" dxfId="453" priority="1352" operator="containsText" text="Caida">
      <formula>NOT(ISERROR(SEARCH("Caida",P234)))</formula>
    </cfRule>
  </conditionalFormatting>
  <conditionalFormatting sqref="P235">
    <cfRule type="cellIs" dxfId="452" priority="1349" operator="lessThan">
      <formula>0.8</formula>
    </cfRule>
    <cfRule type="cellIs" dxfId="451" priority="1350" operator="greaterThan">
      <formula>0.8</formula>
    </cfRule>
  </conditionalFormatting>
  <conditionalFormatting sqref="P235">
    <cfRule type="notContainsText" dxfId="450" priority="1347" operator="notContains" text="Caida">
      <formula>ISERROR(SEARCH("Caida",P235))</formula>
    </cfRule>
    <cfRule type="containsText" dxfId="449" priority="1348" operator="containsText" text="Caida">
      <formula>NOT(ISERROR(SEARCH("Caida",P235)))</formula>
    </cfRule>
  </conditionalFormatting>
  <conditionalFormatting sqref="P335">
    <cfRule type="cellIs" dxfId="448" priority="1345" operator="lessThan">
      <formula>0.8</formula>
    </cfRule>
    <cfRule type="cellIs" dxfId="447" priority="1346" operator="greaterThan">
      <formula>0.8</formula>
    </cfRule>
  </conditionalFormatting>
  <conditionalFormatting sqref="P335">
    <cfRule type="notContainsText" dxfId="446" priority="1343" operator="notContains" text="Caida">
      <formula>ISERROR(SEARCH("Caida",P335))</formula>
    </cfRule>
    <cfRule type="containsText" dxfId="445" priority="1344" operator="containsText" text="Caida">
      <formula>NOT(ISERROR(SEARCH("Caida",P335)))</formula>
    </cfRule>
  </conditionalFormatting>
  <conditionalFormatting sqref="Q6:Q92 Q96:Q230">
    <cfRule type="cellIs" dxfId="444" priority="1337" operator="lessThan">
      <formula>0.8</formula>
    </cfRule>
    <cfRule type="cellIs" dxfId="443" priority="1338" operator="greaterThan">
      <formula>0.8</formula>
    </cfRule>
  </conditionalFormatting>
  <conditionalFormatting sqref="Q6:Q92 Q96:Q230">
    <cfRule type="notContainsText" dxfId="442" priority="1335" operator="notContains" text="Caida">
      <formula>ISERROR(SEARCH("Caida",Q6))</formula>
    </cfRule>
    <cfRule type="containsText" dxfId="441" priority="1336" operator="containsText" text="Caida">
      <formula>NOT(ISERROR(SEARCH("Caida",Q6)))</formula>
    </cfRule>
  </conditionalFormatting>
  <conditionalFormatting sqref="Q336">
    <cfRule type="cellIs" dxfId="440" priority="1292" operator="lessThan">
      <formula>0.8</formula>
    </cfRule>
    <cfRule type="cellIs" dxfId="439" priority="1293" operator="greaterThan">
      <formula>0.8</formula>
    </cfRule>
  </conditionalFormatting>
  <conditionalFormatting sqref="Q336">
    <cfRule type="notContainsText" dxfId="438" priority="1290" operator="notContains" text="Caida">
      <formula>ISERROR(SEARCH("Caida",Q336))</formula>
    </cfRule>
    <cfRule type="containsText" dxfId="437" priority="1291" operator="containsText" text="Caida">
      <formula>NOT(ISERROR(SEARCH("Caida",Q336)))</formula>
    </cfRule>
  </conditionalFormatting>
  <conditionalFormatting sqref="Q337:Q366 Q284:Q334">
    <cfRule type="cellIs" dxfId="436" priority="1333" operator="lessThan">
      <formula>0.8</formula>
    </cfRule>
    <cfRule type="cellIs" dxfId="435" priority="1334" operator="greaterThan">
      <formula>0.8</formula>
    </cfRule>
  </conditionalFormatting>
  <conditionalFormatting sqref="Q337:Q366 Q284:Q334 Q391:Q1048576">
    <cfRule type="notContainsText" dxfId="434" priority="1331" operator="notContains" text="Caida">
      <formula>ISERROR(SEARCH("Caida",Q284))</formula>
    </cfRule>
    <cfRule type="containsText" dxfId="433" priority="1332" operator="containsText" text="Caida">
      <formula>NOT(ISERROR(SEARCH("Caida",Q284)))</formula>
    </cfRule>
  </conditionalFormatting>
  <conditionalFormatting sqref="Q22">
    <cfRule type="containsText" dxfId="432" priority="1330" operator="containsText" text="Instaladas en Funcionamiento Caida">
      <formula>NOT(ISERROR(SEARCH("Instaladas en Funcionamiento Caida",Q22)))</formula>
    </cfRule>
  </conditionalFormatting>
  <conditionalFormatting sqref="Q282">
    <cfRule type="cellIs" dxfId="431" priority="1328" operator="lessThan">
      <formula>0.8</formula>
    </cfRule>
    <cfRule type="cellIs" dxfId="430" priority="1329" operator="greaterThan">
      <formula>0.8</formula>
    </cfRule>
  </conditionalFormatting>
  <conditionalFormatting sqref="Q282">
    <cfRule type="notContainsText" dxfId="429" priority="1326" operator="notContains" text="Caida">
      <formula>ISERROR(SEARCH("Caida",Q282))</formula>
    </cfRule>
    <cfRule type="containsText" dxfId="428" priority="1327" operator="containsText" text="Caida">
      <formula>NOT(ISERROR(SEARCH("Caida",Q282)))</formula>
    </cfRule>
  </conditionalFormatting>
  <conditionalFormatting sqref="Q283">
    <cfRule type="cellIs" dxfId="427" priority="1324" operator="lessThan">
      <formula>0.8</formula>
    </cfRule>
    <cfRule type="cellIs" dxfId="426" priority="1325" operator="greaterThan">
      <formula>0.8</formula>
    </cfRule>
  </conditionalFormatting>
  <conditionalFormatting sqref="Q283">
    <cfRule type="notContainsText" dxfId="425" priority="1322" operator="notContains" text="Caida">
      <formula>ISERROR(SEARCH("Caida",Q283))</formula>
    </cfRule>
    <cfRule type="containsText" dxfId="424" priority="1323" operator="containsText" text="Caida">
      <formula>NOT(ISERROR(SEARCH("Caida",Q283)))</formula>
    </cfRule>
  </conditionalFormatting>
  <conditionalFormatting sqref="Q5">
    <cfRule type="cellIs" dxfId="423" priority="1320" operator="lessThan">
      <formula>0.8</formula>
    </cfRule>
    <cfRule type="cellIs" dxfId="422" priority="1321" operator="greaterThan">
      <formula>0.8</formula>
    </cfRule>
  </conditionalFormatting>
  <conditionalFormatting sqref="Q5">
    <cfRule type="notContainsText" dxfId="421" priority="1318" operator="notContains" text="Caida">
      <formula>ISERROR(SEARCH("Caida",Q5))</formula>
    </cfRule>
    <cfRule type="containsText" dxfId="420" priority="1319" operator="containsText" text="Caida">
      <formula>NOT(ISERROR(SEARCH("Caida",Q5)))</formula>
    </cfRule>
  </conditionalFormatting>
  <conditionalFormatting sqref="Q231">
    <cfRule type="cellIs" dxfId="419" priority="1316" operator="lessThan">
      <formula>0.8</formula>
    </cfRule>
    <cfRule type="cellIs" dxfId="418" priority="1317" operator="greaterThan">
      <formula>0.8</formula>
    </cfRule>
  </conditionalFormatting>
  <conditionalFormatting sqref="Q231">
    <cfRule type="notContainsText" dxfId="417" priority="1314" operator="notContains" text="Caida">
      <formula>ISERROR(SEARCH("Caida",Q231))</formula>
    </cfRule>
    <cfRule type="containsText" dxfId="416" priority="1315" operator="containsText" text="Caida">
      <formula>NOT(ISERROR(SEARCH("Caida",Q231)))</formula>
    </cfRule>
  </conditionalFormatting>
  <conditionalFormatting sqref="Q232">
    <cfRule type="cellIs" dxfId="415" priority="1312" operator="lessThan">
      <formula>0.8</formula>
    </cfRule>
    <cfRule type="cellIs" dxfId="414" priority="1313" operator="greaterThan">
      <formula>0.8</formula>
    </cfRule>
  </conditionalFormatting>
  <conditionalFormatting sqref="Q232">
    <cfRule type="notContainsText" dxfId="413" priority="1310" operator="notContains" text="Caida">
      <formula>ISERROR(SEARCH("Caida",Q232))</formula>
    </cfRule>
    <cfRule type="containsText" dxfId="412" priority="1311" operator="containsText" text="Caida">
      <formula>NOT(ISERROR(SEARCH("Caida",Q232)))</formula>
    </cfRule>
  </conditionalFormatting>
  <conditionalFormatting sqref="Q233">
    <cfRule type="cellIs" dxfId="411" priority="1308" operator="lessThan">
      <formula>0.8</formula>
    </cfRule>
    <cfRule type="cellIs" dxfId="410" priority="1309" operator="greaterThan">
      <formula>0.8</formula>
    </cfRule>
  </conditionalFormatting>
  <conditionalFormatting sqref="Q233">
    <cfRule type="notContainsText" dxfId="409" priority="1306" operator="notContains" text="Caida">
      <formula>ISERROR(SEARCH("Caida",Q233))</formula>
    </cfRule>
    <cfRule type="containsText" dxfId="408" priority="1307" operator="containsText" text="Caida">
      <formula>NOT(ISERROR(SEARCH("Caida",Q233)))</formula>
    </cfRule>
  </conditionalFormatting>
  <conditionalFormatting sqref="Q234">
    <cfRule type="cellIs" dxfId="407" priority="1304" operator="lessThan">
      <formula>0.8</formula>
    </cfRule>
    <cfRule type="cellIs" dxfId="406" priority="1305" operator="greaterThan">
      <formula>0.8</formula>
    </cfRule>
  </conditionalFormatting>
  <conditionalFormatting sqref="Q234">
    <cfRule type="notContainsText" dxfId="405" priority="1302" operator="notContains" text="Caida">
      <formula>ISERROR(SEARCH("Caida",Q234))</formula>
    </cfRule>
    <cfRule type="containsText" dxfId="404" priority="1303" operator="containsText" text="Caida">
      <formula>NOT(ISERROR(SEARCH("Caida",Q234)))</formula>
    </cfRule>
  </conditionalFormatting>
  <conditionalFormatting sqref="Q235">
    <cfRule type="cellIs" dxfId="403" priority="1300" operator="lessThan">
      <formula>0.8</formula>
    </cfRule>
    <cfRule type="cellIs" dxfId="402" priority="1301" operator="greaterThan">
      <formula>0.8</formula>
    </cfRule>
  </conditionalFormatting>
  <conditionalFormatting sqref="Q235">
    <cfRule type="notContainsText" dxfId="401" priority="1298" operator="notContains" text="Caida">
      <formula>ISERROR(SEARCH("Caida",Q235))</formula>
    </cfRule>
    <cfRule type="containsText" dxfId="400" priority="1299" operator="containsText" text="Caida">
      <formula>NOT(ISERROR(SEARCH("Caida",Q235)))</formula>
    </cfRule>
  </conditionalFormatting>
  <conditionalFormatting sqref="Q335">
    <cfRule type="cellIs" dxfId="399" priority="1296" operator="lessThan">
      <formula>0.8</formula>
    </cfRule>
    <cfRule type="cellIs" dxfId="398" priority="1297" operator="greaterThan">
      <formula>0.8</formula>
    </cfRule>
  </conditionalFormatting>
  <conditionalFormatting sqref="Q335">
    <cfRule type="notContainsText" dxfId="397" priority="1294" operator="notContains" text="Caida">
      <formula>ISERROR(SEARCH("Caida",Q335))</formula>
    </cfRule>
    <cfRule type="containsText" dxfId="396" priority="1295" operator="containsText" text="Caida">
      <formula>NOT(ISERROR(SEARCH("Caida",Q335)))</formula>
    </cfRule>
  </conditionalFormatting>
  <conditionalFormatting sqref="R6:R92 R96:R230">
    <cfRule type="cellIs" dxfId="395" priority="1288" operator="lessThan">
      <formula>0.8</formula>
    </cfRule>
    <cfRule type="cellIs" dxfId="394" priority="1289" operator="greaterThan">
      <formula>0.8</formula>
    </cfRule>
  </conditionalFormatting>
  <conditionalFormatting sqref="R6:R92 R96:R230">
    <cfRule type="notContainsText" dxfId="393" priority="1286" operator="notContains" text="Caida">
      <formula>ISERROR(SEARCH("Caida",R6))</formula>
    </cfRule>
    <cfRule type="containsText" dxfId="392" priority="1287" operator="containsText" text="Caida">
      <formula>NOT(ISERROR(SEARCH("Caida",R6)))</formula>
    </cfRule>
  </conditionalFormatting>
  <conditionalFormatting sqref="R336:T336">
    <cfRule type="cellIs" dxfId="391" priority="1243" operator="lessThan">
      <formula>0.8</formula>
    </cfRule>
    <cfRule type="cellIs" dxfId="390" priority="1244" operator="greaterThan">
      <formula>0.8</formula>
    </cfRule>
  </conditionalFormatting>
  <conditionalFormatting sqref="R336:T336">
    <cfRule type="notContainsText" dxfId="389" priority="1241" operator="notContains" text="Caida">
      <formula>ISERROR(SEARCH("Caida",R336))</formula>
    </cfRule>
    <cfRule type="containsText" dxfId="388" priority="1242" operator="containsText" text="Caida">
      <formula>NOT(ISERROR(SEARCH("Caida",R336)))</formula>
    </cfRule>
  </conditionalFormatting>
  <conditionalFormatting sqref="R337:R366 R284:R334">
    <cfRule type="cellIs" dxfId="387" priority="1284" operator="lessThan">
      <formula>0.8</formula>
    </cfRule>
    <cfRule type="cellIs" dxfId="386" priority="1285" operator="greaterThan">
      <formula>0.8</formula>
    </cfRule>
  </conditionalFormatting>
  <conditionalFormatting sqref="R337:R366 R284:R334 R391:R1048576">
    <cfRule type="notContainsText" dxfId="385" priority="1282" operator="notContains" text="Caida">
      <formula>ISERROR(SEARCH("Caida",R284))</formula>
    </cfRule>
    <cfRule type="containsText" dxfId="384" priority="1283" operator="containsText" text="Caida">
      <formula>NOT(ISERROR(SEARCH("Caida",R284)))</formula>
    </cfRule>
  </conditionalFormatting>
  <conditionalFormatting sqref="R22:T22">
    <cfRule type="containsText" dxfId="383" priority="1281" operator="containsText" text="Instaladas en Funcionamiento Caida">
      <formula>NOT(ISERROR(SEARCH("Instaladas en Funcionamiento Caida",R22)))</formula>
    </cfRule>
  </conditionalFormatting>
  <conditionalFormatting sqref="R282:T282">
    <cfRule type="cellIs" dxfId="382" priority="1279" operator="lessThan">
      <formula>0.8</formula>
    </cfRule>
    <cfRule type="cellIs" dxfId="381" priority="1280" operator="greaterThan">
      <formula>0.8</formula>
    </cfRule>
  </conditionalFormatting>
  <conditionalFormatting sqref="R282:T282">
    <cfRule type="notContainsText" dxfId="380" priority="1277" operator="notContains" text="Caida">
      <formula>ISERROR(SEARCH("Caida",R282))</formula>
    </cfRule>
    <cfRule type="containsText" dxfId="379" priority="1278" operator="containsText" text="Caida">
      <formula>NOT(ISERROR(SEARCH("Caida",R282)))</formula>
    </cfRule>
  </conditionalFormatting>
  <conditionalFormatting sqref="R283:T283">
    <cfRule type="cellIs" dxfId="378" priority="1275" operator="lessThan">
      <formula>0.8</formula>
    </cfRule>
    <cfRule type="cellIs" dxfId="377" priority="1276" operator="greaterThan">
      <formula>0.8</formula>
    </cfRule>
  </conditionalFormatting>
  <conditionalFormatting sqref="R283:T283">
    <cfRule type="notContainsText" dxfId="376" priority="1273" operator="notContains" text="Caida">
      <formula>ISERROR(SEARCH("Caida",R283))</formula>
    </cfRule>
    <cfRule type="containsText" dxfId="375" priority="1274" operator="containsText" text="Caida">
      <formula>NOT(ISERROR(SEARCH("Caida",R283)))</formula>
    </cfRule>
  </conditionalFormatting>
  <conditionalFormatting sqref="R5:T5">
    <cfRule type="cellIs" dxfId="374" priority="1271" operator="lessThan">
      <formula>0.8</formula>
    </cfRule>
    <cfRule type="cellIs" dxfId="373" priority="1272" operator="greaterThan">
      <formula>0.8</formula>
    </cfRule>
  </conditionalFormatting>
  <conditionalFormatting sqref="R5:T5">
    <cfRule type="notContainsText" dxfId="372" priority="1269" operator="notContains" text="Caida">
      <formula>ISERROR(SEARCH("Caida",R5))</formula>
    </cfRule>
    <cfRule type="containsText" dxfId="371" priority="1270" operator="containsText" text="Caida">
      <formula>NOT(ISERROR(SEARCH("Caida",R5)))</formula>
    </cfRule>
  </conditionalFormatting>
  <conditionalFormatting sqref="R231:T231">
    <cfRule type="cellIs" dxfId="370" priority="1267" operator="lessThan">
      <formula>0.8</formula>
    </cfRule>
    <cfRule type="cellIs" dxfId="369" priority="1268" operator="greaterThan">
      <formula>0.8</formula>
    </cfRule>
  </conditionalFormatting>
  <conditionalFormatting sqref="R231:T231">
    <cfRule type="notContainsText" dxfId="368" priority="1265" operator="notContains" text="Caida">
      <formula>ISERROR(SEARCH("Caida",R231))</formula>
    </cfRule>
    <cfRule type="containsText" dxfId="367" priority="1266" operator="containsText" text="Caida">
      <formula>NOT(ISERROR(SEARCH("Caida",R231)))</formula>
    </cfRule>
  </conditionalFormatting>
  <conditionalFormatting sqref="R232:T232">
    <cfRule type="cellIs" dxfId="366" priority="1263" operator="lessThan">
      <formula>0.8</formula>
    </cfRule>
    <cfRule type="cellIs" dxfId="365" priority="1264" operator="greaterThan">
      <formula>0.8</formula>
    </cfRule>
  </conditionalFormatting>
  <conditionalFormatting sqref="R232:T232">
    <cfRule type="notContainsText" dxfId="364" priority="1261" operator="notContains" text="Caida">
      <formula>ISERROR(SEARCH("Caida",R232))</formula>
    </cfRule>
    <cfRule type="containsText" dxfId="363" priority="1262" operator="containsText" text="Caida">
      <formula>NOT(ISERROR(SEARCH("Caida",R232)))</formula>
    </cfRule>
  </conditionalFormatting>
  <conditionalFormatting sqref="R233:T233">
    <cfRule type="cellIs" dxfId="362" priority="1259" operator="lessThan">
      <formula>0.8</formula>
    </cfRule>
    <cfRule type="cellIs" dxfId="361" priority="1260" operator="greaterThan">
      <formula>0.8</formula>
    </cfRule>
  </conditionalFormatting>
  <conditionalFormatting sqref="R233:T233">
    <cfRule type="notContainsText" dxfId="360" priority="1257" operator="notContains" text="Caida">
      <formula>ISERROR(SEARCH("Caida",R233))</formula>
    </cfRule>
    <cfRule type="containsText" dxfId="359" priority="1258" operator="containsText" text="Caida">
      <formula>NOT(ISERROR(SEARCH("Caida",R233)))</formula>
    </cfRule>
  </conditionalFormatting>
  <conditionalFormatting sqref="R234:T234">
    <cfRule type="cellIs" dxfId="358" priority="1255" operator="lessThan">
      <formula>0.8</formula>
    </cfRule>
    <cfRule type="cellIs" dxfId="357" priority="1256" operator="greaterThan">
      <formula>0.8</formula>
    </cfRule>
  </conditionalFormatting>
  <conditionalFormatting sqref="R234:T234">
    <cfRule type="notContainsText" dxfId="356" priority="1253" operator="notContains" text="Caida">
      <formula>ISERROR(SEARCH("Caida",R234))</formula>
    </cfRule>
    <cfRule type="containsText" dxfId="355" priority="1254" operator="containsText" text="Caida">
      <formula>NOT(ISERROR(SEARCH("Caida",R234)))</formula>
    </cfRule>
  </conditionalFormatting>
  <conditionalFormatting sqref="R235:T235">
    <cfRule type="cellIs" dxfId="354" priority="1251" operator="lessThan">
      <formula>0.8</formula>
    </cfRule>
    <cfRule type="cellIs" dxfId="353" priority="1252" operator="greaterThan">
      <formula>0.8</formula>
    </cfRule>
  </conditionalFormatting>
  <conditionalFormatting sqref="R235:T235">
    <cfRule type="notContainsText" dxfId="352" priority="1249" operator="notContains" text="Caida">
      <formula>ISERROR(SEARCH("Caida",R235))</formula>
    </cfRule>
    <cfRule type="containsText" dxfId="351" priority="1250" operator="containsText" text="Caida">
      <formula>NOT(ISERROR(SEARCH("Caida",R235)))</formula>
    </cfRule>
  </conditionalFormatting>
  <conditionalFormatting sqref="R335:T335">
    <cfRule type="cellIs" dxfId="350" priority="1247" operator="lessThan">
      <formula>0.8</formula>
    </cfRule>
    <cfRule type="cellIs" dxfId="349" priority="1248" operator="greaterThan">
      <formula>0.8</formula>
    </cfRule>
  </conditionalFormatting>
  <conditionalFormatting sqref="R335:T335">
    <cfRule type="notContainsText" dxfId="348" priority="1245" operator="notContains" text="Caida">
      <formula>ISERROR(SEARCH("Caida",R335))</formula>
    </cfRule>
    <cfRule type="containsText" dxfId="347" priority="1246" operator="containsText" text="Caida">
      <formula>NOT(ISERROR(SEARCH("Caida",R335)))</formula>
    </cfRule>
  </conditionalFormatting>
  <conditionalFormatting sqref="S391:S1048576">
    <cfRule type="notContainsText" dxfId="346" priority="1233" operator="notContains" text="Caida">
      <formula>ISERROR(SEARCH("Caida",S391))</formula>
    </cfRule>
    <cfRule type="containsText" dxfId="345" priority="1234" operator="containsText" text="Caida">
      <formula>NOT(ISERROR(SEARCH("Caida",S391)))</formula>
    </cfRule>
  </conditionalFormatting>
  <conditionalFormatting sqref="T391:T1048576">
    <cfRule type="notContainsText" dxfId="344" priority="1184" operator="notContains" text="Caida">
      <formula>ISERROR(SEARCH("Caida",T391))</formula>
    </cfRule>
    <cfRule type="containsText" dxfId="343" priority="1185" operator="containsText" text="Caida">
      <formula>NOT(ISERROR(SEARCH("Caida",T391)))</formula>
    </cfRule>
  </conditionalFormatting>
  <conditionalFormatting sqref="E92:K93">
    <cfRule type="containsText" dxfId="342" priority="1140" operator="containsText" text="Radio">
      <formula>NOT(ISERROR(SEARCH("Radio",E92)))</formula>
    </cfRule>
  </conditionalFormatting>
  <conditionalFormatting sqref="P93:P95">
    <cfRule type="cellIs" dxfId="341" priority="1110" operator="lessThan">
      <formula>0.8</formula>
    </cfRule>
    <cfRule type="cellIs" dxfId="340" priority="1111" operator="greaterThan">
      <formula>0.8</formula>
    </cfRule>
  </conditionalFormatting>
  <conditionalFormatting sqref="P93:P95">
    <cfRule type="notContainsText" dxfId="339" priority="1108" operator="notContains" text="Caida">
      <formula>ISERROR(SEARCH("Caida",P93))</formula>
    </cfRule>
    <cfRule type="containsText" dxfId="338" priority="1109" operator="containsText" text="Caida">
      <formula>NOT(ISERROR(SEARCH("Caida",P93)))</formula>
    </cfRule>
  </conditionalFormatting>
  <conditionalFormatting sqref="Q93:Q95">
    <cfRule type="cellIs" dxfId="337" priority="1106" operator="lessThan">
      <formula>0.8</formula>
    </cfRule>
    <cfRule type="cellIs" dxfId="336" priority="1107" operator="greaterThan">
      <formula>0.8</formula>
    </cfRule>
  </conditionalFormatting>
  <conditionalFormatting sqref="Q93:Q95">
    <cfRule type="notContainsText" dxfId="335" priority="1104" operator="notContains" text="Caida">
      <formula>ISERROR(SEARCH("Caida",Q93))</formula>
    </cfRule>
    <cfRule type="containsText" dxfId="334" priority="1105" operator="containsText" text="Caida">
      <formula>NOT(ISERROR(SEARCH("Caida",Q93)))</formula>
    </cfRule>
  </conditionalFormatting>
  <conditionalFormatting sqref="R93:R95">
    <cfRule type="cellIs" dxfId="333" priority="1102" operator="lessThan">
      <formula>0.8</formula>
    </cfRule>
    <cfRule type="cellIs" dxfId="332" priority="1103" operator="greaterThan">
      <formula>0.8</formula>
    </cfRule>
  </conditionalFormatting>
  <conditionalFormatting sqref="R93:R95">
    <cfRule type="notContainsText" dxfId="331" priority="1100" operator="notContains" text="Caida">
      <formula>ISERROR(SEARCH("Caida",R93))</formula>
    </cfRule>
    <cfRule type="containsText" dxfId="330" priority="1101" operator="containsText" text="Caida">
      <formula>NOT(ISERROR(SEARCH("Caida",R93)))</formula>
    </cfRule>
  </conditionalFormatting>
  <conditionalFormatting sqref="E365:K365">
    <cfRule type="containsText" dxfId="329" priority="1089" operator="containsText" text="Radio">
      <formula>NOT(ISERROR(SEARCH("Radio",E365)))</formula>
    </cfRule>
  </conditionalFormatting>
  <conditionalFormatting sqref="P367">
    <cfRule type="cellIs" dxfId="328" priority="1071" operator="lessThan">
      <formula>0.8</formula>
    </cfRule>
    <cfRule type="cellIs" dxfId="327" priority="1072" operator="greaterThan">
      <formula>0.8</formula>
    </cfRule>
  </conditionalFormatting>
  <conditionalFormatting sqref="P367">
    <cfRule type="notContainsText" dxfId="326" priority="1069" operator="notContains" text="Caida">
      <formula>ISERROR(SEARCH("Caida",P367))</formula>
    </cfRule>
    <cfRule type="containsText" dxfId="325" priority="1070" operator="containsText" text="Caida">
      <formula>NOT(ISERROR(SEARCH("Caida",P367)))</formula>
    </cfRule>
  </conditionalFormatting>
  <conditionalFormatting sqref="Q367">
    <cfRule type="cellIs" dxfId="324" priority="1067" operator="lessThan">
      <formula>0.8</formula>
    </cfRule>
    <cfRule type="cellIs" dxfId="323" priority="1068" operator="greaterThan">
      <formula>0.8</formula>
    </cfRule>
  </conditionalFormatting>
  <conditionalFormatting sqref="Q367">
    <cfRule type="notContainsText" dxfId="322" priority="1065" operator="notContains" text="Caida">
      <formula>ISERROR(SEARCH("Caida",Q367))</formula>
    </cfRule>
    <cfRule type="containsText" dxfId="321" priority="1066" operator="containsText" text="Caida">
      <formula>NOT(ISERROR(SEARCH("Caida",Q367)))</formula>
    </cfRule>
  </conditionalFormatting>
  <conditionalFormatting sqref="R367:T367">
    <cfRule type="cellIs" dxfId="320" priority="1063" operator="lessThan">
      <formula>0.8</formula>
    </cfRule>
    <cfRule type="cellIs" dxfId="319" priority="1064" operator="greaterThan">
      <formula>0.8</formula>
    </cfRule>
  </conditionalFormatting>
  <conditionalFormatting sqref="R367:T367">
    <cfRule type="notContainsText" dxfId="318" priority="1061" operator="notContains" text="Caida">
      <formula>ISERROR(SEARCH("Caida",R367))</formula>
    </cfRule>
    <cfRule type="containsText" dxfId="317" priority="1062" operator="containsText" text="Caida">
      <formula>NOT(ISERROR(SEARCH("Caida",R367)))</formula>
    </cfRule>
  </conditionalFormatting>
  <conditionalFormatting sqref="E366:K366">
    <cfRule type="containsText" dxfId="316" priority="1050" operator="containsText" text="Radio">
      <formula>NOT(ISERROR(SEARCH("Radio",E366)))</formula>
    </cfRule>
  </conditionalFormatting>
  <conditionalFormatting sqref="P368">
    <cfRule type="cellIs" dxfId="315" priority="1032" operator="lessThan">
      <formula>0.8</formula>
    </cfRule>
    <cfRule type="cellIs" dxfId="314" priority="1033" operator="greaterThan">
      <formula>0.8</formula>
    </cfRule>
  </conditionalFormatting>
  <conditionalFormatting sqref="P368">
    <cfRule type="notContainsText" dxfId="313" priority="1030" operator="notContains" text="Caida">
      <formula>ISERROR(SEARCH("Caida",P368))</formula>
    </cfRule>
    <cfRule type="containsText" dxfId="312" priority="1031" operator="containsText" text="Caida">
      <formula>NOT(ISERROR(SEARCH("Caida",P368)))</formula>
    </cfRule>
  </conditionalFormatting>
  <conditionalFormatting sqref="Q368">
    <cfRule type="cellIs" dxfId="311" priority="1028" operator="lessThan">
      <formula>0.8</formula>
    </cfRule>
    <cfRule type="cellIs" dxfId="310" priority="1029" operator="greaterThan">
      <formula>0.8</formula>
    </cfRule>
  </conditionalFormatting>
  <conditionalFormatting sqref="Q368">
    <cfRule type="notContainsText" dxfId="309" priority="1026" operator="notContains" text="Caida">
      <formula>ISERROR(SEARCH("Caida",Q368))</formula>
    </cfRule>
    <cfRule type="containsText" dxfId="308" priority="1027" operator="containsText" text="Caida">
      <formula>NOT(ISERROR(SEARCH("Caida",Q368)))</formula>
    </cfRule>
  </conditionalFormatting>
  <conditionalFormatting sqref="R368:T368">
    <cfRule type="cellIs" dxfId="307" priority="1024" operator="lessThan">
      <formula>0.8</formula>
    </cfRule>
    <cfRule type="cellIs" dxfId="306" priority="1025" operator="greaterThan">
      <formula>0.8</formula>
    </cfRule>
  </conditionalFormatting>
  <conditionalFormatting sqref="R368:T368">
    <cfRule type="notContainsText" dxfId="305" priority="1022" operator="notContains" text="Caida">
      <formula>ISERROR(SEARCH("Caida",R368))</formula>
    </cfRule>
    <cfRule type="containsText" dxfId="304" priority="1023" operator="containsText" text="Caida">
      <formula>NOT(ISERROR(SEARCH("Caida",R368)))</formula>
    </cfRule>
  </conditionalFormatting>
  <conditionalFormatting sqref="E367:K367">
    <cfRule type="containsText" dxfId="303" priority="1011" operator="containsText" text="Radio">
      <formula>NOT(ISERROR(SEARCH("Radio",E367)))</formula>
    </cfRule>
  </conditionalFormatting>
  <conditionalFormatting sqref="P369">
    <cfRule type="cellIs" dxfId="302" priority="993" operator="lessThan">
      <formula>0.8</formula>
    </cfRule>
    <cfRule type="cellIs" dxfId="301" priority="994" operator="greaterThan">
      <formula>0.8</formula>
    </cfRule>
  </conditionalFormatting>
  <conditionalFormatting sqref="P369">
    <cfRule type="notContainsText" dxfId="300" priority="991" operator="notContains" text="Caida">
      <formula>ISERROR(SEARCH("Caida",P369))</formula>
    </cfRule>
    <cfRule type="containsText" dxfId="299" priority="992" operator="containsText" text="Caida">
      <formula>NOT(ISERROR(SEARCH("Caida",P369)))</formula>
    </cfRule>
  </conditionalFormatting>
  <conditionalFormatting sqref="Q369">
    <cfRule type="cellIs" dxfId="298" priority="989" operator="lessThan">
      <formula>0.8</formula>
    </cfRule>
    <cfRule type="cellIs" dxfId="297" priority="990" operator="greaterThan">
      <formula>0.8</formula>
    </cfRule>
  </conditionalFormatting>
  <conditionalFormatting sqref="Q369">
    <cfRule type="notContainsText" dxfId="296" priority="987" operator="notContains" text="Caida">
      <formula>ISERROR(SEARCH("Caida",Q369))</formula>
    </cfRule>
    <cfRule type="containsText" dxfId="295" priority="988" operator="containsText" text="Caida">
      <formula>NOT(ISERROR(SEARCH("Caida",Q369)))</formula>
    </cfRule>
  </conditionalFormatting>
  <conditionalFormatting sqref="R369:T369">
    <cfRule type="cellIs" dxfId="294" priority="985" operator="lessThan">
      <formula>0.8</formula>
    </cfRule>
    <cfRule type="cellIs" dxfId="293" priority="986" operator="greaterThan">
      <formula>0.8</formula>
    </cfRule>
  </conditionalFormatting>
  <conditionalFormatting sqref="R369:T369">
    <cfRule type="notContainsText" dxfId="292" priority="983" operator="notContains" text="Caida">
      <formula>ISERROR(SEARCH("Caida",R369))</formula>
    </cfRule>
    <cfRule type="containsText" dxfId="291" priority="984" operator="containsText" text="Caida">
      <formula>NOT(ISERROR(SEARCH("Caida",R369)))</formula>
    </cfRule>
  </conditionalFormatting>
  <conditionalFormatting sqref="E368:K368">
    <cfRule type="containsText" dxfId="290" priority="972" operator="containsText" text="Radio">
      <formula>NOT(ISERROR(SEARCH("Radio",E368)))</formula>
    </cfRule>
  </conditionalFormatting>
  <conditionalFormatting sqref="U231">
    <cfRule type="cellIs" dxfId="289" priority="913" operator="lessThan">
      <formula>0.8</formula>
    </cfRule>
    <cfRule type="cellIs" dxfId="288" priority="914" operator="greaterThan">
      <formula>0.8</formula>
    </cfRule>
  </conditionalFormatting>
  <conditionalFormatting sqref="U231">
    <cfRule type="notContainsText" dxfId="287" priority="911" operator="notContains" text="Caida">
      <formula>ISERROR(SEARCH("Caida",U231))</formula>
    </cfRule>
    <cfRule type="containsText" dxfId="286" priority="912" operator="containsText" text="Caida">
      <formula>NOT(ISERROR(SEARCH("Caida",U231)))</formula>
    </cfRule>
  </conditionalFormatting>
  <conditionalFormatting sqref="U232">
    <cfRule type="cellIs" dxfId="285" priority="909" operator="lessThan">
      <formula>0.8</formula>
    </cfRule>
    <cfRule type="cellIs" dxfId="284" priority="910" operator="greaterThan">
      <formula>0.8</formula>
    </cfRule>
  </conditionalFormatting>
  <conditionalFormatting sqref="U232">
    <cfRule type="notContainsText" dxfId="283" priority="907" operator="notContains" text="Caida">
      <formula>ISERROR(SEARCH("Caida",U232))</formula>
    </cfRule>
    <cfRule type="containsText" dxfId="282" priority="908" operator="containsText" text="Caida">
      <formula>NOT(ISERROR(SEARCH("Caida",U232)))</formula>
    </cfRule>
  </conditionalFormatting>
  <conditionalFormatting sqref="P370:P372">
    <cfRule type="cellIs" dxfId="281" priority="954" operator="lessThan">
      <formula>0.8</formula>
    </cfRule>
    <cfRule type="cellIs" dxfId="280" priority="955" operator="greaterThan">
      <formula>0.8</formula>
    </cfRule>
  </conditionalFormatting>
  <conditionalFormatting sqref="P370:P372">
    <cfRule type="notContainsText" dxfId="279" priority="952" operator="notContains" text="Caida">
      <formula>ISERROR(SEARCH("Caida",P370))</formula>
    </cfRule>
    <cfRule type="containsText" dxfId="278" priority="953" operator="containsText" text="Caida">
      <formula>NOT(ISERROR(SEARCH("Caida",P370)))</formula>
    </cfRule>
  </conditionalFormatting>
  <conditionalFormatting sqref="Q370:Q372">
    <cfRule type="cellIs" dxfId="277" priority="950" operator="lessThan">
      <formula>0.8</formula>
    </cfRule>
    <cfRule type="cellIs" dxfId="276" priority="951" operator="greaterThan">
      <formula>0.8</formula>
    </cfRule>
  </conditionalFormatting>
  <conditionalFormatting sqref="Q370:Q372">
    <cfRule type="notContainsText" dxfId="275" priority="948" operator="notContains" text="Caida">
      <formula>ISERROR(SEARCH("Caida",Q370))</formula>
    </cfRule>
    <cfRule type="containsText" dxfId="274" priority="949" operator="containsText" text="Caida">
      <formula>NOT(ISERROR(SEARCH("Caida",Q370)))</formula>
    </cfRule>
  </conditionalFormatting>
  <conditionalFormatting sqref="R370:T370">
    <cfRule type="cellIs" dxfId="273" priority="946" operator="lessThan">
      <formula>0.8</formula>
    </cfRule>
    <cfRule type="cellIs" dxfId="272" priority="947" operator="greaterThan">
      <formula>0.8</formula>
    </cfRule>
  </conditionalFormatting>
  <conditionalFormatting sqref="R370:T370">
    <cfRule type="notContainsText" dxfId="271" priority="944" operator="notContains" text="Caida">
      <formula>ISERROR(SEARCH("Caida",R370))</formula>
    </cfRule>
    <cfRule type="containsText" dxfId="270" priority="945" operator="containsText" text="Caida">
      <formula>NOT(ISERROR(SEARCH("Caida",R370)))</formula>
    </cfRule>
  </conditionalFormatting>
  <conditionalFormatting sqref="U368">
    <cfRule type="cellIs" dxfId="269" priority="877" operator="lessThan">
      <formula>0.8</formula>
    </cfRule>
    <cfRule type="cellIs" dxfId="268" priority="878" operator="greaterThan">
      <formula>0.8</formula>
    </cfRule>
  </conditionalFormatting>
  <conditionalFormatting sqref="U368">
    <cfRule type="notContainsText" dxfId="267" priority="875" operator="notContains" text="Caida">
      <formula>ISERROR(SEARCH("Caida",U368))</formula>
    </cfRule>
    <cfRule type="containsText" dxfId="266" priority="876" operator="containsText" text="Caida">
      <formula>NOT(ISERROR(SEARCH("Caida",U368)))</formula>
    </cfRule>
  </conditionalFormatting>
  <conditionalFormatting sqref="U369">
    <cfRule type="cellIs" dxfId="265" priority="873" operator="lessThan">
      <formula>0.8</formula>
    </cfRule>
    <cfRule type="cellIs" dxfId="264" priority="874" operator="greaterThan">
      <formula>0.8</formula>
    </cfRule>
  </conditionalFormatting>
  <conditionalFormatting sqref="U369">
    <cfRule type="notContainsText" dxfId="263" priority="871" operator="notContains" text="Caida">
      <formula>ISERROR(SEARCH("Caida",U369))</formula>
    </cfRule>
    <cfRule type="containsText" dxfId="262" priority="872" operator="containsText" text="Caida">
      <formula>NOT(ISERROR(SEARCH("Caida",U369)))</formula>
    </cfRule>
  </conditionalFormatting>
  <conditionalFormatting sqref="U370:U372">
    <cfRule type="cellIs" dxfId="261" priority="869" operator="lessThan">
      <formula>0.8</formula>
    </cfRule>
    <cfRule type="cellIs" dxfId="260" priority="870" operator="greaterThan">
      <formula>0.8</formula>
    </cfRule>
  </conditionalFormatting>
  <conditionalFormatting sqref="U370:U372">
    <cfRule type="notContainsText" dxfId="259" priority="867" operator="notContains" text="Caida">
      <formula>ISERROR(SEARCH("Caida",U370))</formula>
    </cfRule>
    <cfRule type="containsText" dxfId="258" priority="868" operator="containsText" text="Caida">
      <formula>NOT(ISERROR(SEARCH("Caida",U370)))</formula>
    </cfRule>
  </conditionalFormatting>
  <conditionalFormatting sqref="U6:U92 U96:U230">
    <cfRule type="cellIs" dxfId="257" priority="934" operator="lessThan">
      <formula>0.8</formula>
    </cfRule>
    <cfRule type="cellIs" dxfId="256" priority="935" operator="greaterThan">
      <formula>0.8</formula>
    </cfRule>
  </conditionalFormatting>
  <conditionalFormatting sqref="U6:U92 U96:U230">
    <cfRule type="notContainsText" dxfId="255" priority="932" operator="notContains" text="Caida">
      <formula>ISERROR(SEARCH("Caida",U6))</formula>
    </cfRule>
    <cfRule type="containsText" dxfId="254" priority="933" operator="containsText" text="Caida">
      <formula>NOT(ISERROR(SEARCH("Caida",U6)))</formula>
    </cfRule>
  </conditionalFormatting>
  <conditionalFormatting sqref="U336">
    <cfRule type="cellIs" dxfId="253" priority="889" operator="lessThan">
      <formula>0.8</formula>
    </cfRule>
    <cfRule type="cellIs" dxfId="252" priority="890" operator="greaterThan">
      <formula>0.8</formula>
    </cfRule>
  </conditionalFormatting>
  <conditionalFormatting sqref="U336">
    <cfRule type="notContainsText" dxfId="251" priority="887" operator="notContains" text="Caida">
      <formula>ISERROR(SEARCH("Caida",U336))</formula>
    </cfRule>
    <cfRule type="containsText" dxfId="250" priority="888" operator="containsText" text="Caida">
      <formula>NOT(ISERROR(SEARCH("Caida",U336)))</formula>
    </cfRule>
  </conditionalFormatting>
  <conditionalFormatting sqref="U337:U366 U284:U334">
    <cfRule type="cellIs" dxfId="249" priority="930" operator="lessThan">
      <formula>0.8</formula>
    </cfRule>
    <cfRule type="cellIs" dxfId="248" priority="931" operator="greaterThan">
      <formula>0.8</formula>
    </cfRule>
  </conditionalFormatting>
  <conditionalFormatting sqref="U337:U366 U284:U334 U391:U1048576">
    <cfRule type="notContainsText" dxfId="247" priority="928" operator="notContains" text="Caida">
      <formula>ISERROR(SEARCH("Caida",U284))</formula>
    </cfRule>
    <cfRule type="containsText" dxfId="246" priority="929" operator="containsText" text="Caida">
      <formula>NOT(ISERROR(SEARCH("Caida",U284)))</formula>
    </cfRule>
  </conditionalFormatting>
  <conditionalFormatting sqref="U22">
    <cfRule type="containsText" dxfId="245" priority="927" operator="containsText" text="Instaladas en Funcionamiento Caida">
      <formula>NOT(ISERROR(SEARCH("Instaladas en Funcionamiento Caida",U22)))</formula>
    </cfRule>
  </conditionalFormatting>
  <conditionalFormatting sqref="U282">
    <cfRule type="cellIs" dxfId="244" priority="925" operator="lessThan">
      <formula>0.8</formula>
    </cfRule>
    <cfRule type="cellIs" dxfId="243" priority="926" operator="greaterThan">
      <formula>0.8</formula>
    </cfRule>
  </conditionalFormatting>
  <conditionalFormatting sqref="U282">
    <cfRule type="notContainsText" dxfId="242" priority="923" operator="notContains" text="Caida">
      <formula>ISERROR(SEARCH("Caida",U282))</formula>
    </cfRule>
    <cfRule type="containsText" dxfId="241" priority="924" operator="containsText" text="Caida">
      <formula>NOT(ISERROR(SEARCH("Caida",U282)))</formula>
    </cfRule>
  </conditionalFormatting>
  <conditionalFormatting sqref="U283">
    <cfRule type="cellIs" dxfId="240" priority="921" operator="lessThan">
      <formula>0.8</formula>
    </cfRule>
    <cfRule type="cellIs" dxfId="239" priority="922" operator="greaterThan">
      <formula>0.8</formula>
    </cfRule>
  </conditionalFormatting>
  <conditionalFormatting sqref="U283">
    <cfRule type="notContainsText" dxfId="238" priority="919" operator="notContains" text="Caida">
      <formula>ISERROR(SEARCH("Caida",U283))</formula>
    </cfRule>
    <cfRule type="containsText" dxfId="237" priority="920" operator="containsText" text="Caida">
      <formula>NOT(ISERROR(SEARCH("Caida",U283)))</formula>
    </cfRule>
  </conditionalFormatting>
  <conditionalFormatting sqref="U5">
    <cfRule type="cellIs" dxfId="236" priority="917" operator="lessThan">
      <formula>0.8</formula>
    </cfRule>
    <cfRule type="cellIs" dxfId="235" priority="918" operator="greaterThan">
      <formula>0.8</formula>
    </cfRule>
  </conditionalFormatting>
  <conditionalFormatting sqref="U5">
    <cfRule type="notContainsText" dxfId="234" priority="915" operator="notContains" text="Caida">
      <formula>ISERROR(SEARCH("Caida",U5))</formula>
    </cfRule>
    <cfRule type="containsText" dxfId="233" priority="916" operator="containsText" text="Caida">
      <formula>NOT(ISERROR(SEARCH("Caida",U5)))</formula>
    </cfRule>
  </conditionalFormatting>
  <conditionalFormatting sqref="U233">
    <cfRule type="cellIs" dxfId="232" priority="905" operator="lessThan">
      <formula>0.8</formula>
    </cfRule>
    <cfRule type="cellIs" dxfId="231" priority="906" operator="greaterThan">
      <formula>0.8</formula>
    </cfRule>
  </conditionalFormatting>
  <conditionalFormatting sqref="U233">
    <cfRule type="notContainsText" dxfId="230" priority="903" operator="notContains" text="Caida">
      <formula>ISERROR(SEARCH("Caida",U233))</formula>
    </cfRule>
    <cfRule type="containsText" dxfId="229" priority="904" operator="containsText" text="Caida">
      <formula>NOT(ISERROR(SEARCH("Caida",U233)))</formula>
    </cfRule>
  </conditionalFormatting>
  <conditionalFormatting sqref="U234">
    <cfRule type="cellIs" dxfId="228" priority="901" operator="lessThan">
      <formula>0.8</formula>
    </cfRule>
    <cfRule type="cellIs" dxfId="227" priority="902" operator="greaterThan">
      <formula>0.8</formula>
    </cfRule>
  </conditionalFormatting>
  <conditionalFormatting sqref="U234">
    <cfRule type="notContainsText" dxfId="226" priority="899" operator="notContains" text="Caida">
      <formula>ISERROR(SEARCH("Caida",U234))</formula>
    </cfRule>
    <cfRule type="containsText" dxfId="225" priority="900" operator="containsText" text="Caida">
      <formula>NOT(ISERROR(SEARCH("Caida",U234)))</formula>
    </cfRule>
  </conditionalFormatting>
  <conditionalFormatting sqref="U235">
    <cfRule type="cellIs" dxfId="224" priority="897" operator="lessThan">
      <formula>0.8</formula>
    </cfRule>
    <cfRule type="cellIs" dxfId="223" priority="898" operator="greaterThan">
      <formula>0.8</formula>
    </cfRule>
  </conditionalFormatting>
  <conditionalFormatting sqref="U235">
    <cfRule type="notContainsText" dxfId="222" priority="895" operator="notContains" text="Caida">
      <formula>ISERROR(SEARCH("Caida",U235))</formula>
    </cfRule>
    <cfRule type="containsText" dxfId="221" priority="896" operator="containsText" text="Caida">
      <formula>NOT(ISERROR(SEARCH("Caida",U235)))</formula>
    </cfRule>
  </conditionalFormatting>
  <conditionalFormatting sqref="U335">
    <cfRule type="cellIs" dxfId="220" priority="893" operator="lessThan">
      <formula>0.8</formula>
    </cfRule>
    <cfRule type="cellIs" dxfId="219" priority="894" operator="greaterThan">
      <formula>0.8</formula>
    </cfRule>
  </conditionalFormatting>
  <conditionalFormatting sqref="U335">
    <cfRule type="notContainsText" dxfId="218" priority="891" operator="notContains" text="Caida">
      <formula>ISERROR(SEARCH("Caida",U335))</formula>
    </cfRule>
    <cfRule type="containsText" dxfId="217" priority="892" operator="containsText" text="Caida">
      <formula>NOT(ISERROR(SEARCH("Caida",U335)))</formula>
    </cfRule>
  </conditionalFormatting>
  <conditionalFormatting sqref="U93:U95">
    <cfRule type="cellIs" dxfId="216" priority="885" operator="lessThan">
      <formula>0.8</formula>
    </cfRule>
    <cfRule type="cellIs" dxfId="215" priority="886" operator="greaterThan">
      <formula>0.8</formula>
    </cfRule>
  </conditionalFormatting>
  <conditionalFormatting sqref="U93:U95">
    <cfRule type="notContainsText" dxfId="214" priority="883" operator="notContains" text="Caida">
      <formula>ISERROR(SEARCH("Caida",U93))</formula>
    </cfRule>
    <cfRule type="containsText" dxfId="213" priority="884" operator="containsText" text="Caida">
      <formula>NOT(ISERROR(SEARCH("Caida",U93)))</formula>
    </cfRule>
  </conditionalFormatting>
  <conditionalFormatting sqref="U367">
    <cfRule type="cellIs" dxfId="212" priority="881" operator="lessThan">
      <formula>0.8</formula>
    </cfRule>
    <cfRule type="cellIs" dxfId="211" priority="882" operator="greaterThan">
      <formula>0.8</formula>
    </cfRule>
  </conditionalFormatting>
  <conditionalFormatting sqref="U367">
    <cfRule type="notContainsText" dxfId="210" priority="879" operator="notContains" text="Caida">
      <formula>ISERROR(SEARCH("Caida",U367))</formula>
    </cfRule>
    <cfRule type="containsText" dxfId="209" priority="880" operator="containsText" text="Caida">
      <formula>NOT(ISERROR(SEARCH("Caida",U367)))</formula>
    </cfRule>
  </conditionalFormatting>
  <conditionalFormatting sqref="V6:X92">
    <cfRule type="cellIs" dxfId="208" priority="865" operator="lessThan">
      <formula>0.8</formula>
    </cfRule>
    <cfRule type="cellIs" dxfId="207" priority="866" operator="greaterThan">
      <formula>0.8</formula>
    </cfRule>
  </conditionalFormatting>
  <conditionalFormatting sqref="V6:X92">
    <cfRule type="notContainsText" dxfId="206" priority="863" operator="notContains" text="Caida">
      <formula>ISERROR(SEARCH("Caida",V6))</formula>
    </cfRule>
    <cfRule type="containsText" dxfId="205" priority="864" operator="containsText" text="Caida">
      <formula>NOT(ISERROR(SEARCH("Caida",V6)))</formula>
    </cfRule>
  </conditionalFormatting>
  <conditionalFormatting sqref="V22:AJ22">
    <cfRule type="containsText" dxfId="204" priority="862" operator="containsText" text="Instaladas en Funcionamiento Caida">
      <formula>NOT(ISERROR(SEARCH("Instaladas en Funcionamiento Caida",V22)))</formula>
    </cfRule>
  </conditionalFormatting>
  <conditionalFormatting sqref="V5:AJ5">
    <cfRule type="cellIs" dxfId="203" priority="860" operator="lessThan">
      <formula>0.8</formula>
    </cfRule>
    <cfRule type="cellIs" dxfId="202" priority="861" operator="greaterThan">
      <formula>0.8</formula>
    </cfRule>
  </conditionalFormatting>
  <conditionalFormatting sqref="V5:AJ5">
    <cfRule type="notContainsText" dxfId="201" priority="858" operator="notContains" text="Caida">
      <formula>ISERROR(SEARCH("Caida",V5))</formula>
    </cfRule>
    <cfRule type="containsText" dxfId="200" priority="859" operator="containsText" text="Caida">
      <formula>NOT(ISERROR(SEARCH("Caida",V5)))</formula>
    </cfRule>
  </conditionalFormatting>
  <conditionalFormatting sqref="V93:X95">
    <cfRule type="cellIs" dxfId="199" priority="856" operator="lessThan">
      <formula>0.8</formula>
    </cfRule>
    <cfRule type="cellIs" dxfId="198" priority="857" operator="greaterThan">
      <formula>0.8</formula>
    </cfRule>
  </conditionalFormatting>
  <conditionalFormatting sqref="V93:X95">
    <cfRule type="notContainsText" dxfId="197" priority="854" operator="notContains" text="Caida">
      <formula>ISERROR(SEARCH("Caida",V93))</formula>
    </cfRule>
    <cfRule type="containsText" dxfId="196" priority="855" operator="containsText" text="Caida">
      <formula>NOT(ISERROR(SEARCH("Caida",V93)))</formula>
    </cfRule>
  </conditionalFormatting>
  <conditionalFormatting sqref="E1:E372 E391:E1048576">
    <cfRule type="containsText" dxfId="195" priority="714" operator="containsText" text="fija">
      <formula>NOT(ISERROR(SEARCH("fija",E1)))</formula>
    </cfRule>
    <cfRule type="containsText" dxfId="194" priority="715" operator="containsText" text="domo">
      <formula>NOT(ISERROR(SEARCH("domo",E1)))</formula>
    </cfRule>
  </conditionalFormatting>
  <conditionalFormatting sqref="AK6:AP92">
    <cfRule type="cellIs" dxfId="193" priority="690" operator="lessThan">
      <formula>0.8</formula>
    </cfRule>
    <cfRule type="cellIs" dxfId="192" priority="691" operator="greaterThan">
      <formula>0.8</formula>
    </cfRule>
  </conditionalFormatting>
  <conditionalFormatting sqref="AK6:AP92">
    <cfRule type="notContainsText" dxfId="191" priority="688" operator="notContains" text="Caida">
      <formula>ISERROR(SEARCH("Caida",AK6))</formula>
    </cfRule>
    <cfRule type="containsText" dxfId="190" priority="689" operator="containsText" text="Caida">
      <formula>NOT(ISERROR(SEARCH("Caida",AK6)))</formula>
    </cfRule>
  </conditionalFormatting>
  <conditionalFormatting sqref="AK22:AR22">
    <cfRule type="containsText" dxfId="189" priority="687" operator="containsText" text="Instaladas en Funcionamiento Caida">
      <formula>NOT(ISERROR(SEARCH("Instaladas en Funcionamiento Caida",AK22)))</formula>
    </cfRule>
  </conditionalFormatting>
  <conditionalFormatting sqref="AK5:AR5">
    <cfRule type="cellIs" dxfId="188" priority="685" operator="lessThan">
      <formula>0.8</formula>
    </cfRule>
    <cfRule type="cellIs" dxfId="187" priority="686" operator="greaterThan">
      <formula>0.8</formula>
    </cfRule>
  </conditionalFormatting>
  <conditionalFormatting sqref="AK5:AR5">
    <cfRule type="notContainsText" dxfId="186" priority="683" operator="notContains" text="Caida">
      <formula>ISERROR(SEARCH("Caida",AK5))</formula>
    </cfRule>
    <cfRule type="containsText" dxfId="185" priority="684" operator="containsText" text="Caida">
      <formula>NOT(ISERROR(SEARCH("Caida",AK5)))</formula>
    </cfRule>
  </conditionalFormatting>
  <conditionalFormatting sqref="AK93:AP94">
    <cfRule type="cellIs" dxfId="184" priority="681" operator="lessThan">
      <formula>0.8</formula>
    </cfRule>
    <cfRule type="cellIs" dxfId="183" priority="682" operator="greaterThan">
      <formula>0.8</formula>
    </cfRule>
  </conditionalFormatting>
  <conditionalFormatting sqref="AK93:AP94">
    <cfRule type="notContainsText" dxfId="182" priority="679" operator="notContains" text="Caida">
      <formula>ISERROR(SEARCH("Caida",AK93))</formula>
    </cfRule>
    <cfRule type="containsText" dxfId="181" priority="680" operator="containsText" text="Caida">
      <formula>NOT(ISERROR(SEARCH("Caida",AK93)))</formula>
    </cfRule>
  </conditionalFormatting>
  <conditionalFormatting sqref="O247:O372 O5:AJ369 AK1:AR1 AK391:AR1048576 AK5:AR372">
    <cfRule type="cellIs" dxfId="180" priority="678" operator="equal">
      <formula>"APAGADO"</formula>
    </cfRule>
  </conditionalFormatting>
  <conditionalFormatting sqref="S6:S92 S96:S230">
    <cfRule type="cellIs" dxfId="179" priority="662" operator="lessThan">
      <formula>0.8</formula>
    </cfRule>
    <cfRule type="cellIs" dxfId="178" priority="663" operator="greaterThan">
      <formula>0.8</formula>
    </cfRule>
  </conditionalFormatting>
  <conditionalFormatting sqref="S6:S92 S96:S230">
    <cfRule type="notContainsText" dxfId="177" priority="660" operator="notContains" text="Caida">
      <formula>ISERROR(SEARCH("Caida",S6))</formula>
    </cfRule>
    <cfRule type="containsText" dxfId="176" priority="661" operator="containsText" text="Caida">
      <formula>NOT(ISERROR(SEARCH("Caida",S6)))</formula>
    </cfRule>
  </conditionalFormatting>
  <conditionalFormatting sqref="S337:S366 S284:S334">
    <cfRule type="cellIs" dxfId="175" priority="658" operator="lessThan">
      <formula>0.8</formula>
    </cfRule>
    <cfRule type="cellIs" dxfId="174" priority="659" operator="greaterThan">
      <formula>0.8</formula>
    </cfRule>
  </conditionalFormatting>
  <conditionalFormatting sqref="S337:S366 S284:S334">
    <cfRule type="notContainsText" dxfId="173" priority="656" operator="notContains" text="Caida">
      <formula>ISERROR(SEARCH("Caida",S284))</formula>
    </cfRule>
    <cfRule type="containsText" dxfId="172" priority="657" operator="containsText" text="Caida">
      <formula>NOT(ISERROR(SEARCH("Caida",S284)))</formula>
    </cfRule>
  </conditionalFormatting>
  <conditionalFormatting sqref="S93:S95">
    <cfRule type="cellIs" dxfId="171" priority="654" operator="lessThan">
      <formula>0.8</formula>
    </cfRule>
    <cfRule type="cellIs" dxfId="170" priority="655" operator="greaterThan">
      <formula>0.8</formula>
    </cfRule>
  </conditionalFormatting>
  <conditionalFormatting sqref="S93:S95">
    <cfRule type="notContainsText" dxfId="169" priority="652" operator="notContains" text="Caida">
      <formula>ISERROR(SEARCH("Caida",S93))</formula>
    </cfRule>
    <cfRule type="containsText" dxfId="168" priority="653" operator="containsText" text="Caida">
      <formula>NOT(ISERROR(SEARCH("Caida",S93)))</formula>
    </cfRule>
  </conditionalFormatting>
  <conditionalFormatting sqref="T6:T92 T96:T230">
    <cfRule type="cellIs" dxfId="167" priority="650" operator="lessThan">
      <formula>0.8</formula>
    </cfRule>
    <cfRule type="cellIs" dxfId="166" priority="651" operator="greaterThan">
      <formula>0.8</formula>
    </cfRule>
  </conditionalFormatting>
  <conditionalFormatting sqref="T6:T92 T96:T230">
    <cfRule type="notContainsText" dxfId="165" priority="648" operator="notContains" text="Caida">
      <formula>ISERROR(SEARCH("Caida",T6))</formula>
    </cfRule>
    <cfRule type="containsText" dxfId="164" priority="649" operator="containsText" text="Caida">
      <formula>NOT(ISERROR(SEARCH("Caida",T6)))</formula>
    </cfRule>
  </conditionalFormatting>
  <conditionalFormatting sqref="T337:T366 T284:T334">
    <cfRule type="cellIs" dxfId="163" priority="646" operator="lessThan">
      <formula>0.8</formula>
    </cfRule>
    <cfRule type="cellIs" dxfId="162" priority="647" operator="greaterThan">
      <formula>0.8</formula>
    </cfRule>
  </conditionalFormatting>
  <conditionalFormatting sqref="T337:T366 T284:T334">
    <cfRule type="notContainsText" dxfId="161" priority="644" operator="notContains" text="Caida">
      <formula>ISERROR(SEARCH("Caida",T284))</formula>
    </cfRule>
    <cfRule type="containsText" dxfId="160" priority="645" operator="containsText" text="Caida">
      <formula>NOT(ISERROR(SEARCH("Caida",T284)))</formula>
    </cfRule>
  </conditionalFormatting>
  <conditionalFormatting sqref="T93:T95">
    <cfRule type="cellIs" dxfId="159" priority="642" operator="lessThan">
      <formula>0.8</formula>
    </cfRule>
    <cfRule type="cellIs" dxfId="158" priority="643" operator="greaterThan">
      <formula>0.8</formula>
    </cfRule>
  </conditionalFormatting>
  <conditionalFormatting sqref="T93:T95">
    <cfRule type="notContainsText" dxfId="157" priority="640" operator="notContains" text="Caida">
      <formula>ISERROR(SEARCH("Caida",T93))</formula>
    </cfRule>
    <cfRule type="containsText" dxfId="156" priority="641" operator="containsText" text="Caida">
      <formula>NOT(ISERROR(SEARCH("Caida",T93)))</formula>
    </cfRule>
  </conditionalFormatting>
  <conditionalFormatting sqref="F1:F372 F391:F1048576">
    <cfRule type="cellIs" dxfId="155" priority="569" operator="equal">
      <formula>"PTP A FO"</formula>
    </cfRule>
  </conditionalFormatting>
  <conditionalFormatting sqref="R371:T372">
    <cfRule type="cellIs" dxfId="154" priority="198" operator="lessThan">
      <formula>0.8</formula>
    </cfRule>
    <cfRule type="cellIs" dxfId="153" priority="199" operator="greaterThan">
      <formula>0.8</formula>
    </cfRule>
  </conditionalFormatting>
  <conditionalFormatting sqref="R371:T372">
    <cfRule type="notContainsText" dxfId="152" priority="196" operator="notContains" text="Caida">
      <formula>ISERROR(SEARCH("Caida",R371))</formula>
    </cfRule>
    <cfRule type="containsText" dxfId="151" priority="197" operator="containsText" text="Caida">
      <formula>NOT(ISERROR(SEARCH("Caida",R371)))</formula>
    </cfRule>
  </conditionalFormatting>
  <conditionalFormatting sqref="O6:O92">
    <cfRule type="cellIs" dxfId="150" priority="186" operator="lessThan">
      <formula>0.8</formula>
    </cfRule>
    <cfRule type="cellIs" dxfId="149" priority="187" operator="greaterThan">
      <formula>0.8</formula>
    </cfRule>
  </conditionalFormatting>
  <conditionalFormatting sqref="O6:O92">
    <cfRule type="notContainsText" dxfId="148" priority="184" operator="notContains" text="Caida">
      <formula>ISERROR(SEARCH("Caida",O6))</formula>
    </cfRule>
    <cfRule type="containsText" dxfId="147" priority="185" operator="containsText" text="Caida">
      <formula>NOT(ISERROR(SEARCH("Caida",O6)))</formula>
    </cfRule>
  </conditionalFormatting>
  <conditionalFormatting sqref="O22">
    <cfRule type="containsText" dxfId="146" priority="183" operator="containsText" text="Instaladas en Funcionamiento Caida">
      <formula>NOT(ISERROR(SEARCH("Instaladas en Funcionamiento Caida",O22)))</formula>
    </cfRule>
  </conditionalFormatting>
  <conditionalFormatting sqref="O5">
    <cfRule type="cellIs" dxfId="145" priority="181" operator="lessThan">
      <formula>0.8</formula>
    </cfRule>
    <cfRule type="cellIs" dxfId="144" priority="182" operator="greaterThan">
      <formula>0.8</formula>
    </cfRule>
  </conditionalFormatting>
  <conditionalFormatting sqref="O5">
    <cfRule type="notContainsText" dxfId="143" priority="179" operator="notContains" text="Caida">
      <formula>ISERROR(SEARCH("Caida",O5))</formula>
    </cfRule>
    <cfRule type="containsText" dxfId="142" priority="180" operator="containsText" text="Caida">
      <formula>NOT(ISERROR(SEARCH("Caida",O5)))</formula>
    </cfRule>
  </conditionalFormatting>
  <conditionalFormatting sqref="O93:O94">
    <cfRule type="cellIs" dxfId="141" priority="177" operator="lessThan">
      <formula>0.8</formula>
    </cfRule>
    <cfRule type="cellIs" dxfId="140" priority="178" operator="greaterThan">
      <formula>0.8</formula>
    </cfRule>
  </conditionalFormatting>
  <conditionalFormatting sqref="O93:O94">
    <cfRule type="notContainsText" dxfId="139" priority="175" operator="notContains" text="Caida">
      <formula>ISERROR(SEARCH("Caida",O93))</formula>
    </cfRule>
    <cfRule type="containsText" dxfId="138" priority="176" operator="containsText" text="Caida">
      <formula>NOT(ISERROR(SEARCH("Caida",O93)))</formula>
    </cfRule>
  </conditionalFormatting>
  <conditionalFormatting sqref="AR6:AR92">
    <cfRule type="cellIs" dxfId="137" priority="168" operator="lessThan">
      <formula>0.8</formula>
    </cfRule>
    <cfRule type="cellIs" dxfId="136" priority="169" operator="greaterThan">
      <formula>0.8</formula>
    </cfRule>
  </conditionalFormatting>
  <conditionalFormatting sqref="AR6:AR92">
    <cfRule type="notContainsText" dxfId="135" priority="166" operator="notContains" text="Caida">
      <formula>ISERROR(SEARCH("Caida",AR6))</formula>
    </cfRule>
    <cfRule type="containsText" dxfId="134" priority="167" operator="containsText" text="Caida">
      <formula>NOT(ISERROR(SEARCH("Caida",AR6)))</formula>
    </cfRule>
  </conditionalFormatting>
  <conditionalFormatting sqref="AR93:AR94">
    <cfRule type="cellIs" dxfId="133" priority="164" operator="lessThan">
      <formula>0.8</formula>
    </cfRule>
    <cfRule type="cellIs" dxfId="132" priority="165" operator="greaterThan">
      <formula>0.8</formula>
    </cfRule>
  </conditionalFormatting>
  <conditionalFormatting sqref="AR93:AR94">
    <cfRule type="notContainsText" dxfId="131" priority="162" operator="notContains" text="Caida">
      <formula>ISERROR(SEARCH("Caida",AR93))</formula>
    </cfRule>
    <cfRule type="containsText" dxfId="130" priority="163" operator="containsText" text="Caida">
      <formula>NOT(ISERROR(SEARCH("Caida",AR93)))</formula>
    </cfRule>
  </conditionalFormatting>
  <conditionalFormatting sqref="Y6:AF92">
    <cfRule type="cellIs" dxfId="129" priority="103" operator="lessThan">
      <formula>0.8</formula>
    </cfRule>
    <cfRule type="cellIs" dxfId="128" priority="104" operator="greaterThan">
      <formula>0.8</formula>
    </cfRule>
  </conditionalFormatting>
  <conditionalFormatting sqref="Y6:AF92">
    <cfRule type="notContainsText" dxfId="127" priority="101" operator="notContains" text="Caida">
      <formula>ISERROR(SEARCH("Caida",Y6))</formula>
    </cfRule>
    <cfRule type="containsText" dxfId="126" priority="102" operator="containsText" text="Caida">
      <formula>NOT(ISERROR(SEARCH("Caida",Y6)))</formula>
    </cfRule>
  </conditionalFormatting>
  <conditionalFormatting sqref="Y93:AF95">
    <cfRule type="cellIs" dxfId="125" priority="99" operator="lessThan">
      <formula>0.8</formula>
    </cfRule>
    <cfRule type="cellIs" dxfId="124" priority="100" operator="greaterThan">
      <formula>0.8</formula>
    </cfRule>
  </conditionalFormatting>
  <conditionalFormatting sqref="Y93:AF95">
    <cfRule type="notContainsText" dxfId="123" priority="97" operator="notContains" text="Caida">
      <formula>ISERROR(SEARCH("Caida",Y93))</formula>
    </cfRule>
    <cfRule type="containsText" dxfId="122" priority="98" operator="containsText" text="Caida">
      <formula>NOT(ISERROR(SEARCH("Caida",Y93)))</formula>
    </cfRule>
  </conditionalFormatting>
  <conditionalFormatting sqref="AF1:AF3 AF5:AF376 AF378:AF1048576">
    <cfRule type="cellIs" dxfId="121" priority="96" operator="equal">
      <formula>"apagado"</formula>
    </cfRule>
  </conditionalFormatting>
  <conditionalFormatting sqref="AE1:AE3 AE5:AE376 AE378:AE1048576">
    <cfRule type="cellIs" dxfId="120" priority="95" operator="equal">
      <formula>"apagado"</formula>
    </cfRule>
  </conditionalFormatting>
  <conditionalFormatting sqref="AD1:AD3 AD5:AD376 AD378:AD1048576">
    <cfRule type="cellIs" dxfId="119" priority="94" operator="equal">
      <formula>"apagado"</formula>
    </cfRule>
  </conditionalFormatting>
  <conditionalFormatting sqref="AC1:AC3 AC5:AC376 AC378:AC1048576">
    <cfRule type="cellIs" dxfId="118" priority="93" operator="equal">
      <formula>"apagado"</formula>
    </cfRule>
  </conditionalFormatting>
  <conditionalFormatting sqref="AB1:AB3 AB5:AB376 AB378:AB1048576">
    <cfRule type="cellIs" dxfId="117" priority="92" operator="equal">
      <formula>"apagado"</formula>
    </cfRule>
  </conditionalFormatting>
  <conditionalFormatting sqref="AA1:AA3 AA5:AA376 AA378:AA1048576">
    <cfRule type="cellIs" dxfId="116" priority="91" operator="equal">
      <formula>"apagado"</formula>
    </cfRule>
  </conditionalFormatting>
  <conditionalFormatting sqref="Z1:Z3 Z5:Z376 Z378:Z1048576">
    <cfRule type="cellIs" dxfId="115" priority="90" operator="equal">
      <formula>"apagado"</formula>
    </cfRule>
  </conditionalFormatting>
  <conditionalFormatting sqref="Y1:Y3 Y5:Y376 Y378:Y1048576">
    <cfRule type="cellIs" dxfId="114" priority="89" operator="equal">
      <formula>"apagado"</formula>
    </cfRule>
  </conditionalFormatting>
  <conditionalFormatting sqref="AG6:AG92">
    <cfRule type="cellIs" dxfId="113" priority="87" operator="lessThan">
      <formula>0.8</formula>
    </cfRule>
    <cfRule type="cellIs" dxfId="112" priority="88" operator="greaterThan">
      <formula>0.8</formula>
    </cfRule>
  </conditionalFormatting>
  <conditionalFormatting sqref="AG6:AG92">
    <cfRule type="notContainsText" dxfId="111" priority="85" operator="notContains" text="Caida">
      <formula>ISERROR(SEARCH("Caida",AG6))</formula>
    </cfRule>
    <cfRule type="containsText" dxfId="110" priority="86" operator="containsText" text="Caida">
      <formula>NOT(ISERROR(SEARCH("Caida",AG6)))</formula>
    </cfRule>
  </conditionalFormatting>
  <conditionalFormatting sqref="AG93:AG95">
    <cfRule type="cellIs" dxfId="109" priority="83" operator="lessThan">
      <formula>0.8</formula>
    </cfRule>
    <cfRule type="cellIs" dxfId="108" priority="84" operator="greaterThan">
      <formula>0.8</formula>
    </cfRule>
  </conditionalFormatting>
  <conditionalFormatting sqref="AG93:AG95">
    <cfRule type="notContainsText" dxfId="107" priority="81" operator="notContains" text="Caida">
      <formula>ISERROR(SEARCH("Caida",AG93))</formula>
    </cfRule>
    <cfRule type="containsText" dxfId="106" priority="82" operator="containsText" text="Caida">
      <formula>NOT(ISERROR(SEARCH("Caida",AG93)))</formula>
    </cfRule>
  </conditionalFormatting>
  <conditionalFormatting sqref="AG1:AG3 AG5:AG376 AG378:AG1048576">
    <cfRule type="cellIs" dxfId="105" priority="80" operator="equal">
      <formula>"apagado"</formula>
    </cfRule>
  </conditionalFormatting>
  <conditionalFormatting sqref="AH6:AH92">
    <cfRule type="cellIs" dxfId="104" priority="78" operator="lessThan">
      <formula>0.8</formula>
    </cfRule>
    <cfRule type="cellIs" dxfId="103" priority="79" operator="greaterThan">
      <formula>0.8</formula>
    </cfRule>
  </conditionalFormatting>
  <conditionalFormatting sqref="AH6:AH92">
    <cfRule type="notContainsText" dxfId="102" priority="76" operator="notContains" text="Caida">
      <formula>ISERROR(SEARCH("Caida",AH6))</formula>
    </cfRule>
    <cfRule type="containsText" dxfId="101" priority="77" operator="containsText" text="Caida">
      <formula>NOT(ISERROR(SEARCH("Caida",AH6)))</formula>
    </cfRule>
  </conditionalFormatting>
  <conditionalFormatting sqref="AH93:AH95">
    <cfRule type="cellIs" dxfId="100" priority="74" operator="lessThan">
      <formula>0.8</formula>
    </cfRule>
    <cfRule type="cellIs" dxfId="99" priority="75" operator="greaterThan">
      <formula>0.8</formula>
    </cfRule>
  </conditionalFormatting>
  <conditionalFormatting sqref="AH93:AH95">
    <cfRule type="notContainsText" dxfId="98" priority="72" operator="notContains" text="Caida">
      <formula>ISERROR(SEARCH("Caida",AH93))</formula>
    </cfRule>
    <cfRule type="containsText" dxfId="97" priority="73" operator="containsText" text="Caida">
      <formula>NOT(ISERROR(SEARCH("Caida",AH93)))</formula>
    </cfRule>
  </conditionalFormatting>
  <conditionalFormatting sqref="AH1:AH3 AH5:AH376 AH378:AH1048576">
    <cfRule type="cellIs" dxfId="96" priority="71" operator="equal">
      <formula>"apagado"</formula>
    </cfRule>
  </conditionalFormatting>
  <conditionalFormatting sqref="AI6:AI92">
    <cfRule type="cellIs" dxfId="95" priority="69" operator="lessThan">
      <formula>0.8</formula>
    </cfRule>
    <cfRule type="cellIs" dxfId="94" priority="70" operator="greaterThan">
      <formula>0.8</formula>
    </cfRule>
  </conditionalFormatting>
  <conditionalFormatting sqref="AI6:AI92">
    <cfRule type="notContainsText" dxfId="93" priority="67" operator="notContains" text="Caida">
      <formula>ISERROR(SEARCH("Caida",AI6))</formula>
    </cfRule>
    <cfRule type="containsText" dxfId="92" priority="68" operator="containsText" text="Caida">
      <formula>NOT(ISERROR(SEARCH("Caida",AI6)))</formula>
    </cfRule>
  </conditionalFormatting>
  <conditionalFormatting sqref="AI93:AI95">
    <cfRule type="cellIs" dxfId="91" priority="65" operator="lessThan">
      <formula>0.8</formula>
    </cfRule>
    <cfRule type="cellIs" dxfId="90" priority="66" operator="greaterThan">
      <formula>0.8</formula>
    </cfRule>
  </conditionalFormatting>
  <conditionalFormatting sqref="AI93:AI95">
    <cfRule type="notContainsText" dxfId="89" priority="63" operator="notContains" text="Caida">
      <formula>ISERROR(SEARCH("Caida",AI93))</formula>
    </cfRule>
    <cfRule type="containsText" dxfId="88" priority="64" operator="containsText" text="Caida">
      <formula>NOT(ISERROR(SEARCH("Caida",AI93)))</formula>
    </cfRule>
  </conditionalFormatting>
  <conditionalFormatting sqref="AI1:AI3 AI5:AI376 AI378:AI1048576">
    <cfRule type="cellIs" dxfId="87" priority="62" operator="equal">
      <formula>"apagado"</formula>
    </cfRule>
  </conditionalFormatting>
  <conditionalFormatting sqref="AJ6:AJ92">
    <cfRule type="cellIs" dxfId="86" priority="60" operator="lessThan">
      <formula>0.8</formula>
    </cfRule>
    <cfRule type="cellIs" dxfId="85" priority="61" operator="greaterThan">
      <formula>0.8</formula>
    </cfRule>
  </conditionalFormatting>
  <conditionalFormatting sqref="AJ6:AJ92">
    <cfRule type="notContainsText" dxfId="84" priority="58" operator="notContains" text="Caida">
      <formula>ISERROR(SEARCH("Caida",AJ6))</formula>
    </cfRule>
    <cfRule type="containsText" dxfId="83" priority="59" operator="containsText" text="Caida">
      <formula>NOT(ISERROR(SEARCH("Caida",AJ6)))</formula>
    </cfRule>
  </conditionalFormatting>
  <conditionalFormatting sqref="AJ93:AJ95">
    <cfRule type="cellIs" dxfId="82" priority="56" operator="lessThan">
      <formula>0.8</formula>
    </cfRule>
    <cfRule type="cellIs" dxfId="81" priority="57" operator="greaterThan">
      <formula>0.8</formula>
    </cfRule>
  </conditionalFormatting>
  <conditionalFormatting sqref="AJ93:AJ95">
    <cfRule type="notContainsText" dxfId="80" priority="54" operator="notContains" text="Caida">
      <formula>ISERROR(SEARCH("Caida",AJ93))</formula>
    </cfRule>
    <cfRule type="containsText" dxfId="79" priority="55" operator="containsText" text="Caida">
      <formula>NOT(ISERROR(SEARCH("Caida",AJ93)))</formula>
    </cfRule>
  </conditionalFormatting>
  <conditionalFormatting sqref="AJ1:AJ3 AJ5:AJ376 AJ378:AJ1048576">
    <cfRule type="cellIs" dxfId="78" priority="53" operator="equal">
      <formula>"apagado"</formula>
    </cfRule>
  </conditionalFormatting>
  <conditionalFormatting sqref="AQ95:AQ369">
    <cfRule type="cellIs" dxfId="77" priority="34" operator="lessThan">
      <formula>0.8</formula>
    </cfRule>
    <cfRule type="cellIs" dxfId="76" priority="35" operator="greaterThan">
      <formula>0.8</formula>
    </cfRule>
  </conditionalFormatting>
  <conditionalFormatting sqref="AQ95:AQ372 AQ391:AQ1048576">
    <cfRule type="notContainsText" dxfId="75" priority="32" operator="notContains" text="Caida">
      <formula>ISERROR(SEARCH("Caida",AQ95))</formula>
    </cfRule>
    <cfRule type="containsText" dxfId="74" priority="33" operator="containsText" text="Caida">
      <formula>NOT(ISERROR(SEARCH("Caida",AQ95)))</formula>
    </cfRule>
  </conditionalFormatting>
  <conditionalFormatting sqref="AQ6:AQ92">
    <cfRule type="cellIs" dxfId="73" priority="30" operator="lessThan">
      <formula>0.8</formula>
    </cfRule>
    <cfRule type="cellIs" dxfId="72" priority="31" operator="greaterThan">
      <formula>0.8</formula>
    </cfRule>
  </conditionalFormatting>
  <conditionalFormatting sqref="AQ6:AQ92">
    <cfRule type="notContainsText" dxfId="71" priority="28" operator="notContains" text="Caida">
      <formula>ISERROR(SEARCH("Caida",AQ6))</formula>
    </cfRule>
    <cfRule type="containsText" dxfId="70" priority="29" operator="containsText" text="Caida">
      <formula>NOT(ISERROR(SEARCH("Caida",AQ6)))</formula>
    </cfRule>
  </conditionalFormatting>
  <conditionalFormatting sqref="AQ93:AQ94">
    <cfRule type="cellIs" dxfId="69" priority="26" operator="lessThan">
      <formula>0.8</formula>
    </cfRule>
    <cfRule type="cellIs" dxfId="68" priority="27" operator="greaterThan">
      <formula>0.8</formula>
    </cfRule>
  </conditionalFormatting>
  <conditionalFormatting sqref="AQ93:AQ94">
    <cfRule type="notContainsText" dxfId="67" priority="24" operator="notContains" text="Caida">
      <formula>ISERROR(SEARCH("Caida",AQ93))</formula>
    </cfRule>
    <cfRule type="containsText" dxfId="66" priority="25" operator="containsText" text="Caida">
      <formula>NOT(ISERROR(SEARCH("Caida",AQ93)))</formula>
    </cfRule>
  </conditionalFormatting>
  <conditionalFormatting sqref="AQ10">
    <cfRule type="cellIs" dxfId="65" priority="19" operator="equal">
      <formula>"apagado"</formula>
    </cfRule>
    <cfRule type="cellIs" dxfId="64" priority="22" operator="lessThan">
      <formula>0.8</formula>
    </cfRule>
    <cfRule type="cellIs" dxfId="63" priority="23" operator="greaterThan">
      <formula>0.8</formula>
    </cfRule>
  </conditionalFormatting>
  <conditionalFormatting sqref="AQ10">
    <cfRule type="notContainsText" dxfId="62" priority="20" operator="notContains" text="Caida">
      <formula>ISERROR(SEARCH("Caida",AQ10))</formula>
    </cfRule>
    <cfRule type="containsText" dxfId="61" priority="21" operator="containsText" text="Caida">
      <formula>NOT(ISERROR(SEARCH("Caida",AQ10)))</formula>
    </cfRule>
  </conditionalFormatting>
  <conditionalFormatting sqref="AQ1:AQ3 AQ5:AQ376 AQ378:AQ1048576">
    <cfRule type="cellIs" dxfId="60" priority="18" operator="equal">
      <formula>"apagado"</formula>
    </cfRule>
  </conditionalFormatting>
  <conditionalFormatting sqref="O5:AR376">
    <cfRule type="cellIs" dxfId="59" priority="17" operator="equal">
      <formula>"APAGADO"</formula>
    </cfRule>
  </conditionalFormatting>
  <conditionalFormatting sqref="AF377">
    <cfRule type="cellIs" dxfId="58" priority="14" operator="equal">
      <formula>"apagado"</formula>
    </cfRule>
  </conditionalFormatting>
  <conditionalFormatting sqref="AE377">
    <cfRule type="cellIs" dxfId="57" priority="13" operator="equal">
      <formula>"apagado"</formula>
    </cfRule>
  </conditionalFormatting>
  <conditionalFormatting sqref="AD377">
    <cfRule type="cellIs" dxfId="56" priority="12" operator="equal">
      <formula>"apagado"</formula>
    </cfRule>
  </conditionalFormatting>
  <conditionalFormatting sqref="AC377">
    <cfRule type="cellIs" dxfId="55" priority="11" operator="equal">
      <formula>"apagado"</formula>
    </cfRule>
  </conditionalFormatting>
  <conditionalFormatting sqref="AB377">
    <cfRule type="cellIs" dxfId="54" priority="10" operator="equal">
      <formula>"apagado"</formula>
    </cfRule>
  </conditionalFormatting>
  <conditionalFormatting sqref="AA377">
    <cfRule type="cellIs" dxfId="53" priority="9" operator="equal">
      <formula>"apagado"</formula>
    </cfRule>
  </conditionalFormatting>
  <conditionalFormatting sqref="Z377">
    <cfRule type="cellIs" dxfId="52" priority="8" operator="equal">
      <formula>"apagado"</formula>
    </cfRule>
  </conditionalFormatting>
  <conditionalFormatting sqref="Y377">
    <cfRule type="cellIs" dxfId="51" priority="7" operator="equal">
      <formula>"apagado"</formula>
    </cfRule>
  </conditionalFormatting>
  <conditionalFormatting sqref="AG377">
    <cfRule type="cellIs" dxfId="50" priority="6" operator="equal">
      <formula>"apagado"</formula>
    </cfRule>
  </conditionalFormatting>
  <conditionalFormatting sqref="AH377">
    <cfRule type="cellIs" dxfId="49" priority="5" operator="equal">
      <formula>"apagado"</formula>
    </cfRule>
  </conditionalFormatting>
  <conditionalFormatting sqref="AI377">
    <cfRule type="cellIs" dxfId="48" priority="4" operator="equal">
      <formula>"apagado"</formula>
    </cfRule>
  </conditionalFormatting>
  <conditionalFormatting sqref="AJ377">
    <cfRule type="cellIs" dxfId="47" priority="3" operator="equal">
      <formula>"apagado"</formula>
    </cfRule>
  </conditionalFormatting>
  <conditionalFormatting sqref="AQ377">
    <cfRule type="cellIs" dxfId="46" priority="2" operator="equal">
      <formula>"apagado"</formula>
    </cfRule>
  </conditionalFormatting>
  <conditionalFormatting sqref="O377:AR377">
    <cfRule type="cellIs" dxfId="45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A417B-340E-45CA-A83D-44EE6F249824}">
  <dimension ref="A1:H13"/>
  <sheetViews>
    <sheetView workbookViewId="0">
      <selection activeCell="I20" sqref="I20"/>
    </sheetView>
  </sheetViews>
  <sheetFormatPr baseColWidth="10" defaultRowHeight="15" x14ac:dyDescent="0.25"/>
  <cols>
    <col min="2" max="2" width="22.28515625" bestFit="1" customWidth="1"/>
    <col min="3" max="3" width="37.7109375" bestFit="1" customWidth="1"/>
    <col min="4" max="4" width="34.28515625" bestFit="1" customWidth="1"/>
    <col min="7" max="7" width="9.7109375" bestFit="1" customWidth="1"/>
  </cols>
  <sheetData>
    <row r="1" spans="1:8" ht="20.25" thickTop="1" thickBot="1" x14ac:dyDescent="0.35">
      <c r="A1" s="76"/>
      <c r="B1" s="70" t="s">
        <v>7</v>
      </c>
      <c r="C1" s="71" t="s">
        <v>8</v>
      </c>
      <c r="D1" s="70" t="s">
        <v>9</v>
      </c>
      <c r="E1" s="70" t="s">
        <v>10</v>
      </c>
      <c r="F1" s="70" t="s">
        <v>11</v>
      </c>
      <c r="G1" s="15">
        <v>44651</v>
      </c>
      <c r="H1" s="11"/>
    </row>
    <row r="2" spans="1:8" ht="15.75" thickTop="1" x14ac:dyDescent="0.25">
      <c r="A2" s="76">
        <v>1</v>
      </c>
      <c r="B2" s="70" t="s">
        <v>415</v>
      </c>
      <c r="C2" s="71" t="s">
        <v>421</v>
      </c>
      <c r="D2" s="70" t="s">
        <v>422</v>
      </c>
      <c r="E2" s="70" t="s">
        <v>113</v>
      </c>
      <c r="F2" s="70" t="s">
        <v>36</v>
      </c>
      <c r="G2" s="27" t="s">
        <v>1343</v>
      </c>
      <c r="H2" s="16" t="s">
        <v>1094</v>
      </c>
    </row>
    <row r="3" spans="1:8" x14ac:dyDescent="0.25">
      <c r="A3" s="76">
        <v>2</v>
      </c>
      <c r="B3" s="70" t="s">
        <v>412</v>
      </c>
      <c r="C3" s="71" t="s">
        <v>413</v>
      </c>
      <c r="D3" s="70" t="s">
        <v>414</v>
      </c>
      <c r="E3" s="70" t="s">
        <v>24</v>
      </c>
      <c r="F3" s="70" t="s">
        <v>36</v>
      </c>
      <c r="G3" s="27" t="s">
        <v>1343</v>
      </c>
      <c r="H3" s="16" t="s">
        <v>1091</v>
      </c>
    </row>
    <row r="4" spans="1:8" x14ac:dyDescent="0.25">
      <c r="A4" s="76">
        <v>3</v>
      </c>
      <c r="B4" s="70" t="s">
        <v>456</v>
      </c>
      <c r="C4" s="71" t="s">
        <v>457</v>
      </c>
      <c r="D4" s="70" t="s">
        <v>458</v>
      </c>
      <c r="E4" s="70" t="s">
        <v>24</v>
      </c>
      <c r="F4" s="70" t="s">
        <v>36</v>
      </c>
      <c r="G4" s="27" t="s">
        <v>1343</v>
      </c>
      <c r="H4" s="16" t="s">
        <v>1113</v>
      </c>
    </row>
    <row r="5" spans="1:8" x14ac:dyDescent="0.25">
      <c r="A5" s="76">
        <v>4</v>
      </c>
      <c r="B5" s="70" t="s">
        <v>456</v>
      </c>
      <c r="C5" s="71" t="s">
        <v>466</v>
      </c>
      <c r="D5" s="70" t="s">
        <v>467</v>
      </c>
      <c r="E5" s="70" t="s">
        <v>19</v>
      </c>
      <c r="F5" s="70" t="s">
        <v>36</v>
      </c>
      <c r="G5" s="27" t="s">
        <v>1343</v>
      </c>
      <c r="H5" s="16" t="s">
        <v>1116</v>
      </c>
    </row>
    <row r="6" spans="1:8" x14ac:dyDescent="0.25">
      <c r="A6" s="76">
        <v>5</v>
      </c>
      <c r="B6" s="70" t="s">
        <v>289</v>
      </c>
      <c r="C6" s="71" t="s">
        <v>524</v>
      </c>
      <c r="D6" s="70" t="s">
        <v>525</v>
      </c>
      <c r="E6" s="70" t="s">
        <v>19</v>
      </c>
      <c r="F6" s="70" t="s">
        <v>36</v>
      </c>
      <c r="G6" s="27" t="s">
        <v>1343</v>
      </c>
      <c r="H6" s="16" t="s">
        <v>1139</v>
      </c>
    </row>
    <row r="7" spans="1:8" x14ac:dyDescent="0.25">
      <c r="A7" s="76">
        <v>6</v>
      </c>
      <c r="B7" s="70" t="s">
        <v>549</v>
      </c>
      <c r="C7" s="71" t="s">
        <v>550</v>
      </c>
      <c r="D7" s="70" t="s">
        <v>551</v>
      </c>
      <c r="E7" s="70" t="s">
        <v>19</v>
      </c>
      <c r="F7" s="70" t="s">
        <v>36</v>
      </c>
      <c r="G7" s="27" t="s">
        <v>1343</v>
      </c>
      <c r="H7" s="16" t="s">
        <v>1155</v>
      </c>
    </row>
    <row r="8" spans="1:8" x14ac:dyDescent="0.25">
      <c r="A8" s="76">
        <v>7</v>
      </c>
      <c r="B8" s="70" t="s">
        <v>549</v>
      </c>
      <c r="C8" s="71" t="s">
        <v>552</v>
      </c>
      <c r="D8" s="70" t="s">
        <v>551</v>
      </c>
      <c r="E8" s="70" t="s">
        <v>113</v>
      </c>
      <c r="F8" s="70" t="s">
        <v>36</v>
      </c>
      <c r="G8" s="27" t="s">
        <v>1343</v>
      </c>
      <c r="H8" s="16" t="s">
        <v>1156</v>
      </c>
    </row>
    <row r="9" spans="1:8" x14ac:dyDescent="0.25">
      <c r="A9" s="76">
        <v>8</v>
      </c>
      <c r="B9" s="70" t="s">
        <v>724</v>
      </c>
      <c r="C9" s="71" t="s">
        <v>733</v>
      </c>
      <c r="D9" s="70" t="s">
        <v>734</v>
      </c>
      <c r="E9" s="70" t="s">
        <v>19</v>
      </c>
      <c r="F9" s="70" t="s">
        <v>36</v>
      </c>
      <c r="G9" s="27" t="s">
        <v>1343</v>
      </c>
      <c r="H9" s="16" t="s">
        <v>1232</v>
      </c>
    </row>
    <row r="10" spans="1:8" x14ac:dyDescent="0.25">
      <c r="A10" s="76">
        <v>9</v>
      </c>
      <c r="B10" s="70" t="s">
        <v>724</v>
      </c>
      <c r="C10" s="71" t="s">
        <v>737</v>
      </c>
      <c r="D10" s="70" t="s">
        <v>738</v>
      </c>
      <c r="E10" s="70" t="s">
        <v>24</v>
      </c>
      <c r="F10" s="70" t="s">
        <v>36</v>
      </c>
      <c r="G10" s="27" t="s">
        <v>1343</v>
      </c>
      <c r="H10" s="16" t="s">
        <v>1233</v>
      </c>
    </row>
    <row r="11" spans="1:8" x14ac:dyDescent="0.25">
      <c r="A11" s="76">
        <v>10</v>
      </c>
      <c r="B11" s="70" t="s">
        <v>724</v>
      </c>
      <c r="C11" s="71" t="s">
        <v>739</v>
      </c>
      <c r="D11" s="70" t="s">
        <v>740</v>
      </c>
      <c r="E11" s="70" t="s">
        <v>19</v>
      </c>
      <c r="F11" s="70" t="s">
        <v>36</v>
      </c>
      <c r="G11" s="27" t="s">
        <v>1343</v>
      </c>
      <c r="H11" s="16" t="s">
        <v>1234</v>
      </c>
    </row>
    <row r="12" spans="1:8" x14ac:dyDescent="0.25">
      <c r="A12" s="76">
        <v>11</v>
      </c>
      <c r="B12" s="70" t="s">
        <v>724</v>
      </c>
      <c r="C12" s="71" t="s">
        <v>742</v>
      </c>
      <c r="D12" s="70" t="s">
        <v>743</v>
      </c>
      <c r="E12" s="70" t="s">
        <v>24</v>
      </c>
      <c r="F12" s="70" t="s">
        <v>36</v>
      </c>
      <c r="G12" s="27" t="s">
        <v>1343</v>
      </c>
      <c r="H12" s="16" t="s">
        <v>1235</v>
      </c>
    </row>
    <row r="13" spans="1:8" x14ac:dyDescent="0.25">
      <c r="A13" s="76">
        <v>12</v>
      </c>
      <c r="B13" s="70" t="s">
        <v>724</v>
      </c>
      <c r="C13" s="71" t="s">
        <v>744</v>
      </c>
      <c r="D13" s="70" t="s">
        <v>745</v>
      </c>
      <c r="E13" s="70" t="s">
        <v>24</v>
      </c>
      <c r="F13" s="70" t="s">
        <v>944</v>
      </c>
      <c r="G13" s="27" t="s">
        <v>1343</v>
      </c>
      <c r="H13" s="16" t="s">
        <v>1236</v>
      </c>
    </row>
  </sheetData>
  <conditionalFormatting sqref="G2:G13">
    <cfRule type="cellIs" dxfId="44" priority="37" operator="lessThan">
      <formula>0.8</formula>
    </cfRule>
    <cfRule type="cellIs" dxfId="43" priority="38" operator="greaterThan">
      <formula>0.8</formula>
    </cfRule>
  </conditionalFormatting>
  <conditionalFormatting sqref="E1:F13">
    <cfRule type="containsText" dxfId="42" priority="36" operator="containsText" text="Radio">
      <formula>NOT(ISERROR(SEARCH("Radio",E1)))</formula>
    </cfRule>
  </conditionalFormatting>
  <conditionalFormatting sqref="G2:G13">
    <cfRule type="notContainsText" dxfId="41" priority="34" operator="notContains" text="Caida">
      <formula>ISERROR(SEARCH("Caida",G2))</formula>
    </cfRule>
    <cfRule type="containsText" dxfId="40" priority="35" operator="containsText" text="Caida">
      <formula>NOT(ISERROR(SEARCH("Caida",G2)))</formula>
    </cfRule>
  </conditionalFormatting>
  <conditionalFormatting sqref="E2">
    <cfRule type="containsText" dxfId="39" priority="32" operator="containsText" text="fija">
      <formula>NOT(ISERROR(SEARCH("fija",E2)))</formula>
    </cfRule>
    <cfRule type="containsText" dxfId="38" priority="33" operator="containsText" text="domo">
      <formula>NOT(ISERROR(SEARCH("domo",E2)))</formula>
    </cfRule>
  </conditionalFormatting>
  <conditionalFormatting sqref="G2:G13">
    <cfRule type="cellIs" dxfId="37" priority="31" operator="equal">
      <formula>"APAGADO"</formula>
    </cfRule>
  </conditionalFormatting>
  <conditionalFormatting sqref="F2">
    <cfRule type="cellIs" dxfId="36" priority="30" operator="equal">
      <formula>"PTP A FO"</formula>
    </cfRule>
  </conditionalFormatting>
  <conditionalFormatting sqref="G1:G13">
    <cfRule type="cellIs" dxfId="35" priority="29" operator="equal">
      <formula>"apagado"</formula>
    </cfRule>
  </conditionalFormatting>
  <conditionalFormatting sqref="E3">
    <cfRule type="containsText" dxfId="34" priority="27" operator="containsText" text="fija">
      <formula>NOT(ISERROR(SEARCH("fija",E3)))</formula>
    </cfRule>
    <cfRule type="containsText" dxfId="33" priority="28" operator="containsText" text="domo">
      <formula>NOT(ISERROR(SEARCH("domo",E3)))</formula>
    </cfRule>
  </conditionalFormatting>
  <conditionalFormatting sqref="F3">
    <cfRule type="cellIs" dxfId="32" priority="26" operator="equal">
      <formula>"PTP A FO"</formula>
    </cfRule>
  </conditionalFormatting>
  <conditionalFormatting sqref="E4">
    <cfRule type="containsText" dxfId="31" priority="24" operator="containsText" text="fija">
      <formula>NOT(ISERROR(SEARCH("fija",E4)))</formula>
    </cfRule>
    <cfRule type="containsText" dxfId="30" priority="25" operator="containsText" text="domo">
      <formula>NOT(ISERROR(SEARCH("domo",E4)))</formula>
    </cfRule>
  </conditionalFormatting>
  <conditionalFormatting sqref="F4">
    <cfRule type="cellIs" dxfId="29" priority="23" operator="equal">
      <formula>"PTP A FO"</formula>
    </cfRule>
  </conditionalFormatting>
  <conditionalFormatting sqref="E5">
    <cfRule type="containsText" dxfId="28" priority="21" operator="containsText" text="fija">
      <formula>NOT(ISERROR(SEARCH("fija",E5)))</formula>
    </cfRule>
    <cfRule type="containsText" dxfId="27" priority="22" operator="containsText" text="domo">
      <formula>NOT(ISERROR(SEARCH("domo",E5)))</formula>
    </cfRule>
  </conditionalFormatting>
  <conditionalFormatting sqref="F5">
    <cfRule type="cellIs" dxfId="26" priority="20" operator="equal">
      <formula>"PTP A FO"</formula>
    </cfRule>
  </conditionalFormatting>
  <conditionalFormatting sqref="E6">
    <cfRule type="containsText" dxfId="25" priority="18" operator="containsText" text="fija">
      <formula>NOT(ISERROR(SEARCH("fija",E6)))</formula>
    </cfRule>
    <cfRule type="containsText" dxfId="24" priority="19" operator="containsText" text="domo">
      <formula>NOT(ISERROR(SEARCH("domo",E6)))</formula>
    </cfRule>
  </conditionalFormatting>
  <conditionalFormatting sqref="F6">
    <cfRule type="cellIs" dxfId="23" priority="17" operator="equal">
      <formula>"PTP A FO"</formula>
    </cfRule>
  </conditionalFormatting>
  <conditionalFormatting sqref="E7:E8">
    <cfRule type="containsText" dxfId="22" priority="15" operator="containsText" text="fija">
      <formula>NOT(ISERROR(SEARCH("fija",E7)))</formula>
    </cfRule>
    <cfRule type="containsText" dxfId="21" priority="16" operator="containsText" text="domo">
      <formula>NOT(ISERROR(SEARCH("domo",E7)))</formula>
    </cfRule>
  </conditionalFormatting>
  <conditionalFormatting sqref="F7:F8">
    <cfRule type="cellIs" dxfId="20" priority="14" operator="equal">
      <formula>"PTP A FO"</formula>
    </cfRule>
  </conditionalFormatting>
  <conditionalFormatting sqref="E9:E13">
    <cfRule type="containsText" dxfId="19" priority="12" operator="containsText" text="fija">
      <formula>NOT(ISERROR(SEARCH("fija",E9)))</formula>
    </cfRule>
    <cfRule type="containsText" dxfId="18" priority="13" operator="containsText" text="domo">
      <formula>NOT(ISERROR(SEARCH("domo",E9)))</formula>
    </cfRule>
  </conditionalFormatting>
  <conditionalFormatting sqref="F9:F13">
    <cfRule type="cellIs" dxfId="17" priority="11" operator="equal">
      <formula>"PTP A FO"</formula>
    </cfRule>
  </conditionalFormatting>
  <conditionalFormatting sqref="E1">
    <cfRule type="containsText" dxfId="16" priority="9" operator="containsText" text="fija">
      <formula>NOT(ISERROR(SEARCH("fija",E1)))</formula>
    </cfRule>
    <cfRule type="containsText" dxfId="15" priority="10" operator="containsText" text="domo">
      <formula>NOT(ISERROR(SEARCH("domo",E1)))</formula>
    </cfRule>
  </conditionalFormatting>
  <conditionalFormatting sqref="F1">
    <cfRule type="cellIs" dxfId="14" priority="8" operator="equal">
      <formula>"PTP A FO"</formula>
    </cfRule>
  </conditionalFormatting>
  <conditionalFormatting sqref="H2">
    <cfRule type="containsText" dxfId="13" priority="7" operator="containsText" text="Radio">
      <formula>NOT(ISERROR(SEARCH("Radio",H2)))</formula>
    </cfRule>
  </conditionalFormatting>
  <conditionalFormatting sqref="H3">
    <cfRule type="containsText" dxfId="12" priority="6" operator="containsText" text="Radio">
      <formula>NOT(ISERROR(SEARCH("Radio",H3)))</formula>
    </cfRule>
  </conditionalFormatting>
  <conditionalFormatting sqref="H4">
    <cfRule type="containsText" dxfId="11" priority="5" operator="containsText" text="Radio">
      <formula>NOT(ISERROR(SEARCH("Radio",H4)))</formula>
    </cfRule>
  </conditionalFormatting>
  <conditionalFormatting sqref="H5">
    <cfRule type="containsText" dxfId="10" priority="4" operator="containsText" text="Radio">
      <formula>NOT(ISERROR(SEARCH("Radio",H5)))</formula>
    </cfRule>
  </conditionalFormatting>
  <conditionalFormatting sqref="H6">
    <cfRule type="containsText" dxfId="9" priority="3" operator="containsText" text="Radio">
      <formula>NOT(ISERROR(SEARCH("Radio",H6)))</formula>
    </cfRule>
  </conditionalFormatting>
  <conditionalFormatting sqref="H7:H8">
    <cfRule type="containsText" dxfId="8" priority="2" operator="containsText" text="Radio">
      <formula>NOT(ISERROR(SEARCH("Radio",H7)))</formula>
    </cfRule>
  </conditionalFormatting>
  <conditionalFormatting sqref="H9:H13">
    <cfRule type="containsText" dxfId="7" priority="1" operator="containsText" text="Radio">
      <formula>NOT(ISERROR(SEARCH("Radio",H9)))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6E0B-E2E9-439F-9D4B-8B98D194F5D3}">
  <dimension ref="A1:B33"/>
  <sheetViews>
    <sheetView workbookViewId="0">
      <selection activeCell="B31" sqref="B31"/>
    </sheetView>
  </sheetViews>
  <sheetFormatPr baseColWidth="10" defaultColWidth="11.5703125" defaultRowHeight="15" x14ac:dyDescent="0.25"/>
  <cols>
    <col min="1" max="1" width="18.28515625" style="47" bestFit="1" customWidth="1"/>
    <col min="2" max="2" width="81.140625" style="47" bestFit="1" customWidth="1"/>
    <col min="3" max="16384" width="11.5703125" style="47"/>
  </cols>
  <sheetData>
    <row r="1" spans="1:1" x14ac:dyDescent="0.25">
      <c r="A1" s="47" t="s">
        <v>1310</v>
      </c>
    </row>
    <row r="2" spans="1:1" ht="15.75" thickBot="1" x14ac:dyDescent="0.3"/>
    <row r="3" spans="1:1" ht="20.25" thickTop="1" thickBot="1" x14ac:dyDescent="0.3">
      <c r="A3" s="48">
        <v>44652</v>
      </c>
    </row>
    <row r="4" spans="1:1" ht="20.25" thickTop="1" thickBot="1" x14ac:dyDescent="0.3">
      <c r="A4" s="48">
        <v>44653</v>
      </c>
    </row>
    <row r="5" spans="1:1" ht="20.25" thickTop="1" thickBot="1" x14ac:dyDescent="0.3">
      <c r="A5" s="48">
        <v>44654</v>
      </c>
    </row>
    <row r="6" spans="1:1" ht="20.25" thickTop="1" thickBot="1" x14ac:dyDescent="0.3">
      <c r="A6" s="48">
        <v>44655</v>
      </c>
    </row>
    <row r="7" spans="1:1" ht="20.25" thickTop="1" thickBot="1" x14ac:dyDescent="0.3">
      <c r="A7" s="48">
        <v>44656</v>
      </c>
    </row>
    <row r="8" spans="1:1" ht="20.25" thickTop="1" thickBot="1" x14ac:dyDescent="0.3">
      <c r="A8" s="48">
        <v>44657</v>
      </c>
    </row>
    <row r="9" spans="1:1" ht="20.25" thickTop="1" thickBot="1" x14ac:dyDescent="0.3">
      <c r="A9" s="48">
        <v>44658</v>
      </c>
    </row>
    <row r="10" spans="1:1" ht="20.25" thickTop="1" thickBot="1" x14ac:dyDescent="0.3">
      <c r="A10" s="48">
        <v>44659</v>
      </c>
    </row>
    <row r="11" spans="1:1" ht="20.25" thickTop="1" thickBot="1" x14ac:dyDescent="0.3">
      <c r="A11" s="48">
        <v>44660</v>
      </c>
    </row>
    <row r="12" spans="1:1" ht="20.25" thickTop="1" thickBot="1" x14ac:dyDescent="0.3">
      <c r="A12" s="48">
        <v>44661</v>
      </c>
    </row>
    <row r="13" spans="1:1" ht="20.25" thickTop="1" thickBot="1" x14ac:dyDescent="0.3">
      <c r="A13" s="48">
        <v>44662</v>
      </c>
    </row>
    <row r="14" spans="1:1" ht="20.25" thickTop="1" thickBot="1" x14ac:dyDescent="0.3">
      <c r="A14" s="48">
        <v>44663</v>
      </c>
    </row>
    <row r="15" spans="1:1" ht="20.25" thickTop="1" thickBot="1" x14ac:dyDescent="0.3">
      <c r="A15" s="48">
        <v>44664</v>
      </c>
    </row>
    <row r="16" spans="1:1" ht="20.25" thickTop="1" thickBot="1" x14ac:dyDescent="0.3">
      <c r="A16" s="48">
        <v>44665</v>
      </c>
    </row>
    <row r="17" spans="1:2" ht="20.25" thickTop="1" thickBot="1" x14ac:dyDescent="0.3">
      <c r="A17" s="48">
        <v>44666</v>
      </c>
    </row>
    <row r="18" spans="1:2" ht="20.25" thickTop="1" thickBot="1" x14ac:dyDescent="0.3">
      <c r="A18" s="48">
        <v>44667</v>
      </c>
    </row>
    <row r="19" spans="1:2" ht="20.25" thickTop="1" thickBot="1" x14ac:dyDescent="0.3">
      <c r="A19" s="48">
        <v>44668</v>
      </c>
    </row>
    <row r="20" spans="1:2" ht="20.25" thickTop="1" thickBot="1" x14ac:dyDescent="0.3">
      <c r="A20" s="48">
        <v>44669</v>
      </c>
    </row>
    <row r="21" spans="1:2" ht="20.25" thickTop="1" thickBot="1" x14ac:dyDescent="0.3">
      <c r="A21" s="48">
        <v>44670</v>
      </c>
    </row>
    <row r="22" spans="1:2" ht="20.25" thickTop="1" thickBot="1" x14ac:dyDescent="0.3">
      <c r="A22" s="48">
        <v>44671</v>
      </c>
    </row>
    <row r="23" spans="1:2" ht="20.25" thickTop="1" thickBot="1" x14ac:dyDescent="0.3">
      <c r="A23" s="48">
        <v>44672</v>
      </c>
      <c r="B23" s="49"/>
    </row>
    <row r="24" spans="1:2" ht="20.25" thickTop="1" thickBot="1" x14ac:dyDescent="0.3">
      <c r="A24" s="48">
        <v>44673</v>
      </c>
      <c r="B24" s="50"/>
    </row>
    <row r="25" spans="1:2" ht="20.25" thickTop="1" thickBot="1" x14ac:dyDescent="0.3">
      <c r="A25" s="48">
        <v>44674</v>
      </c>
    </row>
    <row r="26" spans="1:2" ht="20.25" thickTop="1" thickBot="1" x14ac:dyDescent="0.3">
      <c r="A26" s="48">
        <v>44675</v>
      </c>
    </row>
    <row r="27" spans="1:2" ht="20.25" thickTop="1" thickBot="1" x14ac:dyDescent="0.3">
      <c r="A27" s="48">
        <v>44676</v>
      </c>
    </row>
    <row r="28" spans="1:2" ht="20.25" thickTop="1" thickBot="1" x14ac:dyDescent="0.3">
      <c r="A28" s="48">
        <v>44677</v>
      </c>
    </row>
    <row r="29" spans="1:2" ht="20.25" thickTop="1" thickBot="1" x14ac:dyDescent="0.3">
      <c r="A29" s="48">
        <v>44678</v>
      </c>
    </row>
    <row r="30" spans="1:2" ht="20.25" thickTop="1" thickBot="1" x14ac:dyDescent="0.3">
      <c r="A30" s="48">
        <v>44679</v>
      </c>
    </row>
    <row r="31" spans="1:2" ht="20.25" thickTop="1" thickBot="1" x14ac:dyDescent="0.3">
      <c r="A31" s="48">
        <v>44680</v>
      </c>
    </row>
    <row r="32" spans="1:2" ht="20.25" thickTop="1" thickBot="1" x14ac:dyDescent="0.3">
      <c r="A32" s="48">
        <v>44681</v>
      </c>
    </row>
    <row r="33" ht="15.75" thickTop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J374"/>
  <sheetViews>
    <sheetView topLeftCell="A73" workbookViewId="0">
      <selection activeCell="AG2" sqref="AG2:AJ374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6" x14ac:dyDescent="0.25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44652</v>
      </c>
      <c r="G1" s="25">
        <f>'RESUMEN TOTAL'!P4</f>
        <v>44653</v>
      </c>
      <c r="H1" s="25">
        <f>'RESUMEN TOTAL'!Q4</f>
        <v>44654</v>
      </c>
      <c r="I1" s="25">
        <f>'RESUMEN TOTAL'!R4</f>
        <v>44655</v>
      </c>
      <c r="J1" s="25">
        <f>'RESUMEN TOTAL'!S4</f>
        <v>44656</v>
      </c>
      <c r="K1" s="25">
        <f>'RESUMEN TOTAL'!T4</f>
        <v>44657</v>
      </c>
      <c r="L1" s="25">
        <f>'RESUMEN TOTAL'!U4</f>
        <v>44658</v>
      </c>
      <c r="M1" s="25">
        <f>'RESUMEN TOTAL'!V4</f>
        <v>44659</v>
      </c>
      <c r="N1" s="25">
        <f>'RESUMEN TOTAL'!W4</f>
        <v>44660</v>
      </c>
      <c r="O1" s="25">
        <f>'RESUMEN TOTAL'!X4</f>
        <v>44661</v>
      </c>
      <c r="P1" s="25">
        <f>'RESUMEN TOTAL'!Y4</f>
        <v>44662</v>
      </c>
      <c r="Q1" s="25">
        <f>'RESUMEN TOTAL'!Z4</f>
        <v>44663</v>
      </c>
      <c r="R1" s="25">
        <f>'RESUMEN TOTAL'!AA4</f>
        <v>44664</v>
      </c>
      <c r="S1" s="25">
        <f>'RESUMEN TOTAL'!AB4</f>
        <v>44665</v>
      </c>
      <c r="T1" s="25">
        <f>'RESUMEN TOTAL'!AC4</f>
        <v>44666</v>
      </c>
      <c r="U1" s="25">
        <f>'RESUMEN TOTAL'!AD4</f>
        <v>44667</v>
      </c>
      <c r="V1" s="25">
        <f>'RESUMEN TOTAL'!AE4</f>
        <v>44668</v>
      </c>
      <c r="W1" s="25">
        <f>'RESUMEN TOTAL'!AF4</f>
        <v>44669</v>
      </c>
      <c r="X1" s="25">
        <f>'RESUMEN TOTAL'!AG4</f>
        <v>44670</v>
      </c>
      <c r="Y1" s="25">
        <f>'RESUMEN TOTAL'!AH4</f>
        <v>44671</v>
      </c>
      <c r="Z1" s="25">
        <f>'RESUMEN TOTAL'!AI4</f>
        <v>44672</v>
      </c>
      <c r="AA1" s="25">
        <f>'RESUMEN TOTAL'!AJ4</f>
        <v>44673</v>
      </c>
      <c r="AB1" s="25">
        <f>'RESUMEN TOTAL'!AK4</f>
        <v>44674</v>
      </c>
      <c r="AC1" s="25">
        <f>'RESUMEN TOTAL'!AL4</f>
        <v>44675</v>
      </c>
      <c r="AD1" s="25">
        <f>'RESUMEN TOTAL'!AM4</f>
        <v>44676</v>
      </c>
      <c r="AE1" s="25">
        <f>'RESUMEN TOTAL'!AN4</f>
        <v>44677</v>
      </c>
      <c r="AF1" s="25">
        <f>'RESUMEN TOTAL'!AO4</f>
        <v>44678</v>
      </c>
      <c r="AG1" s="25">
        <f>'RESUMEN TOTAL'!AP4</f>
        <v>44679</v>
      </c>
      <c r="AH1" s="25">
        <f>'RESUMEN TOTAL'!AQ4</f>
        <v>44680</v>
      </c>
      <c r="AI1" s="25">
        <f>'RESUMEN TOTAL'!AR4</f>
        <v>44681</v>
      </c>
      <c r="AJ1" s="25" t="e">
        <f>'RESUMEN TOTAL'!#REF!</f>
        <v>#REF!</v>
      </c>
    </row>
    <row r="2" spans="1:36" x14ac:dyDescent="0.25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 t="str">
        <f>'RESUMEN TOTAL'!S5</f>
        <v>APAGADO</v>
      </c>
      <c r="K2">
        <f>'RESUMEN TOTAL'!T5</f>
        <v>0</v>
      </c>
      <c r="L2">
        <f>'RESUMEN TOTAL'!U5</f>
        <v>0</v>
      </c>
      <c r="M2" t="str">
        <f>'RESUMEN TOTAL'!V5</f>
        <v>APAGADO</v>
      </c>
      <c r="N2" t="str">
        <f>'RESUMEN TOTAL'!W5</f>
        <v>APAGADO</v>
      </c>
      <c r="O2" t="str">
        <f>'RESUMEN TOTAL'!X5</f>
        <v>APAGADO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  <c r="AJ2" t="e">
        <f>'RESUMEN TOTAL'!#REF!</f>
        <v>#REF!</v>
      </c>
    </row>
    <row r="3" spans="1:36" x14ac:dyDescent="0.25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 t="str">
        <f>'RESUMEN TOTAL'!Z6</f>
        <v>APAGADO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  <c r="AJ3" t="e">
        <f>'RESUMEN TOTAL'!#REF!</f>
        <v>#REF!</v>
      </c>
    </row>
    <row r="4" spans="1:36" x14ac:dyDescent="0.25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>
        <f>'RESUMEN TOTAL'!O7</f>
        <v>0</v>
      </c>
      <c r="G4">
        <f>'RESUMEN TOTAL'!P7</f>
        <v>0</v>
      </c>
      <c r="H4">
        <f>'RESUMEN TOTAL'!Q7</f>
        <v>0</v>
      </c>
      <c r="I4" t="str">
        <f>'RESUMEN TOTAL'!R7</f>
        <v>APAGADO</v>
      </c>
      <c r="J4" t="str">
        <f>'RESUMEN TOTAL'!S7</f>
        <v>APAGADO</v>
      </c>
      <c r="K4" t="str">
        <f>'RESUMEN TOTAL'!T7</f>
        <v>APAGADO</v>
      </c>
      <c r="L4" t="str">
        <f>'RESUMEN TOTAL'!U7</f>
        <v>APAGADO</v>
      </c>
      <c r="M4" t="str">
        <f>'RESUMEN TOTAL'!V7</f>
        <v>APAGADO</v>
      </c>
      <c r="N4" t="str">
        <f>'RESUMEN TOTAL'!W7</f>
        <v>APAGADO</v>
      </c>
      <c r="O4" t="str">
        <f>'RESUMEN TOTAL'!X7</f>
        <v>APAGADO</v>
      </c>
      <c r="P4" t="str">
        <f>'RESUMEN TOTAL'!Y7</f>
        <v>APAGADO</v>
      </c>
      <c r="Q4" t="str">
        <f>'RESUMEN TOTAL'!Z7</f>
        <v>APAGADO</v>
      </c>
      <c r="R4" t="str">
        <f>'RESUMEN TOTAL'!AA7</f>
        <v>APAGADO</v>
      </c>
      <c r="S4" t="str">
        <f>'RESUMEN TOTAL'!AB7</f>
        <v>APAGADO</v>
      </c>
      <c r="T4" t="str">
        <f>'RESUMEN TOTAL'!AC7</f>
        <v>APAGADO</v>
      </c>
      <c r="U4" t="str">
        <f>'RESUMEN TOTAL'!AD7</f>
        <v>APAGADO</v>
      </c>
      <c r="V4">
        <f>'RESUMEN TOTAL'!AE7</f>
        <v>0</v>
      </c>
      <c r="W4" t="str">
        <f>'RESUMEN TOTAL'!AF7</f>
        <v>APAGADO</v>
      </c>
      <c r="X4" t="str">
        <f>'RESUMEN TOTAL'!AG7</f>
        <v>APAGADO</v>
      </c>
      <c r="Y4" t="str">
        <f>'RESUMEN TOTAL'!AH7</f>
        <v>APAGADO</v>
      </c>
      <c r="Z4" t="str">
        <f>'RESUMEN TOTAL'!AI7</f>
        <v>APAGADO</v>
      </c>
      <c r="AA4" t="str">
        <f>'RESUMEN TOTAL'!AJ7</f>
        <v>APAGADO</v>
      </c>
      <c r="AB4" t="str">
        <f>'RESUMEN TOTAL'!AK7</f>
        <v>APAGADO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  <c r="AJ4" t="e">
        <f>'RESUMEN TOTAL'!#REF!</f>
        <v>#REF!</v>
      </c>
    </row>
    <row r="5" spans="1:36" x14ac:dyDescent="0.25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  <c r="AJ5" t="e">
        <f>'RESUMEN TOTAL'!#REF!</f>
        <v>#REF!</v>
      </c>
    </row>
    <row r="6" spans="1:36" x14ac:dyDescent="0.25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 t="str">
        <f>'RESUMEN TOTAL'!U10</f>
        <v>APAGADO</v>
      </c>
      <c r="M7" t="str">
        <f>'RESUMEN TOTAL'!V10</f>
        <v>APAGADO</v>
      </c>
      <c r="N7" t="str">
        <f>'RESUMEN TOTAL'!W10</f>
        <v>APAGADO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 t="str">
        <f>'RESUMEN TOTAL'!AB10</f>
        <v>APAGADO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 t="str">
        <f>'RESUMEN TOTAL'!AG10</f>
        <v>APAGADO</v>
      </c>
      <c r="Y7" t="str">
        <f>'RESUMEN TOTAL'!AH10</f>
        <v>APAGADO</v>
      </c>
      <c r="Z7" t="str">
        <f>'RESUMEN TOTAL'!AI10</f>
        <v>APAGADO</v>
      </c>
      <c r="AA7" t="str">
        <f>'RESUMEN TOTAL'!AJ10</f>
        <v>APAGADO</v>
      </c>
      <c r="AB7" t="str">
        <f>'RESUMEN TOTAL'!AK10</f>
        <v>APAGADO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TOTAL'!O11</f>
        <v>0</v>
      </c>
      <c r="G8">
        <f>'RESUMEN TOTAL'!P11</f>
        <v>0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 t="str">
        <f>'RESUMEN TOTAL'!AB11</f>
        <v>APAGADO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 t="str">
        <f>'RESUMEN TOTAL'!AB12</f>
        <v>APAGADO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 t="str">
        <f>'RESUMEN TOTAL'!AG12</f>
        <v>APAGADO</v>
      </c>
      <c r="Y9" t="str">
        <f>'RESUMEN TOTAL'!AH12</f>
        <v>APAGADO</v>
      </c>
      <c r="Z9" t="str">
        <f>'RESUMEN TOTAL'!AI12</f>
        <v>APAGADO</v>
      </c>
      <c r="AA9" t="str">
        <f>'RESUMEN TOTAL'!AJ12</f>
        <v>APAGADO</v>
      </c>
      <c r="AB9" t="str">
        <f>'RESUMEN TOTAL'!AK12</f>
        <v>APAGADO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 t="str">
        <f>'RESUMEN TOTAL'!AB13</f>
        <v>APAGADO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 t="str">
        <f>'RESUMEN TOTAL'!AG13</f>
        <v>APAGADO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  <c r="AJ10" t="e">
        <f>'RESUMEN TOTAL'!#REF!</f>
        <v>#REF!</v>
      </c>
    </row>
    <row r="11" spans="1:36" x14ac:dyDescent="0.25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 t="str">
        <f>'RESUMEN TOTAL'!AB14</f>
        <v>APAGADO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 t="str">
        <f>'RESUMEN TOTAL'!AG14</f>
        <v>APAGADO</v>
      </c>
      <c r="Y11" t="str">
        <f>'RESUMEN TOTAL'!AH14</f>
        <v>APAGADO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  <c r="AJ11" t="e">
        <f>'RESUMEN TOTAL'!#REF!</f>
        <v>#REF!</v>
      </c>
    </row>
    <row r="12" spans="1:36" x14ac:dyDescent="0.25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 t="str">
        <f>'RESUMEN TOTAL'!AB15</f>
        <v>APAGADO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  <c r="AJ12" t="e">
        <f>'RESUMEN TOTAL'!#REF!</f>
        <v>#REF!</v>
      </c>
    </row>
    <row r="13" spans="1:36" x14ac:dyDescent="0.25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 t="str">
        <f>'RESUMEN TOTAL'!AB16</f>
        <v>APAGADO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  <c r="AJ13" t="e">
        <f>'RESUMEN TOTAL'!#REF!</f>
        <v>#REF!</v>
      </c>
    </row>
    <row r="14" spans="1:36" x14ac:dyDescent="0.25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 t="str">
        <f>'RESUMEN TOTAL'!AB17</f>
        <v>APAGADO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  <c r="AJ14" t="e">
        <f>'RESUMEN TOTAL'!#REF!</f>
        <v>#REF!</v>
      </c>
    </row>
    <row r="15" spans="1:36" x14ac:dyDescent="0.25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 t="str">
        <f>'RESUMEN TOTAL'!AB18</f>
        <v>APAGADO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  <c r="AJ15" t="e">
        <f>'RESUMEN TOTAL'!#REF!</f>
        <v>#REF!</v>
      </c>
    </row>
    <row r="16" spans="1:36" x14ac:dyDescent="0.25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  <c r="AJ16" t="e">
        <f>'RESUMEN TOTAL'!#REF!</f>
        <v>#REF!</v>
      </c>
    </row>
    <row r="17" spans="1:36" x14ac:dyDescent="0.25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 t="str">
        <f>'RESUMEN TOTAL'!AB20</f>
        <v>APAGADO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  <c r="AJ17" t="e">
        <f>'RESUMEN TOTAL'!#REF!</f>
        <v>#REF!</v>
      </c>
    </row>
    <row r="18" spans="1:36" x14ac:dyDescent="0.25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 t="str">
        <f>'RESUMEN TOTAL'!U21</f>
        <v>APAGADO</v>
      </c>
      <c r="M18" t="str">
        <f>'RESUMEN TOTAL'!V21</f>
        <v>APAGADO</v>
      </c>
      <c r="N18" t="str">
        <f>'RESUMEN TOTAL'!W21</f>
        <v>APAGADO</v>
      </c>
      <c r="O18" t="str">
        <f>'RESUMEN TOTAL'!X21</f>
        <v>APAGADO</v>
      </c>
      <c r="P18" t="str">
        <f>'RESUMEN TOTAL'!Y21</f>
        <v>APAGADO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 t="str">
        <f>'RESUMEN TOTAL'!AG21</f>
        <v>APAGADO</v>
      </c>
      <c r="Y18">
        <f>'RESUMEN TOTAL'!AH21</f>
        <v>0</v>
      </c>
      <c r="Z18" t="str">
        <f>'RESUMEN TOTAL'!AI21</f>
        <v>APAGADO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  <c r="AJ18" t="e">
        <f>'RESUMEN TOTAL'!#REF!</f>
        <v>#REF!</v>
      </c>
    </row>
    <row r="19" spans="1:36" x14ac:dyDescent="0.25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TOTAL'!O22</f>
        <v>0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 t="str">
        <f>'RESUMEN TOTAL'!U22</f>
        <v>APAGADO</v>
      </c>
      <c r="M19" t="str">
        <f>'RESUMEN TOTAL'!V22</f>
        <v>APAGADO</v>
      </c>
      <c r="N19" t="str">
        <f>'RESUMEN TOTAL'!W22</f>
        <v>APAGADO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 t="str">
        <f>'RESUMEN TOTAL'!AG22</f>
        <v>APAGADO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  <c r="AJ19" t="e">
        <f>'RESUMEN TOTAL'!#REF!</f>
        <v>#REF!</v>
      </c>
    </row>
    <row r="20" spans="1:36" x14ac:dyDescent="0.25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  <c r="AJ20" t="e">
        <f>'RESUMEN TOTAL'!#REF!</f>
        <v>#REF!</v>
      </c>
    </row>
    <row r="21" spans="1:36" x14ac:dyDescent="0.25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 t="str">
        <f>'RESUMEN TOTAL'!U24</f>
        <v>APAGADO</v>
      </c>
      <c r="M21">
        <f>'RESUMEN TOTAL'!V24</f>
        <v>0</v>
      </c>
      <c r="N21">
        <f>'RESUMEN TOTAL'!W24</f>
        <v>0</v>
      </c>
      <c r="O21">
        <f>'RESUMEN TOTAL'!X24</f>
        <v>0</v>
      </c>
      <c r="P21" t="str">
        <f>'RESUMEN TOTAL'!Y24</f>
        <v>APAGADO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 t="str">
        <f>'RESUMEN TOTAL'!AE24</f>
        <v>APAGADO</v>
      </c>
      <c r="W21" t="str">
        <f>'RESUMEN TOTAL'!AF24</f>
        <v>APAGADO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  <c r="AJ21" t="e">
        <f>'RESUMEN TOTAL'!#REF!</f>
        <v>#REF!</v>
      </c>
    </row>
    <row r="22" spans="1:36" x14ac:dyDescent="0.25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  <c r="AJ23" t="e">
        <f>'RESUMEN TOTAL'!#REF!</f>
        <v>#REF!</v>
      </c>
    </row>
    <row r="24" spans="1:36" x14ac:dyDescent="0.25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  <c r="AJ24" t="e">
        <f>'RESUMEN TOTAL'!#REF!</f>
        <v>#REF!</v>
      </c>
    </row>
    <row r="25" spans="1:36" x14ac:dyDescent="0.25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  <c r="AJ25" t="e">
        <f>'RESUMEN TOTAL'!#REF!</f>
        <v>#REF!</v>
      </c>
    </row>
    <row r="26" spans="1:36" x14ac:dyDescent="0.25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 t="str">
        <f>'RESUMEN TOTAL'!O30</f>
        <v>APAGADO</v>
      </c>
      <c r="G27">
        <f>'RESUMEN TOTAL'!P30</f>
        <v>0</v>
      </c>
      <c r="H27">
        <f>'RESUMEN TOTAL'!Q30</f>
        <v>0</v>
      </c>
      <c r="I27" t="str">
        <f>'RESUMEN TOTAL'!R30</f>
        <v>APAGADO</v>
      </c>
      <c r="J27" t="str">
        <f>'RESUMEN TOTAL'!S30</f>
        <v>APAGADO</v>
      </c>
      <c r="K27" t="str">
        <f>'RESUMEN TOTAL'!T30</f>
        <v>APAGADO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 t="str">
        <f>'RESUMEN TOTAL'!Y30</f>
        <v>APAGADO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 t="str">
        <f>'RESUMEN TOTAL'!AF32</f>
        <v>APAGADO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 t="str">
        <f>'RESUMEN TOTAL'!Y39</f>
        <v>APAGADO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  <c r="AJ39" t="e">
        <f>'RESUMEN TOTAL'!#REF!</f>
        <v>#REF!</v>
      </c>
    </row>
    <row r="40" spans="1:36" x14ac:dyDescent="0.25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 t="str">
        <f>'RESUMEN TOTAL'!Y45</f>
        <v>APAGADO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PerÃ³n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 t="str">
        <f>'RESUMEN TOTAL'!R47</f>
        <v>APAGADO</v>
      </c>
      <c r="J44" t="str">
        <f>'RESUMEN TOTAL'!S47</f>
        <v>APAGADO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 t="str">
        <f>'RESUMEN TOTAL'!Y49</f>
        <v>APAGADO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 t="str">
        <f>'RESUMEN TOTAL'!Y51</f>
        <v>APAGADO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  <c r="AJ49" t="e">
        <f>'RESUMEN TOTAL'!#REF!</f>
        <v>#REF!</v>
      </c>
    </row>
    <row r="50" spans="1:36" x14ac:dyDescent="0.25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 t="str">
        <f>'RESUMEN TOTAL'!AG53</f>
        <v>APAGADO</v>
      </c>
      <c r="Y50" t="str">
        <f>'RESUMEN TOTAL'!AH53</f>
        <v>APAGADO</v>
      </c>
      <c r="Z50" t="str">
        <f>'RESUMEN TOTAL'!AI53</f>
        <v>APAGADO</v>
      </c>
      <c r="AA50" t="str">
        <f>'RESUMEN TOTAL'!AJ53</f>
        <v>APAGADO</v>
      </c>
      <c r="AB50" t="str">
        <f>'RESUMEN TOTAL'!AK53</f>
        <v>APAGADO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>
        <f>'RESUMEN TOTAL'!O54</f>
        <v>0</v>
      </c>
      <c r="G51">
        <f>'RESUMEN TOTAL'!P54</f>
        <v>0</v>
      </c>
      <c r="H51">
        <f>'RESUMEN TOTAL'!Q54</f>
        <v>0</v>
      </c>
      <c r="I51">
        <f>'RESUMEN TOTAL'!R54</f>
        <v>0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  <c r="AJ52" t="e">
        <f>'RESUMEN TOTAL'!#REF!</f>
        <v>#REF!</v>
      </c>
    </row>
    <row r="53" spans="1:36" x14ac:dyDescent="0.25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>
        <f>'RESUMEN TOTAL'!W56</f>
        <v>0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 t="str">
        <f>'RESUMEN TOTAL'!O62</f>
        <v>APAGADO</v>
      </c>
      <c r="G59">
        <f>'RESUMEN TOTAL'!P62</f>
        <v>0</v>
      </c>
      <c r="H59">
        <f>'RESUMEN TOTAL'!Q62</f>
        <v>0</v>
      </c>
      <c r="I59" t="str">
        <f>'RESUMEN TOTAL'!R62</f>
        <v>APAGADO</v>
      </c>
      <c r="J59" t="str">
        <f>'RESUMEN TOTAL'!S62</f>
        <v>APAGADO</v>
      </c>
      <c r="K59" t="str">
        <f>'RESUMEN TOTAL'!T62</f>
        <v>APAGADO</v>
      </c>
      <c r="L59" t="str">
        <f>'RESUMEN TOTAL'!U62</f>
        <v>APAGADO</v>
      </c>
      <c r="M59" t="str">
        <f>'RESUMEN TOTAL'!V62</f>
        <v>APAGADO</v>
      </c>
      <c r="N59" t="str">
        <f>'RESUMEN TOTAL'!W62</f>
        <v>APAGADO</v>
      </c>
      <c r="O59" t="str">
        <f>'RESUMEN TOTAL'!X62</f>
        <v>APAGADO</v>
      </c>
      <c r="P59" t="str">
        <f>'RESUMEN TOTAL'!Y62</f>
        <v>APAGADO</v>
      </c>
      <c r="Q59" t="str">
        <f>'RESUMEN TOTAL'!Z62</f>
        <v>APAGADO</v>
      </c>
      <c r="R59" t="str">
        <f>'RESUMEN TOTAL'!AA62</f>
        <v>APAGADO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 t="str">
        <f>'RESUMEN TOTAL'!O63</f>
        <v>APAGADO</v>
      </c>
      <c r="G60">
        <f>'RESUMEN TOTAL'!P63</f>
        <v>0</v>
      </c>
      <c r="H60">
        <f>'RESUMEN TOTAL'!Q63</f>
        <v>0</v>
      </c>
      <c r="I60" t="str">
        <f>'RESUMEN TOTAL'!R63</f>
        <v>APAGADO</v>
      </c>
      <c r="J60" t="str">
        <f>'RESUMEN TOTAL'!S63</f>
        <v>APAGADO</v>
      </c>
      <c r="K60" t="str">
        <f>'RESUMEN TOTAL'!T63</f>
        <v>APAGADO</v>
      </c>
      <c r="L60" t="str">
        <f>'RESUMEN TOTAL'!U63</f>
        <v>APAGADO</v>
      </c>
      <c r="M60" t="str">
        <f>'RESUMEN TOTAL'!V63</f>
        <v>APAGADO</v>
      </c>
      <c r="N60" t="str">
        <f>'RESUMEN TOTAL'!W63</f>
        <v>APAGADO</v>
      </c>
      <c r="O60" t="str">
        <f>'RESUMEN TOTAL'!X63</f>
        <v>APAGADO</v>
      </c>
      <c r="P60" t="str">
        <f>'RESUMEN TOTAL'!Y63</f>
        <v>APAGADO</v>
      </c>
      <c r="Q60" t="str">
        <f>'RESUMEN TOTAL'!Z63</f>
        <v>APAGADO</v>
      </c>
      <c r="R60" t="str">
        <f>'RESUMEN TOTAL'!AA63</f>
        <v>APAGADO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 t="str">
        <f>'RESUMEN TOTAL'!O65</f>
        <v>APAGADO</v>
      </c>
      <c r="G62">
        <f>'RESUMEN TOTAL'!P65</f>
        <v>0</v>
      </c>
      <c r="H62">
        <f>'RESUMEN TOTAL'!Q65</f>
        <v>0</v>
      </c>
      <c r="I62" t="str">
        <f>'RESUMEN TOTAL'!R65</f>
        <v>APAGADO</v>
      </c>
      <c r="J62" t="str">
        <f>'RESUMEN TOTAL'!S65</f>
        <v>APAGADO</v>
      </c>
      <c r="K62" t="str">
        <f>'RESUMEN TOTAL'!T65</f>
        <v>APAGADO</v>
      </c>
      <c r="L62" t="str">
        <f>'RESUMEN TOTAL'!U65</f>
        <v>APAGADO</v>
      </c>
      <c r="M62" t="str">
        <f>'RESUMEN TOTAL'!V65</f>
        <v>APAGADO</v>
      </c>
      <c r="N62" t="str">
        <f>'RESUMEN TOTAL'!W65</f>
        <v>APAGADO</v>
      </c>
      <c r="O62" t="str">
        <f>'RESUMEN TOTAL'!X65</f>
        <v>APAGADO</v>
      </c>
      <c r="P62" t="str">
        <f>'RESUMEN TOTAL'!Y65</f>
        <v>APAGADO</v>
      </c>
      <c r="Q62" t="str">
        <f>'RESUMEN TOTAL'!Z65</f>
        <v>APAGADO</v>
      </c>
      <c r="R62" t="str">
        <f>'RESUMEN TOTAL'!AA65</f>
        <v>APAGADO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 t="str">
        <f>'RESUMEN TOTAL'!AD66</f>
        <v>APAGADO</v>
      </c>
      <c r="V63" t="str">
        <f>'RESUMEN TOTAL'!AE66</f>
        <v>APAGADO</v>
      </c>
      <c r="W63" t="str">
        <f>'RESUMEN TOTAL'!AF66</f>
        <v>APAGADO</v>
      </c>
      <c r="X63" t="str">
        <f>'RESUMEN TOTAL'!AG66</f>
        <v>APAGADO</v>
      </c>
      <c r="Y63" t="str">
        <f>'RESUMEN TOTAL'!AH66</f>
        <v>APAGADO</v>
      </c>
      <c r="Z63" t="str">
        <f>'RESUMEN TOTAL'!AI66</f>
        <v>APAGADO</v>
      </c>
      <c r="AA63" t="str">
        <f>'RESUMEN TOTAL'!AJ66</f>
        <v>APAGADO</v>
      </c>
      <c r="AB63" t="str">
        <f>'RESUMEN TOTAL'!AK66</f>
        <v>APAGADO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 t="str">
        <f>'RESUMEN TOTAL'!O68</f>
        <v>APAGADO</v>
      </c>
      <c r="G65">
        <f>'RESUMEN TOTAL'!P68</f>
        <v>0</v>
      </c>
      <c r="H65">
        <f>'RESUMEN TOTAL'!Q68</f>
        <v>0</v>
      </c>
      <c r="I65" t="str">
        <f>'RESUMEN TOTAL'!R68</f>
        <v>APAGADO</v>
      </c>
      <c r="J65" t="str">
        <f>'RESUMEN TOTAL'!S68</f>
        <v>APAGADO</v>
      </c>
      <c r="K65" t="str">
        <f>'RESUMEN TOTAL'!T68</f>
        <v>APAGADO</v>
      </c>
      <c r="L65" t="str">
        <f>'RESUMEN TOTAL'!U68</f>
        <v>APAGADO</v>
      </c>
      <c r="M65" t="str">
        <f>'RESUMEN TOTAL'!V68</f>
        <v>APAGADO</v>
      </c>
      <c r="N65" t="str">
        <f>'RESUMEN TOTAL'!W68</f>
        <v>APAGADO</v>
      </c>
      <c r="O65" t="str">
        <f>'RESUMEN TOTAL'!X68</f>
        <v>APAGADO</v>
      </c>
      <c r="P65" t="str">
        <f>'RESUMEN TOTAL'!Y68</f>
        <v>APAGADO</v>
      </c>
      <c r="Q65" t="str">
        <f>'RESUMEN TOTAL'!Z68</f>
        <v>APAGADO</v>
      </c>
      <c r="R65" t="str">
        <f>'RESUMEN TOTAL'!AA68</f>
        <v>APAGADO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 t="str">
        <f>'RESUMEN TOTAL'!AG73</f>
        <v>APAGADO</v>
      </c>
      <c r="Y70" t="str">
        <f>'RESUMEN TOTAL'!AH73</f>
        <v>APAGADO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 t="str">
        <f>'RESUMEN TOTAL'!R78</f>
        <v>APAGADO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 t="str">
        <f>'RESUMEN TOTAL'!O80</f>
        <v>APAGADO</v>
      </c>
      <c r="G77">
        <f>'RESUMEN TOTAL'!P80</f>
        <v>0</v>
      </c>
      <c r="H77">
        <f>'RESUMEN TOTAL'!Q80</f>
        <v>0</v>
      </c>
      <c r="I77" t="str">
        <f>'RESUMEN TOTAL'!R80</f>
        <v>APAGADO</v>
      </c>
      <c r="J77" t="str">
        <f>'RESUMEN TOTAL'!S80</f>
        <v>APAGADO</v>
      </c>
      <c r="K77" t="str">
        <f>'RESUMEN TOTAL'!T80</f>
        <v>APAGADO</v>
      </c>
      <c r="L77" t="str">
        <f>'RESUMEN TOTAL'!U80</f>
        <v>APAGADO</v>
      </c>
      <c r="M77" t="str">
        <f>'RESUMEN TOTAL'!V80</f>
        <v>APAGADO</v>
      </c>
      <c r="N77" t="str">
        <f>'RESUMEN TOTAL'!W80</f>
        <v>APAGADO</v>
      </c>
      <c r="O77" t="str">
        <f>'RESUMEN TOTAL'!X80</f>
        <v>APAGADO</v>
      </c>
      <c r="P77" t="str">
        <f>'RESUMEN TOTAL'!Y80</f>
        <v>APAGADO</v>
      </c>
      <c r="Q77" t="str">
        <f>'RESUMEN TOTAL'!Z80</f>
        <v>APAGADO</v>
      </c>
      <c r="R77" t="str">
        <f>'RESUMEN TOTAL'!AA80</f>
        <v>APAGADO</v>
      </c>
      <c r="S77" t="str">
        <f>'RESUMEN TOTAL'!AB80</f>
        <v>APAGADO</v>
      </c>
      <c r="T77" t="str">
        <f>'RESUMEN TOTAL'!AC80</f>
        <v>APAGADO</v>
      </c>
      <c r="U77" t="str">
        <f>'RESUMEN TOTAL'!AD80</f>
        <v>APAGADO</v>
      </c>
      <c r="V77" t="str">
        <f>'RESUMEN TOTAL'!AE80</f>
        <v>APAGADO</v>
      </c>
      <c r="W77" t="str">
        <f>'RESUMEN TOTAL'!AF80</f>
        <v>APAGADO</v>
      </c>
      <c r="X77" t="str">
        <f>'RESUMEN TOTAL'!AG80</f>
        <v>APAGADO</v>
      </c>
      <c r="Y77" t="str">
        <f>'RESUMEN TOTAL'!AH80</f>
        <v>APAGADO</v>
      </c>
      <c r="Z77" t="str">
        <f>'RESUMEN TOTAL'!AI80</f>
        <v>APAGADO</v>
      </c>
      <c r="AA77" t="str">
        <f>'RESUMEN TOTAL'!AJ80</f>
        <v>APAGADO</v>
      </c>
      <c r="AB77" t="str">
        <f>'RESUMEN TOTAL'!AK80</f>
        <v>APAGADO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>
        <f>'RESUMEN TOTAL'!Q83</f>
        <v>0</v>
      </c>
      <c r="I80">
        <f>'RESUMEN TOTAL'!R83</f>
        <v>0</v>
      </c>
      <c r="J80">
        <f>'RESUMEN TOTAL'!S83</f>
        <v>0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>
        <f>'RESUMEN TOTAL'!O84</f>
        <v>0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 t="str">
        <f>'RESUMEN TOTAL'!R85</f>
        <v>APAGADO</v>
      </c>
      <c r="J82" t="str">
        <f>'RESUMEN TOTAL'!S85</f>
        <v>APAGADO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  <c r="AJ83" t="e">
        <f>'RESUMEN TOTAL'!#REF!</f>
        <v>#REF!</v>
      </c>
    </row>
    <row r="84" spans="1:36" x14ac:dyDescent="0.25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TOTAL'!O91</f>
        <v>APAGADO</v>
      </c>
      <c r="G88">
        <f>'RESUMEN TOTAL'!P91</f>
        <v>0</v>
      </c>
      <c r="H88">
        <f>'RESUMEN TOTAL'!Q91</f>
        <v>0</v>
      </c>
      <c r="I88" t="str">
        <f>'RESUMEN TOTAL'!R91</f>
        <v>APAGADO</v>
      </c>
      <c r="J88" t="str">
        <f>'RESUMEN TOTAL'!S91</f>
        <v>APAGADO</v>
      </c>
      <c r="K88" t="str">
        <f>'RESUMEN TOTAL'!T91</f>
        <v>APAGADO</v>
      </c>
      <c r="L88" t="str">
        <f>'RESUMEN TOTAL'!U91</f>
        <v>APAGADO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 t="str">
        <f>'RESUMEN TOTAL'!O92</f>
        <v>APAGADO</v>
      </c>
      <c r="G89">
        <f>'RESUMEN TOTAL'!P92</f>
        <v>0</v>
      </c>
      <c r="H89">
        <f>'RESUMEN TOTAL'!Q92</f>
        <v>0</v>
      </c>
      <c r="I89" t="str">
        <f>'RESUMEN TOTAL'!R92</f>
        <v>APAGADO</v>
      </c>
      <c r="J89" t="str">
        <f>'RESUMEN TOTAL'!S92</f>
        <v>APAGADO</v>
      </c>
      <c r="K89" t="str">
        <f>'RESUMEN TOTAL'!T92</f>
        <v>APAGADO</v>
      </c>
      <c r="L89" t="str">
        <f>'RESUMEN TOTAL'!U92</f>
        <v>APAGADO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  <c r="AJ92" t="e">
        <f>'RESUMEN TOTAL'!#REF!</f>
        <v>#REF!</v>
      </c>
    </row>
    <row r="93" spans="1:36" x14ac:dyDescent="0.25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  <c r="AJ93" t="e">
        <f>'RESUMEN TOTAL'!#REF!</f>
        <v>#REF!</v>
      </c>
    </row>
    <row r="94" spans="1:36" x14ac:dyDescent="0.25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  <c r="AJ94" t="e">
        <f>'RESUMEN TOTAL'!#REF!</f>
        <v>#REF!</v>
      </c>
    </row>
    <row r="95" spans="1:36" x14ac:dyDescent="0.25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  <c r="AJ95" t="e">
        <f>'RESUMEN TOTAL'!#REF!</f>
        <v>#REF!</v>
      </c>
    </row>
    <row r="96" spans="1:36" x14ac:dyDescent="0.25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  <c r="AJ96" t="e">
        <f>'RESUMEN TOTAL'!#REF!</f>
        <v>#REF!</v>
      </c>
    </row>
    <row r="97" spans="1:36" x14ac:dyDescent="0.25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>
        <f>'RESUMEN TOTAL'!S100</f>
        <v>0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  <c r="AJ97" t="e">
        <f>'RESUMEN TOTAL'!#REF!</f>
        <v>#REF!</v>
      </c>
    </row>
    <row r="98" spans="1:36" x14ac:dyDescent="0.25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  <c r="AJ98" t="e">
        <f>'RESUMEN TOTAL'!#REF!</f>
        <v>#REF!</v>
      </c>
    </row>
    <row r="99" spans="1:36" x14ac:dyDescent="0.25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 t="str">
        <f>'RESUMEN TOTAL'!X102</f>
        <v>APAGADO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 t="str">
        <f>'RESUMEN TOTAL'!AE102</f>
        <v>APAGADO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  <c r="AJ99" t="e">
        <f>'RESUMEN TOTAL'!#REF!</f>
        <v>#REF!</v>
      </c>
    </row>
    <row r="100" spans="1:36" x14ac:dyDescent="0.25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  <c r="AJ100" t="e">
        <f>'RESUMEN TOTAL'!#REF!</f>
        <v>#REF!</v>
      </c>
    </row>
    <row r="101" spans="1:36" x14ac:dyDescent="0.25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  <c r="AJ101" t="e">
        <f>'RESUMEN TOTAL'!#REF!</f>
        <v>#REF!</v>
      </c>
    </row>
    <row r="102" spans="1:36" x14ac:dyDescent="0.25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  <c r="AJ102" t="e">
        <f>'RESUMEN TOTAL'!#REF!</f>
        <v>#REF!</v>
      </c>
    </row>
    <row r="103" spans="1:36" x14ac:dyDescent="0.25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  <c r="AJ103" t="e">
        <f>'RESUMEN TOTAL'!#REF!</f>
        <v>#REF!</v>
      </c>
    </row>
    <row r="104" spans="1:36" x14ac:dyDescent="0.25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  <c r="AJ104" t="e">
        <f>'RESUMEN TOTAL'!#REF!</f>
        <v>#REF!</v>
      </c>
    </row>
    <row r="105" spans="1:36" x14ac:dyDescent="0.25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  <c r="AJ105" t="e">
        <f>'RESUMEN TOTAL'!#REF!</f>
        <v>#REF!</v>
      </c>
    </row>
    <row r="106" spans="1:36" x14ac:dyDescent="0.25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  <c r="AJ106" t="e">
        <f>'RESUMEN TOTAL'!#REF!</f>
        <v>#REF!</v>
      </c>
    </row>
    <row r="107" spans="1:36" x14ac:dyDescent="0.25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  <c r="AJ107" t="e">
        <f>'RESUMEN TOTAL'!#REF!</f>
        <v>#REF!</v>
      </c>
    </row>
    <row r="108" spans="1:36" x14ac:dyDescent="0.25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  <c r="AJ108" t="e">
        <f>'RESUMEN TOTAL'!#REF!</f>
        <v>#REF!</v>
      </c>
    </row>
    <row r="109" spans="1:36" x14ac:dyDescent="0.25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  <c r="AJ109" t="e">
        <f>'RESUMEN TOTAL'!#REF!</f>
        <v>#REF!</v>
      </c>
    </row>
    <row r="110" spans="1:36" x14ac:dyDescent="0.25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  <c r="AJ110" t="e">
        <f>'RESUMEN TOTAL'!#REF!</f>
        <v>#REF!</v>
      </c>
    </row>
    <row r="111" spans="1:36" x14ac:dyDescent="0.25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  <c r="AJ111" t="e">
        <f>'RESUMEN TOTAL'!#REF!</f>
        <v>#REF!</v>
      </c>
    </row>
    <row r="112" spans="1:36" x14ac:dyDescent="0.25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>
        <f>'RESUMEN TOTAL'!R115</f>
        <v>0</v>
      </c>
      <c r="J112">
        <f>'RESUMEN TOTAL'!S115</f>
        <v>0</v>
      </c>
      <c r="K112">
        <f>'RESUMEN TOTAL'!T115</f>
        <v>0</v>
      </c>
      <c r="L112" t="str">
        <f>'RESUMEN TOTAL'!U115</f>
        <v>APAGADO</v>
      </c>
      <c r="M112" t="str">
        <f>'RESUMEN TOTAL'!V115</f>
        <v>APAGADO</v>
      </c>
      <c r="N112" t="str">
        <f>'RESUMEN TOTAL'!W115</f>
        <v>APAGADO</v>
      </c>
      <c r="O112">
        <f>'RESUMEN TOTAL'!X115</f>
        <v>0</v>
      </c>
      <c r="P112" t="str">
        <f>'RESUMEN TOTAL'!Y115</f>
        <v>APAGADO</v>
      </c>
      <c r="Q112">
        <f>'RESUMEN TOTAL'!Z115</f>
        <v>0</v>
      </c>
      <c r="R112">
        <f>'RESUMEN TOTAL'!AA115</f>
        <v>0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 t="str">
        <f>'RESUMEN TOTAL'!AG115</f>
        <v>APAGADO</v>
      </c>
      <c r="Y112" t="str">
        <f>'RESUMEN TOTAL'!AH115</f>
        <v>APAGADO</v>
      </c>
      <c r="Z112" t="str">
        <f>'RESUMEN TOTAL'!AI115</f>
        <v>APAGADO</v>
      </c>
      <c r="AA112" t="str">
        <f>'RESUMEN TOTAL'!AJ115</f>
        <v>APAGADO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  <c r="AJ112" t="e">
        <f>'RESUMEN TOTAL'!#REF!</f>
        <v>#REF!</v>
      </c>
    </row>
    <row r="113" spans="1:36" x14ac:dyDescent="0.25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>
        <f>'RESUMEN TOTAL'!R116</f>
        <v>0</v>
      </c>
      <c r="J113">
        <f>'RESUMEN TOTAL'!S116</f>
        <v>0</v>
      </c>
      <c r="K113">
        <f>'RESUMEN TOTAL'!T116</f>
        <v>0</v>
      </c>
      <c r="L113">
        <f>'RESUMEN TOTAL'!U116</f>
        <v>0</v>
      </c>
      <c r="M113">
        <f>'RESUMEN TOTAL'!V116</f>
        <v>0</v>
      </c>
      <c r="N113">
        <f>'RESUMEN TOTAL'!W116</f>
        <v>0</v>
      </c>
      <c r="O113">
        <f>'RESUMEN TOTAL'!X116</f>
        <v>0</v>
      </c>
      <c r="P113" t="str">
        <f>'RESUMEN TOTAL'!Y116</f>
        <v>APAGADO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 t="str">
        <f>'RESUMEN TOTAL'!AG116</f>
        <v>APAGADO</v>
      </c>
      <c r="Y113" t="str">
        <f>'RESUMEN TOTAL'!AH116</f>
        <v>APAGADO</v>
      </c>
      <c r="Z113" t="str">
        <f>'RESUMEN TOTAL'!AI116</f>
        <v>APAGADO</v>
      </c>
      <c r="AA113" t="str">
        <f>'RESUMEN TOTAL'!AJ116</f>
        <v>APAGADO</v>
      </c>
      <c r="AB113" t="str">
        <f>'RESUMEN TOTAL'!AK116</f>
        <v>APAGADO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  <c r="AJ113" t="e">
        <f>'RESUMEN TOTAL'!#REF!</f>
        <v>#REF!</v>
      </c>
    </row>
    <row r="114" spans="1:36" x14ac:dyDescent="0.25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  <c r="AJ114" t="e">
        <f>'RESUMEN TOTAL'!#REF!</f>
        <v>#REF!</v>
      </c>
    </row>
    <row r="115" spans="1:36" x14ac:dyDescent="0.25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  <c r="AJ115" t="e">
        <f>'RESUMEN TOTAL'!#REF!</f>
        <v>#REF!</v>
      </c>
    </row>
    <row r="116" spans="1:36" x14ac:dyDescent="0.25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  <c r="AJ116" t="e">
        <f>'RESUMEN TOTAL'!#REF!</f>
        <v>#REF!</v>
      </c>
    </row>
    <row r="117" spans="1:36" x14ac:dyDescent="0.25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TOTAL'!O120</f>
        <v>0</v>
      </c>
      <c r="G117">
        <f>'RESUMEN TOTAL'!P120</f>
        <v>0</v>
      </c>
      <c r="H117">
        <f>'RESUMEN TOTAL'!Q120</f>
        <v>0</v>
      </c>
      <c r="I117">
        <f>'RESUMEN TOTAL'!R120</f>
        <v>0</v>
      </c>
      <c r="J117">
        <f>'RESUMEN TOTAL'!S120</f>
        <v>0</v>
      </c>
      <c r="K117">
        <f>'RESUMEN TOTAL'!T120</f>
        <v>0</v>
      </c>
      <c r="L117">
        <f>'RESUMEN TOTAL'!U120</f>
        <v>0</v>
      </c>
      <c r="M117">
        <f>'RESUMEN TOTAL'!V120</f>
        <v>0</v>
      </c>
      <c r="N117">
        <f>'RESUMEN TOTAL'!W120</f>
        <v>0</v>
      </c>
      <c r="O117">
        <f>'RESUMEN TOTAL'!X120</f>
        <v>0</v>
      </c>
      <c r="P117">
        <f>'RESUMEN TOTAL'!Y120</f>
        <v>0</v>
      </c>
      <c r="Q117">
        <f>'RESUMEN TOTAL'!Z120</f>
        <v>0</v>
      </c>
      <c r="R117">
        <f>'RESUMEN TOTAL'!AA120</f>
        <v>0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  <c r="AJ117" t="e">
        <f>'RESUMEN TOTAL'!#REF!</f>
        <v>#REF!</v>
      </c>
    </row>
    <row r="118" spans="1:36" x14ac:dyDescent="0.25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>
        <f>'RESUMEN TOTAL'!O121</f>
        <v>0</v>
      </c>
      <c r="G118">
        <f>'RESUMEN TOTAL'!P121</f>
        <v>0</v>
      </c>
      <c r="H118">
        <f>'RESUMEN TOTAL'!Q121</f>
        <v>0</v>
      </c>
      <c r="I118">
        <f>'RESUMEN TOTAL'!R121</f>
        <v>0</v>
      </c>
      <c r="J118">
        <f>'RESUMEN TOTAL'!S121</f>
        <v>0</v>
      </c>
      <c r="K118">
        <f>'RESUMEN TOTAL'!T121</f>
        <v>0</v>
      </c>
      <c r="L118">
        <f>'RESUMEN TOTAL'!U121</f>
        <v>0</v>
      </c>
      <c r="M118">
        <f>'RESUMEN TOTAL'!V121</f>
        <v>0</v>
      </c>
      <c r="N118">
        <f>'RESUMEN TOTAL'!W121</f>
        <v>0</v>
      </c>
      <c r="O118">
        <f>'RESUMEN TOTAL'!X121</f>
        <v>0</v>
      </c>
      <c r="P118">
        <f>'RESUMEN TOTAL'!Y121</f>
        <v>0</v>
      </c>
      <c r="Q118">
        <f>'RESUMEN TOTAL'!Z121</f>
        <v>0</v>
      </c>
      <c r="R118">
        <f>'RESUMEN TOTAL'!AA121</f>
        <v>0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  <c r="AJ118" t="e">
        <f>'RESUMEN TOTAL'!#REF!</f>
        <v>#REF!</v>
      </c>
    </row>
    <row r="119" spans="1:36" x14ac:dyDescent="0.25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>
        <f>'RESUMEN TOTAL'!U122</f>
        <v>0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  <c r="AJ119" t="e">
        <f>'RESUMEN TOTAL'!#REF!</f>
        <v>#REF!</v>
      </c>
    </row>
    <row r="120" spans="1:36" x14ac:dyDescent="0.25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>
        <f>'RESUMEN TOTAL'!U123</f>
        <v>0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  <c r="AJ120" t="e">
        <f>'RESUMEN TOTAL'!#REF!</f>
        <v>#REF!</v>
      </c>
    </row>
    <row r="121" spans="1:36" x14ac:dyDescent="0.25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 t="str">
        <f>'RESUMEN TOTAL'!AG124</f>
        <v>APAGADO</v>
      </c>
      <c r="Y121" t="str">
        <f>'RESUMEN TOTAL'!AH124</f>
        <v>APAGADO</v>
      </c>
      <c r="Z121" t="str">
        <f>'RESUMEN TOTAL'!AI124</f>
        <v>APAGADO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  <c r="AJ121" t="e">
        <f>'RESUMEN TOTAL'!#REF!</f>
        <v>#REF!</v>
      </c>
    </row>
    <row r="122" spans="1:36" x14ac:dyDescent="0.25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  <c r="AJ122" t="e">
        <f>'RESUMEN TOTAL'!#REF!</f>
        <v>#REF!</v>
      </c>
    </row>
    <row r="123" spans="1:36" x14ac:dyDescent="0.25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  <c r="AJ123" t="e">
        <f>'RESUMEN TOTAL'!#REF!</f>
        <v>#REF!</v>
      </c>
    </row>
    <row r="124" spans="1:36" x14ac:dyDescent="0.25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  <c r="AJ124" t="e">
        <f>'RESUMEN TOTAL'!#REF!</f>
        <v>#REF!</v>
      </c>
    </row>
    <row r="125" spans="1:36" x14ac:dyDescent="0.25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  <c r="AJ125" t="e">
        <f>'RESUMEN TOTAL'!#REF!</f>
        <v>#REF!</v>
      </c>
    </row>
    <row r="126" spans="1:36" x14ac:dyDescent="0.25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  <c r="AJ126" t="e">
        <f>'RESUMEN TOTAL'!#REF!</f>
        <v>#REF!</v>
      </c>
    </row>
    <row r="127" spans="1:36" x14ac:dyDescent="0.25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  <c r="AJ127" t="e">
        <f>'RESUMEN TOTAL'!#REF!</f>
        <v>#REF!</v>
      </c>
    </row>
    <row r="128" spans="1:36" x14ac:dyDescent="0.25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  <c r="AJ128" t="e">
        <f>'RESUMEN TOTAL'!#REF!</f>
        <v>#REF!</v>
      </c>
    </row>
    <row r="129" spans="1:36" x14ac:dyDescent="0.25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  <c r="AJ129" t="e">
        <f>'RESUMEN TOTAL'!#REF!</f>
        <v>#REF!</v>
      </c>
    </row>
    <row r="130" spans="1:36" x14ac:dyDescent="0.25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>
        <f>'RESUMEN TOTAL'!P133</f>
        <v>0</v>
      </c>
      <c r="H130">
        <f>'RESUMEN TOTAL'!Q133</f>
        <v>0</v>
      </c>
      <c r="I130" t="str">
        <f>'RESUMEN TOTAL'!R133</f>
        <v>APAGADO</v>
      </c>
      <c r="J130" t="str">
        <f>'RESUMEN TOTAL'!S133</f>
        <v>APAGADO</v>
      </c>
      <c r="K130" t="str">
        <f>'RESUMEN TOTAL'!T133</f>
        <v>APAGADO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 t="str">
        <f>'RESUMEN TOTAL'!Y133</f>
        <v>APAGADO</v>
      </c>
      <c r="Q130" t="str">
        <f>'RESUMEN TOTAL'!Z133</f>
        <v>APAGADO</v>
      </c>
      <c r="R130" t="str">
        <f>'RESUMEN TOTAL'!AA133</f>
        <v>APAGADO</v>
      </c>
      <c r="S130" t="str">
        <f>'RESUMEN TOTAL'!AB133</f>
        <v>APAGADO</v>
      </c>
      <c r="T130" t="str">
        <f>'RESUMEN TOTAL'!AC133</f>
        <v>APAGADO</v>
      </c>
      <c r="U130" t="str">
        <f>'RESUMEN TOTAL'!AD133</f>
        <v>APAGADO</v>
      </c>
      <c r="V130" t="str">
        <f>'RESUMEN TOTAL'!AE133</f>
        <v>APAGADO</v>
      </c>
      <c r="W130" t="str">
        <f>'RESUMEN TOTAL'!AF133</f>
        <v>APAGADO</v>
      </c>
      <c r="X130" t="str">
        <f>'RESUMEN TOTAL'!AG133</f>
        <v>APAGADO</v>
      </c>
      <c r="Y130" t="str">
        <f>'RESUMEN TOTAL'!AH133</f>
        <v>APAGADO</v>
      </c>
      <c r="Z130" t="str">
        <f>'RESUMEN TOTAL'!AI133</f>
        <v>APAGADO</v>
      </c>
      <c r="AA130" t="str">
        <f>'RESUMEN TOTAL'!AJ133</f>
        <v>APAGADO</v>
      </c>
      <c r="AB130" t="str">
        <f>'RESUMEN TOTAL'!AK133</f>
        <v>APAGADO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  <c r="AJ130" t="e">
        <f>'RESUMEN TOTAL'!#REF!</f>
        <v>#REF!</v>
      </c>
    </row>
    <row r="131" spans="1:36" x14ac:dyDescent="0.25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  <c r="AJ131" t="e">
        <f>'RESUMEN TOTAL'!#REF!</f>
        <v>#REF!</v>
      </c>
    </row>
    <row r="132" spans="1:36" x14ac:dyDescent="0.25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>
        <f>'RESUMEN TOTAL'!P135</f>
        <v>0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  <c r="AJ132" t="e">
        <f>'RESUMEN TOTAL'!#REF!</f>
        <v>#REF!</v>
      </c>
    </row>
    <row r="133" spans="1:36" x14ac:dyDescent="0.25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  <c r="AJ133" t="e">
        <f>'RESUMEN TOTAL'!#REF!</f>
        <v>#REF!</v>
      </c>
    </row>
    <row r="134" spans="1:36" x14ac:dyDescent="0.25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  <c r="AJ134" t="e">
        <f>'RESUMEN TOTAL'!#REF!</f>
        <v>#REF!</v>
      </c>
    </row>
    <row r="135" spans="1:36" x14ac:dyDescent="0.25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  <c r="AJ135" t="e">
        <f>'RESUMEN TOTAL'!#REF!</f>
        <v>#REF!</v>
      </c>
    </row>
    <row r="136" spans="1:36" x14ac:dyDescent="0.25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  <c r="AJ136" t="e">
        <f>'RESUMEN TOTAL'!#REF!</f>
        <v>#REF!</v>
      </c>
    </row>
    <row r="137" spans="1:36" x14ac:dyDescent="0.25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  <c r="AJ137" t="e">
        <f>'RESUMEN TOTAL'!#REF!</f>
        <v>#REF!</v>
      </c>
    </row>
    <row r="138" spans="1:36" x14ac:dyDescent="0.25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  <c r="AJ138" t="e">
        <f>'RESUMEN TOTAL'!#REF!</f>
        <v>#REF!</v>
      </c>
    </row>
    <row r="139" spans="1:36" x14ac:dyDescent="0.25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  <c r="AJ139" t="e">
        <f>'RESUMEN TOTAL'!#REF!</f>
        <v>#REF!</v>
      </c>
    </row>
    <row r="140" spans="1:36" x14ac:dyDescent="0.25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  <c r="AJ140" t="e">
        <f>'RESUMEN TOTAL'!#REF!</f>
        <v>#REF!</v>
      </c>
    </row>
    <row r="141" spans="1:36" x14ac:dyDescent="0.25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>
        <f>'RESUMEN TOTAL'!V144</f>
        <v>0</v>
      </c>
      <c r="N141">
        <f>'RESUMEN TOTAL'!W144</f>
        <v>0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  <c r="AJ141" t="e">
        <f>'RESUMEN TOTAL'!#REF!</f>
        <v>#REF!</v>
      </c>
    </row>
    <row r="142" spans="1:36" x14ac:dyDescent="0.25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  <c r="AJ142" t="e">
        <f>'RESUMEN TOTAL'!#REF!</f>
        <v>#REF!</v>
      </c>
    </row>
    <row r="143" spans="1:36" x14ac:dyDescent="0.25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  <c r="AJ143" t="e">
        <f>'RESUMEN TOTAL'!#REF!</f>
        <v>#REF!</v>
      </c>
    </row>
    <row r="144" spans="1:36" x14ac:dyDescent="0.25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  <c r="AJ144" t="e">
        <f>'RESUMEN TOTAL'!#REF!</f>
        <v>#REF!</v>
      </c>
    </row>
    <row r="145" spans="1:36" x14ac:dyDescent="0.25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  <c r="AJ145" t="e">
        <f>'RESUMEN TOTAL'!#REF!</f>
        <v>#REF!</v>
      </c>
    </row>
    <row r="146" spans="1:36" x14ac:dyDescent="0.25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  <c r="AJ146" t="e">
        <f>'RESUMEN TOTAL'!#REF!</f>
        <v>#REF!</v>
      </c>
    </row>
    <row r="147" spans="1:36" x14ac:dyDescent="0.25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  <c r="AJ147" t="e">
        <f>'RESUMEN TOTAL'!#REF!</f>
        <v>#REF!</v>
      </c>
    </row>
    <row r="148" spans="1:36" x14ac:dyDescent="0.25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  <c r="AJ148" t="e">
        <f>'RESUMEN TOTAL'!#REF!</f>
        <v>#REF!</v>
      </c>
    </row>
    <row r="149" spans="1:36" x14ac:dyDescent="0.25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  <c r="AJ149" t="e">
        <f>'RESUMEN TOTAL'!#REF!</f>
        <v>#REF!</v>
      </c>
    </row>
    <row r="150" spans="1:36" x14ac:dyDescent="0.25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 t="str">
        <f>'RESUMEN TOTAL'!O153</f>
        <v>APAGADO</v>
      </c>
      <c r="G150">
        <f>'RESUMEN TOTAL'!P153</f>
        <v>0</v>
      </c>
      <c r="H150">
        <f>'RESUMEN TOTAL'!Q153</f>
        <v>0</v>
      </c>
      <c r="I150" t="str">
        <f>'RESUMEN TOTAL'!R153</f>
        <v>APAGADO</v>
      </c>
      <c r="J150" t="str">
        <f>'RESUMEN TOTAL'!S153</f>
        <v>APAGAD</v>
      </c>
      <c r="K150" t="str">
        <f>'RESUMEN TOTAL'!T153</f>
        <v>APAGADO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 t="str">
        <f>'RESUMEN TOTAL'!AI153</f>
        <v>APAGADO</v>
      </c>
      <c r="AA150" t="str">
        <f>'RESUMEN TOTAL'!AJ153</f>
        <v>APAGADO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  <c r="AJ150" t="e">
        <f>'RESUMEN TOTAL'!#REF!</f>
        <v>#REF!</v>
      </c>
    </row>
    <row r="151" spans="1:36" x14ac:dyDescent="0.25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  <c r="AJ151" t="e">
        <f>'RESUMEN TOTAL'!#REF!</f>
        <v>#REF!</v>
      </c>
    </row>
    <row r="152" spans="1:36" x14ac:dyDescent="0.25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  <c r="AJ152" t="e">
        <f>'RESUMEN TOTAL'!#REF!</f>
        <v>#REF!</v>
      </c>
    </row>
    <row r="153" spans="1:36" x14ac:dyDescent="0.25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 t="str">
        <f>'RESUMEN TOTAL'!O156</f>
        <v>APAGADO</v>
      </c>
      <c r="G153">
        <f>'RESUMEN TOTAL'!P156</f>
        <v>0</v>
      </c>
      <c r="H153">
        <f>'RESUMEN TOTAL'!Q156</f>
        <v>0</v>
      </c>
      <c r="I153" t="str">
        <f>'RESUMEN TOTAL'!R156</f>
        <v>APAGADO</v>
      </c>
      <c r="J153" t="str">
        <f>'RESUMEN TOTAL'!S156</f>
        <v>APAGADO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 t="str">
        <f>'RESUMEN TOTAL'!AB156</f>
        <v>APAGADO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  <c r="AJ153" t="e">
        <f>'RESUMEN TOTAL'!#REF!</f>
        <v>#REF!</v>
      </c>
    </row>
    <row r="154" spans="1:36" x14ac:dyDescent="0.25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 t="str">
        <f>'RESUMEN TOTAL'!Y157</f>
        <v>APAGADO</v>
      </c>
      <c r="Q154" t="str">
        <f>'RESUMEN TOTAL'!Z157</f>
        <v>APAGADO</v>
      </c>
      <c r="R154" t="str">
        <f>'RESUMEN TOTAL'!AA157</f>
        <v>APAGADO</v>
      </c>
      <c r="S154" t="str">
        <f>'RESUMEN TOTAL'!AB157</f>
        <v>APAGADO</v>
      </c>
      <c r="T154" t="str">
        <f>'RESUMEN TOTAL'!AC157</f>
        <v>APAGADO</v>
      </c>
      <c r="U154" t="str">
        <f>'RESUMEN TOTAL'!AD157</f>
        <v>APAGADO</v>
      </c>
      <c r="V154" t="str">
        <f>'RESUMEN TOTAL'!AE157</f>
        <v>APAGADO</v>
      </c>
      <c r="W154" t="str">
        <f>'RESUMEN TOTAL'!AF157</f>
        <v>APAGADO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  <c r="AJ154" t="e">
        <f>'RESUMEN TOTAL'!#REF!</f>
        <v>#REF!</v>
      </c>
    </row>
    <row r="155" spans="1:36" x14ac:dyDescent="0.25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 t="str">
        <f>'RESUMEN TOTAL'!Y158</f>
        <v>APAGADO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  <c r="AJ155" t="e">
        <f>'RESUMEN TOTAL'!#REF!</f>
        <v>#REF!</v>
      </c>
    </row>
    <row r="156" spans="1:36" x14ac:dyDescent="0.25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  <c r="AJ156" t="e">
        <f>'RESUMEN TOTAL'!#REF!</f>
        <v>#REF!</v>
      </c>
    </row>
    <row r="157" spans="1:36" x14ac:dyDescent="0.25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  <c r="AJ157" t="e">
        <f>'RESUMEN TOTAL'!#REF!</f>
        <v>#REF!</v>
      </c>
    </row>
    <row r="158" spans="1:36" x14ac:dyDescent="0.25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 t="str">
        <f>'RESUMEN TOTAL'!AB161</f>
        <v>APAGADO</v>
      </c>
      <c r="T158" t="str">
        <f>'RESUMEN TOTAL'!AC161</f>
        <v>APAGADO</v>
      </c>
      <c r="U158" t="str">
        <f>'RESUMEN TOTAL'!AD161</f>
        <v>APAGADO</v>
      </c>
      <c r="V158" t="str">
        <f>'RESUMEN TOTAL'!AE161</f>
        <v>APAGADO</v>
      </c>
      <c r="W158" t="str">
        <f>'RESUMEN TOTAL'!AF161</f>
        <v>APAGADO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  <c r="AJ158" t="e">
        <f>'RESUMEN TOTAL'!#REF!</f>
        <v>#REF!</v>
      </c>
    </row>
    <row r="159" spans="1:36" x14ac:dyDescent="0.25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  <c r="AJ159" t="e">
        <f>'RESUMEN TOTAL'!#REF!</f>
        <v>#REF!</v>
      </c>
    </row>
    <row r="160" spans="1:36" x14ac:dyDescent="0.25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  <c r="AJ160" t="e">
        <f>'RESUMEN TOTAL'!#REF!</f>
        <v>#REF!</v>
      </c>
    </row>
    <row r="161" spans="1:36" x14ac:dyDescent="0.25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  <c r="AJ161" t="e">
        <f>'RESUMEN TOTAL'!#REF!</f>
        <v>#REF!</v>
      </c>
    </row>
    <row r="162" spans="1:36" x14ac:dyDescent="0.25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  <c r="AJ162" t="e">
        <f>'RESUMEN TOTAL'!#REF!</f>
        <v>#REF!</v>
      </c>
    </row>
    <row r="163" spans="1:36" x14ac:dyDescent="0.25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>
        <f>'RESUMEN TOTAL'!O166</f>
        <v>0</v>
      </c>
      <c r="G163">
        <f>'RESUMEN TOTAL'!P166</f>
        <v>0</v>
      </c>
      <c r="H163">
        <f>'RESUMEN TOTAL'!Q166</f>
        <v>0</v>
      </c>
      <c r="I163">
        <f>'RESUMEN TOTAL'!R166</f>
        <v>0</v>
      </c>
      <c r="J163">
        <f>'RESUMEN TOTAL'!S166</f>
        <v>0</v>
      </c>
      <c r="K163">
        <f>'RESUMEN TOTAL'!T166</f>
        <v>0</v>
      </c>
      <c r="L163">
        <f>'RESUMEN TOTAL'!U166</f>
        <v>0</v>
      </c>
      <c r="M163">
        <f>'RESUMEN TOTAL'!V166</f>
        <v>0</v>
      </c>
      <c r="N163">
        <f>'RESUMEN TOTAL'!W166</f>
        <v>0</v>
      </c>
      <c r="O163">
        <f>'RESUMEN TOTAL'!X166</f>
        <v>0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  <c r="AJ163" t="e">
        <f>'RESUMEN TOTAL'!#REF!</f>
        <v>#REF!</v>
      </c>
    </row>
    <row r="164" spans="1:36" x14ac:dyDescent="0.25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  <c r="AJ164" t="e">
        <f>'RESUMEN TOTAL'!#REF!</f>
        <v>#REF!</v>
      </c>
    </row>
    <row r="165" spans="1:36" x14ac:dyDescent="0.25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 t="str">
        <f>'RESUMEN TOTAL'!Z168</f>
        <v>APAGADO</v>
      </c>
      <c r="R165" t="str">
        <f>'RESUMEN TOTAL'!AA168</f>
        <v>APAGADO</v>
      </c>
      <c r="S165" t="str">
        <f>'RESUMEN TOTAL'!AB168</f>
        <v>APAGADO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 t="str">
        <f>'RESUMEN TOTAL'!AJ168</f>
        <v>APAGADO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  <c r="AJ165" t="e">
        <f>'RESUMEN TOTAL'!#REF!</f>
        <v>#REF!</v>
      </c>
    </row>
    <row r="166" spans="1:36" x14ac:dyDescent="0.25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 t="str">
        <f>'RESUMEN TOTAL'!AB169</f>
        <v>APAGADO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  <c r="AJ166" t="e">
        <f>'RESUMEN TOTAL'!#REF!</f>
        <v>#REF!</v>
      </c>
    </row>
    <row r="167" spans="1:36" x14ac:dyDescent="0.25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  <c r="AJ167" t="e">
        <f>'RESUMEN TOTAL'!#REF!</f>
        <v>#REF!</v>
      </c>
    </row>
    <row r="168" spans="1:36" x14ac:dyDescent="0.25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 t="str">
        <f>'RESUMEN TOTAL'!O171</f>
        <v>APAGADO</v>
      </c>
      <c r="G168">
        <f>'RESUMEN TOTAL'!P171</f>
        <v>0</v>
      </c>
      <c r="H168">
        <f>'RESUMEN TOTAL'!Q171</f>
        <v>0</v>
      </c>
      <c r="I168" t="str">
        <f>'RESUMEN TOTAL'!R171</f>
        <v>APAGADO</v>
      </c>
      <c r="J168" t="str">
        <f>'RESUMEN TOTAL'!S171</f>
        <v>APAGADO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 t="str">
        <f>'RESUMEN TOTAL'!AB171</f>
        <v>APAGADO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  <c r="AJ168" t="e">
        <f>'RESUMEN TOTAL'!#REF!</f>
        <v>#REF!</v>
      </c>
    </row>
    <row r="169" spans="1:36" x14ac:dyDescent="0.25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  <c r="AJ169" t="e">
        <f>'RESUMEN TOTAL'!#REF!</f>
        <v>#REF!</v>
      </c>
    </row>
    <row r="170" spans="1:36" x14ac:dyDescent="0.25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 t="str">
        <f>'RESUMEN TOTAL'!W173</f>
        <v>APAGADO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 t="str">
        <f>'RESUMEN TOTAL'!AB173</f>
        <v>APAGADO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  <c r="AJ170" t="e">
        <f>'RESUMEN TOTAL'!#REF!</f>
        <v>#REF!</v>
      </c>
    </row>
    <row r="171" spans="1:36" x14ac:dyDescent="0.25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 t="str">
        <f>'RESUMEN TOTAL'!O174</f>
        <v>APAGADO</v>
      </c>
      <c r="G171">
        <f>'RESUMEN TOTAL'!P174</f>
        <v>0</v>
      </c>
      <c r="H171">
        <f>'RESUMEN TOTAL'!Q174</f>
        <v>0</v>
      </c>
      <c r="I171" t="str">
        <f>'RESUMEN TOTAL'!R174</f>
        <v>APAGADO</v>
      </c>
      <c r="J171" t="str">
        <f>'RESUMEN TOTAL'!S174</f>
        <v>APAGADO</v>
      </c>
      <c r="K171" t="str">
        <f>'RESUMEN TOTAL'!T174</f>
        <v>APAGADO</v>
      </c>
      <c r="L171" t="str">
        <f>'RESUMEN TOTAL'!U174</f>
        <v>APAGADO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 t="str">
        <f>'RESUMEN TOTAL'!AB174</f>
        <v>APAGADO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  <c r="AJ171" t="e">
        <f>'RESUMEN TOTAL'!#REF!</f>
        <v>#REF!</v>
      </c>
    </row>
    <row r="172" spans="1:36" x14ac:dyDescent="0.25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 t="str">
        <f>'RESUMEN TOTAL'!Y175</f>
        <v>APAGADO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  <c r="AJ172" t="e">
        <f>'RESUMEN TOTAL'!#REF!</f>
        <v>#REF!</v>
      </c>
    </row>
    <row r="173" spans="1:36" x14ac:dyDescent="0.25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 t="str">
        <f>'RESUMEN TOTAL'!R176</f>
        <v>APAGADO</v>
      </c>
      <c r="J173" t="str">
        <f>'RESUMEN TOTAL'!S176</f>
        <v>APAGADO</v>
      </c>
      <c r="K173" t="str">
        <f>'RESUMEN TOTAL'!T176</f>
        <v>APAGADO</v>
      </c>
      <c r="L173" t="str">
        <f>'RESUMEN TOTAL'!U176</f>
        <v>APAGADO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 t="str">
        <f>'RESUMEN TOTAL'!Y176</f>
        <v>APAGADO</v>
      </c>
      <c r="Q173" t="str">
        <f>'RESUMEN TOTAL'!Z176</f>
        <v>APAGADO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  <c r="AJ173" t="e">
        <f>'RESUMEN TOTAL'!#REF!</f>
        <v>#REF!</v>
      </c>
    </row>
    <row r="174" spans="1:36" x14ac:dyDescent="0.25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>
        <f>'RESUMEN TOTAL'!O177</f>
        <v>0</v>
      </c>
      <c r="G174">
        <f>'RESUMEN TOTAL'!P177</f>
        <v>0</v>
      </c>
      <c r="H174">
        <f>'RESUMEN TOTAL'!Q177</f>
        <v>0</v>
      </c>
      <c r="I174">
        <f>'RESUMEN TOTAL'!R177</f>
        <v>0</v>
      </c>
      <c r="J174">
        <f>'RESUMEN TOTAL'!S177</f>
        <v>0</v>
      </c>
      <c r="K174">
        <f>'RESUMEN TOTAL'!T177</f>
        <v>0</v>
      </c>
      <c r="L174">
        <f>'RESUMEN TOTAL'!U177</f>
        <v>0</v>
      </c>
      <c r="M174" t="str">
        <f>'RESUMEN TOTAL'!V177</f>
        <v>APAGADO</v>
      </c>
      <c r="N174" t="str">
        <f>'RESUMEN TOTAL'!W177</f>
        <v>APAGADO</v>
      </c>
      <c r="O174" t="str">
        <f>'RESUMEN TOTAL'!X177</f>
        <v>APAGADO</v>
      </c>
      <c r="P174">
        <f>'RESUMEN TOTAL'!Y177</f>
        <v>0</v>
      </c>
      <c r="Q174">
        <f>'RESUMEN TOTAL'!Z177</f>
        <v>0</v>
      </c>
      <c r="R174" t="str">
        <f>'RESUMEN TOTAL'!AA177</f>
        <v>APAGADO</v>
      </c>
      <c r="S174" t="str">
        <f>'RESUMEN TOTAL'!AB177</f>
        <v>APAGADO</v>
      </c>
      <c r="T174">
        <f>'RESUMEN TOTAL'!AC177</f>
        <v>0</v>
      </c>
      <c r="U174" t="str">
        <f>'RESUMEN TOTAL'!AD177</f>
        <v>APAGADO</v>
      </c>
      <c r="V174" t="str">
        <f>'RESUMEN TOTAL'!AE177</f>
        <v>APAGADO</v>
      </c>
      <c r="W174" t="str">
        <f>'RESUMEN TOTAL'!AF177</f>
        <v>APAGADO</v>
      </c>
      <c r="X174" t="str">
        <f>'RESUMEN TOTAL'!AG177</f>
        <v>APAGADO</v>
      </c>
      <c r="Y174" t="str">
        <f>'RESUMEN TOTAL'!AH177</f>
        <v>APAGADO</v>
      </c>
      <c r="Z174" t="str">
        <f>'RESUMEN TOTAL'!AI177</f>
        <v>APAGADO</v>
      </c>
      <c r="AA174" t="str">
        <f>'RESUMEN TOTAL'!AJ177</f>
        <v>APAGADO</v>
      </c>
      <c r="AB174" t="str">
        <f>'RESUMEN TOTAL'!AK177</f>
        <v>APAGADO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  <c r="AJ174" t="e">
        <f>'RESUMEN TOTAL'!#REF!</f>
        <v>#REF!</v>
      </c>
    </row>
    <row r="175" spans="1:36" x14ac:dyDescent="0.25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  <c r="AJ175" t="e">
        <f>'RESUMEN TOTAL'!#REF!</f>
        <v>#REF!</v>
      </c>
    </row>
    <row r="176" spans="1:36" x14ac:dyDescent="0.25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  <c r="AJ176" t="e">
        <f>'RESUMEN TOTAL'!#REF!</f>
        <v>#REF!</v>
      </c>
    </row>
    <row r="177" spans="1:36" x14ac:dyDescent="0.25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  <c r="AJ177" t="e">
        <f>'RESUMEN TOTAL'!#REF!</f>
        <v>#REF!</v>
      </c>
    </row>
    <row r="178" spans="1:36" x14ac:dyDescent="0.25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  <c r="AJ178" t="e">
        <f>'RESUMEN TOTAL'!#REF!</f>
        <v>#REF!</v>
      </c>
    </row>
    <row r="179" spans="1:36" x14ac:dyDescent="0.25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  <c r="AJ179" t="e">
        <f>'RESUMEN TOTAL'!#REF!</f>
        <v>#REF!</v>
      </c>
    </row>
    <row r="180" spans="1:36" x14ac:dyDescent="0.25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  <c r="AJ180" t="e">
        <f>'RESUMEN TOTAL'!#REF!</f>
        <v>#REF!</v>
      </c>
    </row>
    <row r="181" spans="1:36" x14ac:dyDescent="0.25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  <c r="AJ181" t="e">
        <f>'RESUMEN TOTAL'!#REF!</f>
        <v>#REF!</v>
      </c>
    </row>
    <row r="182" spans="1:36" x14ac:dyDescent="0.25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>
        <f>'RESUMEN TOTAL'!Q185</f>
        <v>0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  <c r="AJ182" t="e">
        <f>'RESUMEN TOTAL'!#REF!</f>
        <v>#REF!</v>
      </c>
    </row>
    <row r="183" spans="1:36" x14ac:dyDescent="0.25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>
        <f>'RESUMEN TOTAL'!R186</f>
        <v>0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 t="str">
        <f>'RESUMEN TOTAL'!AG186</f>
        <v>APAGADO</v>
      </c>
      <c r="Y183" t="str">
        <f>'RESUMEN TOTAL'!AH186</f>
        <v>APAGADO</v>
      </c>
      <c r="Z183">
        <f>'RESUMEN TOTAL'!AI186</f>
        <v>0</v>
      </c>
      <c r="AA183" t="str">
        <f>'RESUMEN TOTAL'!AJ186</f>
        <v>APAGADO</v>
      </c>
      <c r="AB183" t="str">
        <f>'RESUMEN TOTAL'!AK186</f>
        <v>APAGADO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  <c r="AJ183" t="e">
        <f>'RESUMEN TOTAL'!#REF!</f>
        <v>#REF!</v>
      </c>
    </row>
    <row r="184" spans="1:36" x14ac:dyDescent="0.25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  <c r="AJ184" t="e">
        <f>'RESUMEN TOTAL'!#REF!</f>
        <v>#REF!</v>
      </c>
    </row>
    <row r="185" spans="1:36" x14ac:dyDescent="0.25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>
        <f>'RESUMEN TOTAL'!O188</f>
        <v>0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  <c r="AJ185" t="e">
        <f>'RESUMEN TOTAL'!#REF!</f>
        <v>#REF!</v>
      </c>
    </row>
    <row r="186" spans="1:36" x14ac:dyDescent="0.25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  <c r="AJ186" t="e">
        <f>'RESUMEN TOTAL'!#REF!</f>
        <v>#REF!</v>
      </c>
    </row>
    <row r="187" spans="1:36" x14ac:dyDescent="0.25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 t="str">
        <f>'RESUMEN TOTAL'!AH190</f>
        <v>APAGADO</v>
      </c>
      <c r="Z187" t="str">
        <f>'RESUMEN TOTAL'!AI190</f>
        <v>APAGADO</v>
      </c>
      <c r="AA187" t="str">
        <f>'RESUMEN TOTAL'!AJ190</f>
        <v>APAGADO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  <c r="AJ187" t="e">
        <f>'RESUMEN TOTAL'!#REF!</f>
        <v>#REF!</v>
      </c>
    </row>
    <row r="188" spans="1:36" x14ac:dyDescent="0.25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 t="str">
        <f>'RESUMEN TOTAL'!O191</f>
        <v>APAGADO</v>
      </c>
      <c r="G188">
        <f>'RESUMEN TOTAL'!P191</f>
        <v>0</v>
      </c>
      <c r="H188">
        <f>'RESUMEN TOTAL'!Q191</f>
        <v>0</v>
      </c>
      <c r="I188" t="str">
        <f>'RESUMEN TOTAL'!R191</f>
        <v>APAGADO</v>
      </c>
      <c r="J188" t="str">
        <f>'RESUMEN TOTAL'!S191</f>
        <v>APAGADO</v>
      </c>
      <c r="K188" t="str">
        <f>'RESUMEN TOTAL'!T191</f>
        <v>APAGADO</v>
      </c>
      <c r="L188" t="str">
        <f>'RESUMEN TOTAL'!U191</f>
        <v>APAGADO</v>
      </c>
      <c r="M188" t="str">
        <f>'RESUMEN TOTAL'!V191</f>
        <v>APAGADO</v>
      </c>
      <c r="N188" t="str">
        <f>'RESUMEN TOTAL'!W191</f>
        <v>APAGADO</v>
      </c>
      <c r="O188" t="str">
        <f>'RESUMEN TOTAL'!X191</f>
        <v>APAGADO</v>
      </c>
      <c r="P188" t="str">
        <f>'RESUMEN TOTAL'!Y191</f>
        <v>APAGADO</v>
      </c>
      <c r="Q188" t="str">
        <f>'RESUMEN TOTAL'!Z191</f>
        <v>APAGADO</v>
      </c>
      <c r="R188" t="str">
        <f>'RESUMEN TOTAL'!AA191</f>
        <v>APAGADO</v>
      </c>
      <c r="S188" t="str">
        <f>'RESUMEN TOTAL'!AB191</f>
        <v>APAGADO</v>
      </c>
      <c r="T188" t="str">
        <f>'RESUMEN TOTAL'!AC191</f>
        <v>APAGADO</v>
      </c>
      <c r="U188" t="str">
        <f>'RESUMEN TOTAL'!AD191</f>
        <v>APAGADO</v>
      </c>
      <c r="V188" t="str">
        <f>'RESUMEN TOTAL'!AE191</f>
        <v>APAGADO</v>
      </c>
      <c r="W188" t="str">
        <f>'RESUMEN TOTAL'!AF191</f>
        <v>APAGADO</v>
      </c>
      <c r="X188" t="str">
        <f>'RESUMEN TOTAL'!AG191</f>
        <v>APAGADO</v>
      </c>
      <c r="Y188" t="str">
        <f>'RESUMEN TOTAL'!AH191</f>
        <v>APAGADO</v>
      </c>
      <c r="Z188" t="str">
        <f>'RESUMEN TOTAL'!AI191</f>
        <v>APAGADO</v>
      </c>
      <c r="AA188" t="str">
        <f>'RESUMEN TOTAL'!AJ191</f>
        <v>APAGADO</v>
      </c>
      <c r="AB188" t="str">
        <f>'RESUMEN TOTAL'!AK191</f>
        <v>APAGADO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  <c r="AJ188" t="e">
        <f>'RESUMEN TOTAL'!#REF!</f>
        <v>#REF!</v>
      </c>
    </row>
    <row r="189" spans="1:36" x14ac:dyDescent="0.25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 t="str">
        <f>'RESUMEN TOTAL'!O192</f>
        <v>APAGADO</v>
      </c>
      <c r="G189">
        <f>'RESUMEN TOTAL'!P192</f>
        <v>0</v>
      </c>
      <c r="H189">
        <f>'RESUMEN TOTAL'!Q192</f>
        <v>0</v>
      </c>
      <c r="I189" t="str">
        <f>'RESUMEN TOTAL'!R192</f>
        <v>APAGADO</v>
      </c>
      <c r="J189" t="str">
        <f>'RESUMEN TOTAL'!S192</f>
        <v>APAGADO</v>
      </c>
      <c r="K189" t="str">
        <f>'RESUMEN TOTAL'!T192</f>
        <v>APAGADO</v>
      </c>
      <c r="L189" t="str">
        <f>'RESUMEN TOTAL'!U192</f>
        <v>APAGADO</v>
      </c>
      <c r="M189" t="str">
        <f>'RESUMEN TOTAL'!V192</f>
        <v>APAGADO</v>
      </c>
      <c r="N189" t="str">
        <f>'RESUMEN TOTAL'!W192</f>
        <v>APAGADO</v>
      </c>
      <c r="O189" t="str">
        <f>'RESUMEN TOTAL'!X192</f>
        <v>APAGADO</v>
      </c>
      <c r="P189" t="str">
        <f>'RESUMEN TOTAL'!Y192</f>
        <v>APAGADO</v>
      </c>
      <c r="Q189" t="str">
        <f>'RESUMEN TOTAL'!Z192</f>
        <v>APAGADO</v>
      </c>
      <c r="R189" t="str">
        <f>'RESUMEN TOTAL'!AA192</f>
        <v>APAGADO</v>
      </c>
      <c r="S189" t="str">
        <f>'RESUMEN TOTAL'!AB192</f>
        <v>APAGADO</v>
      </c>
      <c r="T189" t="str">
        <f>'RESUMEN TOTAL'!AC192</f>
        <v>APAGADO</v>
      </c>
      <c r="U189" t="str">
        <f>'RESUMEN TOTAL'!AD192</f>
        <v>APAGADO</v>
      </c>
      <c r="V189" t="str">
        <f>'RESUMEN TOTAL'!AE192</f>
        <v>APAGADO</v>
      </c>
      <c r="W189" t="str">
        <f>'RESUMEN TOTAL'!AF192</f>
        <v>APAGADO</v>
      </c>
      <c r="X189" t="str">
        <f>'RESUMEN TOTAL'!AG192</f>
        <v>APAGADO</v>
      </c>
      <c r="Y189" t="str">
        <f>'RESUMEN TOTAL'!AH192</f>
        <v>APAGADO</v>
      </c>
      <c r="Z189" t="str">
        <f>'RESUMEN TOTAL'!AI192</f>
        <v>APAGADO</v>
      </c>
      <c r="AA189" t="str">
        <f>'RESUMEN TOTAL'!AJ192</f>
        <v>APAGADO</v>
      </c>
      <c r="AB189" t="str">
        <f>'RESUMEN TOTAL'!AK192</f>
        <v>APAGADO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  <c r="AJ189" t="e">
        <f>'RESUMEN TOTAL'!#REF!</f>
        <v>#REF!</v>
      </c>
    </row>
    <row r="190" spans="1:36" x14ac:dyDescent="0.25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 t="str">
        <f>'RESUMEN TOTAL'!O193</f>
        <v>APAGADO</v>
      </c>
      <c r="G190">
        <f>'RESUMEN TOTAL'!P193</f>
        <v>0</v>
      </c>
      <c r="H190">
        <f>'RESUMEN TOTAL'!Q193</f>
        <v>0</v>
      </c>
      <c r="I190" t="str">
        <f>'RESUMEN TOTAL'!R193</f>
        <v>APAGADO</v>
      </c>
      <c r="J190" t="str">
        <f>'RESUMEN TOTAL'!S193</f>
        <v>APAGADO</v>
      </c>
      <c r="K190" t="str">
        <f>'RESUMEN TOTAL'!T193</f>
        <v>APAGADO</v>
      </c>
      <c r="L190" t="str">
        <f>'RESUMEN TOTAL'!U193</f>
        <v>APAGADO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 t="str">
        <f>'RESUMEN TOTAL'!Y193</f>
        <v>APAGADO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  <c r="AJ190" t="e">
        <f>'RESUMEN TOTAL'!#REF!</f>
        <v>#REF!</v>
      </c>
    </row>
    <row r="191" spans="1:36" x14ac:dyDescent="0.25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>
        <f>'RESUMEN TOTAL'!P194</f>
        <v>0</v>
      </c>
      <c r="H191">
        <f>'RESUMEN TOTAL'!Q194</f>
        <v>0</v>
      </c>
      <c r="I191" t="str">
        <f>'RESUMEN TOTAL'!R194</f>
        <v>APAGADO</v>
      </c>
      <c r="J191" t="str">
        <f>'RESUMEN TOTAL'!S194</f>
        <v>APAGADO</v>
      </c>
      <c r="K191" t="str">
        <f>'RESUMEN TOTAL'!T194</f>
        <v>APAGADO</v>
      </c>
      <c r="L191">
        <f>'RESUMEN TOTAL'!U194</f>
        <v>0</v>
      </c>
      <c r="M191">
        <f>'RESUMEN TOTAL'!V194</f>
        <v>0</v>
      </c>
      <c r="N191">
        <f>'RESUMEN TOTAL'!W194</f>
        <v>0</v>
      </c>
      <c r="O191" t="str">
        <f>'RESUMEN TOTAL'!X194</f>
        <v>APAGADO</v>
      </c>
      <c r="P191" t="str">
        <f>'RESUMEN TOTAL'!Y194</f>
        <v>APAGADO</v>
      </c>
      <c r="Q191" t="str">
        <f>'RESUMEN TOTAL'!Z194</f>
        <v>APAGADO</v>
      </c>
      <c r="R191">
        <f>'RESUMEN TOTAL'!AA194</f>
        <v>0</v>
      </c>
      <c r="S191">
        <f>'RESUMEN TOTAL'!AB194</f>
        <v>0</v>
      </c>
      <c r="T191" t="str">
        <f>'RESUMEN TOTAL'!AC194</f>
        <v>APAGADO</v>
      </c>
      <c r="U191" t="str">
        <f>'RESUMEN TOTAL'!AD194</f>
        <v>APAGADO</v>
      </c>
      <c r="V191">
        <f>'RESUMEN TOTAL'!AE194</f>
        <v>0</v>
      </c>
      <c r="W191" t="str">
        <f>'RESUMEN TOTAL'!AF194</f>
        <v>APAGADO</v>
      </c>
      <c r="X191" t="str">
        <f>'RESUMEN TOTAL'!AG194</f>
        <v>APAGADO</v>
      </c>
      <c r="Y191" t="str">
        <f>'RESUMEN TOTAL'!AH194</f>
        <v>APAGADO</v>
      </c>
      <c r="Z191" t="str">
        <f>'RESUMEN TOTAL'!AI194</f>
        <v>APAGADO</v>
      </c>
      <c r="AA191" t="str">
        <f>'RESUMEN TOTAL'!AJ194</f>
        <v>APAGADO</v>
      </c>
      <c r="AB191" t="str">
        <f>'RESUMEN TOTAL'!AK194</f>
        <v>APAGADO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  <c r="AJ191" t="e">
        <f>'RESUMEN TOTAL'!#REF!</f>
        <v>#REF!</v>
      </c>
    </row>
    <row r="192" spans="1:36" x14ac:dyDescent="0.25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  <c r="AJ192" t="e">
        <f>'RESUMEN TOTAL'!#REF!</f>
        <v>#REF!</v>
      </c>
    </row>
    <row r="193" spans="1:36" x14ac:dyDescent="0.25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  <c r="AJ193" t="e">
        <f>'RESUMEN TOTAL'!#REF!</f>
        <v>#REF!</v>
      </c>
    </row>
    <row r="194" spans="1:36" x14ac:dyDescent="0.25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 t="str">
        <f>'RESUMEN TOTAL'!O197</f>
        <v>APAGADO</v>
      </c>
      <c r="G194">
        <f>'RESUMEN TOTAL'!P197</f>
        <v>0</v>
      </c>
      <c r="H194">
        <f>'RESUMEN TOTAL'!Q197</f>
        <v>0</v>
      </c>
      <c r="I194" t="str">
        <f>'RESUMEN TOTAL'!R197</f>
        <v>APAGADO</v>
      </c>
      <c r="J194" t="str">
        <f>'RESUMEN TOTAL'!S197</f>
        <v>APAGADO</v>
      </c>
      <c r="K194" t="str">
        <f>'RESUMEN TOTAL'!T197</f>
        <v>APAGADO</v>
      </c>
      <c r="L194" t="str">
        <f>'RESUMEN TOTAL'!U197</f>
        <v>APAGADO</v>
      </c>
      <c r="M194" t="str">
        <f>'RESUMEN TOTAL'!V197</f>
        <v>APAGADO</v>
      </c>
      <c r="N194" t="str">
        <f>'RESUMEN TOTAL'!W197</f>
        <v>APAGADO</v>
      </c>
      <c r="O194" t="str">
        <f>'RESUMEN TOTAL'!X197</f>
        <v>APAGADO</v>
      </c>
      <c r="P194" t="str">
        <f>'RESUMEN TOTAL'!Y197</f>
        <v>APAGADO</v>
      </c>
      <c r="Q194" t="str">
        <f>'RESUMEN TOTAL'!Z197</f>
        <v>APAGADO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  <c r="AJ194" t="e">
        <f>'RESUMEN TOTAL'!#REF!</f>
        <v>#REF!</v>
      </c>
    </row>
    <row r="195" spans="1:36" x14ac:dyDescent="0.25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>
        <f>'RESUMEN TOTAL'!U198</f>
        <v>0</v>
      </c>
      <c r="M195">
        <f>'RESUMEN TOTAL'!V198</f>
        <v>0</v>
      </c>
      <c r="N195">
        <f>'RESUMEN TOTAL'!W198</f>
        <v>0</v>
      </c>
      <c r="O195" t="str">
        <f>'RESUMEN TOTAL'!X198</f>
        <v>APAGADO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  <c r="AJ195" t="e">
        <f>'RESUMEN TOTAL'!#REF!</f>
        <v>#REF!</v>
      </c>
    </row>
    <row r="196" spans="1:36" x14ac:dyDescent="0.25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>
        <f>'RESUMEN TOTAL'!T199</f>
        <v>0</v>
      </c>
      <c r="L196">
        <f>'RESUMEN TOTAL'!U199</f>
        <v>0</v>
      </c>
      <c r="M196">
        <f>'RESUMEN TOTAL'!V199</f>
        <v>0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 t="str">
        <f>'RESUMEN TOTAL'!AA199</f>
        <v>APAGADO</v>
      </c>
      <c r="S196" t="str">
        <f>'RESUMEN TOTAL'!AB199</f>
        <v>APAGADO</v>
      </c>
      <c r="T196" t="str">
        <f>'RESUMEN TOTAL'!AC199</f>
        <v>APAGADO</v>
      </c>
      <c r="U196" t="str">
        <f>'RESUMEN TOTAL'!AD199</f>
        <v>APAGADO</v>
      </c>
      <c r="V196" t="str">
        <f>'RESUMEN TOTAL'!AE199</f>
        <v>APAGADO</v>
      </c>
      <c r="W196" t="str">
        <f>'RESUMEN TOTAL'!AF199</f>
        <v>APAGADO</v>
      </c>
      <c r="X196" t="str">
        <f>'RESUMEN TOTAL'!AG199</f>
        <v>APAGADO</v>
      </c>
      <c r="Y196" t="str">
        <f>'RESUMEN TOTAL'!AH199</f>
        <v>APAGADO</v>
      </c>
      <c r="Z196" t="str">
        <f>'RESUMEN TOTAL'!AI199</f>
        <v>APAGADO</v>
      </c>
      <c r="AA196" t="str">
        <f>'RESUMEN TOTAL'!AJ199</f>
        <v>APAGADO</v>
      </c>
      <c r="AB196" t="str">
        <f>'RESUMEN TOTAL'!AK199</f>
        <v>APAGADO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  <c r="AJ196" t="e">
        <f>'RESUMEN TOTAL'!#REF!</f>
        <v>#REF!</v>
      </c>
    </row>
    <row r="197" spans="1:36" x14ac:dyDescent="0.25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 t="str">
        <f>'RESUMEN TOTAL'!AA200</f>
        <v>APAGADO</v>
      </c>
      <c r="S197" t="str">
        <f>'RESUMEN TOTAL'!AB200</f>
        <v>APAGADO</v>
      </c>
      <c r="T197" t="str">
        <f>'RESUMEN TOTAL'!AC200</f>
        <v>APAGADO</v>
      </c>
      <c r="U197" t="str">
        <f>'RESUMEN TOTAL'!AD200</f>
        <v>APAGADO</v>
      </c>
      <c r="V197" t="str">
        <f>'RESUMEN TOTAL'!AE200</f>
        <v>APAGADO</v>
      </c>
      <c r="W197" t="str">
        <f>'RESUMEN TOTAL'!AF200</f>
        <v>APAGADO</v>
      </c>
      <c r="X197" t="str">
        <f>'RESUMEN TOTAL'!AG200</f>
        <v>APAGADO</v>
      </c>
      <c r="Y197" t="str">
        <f>'RESUMEN TOTAL'!AH200</f>
        <v>APAGADO</v>
      </c>
      <c r="Z197" t="str">
        <f>'RESUMEN TOTAL'!AI200</f>
        <v>APAGADO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  <c r="AJ197" t="e">
        <f>'RESUMEN TOTAL'!#REF!</f>
        <v>#REF!</v>
      </c>
    </row>
    <row r="198" spans="1:36" x14ac:dyDescent="0.25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 t="str">
        <f>'RESUMEN TOTAL'!O201</f>
        <v>APAGADO</v>
      </c>
      <c r="G198">
        <f>'RESUMEN TOTAL'!P201</f>
        <v>0</v>
      </c>
      <c r="H198">
        <f>'RESUMEN TOTAL'!Q201</f>
        <v>0</v>
      </c>
      <c r="I198" t="str">
        <f>'RESUMEN TOTAL'!R201</f>
        <v>APAGADO</v>
      </c>
      <c r="J198" t="str">
        <f>'RESUMEN TOTAL'!S201</f>
        <v>APAGADO</v>
      </c>
      <c r="K198" t="str">
        <f>'RESUMEN TOTAL'!T201</f>
        <v>APAGADO</v>
      </c>
      <c r="L198" t="str">
        <f>'RESUMEN TOTAL'!U201</f>
        <v>APAGADO</v>
      </c>
      <c r="M198">
        <f>'RESUMEN TOTAL'!V201</f>
        <v>0</v>
      </c>
      <c r="N198">
        <f>'RESUMEN TOTAL'!W201</f>
        <v>0</v>
      </c>
      <c r="O198" t="str">
        <f>'RESUMEN TOTAL'!X201</f>
        <v>APAGADO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  <c r="AJ198" t="e">
        <f>'RESUMEN TOTAL'!#REF!</f>
        <v>#REF!</v>
      </c>
    </row>
    <row r="199" spans="1:36" x14ac:dyDescent="0.25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 t="str">
        <f>'RESUMEN TOTAL'!O202</f>
        <v>APAGADO</v>
      </c>
      <c r="G199">
        <f>'RESUMEN TOTAL'!P202</f>
        <v>0</v>
      </c>
      <c r="H199">
        <f>'RESUMEN TOTAL'!Q202</f>
        <v>0</v>
      </c>
      <c r="I199" t="str">
        <f>'RESUMEN TOTAL'!R202</f>
        <v>APAGADO</v>
      </c>
      <c r="J199" t="str">
        <f>'RESUMEN TOTAL'!S202</f>
        <v>APAGADO</v>
      </c>
      <c r="K199" t="str">
        <f>'RESUMEN TOTAL'!T202</f>
        <v>APAGADO</v>
      </c>
      <c r="L199" t="str">
        <f>'RESUMEN TOTAL'!U202</f>
        <v>APAGADO</v>
      </c>
      <c r="M199">
        <f>'RESUMEN TOTAL'!V202</f>
        <v>0</v>
      </c>
      <c r="N199">
        <f>'RESUMEN TOTAL'!W202</f>
        <v>0</v>
      </c>
      <c r="O199" t="str">
        <f>'RESUMEN TOTAL'!X202</f>
        <v>APAGADO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  <c r="AJ199" t="e">
        <f>'RESUMEN TOTAL'!#REF!</f>
        <v>#REF!</v>
      </c>
    </row>
    <row r="200" spans="1:36" x14ac:dyDescent="0.25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 t="str">
        <f>'RESUMEN TOTAL'!Z203</f>
        <v>APAGADO</v>
      </c>
      <c r="R200" t="str">
        <f>'RESUMEN TOTAL'!AA203</f>
        <v>APAGADO</v>
      </c>
      <c r="S200" t="str">
        <f>'RESUMEN TOTAL'!AB203</f>
        <v>APAGADO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 t="str">
        <f>'RESUMEN TOTAL'!AJ203</f>
        <v>APAGADO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  <c r="AJ200" t="e">
        <f>'RESUMEN TOTAL'!#REF!</f>
        <v>#REF!</v>
      </c>
    </row>
    <row r="201" spans="1:36" x14ac:dyDescent="0.25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>
        <f>'RESUMEN TOTAL'!O204</f>
        <v>0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  <c r="AJ201" t="e">
        <f>'RESUMEN TOTAL'!#REF!</f>
        <v>#REF!</v>
      </c>
    </row>
    <row r="202" spans="1:36" x14ac:dyDescent="0.25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>
        <f>'RESUMEN TOTAL'!O205</f>
        <v>0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  <c r="AJ202" t="e">
        <f>'RESUMEN TOTAL'!#REF!</f>
        <v>#REF!</v>
      </c>
    </row>
    <row r="203" spans="1:36" x14ac:dyDescent="0.25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>
        <f>'RESUMEN TOTAL'!P206</f>
        <v>0</v>
      </c>
      <c r="H203">
        <f>'RESUMEN TOTAL'!Q206</f>
        <v>0</v>
      </c>
      <c r="I203" t="str">
        <f>'RESUMEN TOTAL'!R206</f>
        <v>APAGADO</v>
      </c>
      <c r="J203" t="str">
        <f>'RESUMEN TOTAL'!S206</f>
        <v>APAGADO</v>
      </c>
      <c r="K203" t="str">
        <f>'RESUMEN TOTAL'!T206</f>
        <v>APAGADO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 t="str">
        <f>'RESUMEN TOTAL'!Y206</f>
        <v>APAGADO</v>
      </c>
      <c r="Q203" t="str">
        <f>'RESUMEN TOTAL'!Z206</f>
        <v>APAGADO</v>
      </c>
      <c r="R203" t="str">
        <f>'RESUMEN TOTAL'!AA206</f>
        <v>APAGADO</v>
      </c>
      <c r="S203" t="str">
        <f>'RESUMEN TOTAL'!AB206</f>
        <v>APAGADO</v>
      </c>
      <c r="T203" t="str">
        <f>'RESUMEN TOTAL'!AC206</f>
        <v>APAGADO</v>
      </c>
      <c r="U203" t="str">
        <f>'RESUMEN TOTAL'!AD206</f>
        <v>APAGADO</v>
      </c>
      <c r="V203" t="str">
        <f>'RESUMEN TOTAL'!AE206</f>
        <v>APAGADO</v>
      </c>
      <c r="W203" t="str">
        <f>'RESUMEN TOTAL'!AF206</f>
        <v>APAGADO</v>
      </c>
      <c r="X203" t="str">
        <f>'RESUMEN TOTAL'!AG206</f>
        <v>APAGADO</v>
      </c>
      <c r="Y203" t="str">
        <f>'RESUMEN TOTAL'!AH206</f>
        <v>APAGADO</v>
      </c>
      <c r="Z203" t="str">
        <f>'RESUMEN TOTAL'!AI206</f>
        <v>APAGADO</v>
      </c>
      <c r="AA203" t="str">
        <f>'RESUMEN TOTAL'!AJ206</f>
        <v>APAGADO</v>
      </c>
      <c r="AB203" t="str">
        <f>'RESUMEN TOTAL'!AK206</f>
        <v>APAGADO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  <c r="AJ203" t="e">
        <f>'RESUMEN TOTAL'!#REF!</f>
        <v>#REF!</v>
      </c>
    </row>
    <row r="204" spans="1:36" x14ac:dyDescent="0.25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 t="str">
        <f>'RESUMEN TOTAL'!O207</f>
        <v>APAGADO</v>
      </c>
      <c r="G204">
        <f>'RESUMEN TOTAL'!P207</f>
        <v>0</v>
      </c>
      <c r="H204">
        <f>'RESUMEN TOTAL'!Q207</f>
        <v>0</v>
      </c>
      <c r="I204" t="str">
        <f>'RESUMEN TOTAL'!R207</f>
        <v>APAGADO</v>
      </c>
      <c r="J204" t="str">
        <f>'RESUMEN TOTAL'!S207</f>
        <v>APAGADO</v>
      </c>
      <c r="K204" t="str">
        <f>'RESUMEN TOTAL'!T207</f>
        <v>APAGADO</v>
      </c>
      <c r="L204" t="str">
        <f>'RESUMEN TOTAL'!U207</f>
        <v>APAGADO</v>
      </c>
      <c r="M204" t="str">
        <f>'RESUMEN TOTAL'!V207</f>
        <v>APAGADO</v>
      </c>
      <c r="N204" t="str">
        <f>'RESUMEN TOTAL'!W207</f>
        <v>APAGADO</v>
      </c>
      <c r="O204" t="str">
        <f>'RESUMEN TOTAL'!X207</f>
        <v>APAGADO</v>
      </c>
      <c r="P204" t="str">
        <f>'RESUMEN TOTAL'!Y207</f>
        <v>APAGADO</v>
      </c>
      <c r="Q204" t="str">
        <f>'RESUMEN TOTAL'!Z207</f>
        <v>APAGADO</v>
      </c>
      <c r="R204" t="str">
        <f>'RESUMEN TOTAL'!AA207</f>
        <v>APAGADO</v>
      </c>
      <c r="S204" t="str">
        <f>'RESUMEN TOTAL'!AB207</f>
        <v>APAGADO</v>
      </c>
      <c r="T204" t="str">
        <f>'RESUMEN TOTAL'!AC207</f>
        <v>APAGADO</v>
      </c>
      <c r="U204" t="str">
        <f>'RESUMEN TOTAL'!AD207</f>
        <v>APAGADO</v>
      </c>
      <c r="V204" t="str">
        <f>'RESUMEN TOTAL'!AE207</f>
        <v>APAGADO</v>
      </c>
      <c r="W204" t="str">
        <f>'RESUMEN TOTAL'!AF207</f>
        <v>APAGADO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  <c r="AJ204" t="e">
        <f>'RESUMEN TOTAL'!#REF!</f>
        <v>#REF!</v>
      </c>
    </row>
    <row r="205" spans="1:36" x14ac:dyDescent="0.25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  <c r="AJ205" t="e">
        <f>'RESUMEN TOTAL'!#REF!</f>
        <v>#REF!</v>
      </c>
    </row>
    <row r="206" spans="1:36" x14ac:dyDescent="0.25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NUÃ‘EZ</v>
      </c>
      <c r="D206" t="str">
        <f>'RESUMEN TOTAL'!E209</f>
        <v>DOMO</v>
      </c>
      <c r="E206" t="str">
        <f>'RESUMEN TOTAL'!F209</f>
        <v>Fibra Optica</v>
      </c>
      <c r="F206" t="str">
        <f>'RESUMEN TOTAL'!O209</f>
        <v>APAGADO</v>
      </c>
      <c r="G206">
        <f>'RESUMEN TOTAL'!P209</f>
        <v>0</v>
      </c>
      <c r="H206">
        <f>'RESUMEN TOTAL'!Q209</f>
        <v>0</v>
      </c>
      <c r="I206" t="str">
        <f>'RESUMEN TOTAL'!R209</f>
        <v>APAGADO</v>
      </c>
      <c r="J206" t="str">
        <f>'RESUMEN TOTAL'!S209</f>
        <v>APAGADO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  <c r="AJ206" t="e">
        <f>'RESUMEN TOTAL'!#REF!</f>
        <v>#REF!</v>
      </c>
    </row>
    <row r="207" spans="1:36" x14ac:dyDescent="0.25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NUÃ‘EZ</v>
      </c>
      <c r="D207" t="str">
        <f>'RESUMEN TOTAL'!E210</f>
        <v>Fija</v>
      </c>
      <c r="E207" t="str">
        <f>'RESUMEN TOTAL'!F210</f>
        <v>Fibra Optica</v>
      </c>
      <c r="F207" t="str">
        <f>'RESUMEN TOTAL'!O210</f>
        <v>APAGADO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  <c r="AJ207" t="e">
        <f>'RESUMEN TOTAL'!#REF!</f>
        <v>#REF!</v>
      </c>
    </row>
    <row r="208" spans="1:36" x14ac:dyDescent="0.25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>
        <f>'RESUMEN TOTAL'!O211</f>
        <v>0</v>
      </c>
      <c r="G208">
        <f>'RESUMEN TOTAL'!P211</f>
        <v>0</v>
      </c>
      <c r="H208">
        <f>'RESUMEN TOTAL'!Q211</f>
        <v>0</v>
      </c>
      <c r="I208">
        <f>'RESUMEN TOTAL'!R211</f>
        <v>0</v>
      </c>
      <c r="J208">
        <f>'RESUMEN TOTAL'!S211</f>
        <v>0</v>
      </c>
      <c r="K208">
        <f>'RESUMEN TOTAL'!T211</f>
        <v>0</v>
      </c>
      <c r="L208">
        <f>'RESUMEN TOTAL'!U211</f>
        <v>0</v>
      </c>
      <c r="M208">
        <f>'RESUMEN TOTAL'!V211</f>
        <v>0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>
        <f>'RESUMEN TOTAL'!Z211</f>
        <v>0</v>
      </c>
      <c r="R208">
        <f>'RESUMEN TOTAL'!AA211</f>
        <v>0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  <c r="AJ208" t="e">
        <f>'RESUMEN TOTAL'!#REF!</f>
        <v>#REF!</v>
      </c>
    </row>
    <row r="209" spans="1:36" x14ac:dyDescent="0.25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>
        <f>'RESUMEN TOTAL'!O212</f>
        <v>0</v>
      </c>
      <c r="G209">
        <f>'RESUMEN TOTAL'!P212</f>
        <v>0</v>
      </c>
      <c r="H209">
        <f>'RESUMEN TOTAL'!Q212</f>
        <v>0</v>
      </c>
      <c r="I209">
        <f>'RESUMEN TOTAL'!R212</f>
        <v>0</v>
      </c>
      <c r="J209">
        <f>'RESUMEN TOTAL'!S212</f>
        <v>0</v>
      </c>
      <c r="K209">
        <f>'RESUMEN TOTAL'!T212</f>
        <v>0</v>
      </c>
      <c r="L209">
        <f>'RESUMEN TOTAL'!U212</f>
        <v>0</v>
      </c>
      <c r="M209">
        <f>'RESUMEN TOTAL'!V212</f>
        <v>0</v>
      </c>
      <c r="N209">
        <f>'RESUMEN TOTAL'!W212</f>
        <v>0</v>
      </c>
      <c r="O209">
        <f>'RESUMEN TOTAL'!X212</f>
        <v>0</v>
      </c>
      <c r="P209">
        <f>'RESUMEN TOTAL'!Y212</f>
        <v>0</v>
      </c>
      <c r="Q209">
        <f>'RESUMEN TOTAL'!Z212</f>
        <v>0</v>
      </c>
      <c r="R209">
        <f>'RESUMEN TOTAL'!AA212</f>
        <v>0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  <c r="AJ209" t="e">
        <f>'RESUMEN TOTAL'!#REF!</f>
        <v>#REF!</v>
      </c>
    </row>
    <row r="210" spans="1:36" x14ac:dyDescent="0.25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>
        <f>'RESUMEN TOTAL'!R213</f>
        <v>0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 t="str">
        <f>'RESUMEN TOTAL'!Z213</f>
        <v>APAGADO</v>
      </c>
      <c r="R210" t="str">
        <f>'RESUMEN TOTAL'!AA213</f>
        <v>APAGADO</v>
      </c>
      <c r="S210" t="str">
        <f>'RESUMEN TOTAL'!AB213</f>
        <v>APAGADO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 t="str">
        <f>'RESUMEN TOTAL'!AJ213</f>
        <v>APAGADO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  <c r="AJ210" t="e">
        <f>'RESUMEN TOTAL'!#REF!</f>
        <v>#REF!</v>
      </c>
    </row>
    <row r="211" spans="1:36" x14ac:dyDescent="0.25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  <c r="AJ211" t="e">
        <f>'RESUMEN TOTAL'!#REF!</f>
        <v>#REF!</v>
      </c>
    </row>
    <row r="212" spans="1:36" x14ac:dyDescent="0.25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  <c r="AJ212" t="e">
        <f>'RESUMEN TOTAL'!#REF!</f>
        <v>#REF!</v>
      </c>
    </row>
    <row r="213" spans="1:36" x14ac:dyDescent="0.25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  <c r="AJ213" t="e">
        <f>'RESUMEN TOTAL'!#REF!</f>
        <v>#REF!</v>
      </c>
    </row>
    <row r="214" spans="1:36" x14ac:dyDescent="0.25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  <c r="AJ214" t="e">
        <f>'RESUMEN TOTAL'!#REF!</f>
        <v>#REF!</v>
      </c>
    </row>
    <row r="215" spans="1:36" x14ac:dyDescent="0.25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  <c r="AJ215" t="e">
        <f>'RESUMEN TOTAL'!#REF!</f>
        <v>#REF!</v>
      </c>
    </row>
    <row r="216" spans="1:36" x14ac:dyDescent="0.25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  <c r="AJ216" t="e">
        <f>'RESUMEN TOTAL'!#REF!</f>
        <v>#REF!</v>
      </c>
    </row>
    <row r="217" spans="1:36" x14ac:dyDescent="0.25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  <c r="AJ217" t="e">
        <f>'RESUMEN TOTAL'!#REF!</f>
        <v>#REF!</v>
      </c>
    </row>
    <row r="218" spans="1:36" x14ac:dyDescent="0.25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  <c r="AJ218" t="e">
        <f>'RESUMEN TOTAL'!#REF!</f>
        <v>#REF!</v>
      </c>
    </row>
    <row r="219" spans="1:36" x14ac:dyDescent="0.25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  <c r="AJ219" t="e">
        <f>'RESUMEN TOTAL'!#REF!</f>
        <v>#REF!</v>
      </c>
    </row>
    <row r="220" spans="1:36" x14ac:dyDescent="0.25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  <c r="AJ220" t="e">
        <f>'RESUMEN TOTAL'!#REF!</f>
        <v>#REF!</v>
      </c>
    </row>
    <row r="221" spans="1:36" x14ac:dyDescent="0.25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  <c r="AJ221" t="e">
        <f>'RESUMEN TOTAL'!#REF!</f>
        <v>#REF!</v>
      </c>
    </row>
    <row r="222" spans="1:36" x14ac:dyDescent="0.25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  <c r="AJ222" t="e">
        <f>'RESUMEN TOTAL'!#REF!</f>
        <v>#REF!</v>
      </c>
    </row>
    <row r="223" spans="1:36" x14ac:dyDescent="0.25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 t="str">
        <f>'RESUMEN TOTAL'!Y226</f>
        <v>APAGADO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  <c r="AJ223" t="e">
        <f>'RESUMEN TOTAL'!#REF!</f>
        <v>#REF!</v>
      </c>
    </row>
    <row r="224" spans="1:36" x14ac:dyDescent="0.25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 t="str">
        <f>'RESUMEN TOTAL'!AG227</f>
        <v>APAGADO</v>
      </c>
      <c r="Y224" t="str">
        <f>'RESUMEN TOTAL'!AH227</f>
        <v>APAGADO</v>
      </c>
      <c r="Z224" t="str">
        <f>'RESUMEN TOTAL'!AI227</f>
        <v>APAGADO</v>
      </c>
      <c r="AA224" t="str">
        <f>'RESUMEN TOTAL'!AJ227</f>
        <v>APAGADO</v>
      </c>
      <c r="AB224" t="str">
        <f>'RESUMEN TOTAL'!AK227</f>
        <v>APAGADO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  <c r="AJ224" t="e">
        <f>'RESUMEN TOTAL'!#REF!</f>
        <v>#REF!</v>
      </c>
    </row>
    <row r="225" spans="1:36" x14ac:dyDescent="0.25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  <c r="AJ225" t="e">
        <f>'RESUMEN TOTAL'!#REF!</f>
        <v>#REF!</v>
      </c>
    </row>
    <row r="226" spans="1:36" x14ac:dyDescent="0.25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 t="str">
        <f>'RESUMEN TOTAL'!Y229</f>
        <v>APAGADO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  <c r="AJ226" t="e">
        <f>'RESUMEN TOTAL'!#REF!</f>
        <v>#REF!</v>
      </c>
    </row>
    <row r="227" spans="1:36" x14ac:dyDescent="0.25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 t="str">
        <f>'RESUMEN TOTAL'!AB230</f>
        <v>APAGADO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  <c r="AJ227" t="e">
        <f>'RESUMEN TOTAL'!#REF!</f>
        <v>#REF!</v>
      </c>
    </row>
    <row r="228" spans="1:36" x14ac:dyDescent="0.25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>
        <f>'RESUMEN TOTAL'!O231</f>
        <v>0</v>
      </c>
      <c r="G228">
        <f>'RESUMEN TOTAL'!P231</f>
        <v>0</v>
      </c>
      <c r="H228">
        <f>'RESUMEN TOTAL'!Q231</f>
        <v>0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 t="str">
        <f>'RESUMEN TOTAL'!Y231</f>
        <v>APAGADO</v>
      </c>
      <c r="Q228">
        <f>'RESUMEN TOTAL'!Z231</f>
        <v>0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  <c r="AJ228" t="e">
        <f>'RESUMEN TOTAL'!#REF!</f>
        <v>#REF!</v>
      </c>
    </row>
    <row r="229" spans="1:36" x14ac:dyDescent="0.25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>
        <f>'RESUMEN TOTAL'!O232</f>
        <v>0</v>
      </c>
      <c r="G229">
        <f>'RESUMEN TOTAL'!P232</f>
        <v>0</v>
      </c>
      <c r="H229">
        <f>'RESUMEN TOTAL'!Q232</f>
        <v>0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  <c r="AJ229" t="e">
        <f>'RESUMEN TOTAL'!#REF!</f>
        <v>#REF!</v>
      </c>
    </row>
    <row r="230" spans="1:36" x14ac:dyDescent="0.25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 t="str">
        <f>'RESUMEN TOTAL'!AI233</f>
        <v>APAGADO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  <c r="AJ230" t="e">
        <f>'RESUMEN TOTAL'!#REF!</f>
        <v>#REF!</v>
      </c>
    </row>
    <row r="231" spans="1:36" x14ac:dyDescent="0.25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  <c r="AJ231" t="e">
        <f>'RESUMEN TOTAL'!#REF!</f>
        <v>#REF!</v>
      </c>
    </row>
    <row r="232" spans="1:36" x14ac:dyDescent="0.25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  <c r="AJ232" t="e">
        <f>'RESUMEN TOTAL'!#REF!</f>
        <v>#REF!</v>
      </c>
    </row>
    <row r="233" spans="1:36" x14ac:dyDescent="0.25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 t="str">
        <f>'RESUMEN TOTAL'!Y236</f>
        <v>APAGADO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  <c r="AJ233" t="e">
        <f>'RESUMEN TOTAL'!#REF!</f>
        <v>#REF!</v>
      </c>
    </row>
    <row r="234" spans="1:36" x14ac:dyDescent="0.25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  <c r="AJ234" t="e">
        <f>'RESUMEN TOTAL'!#REF!</f>
        <v>#REF!</v>
      </c>
    </row>
    <row r="235" spans="1:36" x14ac:dyDescent="0.25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  <c r="AJ235" t="e">
        <f>'RESUMEN TOTAL'!#REF!</f>
        <v>#REF!</v>
      </c>
    </row>
    <row r="236" spans="1:36" x14ac:dyDescent="0.25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>
        <f>'RESUMEN TOTAL'!O239</f>
        <v>0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  <c r="AJ236" t="e">
        <f>'RESUMEN TOTAL'!#REF!</f>
        <v>#REF!</v>
      </c>
    </row>
    <row r="237" spans="1:36" x14ac:dyDescent="0.25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>
        <f>'RESUMEN TOTAL'!O240</f>
        <v>0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 t="str">
        <f>'RESUMEN TOTAL'!Y240</f>
        <v>APAGADO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  <c r="AJ237" t="e">
        <f>'RESUMEN TOTAL'!#REF!</f>
        <v>#REF!</v>
      </c>
    </row>
    <row r="238" spans="1:36" x14ac:dyDescent="0.25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 t="str">
        <f>'RESUMEN TOTAL'!Y241</f>
        <v>APAGADO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 t="str">
        <f>'RESUMEN TOTAL'!AC241</f>
        <v>APAGADO</v>
      </c>
      <c r="U238" t="str">
        <f>'RESUMEN TOTAL'!AD241</f>
        <v>APAGADO</v>
      </c>
      <c r="V238" t="str">
        <f>'RESUMEN TOTAL'!AE241</f>
        <v>APAGADO</v>
      </c>
      <c r="W238" t="str">
        <f>'RESUMEN TOTAL'!AF241</f>
        <v>APAGADO</v>
      </c>
      <c r="X238" t="str">
        <f>'RESUMEN TOTAL'!AG241</f>
        <v>APAGADO</v>
      </c>
      <c r="Y238" t="str">
        <f>'RESUMEN TOTAL'!AH241</f>
        <v>APAGADO</v>
      </c>
      <c r="Z238" t="str">
        <f>'RESUMEN TOTAL'!AI241</f>
        <v>APAGADO</v>
      </c>
      <c r="AA238" t="str">
        <f>'RESUMEN TOTAL'!AJ241</f>
        <v>APAGADO</v>
      </c>
      <c r="AB238" t="str">
        <f>'RESUMEN TOTAL'!AK241</f>
        <v>APAGADO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  <c r="AJ238" t="e">
        <f>'RESUMEN TOTAL'!#REF!</f>
        <v>#REF!</v>
      </c>
    </row>
    <row r="239" spans="1:36" x14ac:dyDescent="0.25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 t="str">
        <f>'RESUMEN TOTAL'!AC242</f>
        <v>APAGADO</v>
      </c>
      <c r="U239" t="str">
        <f>'RESUMEN TOTAL'!AD242</f>
        <v>APAGADO</v>
      </c>
      <c r="V239" t="str">
        <f>'RESUMEN TOTAL'!AE242</f>
        <v>APAGADO</v>
      </c>
      <c r="W239" t="str">
        <f>'RESUMEN TOTAL'!AF242</f>
        <v>APAGADO</v>
      </c>
      <c r="X239" t="str">
        <f>'RESUMEN TOTAL'!AG242</f>
        <v>APAGADO</v>
      </c>
      <c r="Y239" t="str">
        <f>'RESUMEN TOTAL'!AH242</f>
        <v>APAGADO</v>
      </c>
      <c r="Z239" t="str">
        <f>'RESUMEN TOTAL'!AI242</f>
        <v>APAGADO</v>
      </c>
      <c r="AA239" t="str">
        <f>'RESUMEN TOTAL'!AJ242</f>
        <v>APAGADO</v>
      </c>
      <c r="AB239" t="str">
        <f>'RESUMEN TOTAL'!AK242</f>
        <v>APAGADO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  <c r="AJ239" t="e">
        <f>'RESUMEN TOTAL'!#REF!</f>
        <v>#REF!</v>
      </c>
    </row>
    <row r="240" spans="1:36" x14ac:dyDescent="0.25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 t="str">
        <f>'RESUMEN TOTAL'!AC243</f>
        <v>APAGADO</v>
      </c>
      <c r="U240" t="str">
        <f>'RESUMEN TOTAL'!AD243</f>
        <v>APAGADO</v>
      </c>
      <c r="V240" t="str">
        <f>'RESUMEN TOTAL'!AE243</f>
        <v>APAGADO</v>
      </c>
      <c r="W240" t="str">
        <f>'RESUMEN TOTAL'!AF243</f>
        <v>APAGADO</v>
      </c>
      <c r="X240" t="str">
        <f>'RESUMEN TOTAL'!AG243</f>
        <v>APAGADO</v>
      </c>
      <c r="Y240" t="str">
        <f>'RESUMEN TOTAL'!AH243</f>
        <v>APAGADO</v>
      </c>
      <c r="Z240" t="str">
        <f>'RESUMEN TOTAL'!AI243</f>
        <v>APAGADO</v>
      </c>
      <c r="AA240" t="str">
        <f>'RESUMEN TOTAL'!AJ243</f>
        <v>APAGADO</v>
      </c>
      <c r="AB240" t="str">
        <f>'RESUMEN TOTAL'!AK243</f>
        <v>APAGADO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  <c r="AJ240" t="e">
        <f>'RESUMEN TOTAL'!#REF!</f>
        <v>#REF!</v>
      </c>
    </row>
    <row r="241" spans="1:36" x14ac:dyDescent="0.25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 t="str">
        <f>'RESUMEN TOTAL'!Y244</f>
        <v>APAGADO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 t="str">
        <f>'RESUMEN TOTAL'!AC244</f>
        <v>APAGADO</v>
      </c>
      <c r="U241" t="str">
        <f>'RESUMEN TOTAL'!AD244</f>
        <v>APAGADO</v>
      </c>
      <c r="V241" t="str">
        <f>'RESUMEN TOTAL'!AE244</f>
        <v>APAGADO</v>
      </c>
      <c r="W241" t="str">
        <f>'RESUMEN TOTAL'!AF244</f>
        <v>APAGADO</v>
      </c>
      <c r="X241" t="str">
        <f>'RESUMEN TOTAL'!AG244</f>
        <v>APAGADO</v>
      </c>
      <c r="Y241" t="str">
        <f>'RESUMEN TOTAL'!AH244</f>
        <v>APAGADO</v>
      </c>
      <c r="Z241" t="str">
        <f>'RESUMEN TOTAL'!AI244</f>
        <v>APAGADO</v>
      </c>
      <c r="AA241" t="str">
        <f>'RESUMEN TOTAL'!AJ244</f>
        <v>APAGADO</v>
      </c>
      <c r="AB241" t="str">
        <f>'RESUMEN TOTAL'!AK244</f>
        <v>APAGADO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  <c r="AJ241" t="e">
        <f>'RESUMEN TOTAL'!#REF!</f>
        <v>#REF!</v>
      </c>
    </row>
    <row r="242" spans="1:36" x14ac:dyDescent="0.25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>
        <f>'RESUMEN TOTAL'!O245</f>
        <v>0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  <c r="AJ242" t="e">
        <f>'RESUMEN TOTAL'!#REF!</f>
        <v>#REF!</v>
      </c>
    </row>
    <row r="243" spans="1:36" x14ac:dyDescent="0.25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 t="str">
        <f>'RESUMEN TOTAL'!Y246</f>
        <v>APAGADO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 t="str">
        <f>'RESUMEN TOTAL'!AC246</f>
        <v>APAGADO</v>
      </c>
      <c r="U243" t="str">
        <f>'RESUMEN TOTAL'!AD246</f>
        <v>APAGADO</v>
      </c>
      <c r="V243" t="str">
        <f>'RESUMEN TOTAL'!AE246</f>
        <v>APAGADO</v>
      </c>
      <c r="W243" t="str">
        <f>'RESUMEN TOTAL'!AF246</f>
        <v>APAGADO</v>
      </c>
      <c r="X243" t="str">
        <f>'RESUMEN TOTAL'!AG246</f>
        <v>APAGADO</v>
      </c>
      <c r="Y243" t="str">
        <f>'RESUMEN TOTAL'!AH246</f>
        <v>APAGADO</v>
      </c>
      <c r="Z243" t="str">
        <f>'RESUMEN TOTAL'!AI246</f>
        <v>APAGADO</v>
      </c>
      <c r="AA243" t="str">
        <f>'RESUMEN TOTAL'!AJ246</f>
        <v>APAGADO</v>
      </c>
      <c r="AB243" t="str">
        <f>'RESUMEN TOTAL'!AK246</f>
        <v>APAGADO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 t="str">
        <f>'RESUMEN TOTAL'!AE247</f>
        <v>APAGADO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  <c r="AJ245" t="e">
        <f>'RESUMEN TOTAL'!#REF!</f>
        <v>#REF!</v>
      </c>
    </row>
    <row r="246" spans="1:36" x14ac:dyDescent="0.25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  <c r="AJ246" t="e">
        <f>'RESUMEN TOTAL'!#REF!</f>
        <v>#REF!</v>
      </c>
    </row>
    <row r="247" spans="1:36" x14ac:dyDescent="0.25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  <c r="AJ247" t="e">
        <f>'RESUMEN TOTAL'!#REF!</f>
        <v>#REF!</v>
      </c>
    </row>
    <row r="248" spans="1:36" x14ac:dyDescent="0.25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>
        <f>'RESUMEN TOTAL'!R251</f>
        <v>0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  <c r="AJ248" t="e">
        <f>'RESUMEN TOTAL'!#REF!</f>
        <v>#REF!</v>
      </c>
    </row>
    <row r="249" spans="1:36" x14ac:dyDescent="0.25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>
        <f>'RESUMEN TOTAL'!R252</f>
        <v>0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  <c r="AJ249" t="e">
        <f>'RESUMEN TOTAL'!#REF!</f>
        <v>#REF!</v>
      </c>
    </row>
    <row r="250" spans="1:36" x14ac:dyDescent="0.25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>
        <f>'RESUMEN TOTAL'!R253</f>
        <v>0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  <c r="AJ250" t="e">
        <f>'RESUMEN TOTAL'!#REF!</f>
        <v>#REF!</v>
      </c>
    </row>
    <row r="251" spans="1:36" x14ac:dyDescent="0.25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>
        <f>'RESUMEN TOTAL'!R254</f>
        <v>0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  <c r="AJ251" t="e">
        <f>'RESUMEN TOTAL'!#REF!</f>
        <v>#REF!</v>
      </c>
    </row>
    <row r="252" spans="1:36" x14ac:dyDescent="0.25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  <c r="AJ252" t="e">
        <f>'RESUMEN TOTAL'!#REF!</f>
        <v>#REF!</v>
      </c>
    </row>
    <row r="253" spans="1:36" x14ac:dyDescent="0.25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  <c r="AJ253" t="e">
        <f>'RESUMEN TOTAL'!#REF!</f>
        <v>#REF!</v>
      </c>
    </row>
    <row r="254" spans="1:36" x14ac:dyDescent="0.25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  <c r="AJ254" t="e">
        <f>'RESUMEN TOTAL'!#REF!</f>
        <v>#REF!</v>
      </c>
    </row>
    <row r="255" spans="1:36" x14ac:dyDescent="0.25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 t="str">
        <f>'RESUMEN TOTAL'!O258</f>
        <v>APAGADO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  <c r="AJ255" t="e">
        <f>'RESUMEN TOTAL'!#REF!</f>
        <v>#REF!</v>
      </c>
    </row>
    <row r="256" spans="1:36" x14ac:dyDescent="0.25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  <c r="AJ256" t="e">
        <f>'RESUMEN TOTAL'!#REF!</f>
        <v>#REF!</v>
      </c>
    </row>
    <row r="257" spans="1:36" x14ac:dyDescent="0.25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  <c r="AJ257" t="e">
        <f>'RESUMEN TOTAL'!#REF!</f>
        <v>#REF!</v>
      </c>
    </row>
    <row r="258" spans="1:36" x14ac:dyDescent="0.25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 t="str">
        <f>'RESUMEN TOTAL'!AC261</f>
        <v>APAGADO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  <c r="AJ258" t="e">
        <f>'RESUMEN TOTAL'!#REF!</f>
        <v>#REF!</v>
      </c>
    </row>
    <row r="259" spans="1:36" x14ac:dyDescent="0.25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 t="str">
        <f>'RESUMEN TOTAL'!Y262</f>
        <v>APAGADO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  <c r="AJ259" t="e">
        <f>'RESUMEN TOTAL'!#REF!</f>
        <v>#REF!</v>
      </c>
    </row>
    <row r="260" spans="1:36" x14ac:dyDescent="0.25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  <c r="AJ260" t="e">
        <f>'RESUMEN TOTAL'!#REF!</f>
        <v>#REF!</v>
      </c>
    </row>
    <row r="261" spans="1:36" x14ac:dyDescent="0.25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  <c r="AJ261" t="e">
        <f>'RESUMEN TOTAL'!#REF!</f>
        <v>#REF!</v>
      </c>
    </row>
    <row r="262" spans="1:36" x14ac:dyDescent="0.25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  <c r="AJ262" t="e">
        <f>'RESUMEN TOTAL'!#REF!</f>
        <v>#REF!</v>
      </c>
    </row>
    <row r="263" spans="1:36" x14ac:dyDescent="0.25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  <c r="AJ263" t="e">
        <f>'RESUMEN TOTAL'!#REF!</f>
        <v>#REF!</v>
      </c>
    </row>
    <row r="264" spans="1:36" x14ac:dyDescent="0.25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  <c r="AJ264" t="e">
        <f>'RESUMEN TOTAL'!#REF!</f>
        <v>#REF!</v>
      </c>
    </row>
    <row r="265" spans="1:36" x14ac:dyDescent="0.25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  <c r="AJ265" t="e">
        <f>'RESUMEN TOTAL'!#REF!</f>
        <v>#REF!</v>
      </c>
    </row>
    <row r="266" spans="1:36" x14ac:dyDescent="0.25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  <c r="AJ266" t="e">
        <f>'RESUMEN TOTAL'!#REF!</f>
        <v>#REF!</v>
      </c>
    </row>
    <row r="267" spans="1:36" x14ac:dyDescent="0.25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 t="str">
        <f>'RESUMEN TOTAL'!AG270</f>
        <v>APAGADO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  <c r="AJ267" t="e">
        <f>'RESUMEN TOTAL'!#REF!</f>
        <v>#REF!</v>
      </c>
    </row>
    <row r="268" spans="1:36" x14ac:dyDescent="0.25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  <c r="AJ268" t="e">
        <f>'RESUMEN TOTAL'!#REF!</f>
        <v>#REF!</v>
      </c>
    </row>
    <row r="269" spans="1:36" x14ac:dyDescent="0.25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 t="str">
        <f>'RESUMEN TOTAL'!O272</f>
        <v>APAGADO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 t="str">
        <f>'RESUMEN TOTAL'!X272</f>
        <v>APAGADO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  <c r="AJ269" t="e">
        <f>'RESUMEN TOTAL'!#REF!</f>
        <v>#REF!</v>
      </c>
    </row>
    <row r="270" spans="1:36" x14ac:dyDescent="0.25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  <c r="AJ270" t="e">
        <f>'RESUMEN TOTAL'!#REF!</f>
        <v>#REF!</v>
      </c>
    </row>
    <row r="271" spans="1:36" x14ac:dyDescent="0.25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  <c r="AJ271" t="e">
        <f>'RESUMEN TOTAL'!#REF!</f>
        <v>#REF!</v>
      </c>
    </row>
    <row r="272" spans="1:36" x14ac:dyDescent="0.25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  <c r="AJ272" t="e">
        <f>'RESUMEN TOTAL'!#REF!</f>
        <v>#REF!</v>
      </c>
    </row>
    <row r="273" spans="1:36" x14ac:dyDescent="0.25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  <c r="AJ273" t="e">
        <f>'RESUMEN TOTAL'!#REF!</f>
        <v>#REF!</v>
      </c>
    </row>
    <row r="274" spans="1:36" x14ac:dyDescent="0.25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  <c r="AJ274" t="e">
        <f>'RESUMEN TOTAL'!#REF!</f>
        <v>#REF!</v>
      </c>
    </row>
    <row r="275" spans="1:36" x14ac:dyDescent="0.25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  <c r="AJ275" t="e">
        <f>'RESUMEN TOTAL'!#REF!</f>
        <v>#REF!</v>
      </c>
    </row>
    <row r="276" spans="1:36" x14ac:dyDescent="0.25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 t="str">
        <f>'RESUMEN TOTAL'!O279</f>
        <v>APAGADO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 t="str">
        <f>'RESUMEN TOTAL'!X279</f>
        <v>APAGADO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  <c r="AJ276" t="e">
        <f>'RESUMEN TOTAL'!#REF!</f>
        <v>#REF!</v>
      </c>
    </row>
    <row r="277" spans="1:36" x14ac:dyDescent="0.25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  <c r="AJ277" t="e">
        <f>'RESUMEN TOTAL'!#REF!</f>
        <v>#REF!</v>
      </c>
    </row>
    <row r="278" spans="1:36" x14ac:dyDescent="0.25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>
        <f>'RESUMEN TOTAL'!S281</f>
        <v>0</v>
      </c>
      <c r="K278">
        <f>'RESUMEN TOTAL'!T281</f>
        <v>0</v>
      </c>
      <c r="L278" t="str">
        <f>'RESUMEN TOTAL'!U281</f>
        <v>APAGADO</v>
      </c>
      <c r="M278">
        <f>'RESUMEN TOTAL'!V281</f>
        <v>0</v>
      </c>
      <c r="N278" t="str">
        <f>'RESUMEN TOTAL'!W281</f>
        <v>APAGADO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  <c r="AJ278" t="e">
        <f>'RESUMEN TOTAL'!#REF!</f>
        <v>#REF!</v>
      </c>
    </row>
    <row r="279" spans="1:36" x14ac:dyDescent="0.25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 t="str">
        <f>'RESUMEN TOTAL'!U282</f>
        <v>APAGADO</v>
      </c>
      <c r="M279">
        <f>'RESUMEN TOTAL'!V282</f>
        <v>0</v>
      </c>
      <c r="N279" t="str">
        <f>'RESUMEN TOTAL'!W282</f>
        <v>APAGADO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  <c r="AJ279" t="e">
        <f>'RESUMEN TOTAL'!#REF!</f>
        <v>#REF!</v>
      </c>
    </row>
    <row r="280" spans="1:36" x14ac:dyDescent="0.25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 t="str">
        <f>'RESUMEN TOTAL'!O283</f>
        <v>APAGADO</v>
      </c>
      <c r="G280">
        <f>'RESUMEN TOTAL'!P283</f>
        <v>0</v>
      </c>
      <c r="H280">
        <f>'RESUMEN TOTAL'!Q283</f>
        <v>0</v>
      </c>
      <c r="I280">
        <f>'RESUMEN TOTAL'!R283</f>
        <v>0</v>
      </c>
      <c r="J280" t="str">
        <f>'RESUMEN TOTAL'!S283</f>
        <v>APAGADO</v>
      </c>
      <c r="K280" t="str">
        <f>'RESUMEN TOTAL'!T283</f>
        <v>APAGADO</v>
      </c>
      <c r="L280" t="str">
        <f>'RESUMEN TOTAL'!U283</f>
        <v>APAGADO</v>
      </c>
      <c r="M280" t="str">
        <f>'RESUMEN TOTAL'!V283</f>
        <v>APAGADO</v>
      </c>
      <c r="N280" t="str">
        <f>'RESUMEN TOTAL'!W283</f>
        <v>APAGADO</v>
      </c>
      <c r="O280">
        <f>'RESUMEN TOTAL'!X283</f>
        <v>0</v>
      </c>
      <c r="P280" t="str">
        <f>'RESUMEN TOTAL'!Y283</f>
        <v>APAGADO</v>
      </c>
      <c r="Q280" t="str">
        <f>'RESUMEN TOTAL'!Z283</f>
        <v>APAGADO</v>
      </c>
      <c r="R280" t="str">
        <f>'RESUMEN TOTAL'!AA283</f>
        <v>APAGADO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  <c r="AJ280" t="e">
        <f>'RESUMEN TOTAL'!#REF!</f>
        <v>#REF!</v>
      </c>
    </row>
    <row r="281" spans="1:36" x14ac:dyDescent="0.25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 t="str">
        <f>'RESUMEN TOTAL'!U284</f>
        <v>APAGADO</v>
      </c>
      <c r="M281" t="str">
        <f>'RESUMEN TOTAL'!V284</f>
        <v>APAGADO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  <c r="AJ281" t="e">
        <f>'RESUMEN TOTAL'!#REF!</f>
        <v>#REF!</v>
      </c>
    </row>
    <row r="282" spans="1:36" x14ac:dyDescent="0.25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 t="str">
        <f>'RESUMEN TOTAL'!U285</f>
        <v>APAGADO</v>
      </c>
      <c r="M282" t="str">
        <f>'RESUMEN TOTAL'!V285</f>
        <v>APAGADO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  <c r="AJ282" t="e">
        <f>'RESUMEN TOTAL'!#REF!</f>
        <v>#REF!</v>
      </c>
    </row>
    <row r="283" spans="1:36" x14ac:dyDescent="0.25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  <c r="AJ283" t="e">
        <f>'RESUMEN TOTAL'!#REF!</f>
        <v>#REF!</v>
      </c>
    </row>
    <row r="284" spans="1:36" x14ac:dyDescent="0.25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  <c r="AJ284" t="e">
        <f>'RESUMEN TOTAL'!#REF!</f>
        <v>#REF!</v>
      </c>
    </row>
    <row r="285" spans="1:36" x14ac:dyDescent="0.25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 t="str">
        <f>'RESUMEN TOTAL'!AC288</f>
        <v>APAGADO</v>
      </c>
      <c r="U285">
        <f>'RESUMEN TOTAL'!AD288</f>
        <v>0</v>
      </c>
      <c r="V285" t="str">
        <f>'RESUMEN TOTAL'!AE288</f>
        <v>APAGADO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  <c r="AJ285" t="e">
        <f>'RESUMEN TOTAL'!#REF!</f>
        <v>#REF!</v>
      </c>
    </row>
    <row r="286" spans="1:36" x14ac:dyDescent="0.25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 t="str">
        <f>'RESUMEN TOTAL'!AA289</f>
        <v>APAGADO</v>
      </c>
      <c r="S286" t="str">
        <f>'RESUMEN TOTAL'!AB289</f>
        <v>APAGADO</v>
      </c>
      <c r="T286" t="str">
        <f>'RESUMEN TOTAL'!AC289</f>
        <v>APAGADO</v>
      </c>
      <c r="U286" t="str">
        <f>'RESUMEN TOTAL'!AD289</f>
        <v>APAGADO</v>
      </c>
      <c r="V286" t="str">
        <f>'RESUMEN TOTAL'!AE289</f>
        <v>APAGADO</v>
      </c>
      <c r="W286" t="str">
        <f>'RESUMEN TOTAL'!AF289</f>
        <v>APAGADO</v>
      </c>
      <c r="X286" t="str">
        <f>'RESUMEN TOTAL'!AG289</f>
        <v>APAGADO</v>
      </c>
      <c r="Y286" t="str">
        <f>'RESUMEN TOTAL'!AH289</f>
        <v>APAGADO</v>
      </c>
      <c r="Z286" t="str">
        <f>'RESUMEN TOTAL'!AI289</f>
        <v>APAGADO</v>
      </c>
      <c r="AA286" t="str">
        <f>'RESUMEN TOTAL'!AJ289</f>
        <v>APAGADO</v>
      </c>
      <c r="AB286" t="str">
        <f>'RESUMEN TOTAL'!AK289</f>
        <v>APAGADO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  <c r="AJ286" t="e">
        <f>'RESUMEN TOTAL'!#REF!</f>
        <v>#REF!</v>
      </c>
    </row>
    <row r="287" spans="1:36" x14ac:dyDescent="0.25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  <c r="AJ287" t="e">
        <f>'RESUMEN TOTAL'!#REF!</f>
        <v>#REF!</v>
      </c>
    </row>
    <row r="288" spans="1:36" x14ac:dyDescent="0.25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 t="str">
        <f>'RESUMEN TOTAL'!O291</f>
        <v>APAGADO</v>
      </c>
      <c r="G288">
        <f>'RESUMEN TOTAL'!P291</f>
        <v>0</v>
      </c>
      <c r="H288">
        <f>'RESUMEN TOTAL'!Q291</f>
        <v>0</v>
      </c>
      <c r="I288" t="str">
        <f>'RESUMEN TOTAL'!R291</f>
        <v>APAGADO</v>
      </c>
      <c r="J288" t="str">
        <f>'RESUMEN TOTAL'!S291</f>
        <v>APAGADO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  <c r="AJ288" t="e">
        <f>'RESUMEN TOTAL'!#REF!</f>
        <v>#REF!</v>
      </c>
    </row>
    <row r="289" spans="1:36" x14ac:dyDescent="0.25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 t="str">
        <f>'RESUMEN TOTAL'!O292</f>
        <v>APAGADO</v>
      </c>
      <c r="G289">
        <f>'RESUMEN TOTAL'!P292</f>
        <v>0</v>
      </c>
      <c r="H289">
        <f>'RESUMEN TOTAL'!Q292</f>
        <v>0</v>
      </c>
      <c r="I289" t="str">
        <f>'RESUMEN TOTAL'!R292</f>
        <v>APAGADO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  <c r="AJ289" t="e">
        <f>'RESUMEN TOTAL'!#REF!</f>
        <v>#REF!</v>
      </c>
    </row>
    <row r="290" spans="1:36" x14ac:dyDescent="0.25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 t="str">
        <f>'RESUMEN TOTAL'!O293</f>
        <v>APAGADO</v>
      </c>
      <c r="G290">
        <f>'RESUMEN TOTAL'!P293</f>
        <v>0</v>
      </c>
      <c r="H290">
        <f>'RESUMEN TOTAL'!Q293</f>
        <v>0</v>
      </c>
      <c r="I290" t="str">
        <f>'RESUMEN TOTAL'!R293</f>
        <v>APAGADO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  <c r="AJ290" t="e">
        <f>'RESUMEN TOTAL'!#REF!</f>
        <v>#REF!</v>
      </c>
    </row>
    <row r="291" spans="1:36" x14ac:dyDescent="0.25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 t="str">
        <f>'RESUMEN TOTAL'!O294</f>
        <v>APAGADO</v>
      </c>
      <c r="G291">
        <f>'RESUMEN TOTAL'!P294</f>
        <v>0</v>
      </c>
      <c r="H291">
        <f>'RESUMEN TOTAL'!Q294</f>
        <v>0</v>
      </c>
      <c r="I291" t="str">
        <f>'RESUMEN TOTAL'!R294</f>
        <v>APAGADO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  <c r="AJ291" t="e">
        <f>'RESUMEN TOTAL'!#REF!</f>
        <v>#REF!</v>
      </c>
    </row>
    <row r="292" spans="1:36" x14ac:dyDescent="0.25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 t="str">
        <f>'RESUMEN TOTAL'!O295</f>
        <v>APAGADO</v>
      </c>
      <c r="G292">
        <f>'RESUMEN TOTAL'!P295</f>
        <v>0</v>
      </c>
      <c r="H292">
        <f>'RESUMEN TOTAL'!Q295</f>
        <v>0</v>
      </c>
      <c r="I292" t="str">
        <f>'RESUMEN TOTAL'!R295</f>
        <v>APAGADO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  <c r="AJ292" t="e">
        <f>'RESUMEN TOTAL'!#REF!</f>
        <v>#REF!</v>
      </c>
    </row>
    <row r="293" spans="1:36" x14ac:dyDescent="0.25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 t="str">
        <f>'RESUMEN TOTAL'!O296</f>
        <v>APAGADO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 t="str">
        <f>'RESUMEN TOTAL'!U296</f>
        <v>APAGADO</v>
      </c>
      <c r="M293" t="str">
        <f>'RESUMEN TOTAL'!V296</f>
        <v>APAGADO</v>
      </c>
      <c r="N293" t="str">
        <f>'RESUMEN TOTAL'!W296</f>
        <v>APAGADO</v>
      </c>
      <c r="O293" t="str">
        <f>'RESUMEN TOTAL'!X296</f>
        <v>APAGADO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 t="str">
        <f>'RESUMEN TOTAL'!AG296</f>
        <v>APAGADO</v>
      </c>
      <c r="Y293" t="str">
        <f>'RESUMEN TOTAL'!AH296</f>
        <v>APAGADO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  <c r="AJ293" t="e">
        <f>'RESUMEN TOTAL'!#REF!</f>
        <v>#REF!</v>
      </c>
    </row>
    <row r="294" spans="1:36" x14ac:dyDescent="0.25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 t="str">
        <f>'RESUMEN TOTAL'!O297</f>
        <v>APAGADO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 t="str">
        <f>'RESUMEN TOTAL'!V297</f>
        <v>APAGADO</v>
      </c>
      <c r="N294" t="str">
        <f>'RESUMEN TOTAL'!W297</f>
        <v>APAGADO</v>
      </c>
      <c r="O294" t="str">
        <f>'RESUMEN TOTAL'!X297</f>
        <v>APAGADO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  <c r="AJ294" t="e">
        <f>'RESUMEN TOTAL'!#REF!</f>
        <v>#REF!</v>
      </c>
    </row>
    <row r="295" spans="1:36" x14ac:dyDescent="0.25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  <c r="AJ295" t="e">
        <f>'RESUMEN TOTAL'!#REF!</f>
        <v>#REF!</v>
      </c>
    </row>
    <row r="296" spans="1:36" x14ac:dyDescent="0.25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  <c r="AJ296" t="e">
        <f>'RESUMEN TOTAL'!#REF!</f>
        <v>#REF!</v>
      </c>
    </row>
    <row r="297" spans="1:36" x14ac:dyDescent="0.25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>
        <f>'RESUMEN TOTAL'!R300</f>
        <v>0</v>
      </c>
      <c r="J297">
        <f>'RESUMEN TOTAL'!S300</f>
        <v>0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  <c r="AJ297" t="e">
        <f>'RESUMEN TOTAL'!#REF!</f>
        <v>#REF!</v>
      </c>
    </row>
    <row r="298" spans="1:36" x14ac:dyDescent="0.25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  <c r="AJ298" t="e">
        <f>'RESUMEN TOTAL'!#REF!</f>
        <v>#REF!</v>
      </c>
    </row>
    <row r="299" spans="1:36" x14ac:dyDescent="0.25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  <c r="AJ299" t="e">
        <f>'RESUMEN TOTAL'!#REF!</f>
        <v>#REF!</v>
      </c>
    </row>
    <row r="300" spans="1:36" x14ac:dyDescent="0.25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>
        <f>'RESUMEN TOTAL'!P303</f>
        <v>0</v>
      </c>
      <c r="H300">
        <f>'RESUMEN TOTAL'!Q303</f>
        <v>0</v>
      </c>
      <c r="I300" t="str">
        <f>'RESUMEN TOTAL'!R303</f>
        <v>APAGADO</v>
      </c>
      <c r="J300" t="str">
        <f>'RESUMEN TOTAL'!S303</f>
        <v>APAGADO</v>
      </c>
      <c r="K300" t="str">
        <f>'RESUMEN TOTAL'!T303</f>
        <v>APAGADO</v>
      </c>
      <c r="L300" t="str">
        <f>'RESUMEN TOTAL'!U303</f>
        <v>APAGADO</v>
      </c>
      <c r="M300" t="str">
        <f>'RESUMEN TOTAL'!V303</f>
        <v>APAGADO</v>
      </c>
      <c r="N300" t="str">
        <f>'RESUMEN TOTAL'!W303</f>
        <v>APAGADO</v>
      </c>
      <c r="O300" t="str">
        <f>'RESUMEN TOTAL'!X303</f>
        <v>APAGADO</v>
      </c>
      <c r="P300" t="str">
        <f>'RESUMEN TOTAL'!Y303</f>
        <v>APAGADO</v>
      </c>
      <c r="Q300" t="str">
        <f>'RESUMEN TOTAL'!Z303</f>
        <v>APAGADO</v>
      </c>
      <c r="R300" t="str">
        <f>'RESUMEN TOTAL'!AA303</f>
        <v>APAGADO</v>
      </c>
      <c r="S300" t="str">
        <f>'RESUMEN TOTAL'!AB303</f>
        <v>APAGADO</v>
      </c>
      <c r="T300" t="str">
        <f>'RESUMEN TOTAL'!AC303</f>
        <v>APAGADO</v>
      </c>
      <c r="U300" t="str">
        <f>'RESUMEN TOTAL'!AD303</f>
        <v>APAGADO</v>
      </c>
      <c r="V300" t="str">
        <f>'RESUMEN TOTAL'!AE303</f>
        <v>APAGADO</v>
      </c>
      <c r="W300" t="str">
        <f>'RESUMEN TOTAL'!AF303</f>
        <v>APAGADO</v>
      </c>
      <c r="X300" t="str">
        <f>'RESUMEN TOTAL'!AG303</f>
        <v>APAGADO</v>
      </c>
      <c r="Y300" t="str">
        <f>'RESUMEN TOTAL'!AH303</f>
        <v>APAGADO</v>
      </c>
      <c r="Z300" t="str">
        <f>'RESUMEN TOTAL'!AI303</f>
        <v>APAGADO</v>
      </c>
      <c r="AA300" t="str">
        <f>'RESUMEN TOTAL'!AJ303</f>
        <v>APAGADO</v>
      </c>
      <c r="AB300" t="str">
        <f>'RESUMEN TOTAL'!AK303</f>
        <v>APAGADO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  <c r="AJ300" t="e">
        <f>'RESUMEN TOTAL'!#REF!</f>
        <v>#REF!</v>
      </c>
    </row>
    <row r="301" spans="1:36" x14ac:dyDescent="0.25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  <c r="AJ301" t="e">
        <f>'RESUMEN TOTAL'!#REF!</f>
        <v>#REF!</v>
      </c>
    </row>
    <row r="302" spans="1:36" x14ac:dyDescent="0.25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  <c r="AJ302" t="e">
        <f>'RESUMEN TOTAL'!#REF!</f>
        <v>#REF!</v>
      </c>
    </row>
    <row r="303" spans="1:36" x14ac:dyDescent="0.25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  <c r="AJ303" t="e">
        <f>'RESUMEN TOTAL'!#REF!</f>
        <v>#REF!</v>
      </c>
    </row>
    <row r="304" spans="1:36" x14ac:dyDescent="0.25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  <c r="AJ304" t="e">
        <f>'RESUMEN TOTAL'!#REF!</f>
        <v>#REF!</v>
      </c>
    </row>
    <row r="305" spans="1:36" x14ac:dyDescent="0.25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>
        <f>'RESUMEN TOTAL'!R308</f>
        <v>0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  <c r="AJ305" t="e">
        <f>'RESUMEN TOTAL'!#REF!</f>
        <v>#REF!</v>
      </c>
    </row>
    <row r="306" spans="1:36" x14ac:dyDescent="0.25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 t="str">
        <f>'RESUMEN TOTAL'!U309</f>
        <v>APAGADO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 t="str">
        <f>'RESUMEN TOTAL'!AG309</f>
        <v>APAGADO</v>
      </c>
      <c r="Y306" t="str">
        <f>'RESUMEN TOTAL'!AH309</f>
        <v>APAGADO</v>
      </c>
      <c r="Z306" t="str">
        <f>'RESUMEN TOTAL'!AI309</f>
        <v>APAGADO</v>
      </c>
      <c r="AA306" t="str">
        <f>'RESUMEN TOTAL'!AJ309</f>
        <v>APAGADO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  <c r="AJ306" t="e">
        <f>'RESUMEN TOTAL'!#REF!</f>
        <v>#REF!</v>
      </c>
    </row>
    <row r="307" spans="1:36" x14ac:dyDescent="0.25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 t="str">
        <f>'RESUMEN TOTAL'!AG310</f>
        <v>APAGADO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  <c r="AJ307" t="e">
        <f>'RESUMEN TOTAL'!#REF!</f>
        <v>#REF!</v>
      </c>
    </row>
    <row r="308" spans="1:36" x14ac:dyDescent="0.25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  <c r="AJ308" t="e">
        <f>'RESUMEN TOTAL'!#REF!</f>
        <v>#REF!</v>
      </c>
    </row>
    <row r="309" spans="1:36" x14ac:dyDescent="0.25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  <c r="AJ309" t="e">
        <f>'RESUMEN TOTAL'!#REF!</f>
        <v>#REF!</v>
      </c>
    </row>
    <row r="310" spans="1:36" x14ac:dyDescent="0.25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  <c r="AJ310" t="e">
        <f>'RESUMEN TOTAL'!#REF!</f>
        <v>#REF!</v>
      </c>
    </row>
    <row r="311" spans="1:36" x14ac:dyDescent="0.25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  <c r="AJ311" t="e">
        <f>'RESUMEN TOTAL'!#REF!</f>
        <v>#REF!</v>
      </c>
    </row>
    <row r="312" spans="1:36" x14ac:dyDescent="0.25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  <c r="AJ312" t="e">
        <f>'RESUMEN TOTAL'!#REF!</f>
        <v>#REF!</v>
      </c>
    </row>
    <row r="313" spans="1:36" x14ac:dyDescent="0.25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  <c r="AJ313" t="e">
        <f>'RESUMEN TOTAL'!#REF!</f>
        <v>#REF!</v>
      </c>
    </row>
    <row r="314" spans="1:36" x14ac:dyDescent="0.25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  <c r="AJ314" t="e">
        <f>'RESUMEN TOTAL'!#REF!</f>
        <v>#REF!</v>
      </c>
    </row>
    <row r="315" spans="1:36" x14ac:dyDescent="0.25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  <c r="AJ315" t="e">
        <f>'RESUMEN TOTAL'!#REF!</f>
        <v>#REF!</v>
      </c>
    </row>
    <row r="316" spans="1:36" x14ac:dyDescent="0.25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  <c r="AJ316" t="e">
        <f>'RESUMEN TOTAL'!#REF!</f>
        <v>#REF!</v>
      </c>
    </row>
    <row r="317" spans="1:36" x14ac:dyDescent="0.25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  <c r="AJ317" t="e">
        <f>'RESUMEN TOTAL'!#REF!</f>
        <v>#REF!</v>
      </c>
    </row>
    <row r="318" spans="1:36" x14ac:dyDescent="0.25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 t="str">
        <f>'RESUMEN TOTAL'!Y321</f>
        <v>APAGADO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  <c r="AJ318" t="e">
        <f>'RESUMEN TOTAL'!#REF!</f>
        <v>#REF!</v>
      </c>
    </row>
    <row r="319" spans="1:36" x14ac:dyDescent="0.25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  <c r="AJ319" t="e">
        <f>'RESUMEN TOTAL'!#REF!</f>
        <v>#REF!</v>
      </c>
    </row>
    <row r="320" spans="1:36" x14ac:dyDescent="0.25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  <c r="AJ320" t="e">
        <f>'RESUMEN TOTAL'!#REF!</f>
        <v>#REF!</v>
      </c>
    </row>
    <row r="321" spans="1:36" x14ac:dyDescent="0.25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 t="str">
        <f>'RESUMEN TOTAL'!Y324</f>
        <v>APAGADO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  <c r="AJ321" t="e">
        <f>'RESUMEN TOTAL'!#REF!</f>
        <v>#REF!</v>
      </c>
    </row>
    <row r="322" spans="1:36" x14ac:dyDescent="0.25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 t="str">
        <f>'RESUMEN TOTAL'!AG325</f>
        <v>APAGADO</v>
      </c>
      <c r="Y322" t="str">
        <f>'RESUMEN TOTAL'!AH325</f>
        <v>APAGADO</v>
      </c>
      <c r="Z322" t="str">
        <f>'RESUMEN TOTAL'!AI325</f>
        <v>APAGADO</v>
      </c>
      <c r="AA322">
        <f>'RESUMEN TOTAL'!AJ325</f>
        <v>0</v>
      </c>
      <c r="AB322" t="str">
        <f>'RESUMEN TOTAL'!AK325</f>
        <v>APAGADO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  <c r="AJ322" t="e">
        <f>'RESUMEN TOTAL'!#REF!</f>
        <v>#REF!</v>
      </c>
    </row>
    <row r="323" spans="1:36" x14ac:dyDescent="0.25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  <c r="AJ323" t="e">
        <f>'RESUMEN TOTAL'!#REF!</f>
        <v>#REF!</v>
      </c>
    </row>
    <row r="324" spans="1:36" x14ac:dyDescent="0.25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 t="str">
        <f>'RESUMEN TOTAL'!U327</f>
        <v>APAGADO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 t="str">
        <f>'RESUMEN TOTAL'!AG327</f>
        <v>APAGADO</v>
      </c>
      <c r="Y324" t="str">
        <f>'RESUMEN TOTAL'!AH327</f>
        <v>APAGADO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  <c r="AJ324" t="e">
        <f>'RESUMEN TOTAL'!#REF!</f>
        <v>#REF!</v>
      </c>
    </row>
    <row r="325" spans="1:36" x14ac:dyDescent="0.25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  <c r="AJ325" t="e">
        <f>'RESUMEN TOTAL'!#REF!</f>
        <v>#REF!</v>
      </c>
    </row>
    <row r="326" spans="1:36" x14ac:dyDescent="0.25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  <c r="AJ326" t="e">
        <f>'RESUMEN TOTAL'!#REF!</f>
        <v>#REF!</v>
      </c>
    </row>
    <row r="327" spans="1:36" x14ac:dyDescent="0.25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  <c r="AJ327" t="e">
        <f>'RESUMEN TOTAL'!#REF!</f>
        <v>#REF!</v>
      </c>
    </row>
    <row r="328" spans="1:36" x14ac:dyDescent="0.25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  <c r="AJ328" t="e">
        <f>'RESUMEN TOTAL'!#REF!</f>
        <v>#REF!</v>
      </c>
    </row>
    <row r="329" spans="1:36" x14ac:dyDescent="0.25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  <c r="AJ329" t="e">
        <f>'RESUMEN TOTAL'!#REF!</f>
        <v>#REF!</v>
      </c>
    </row>
    <row r="330" spans="1:36" x14ac:dyDescent="0.25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 t="str">
        <f>'RESUMEN TOTAL'!Y333</f>
        <v>APAGADO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  <c r="AJ330" t="e">
        <f>'RESUMEN TOTAL'!#REF!</f>
        <v>#REF!</v>
      </c>
    </row>
    <row r="331" spans="1:36" x14ac:dyDescent="0.25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 t="str">
        <f>'RESUMEN TOTAL'!AG334</f>
        <v>APAGADO</v>
      </c>
      <c r="Y331" t="str">
        <f>'RESUMEN TOTAL'!AH334</f>
        <v>APAGADO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  <c r="AJ331" t="e">
        <f>'RESUMEN TOTAL'!#REF!</f>
        <v>#REF!</v>
      </c>
    </row>
    <row r="332" spans="1:36" x14ac:dyDescent="0.25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  <c r="AJ332" t="e">
        <f>'RESUMEN TOTAL'!#REF!</f>
        <v>#REF!</v>
      </c>
    </row>
    <row r="333" spans="1:36" x14ac:dyDescent="0.25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  <c r="AJ333" t="e">
        <f>'RESUMEN TOTAL'!#REF!</f>
        <v>#REF!</v>
      </c>
    </row>
    <row r="334" spans="1:36" x14ac:dyDescent="0.25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>
        <f>'RESUMEN TOTAL'!O337</f>
        <v>0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  <c r="AJ334" t="e">
        <f>'RESUMEN TOTAL'!#REF!</f>
        <v>#REF!</v>
      </c>
    </row>
    <row r="335" spans="1:36" x14ac:dyDescent="0.25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>
        <f>'RESUMEN TOTAL'!O338</f>
        <v>0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  <c r="AJ335" t="e">
        <f>'RESUMEN TOTAL'!#REF!</f>
        <v>#REF!</v>
      </c>
    </row>
    <row r="336" spans="1:36" x14ac:dyDescent="0.25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 t="str">
        <f>'RESUMEN TOTAL'!Y339</f>
        <v>APAGADO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  <c r="AJ336" t="e">
        <f>'RESUMEN TOTAL'!#REF!</f>
        <v>#REF!</v>
      </c>
    </row>
    <row r="337" spans="1:36" x14ac:dyDescent="0.25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  <c r="AJ337" t="e">
        <f>'RESUMEN TOTAL'!#REF!</f>
        <v>#REF!</v>
      </c>
    </row>
    <row r="338" spans="1:36" x14ac:dyDescent="0.25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  <c r="AJ338" t="e">
        <f>'RESUMEN TOTAL'!#REF!</f>
        <v>#REF!</v>
      </c>
    </row>
    <row r="339" spans="1:36" x14ac:dyDescent="0.25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  <c r="AJ339" t="e">
        <f>'RESUMEN TOTAL'!#REF!</f>
        <v>#REF!</v>
      </c>
    </row>
    <row r="340" spans="1:36" x14ac:dyDescent="0.25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 t="str">
        <f>'RESUMEN TOTAL'!AA343</f>
        <v>APAGADO</v>
      </c>
      <c r="S340" t="str">
        <f>'RESUMEN TOTAL'!AB343</f>
        <v>APAGADO</v>
      </c>
      <c r="T340" t="str">
        <f>'RESUMEN TOTAL'!AC343</f>
        <v>APAGADO</v>
      </c>
      <c r="U340" t="str">
        <f>'RESUMEN TOTAL'!AD343</f>
        <v>APAGADO</v>
      </c>
      <c r="V340" t="str">
        <f>'RESUMEN TOTAL'!AE343</f>
        <v>APAGADO</v>
      </c>
      <c r="W340" t="str">
        <f>'RESUMEN TOTAL'!AF343</f>
        <v>APAGADO</v>
      </c>
      <c r="X340" t="str">
        <f>'RESUMEN TOTAL'!AG343</f>
        <v>APAGADO</v>
      </c>
      <c r="Y340" t="str">
        <f>'RESUMEN TOTAL'!AH343</f>
        <v>APAGADO</v>
      </c>
      <c r="Z340" t="str">
        <f>'RESUMEN TOTAL'!AI343</f>
        <v>APAGADO</v>
      </c>
      <c r="AA340" t="str">
        <f>'RESUMEN TOTAL'!AJ343</f>
        <v>APAGADO</v>
      </c>
      <c r="AB340" t="str">
        <f>'RESUMEN TOTAL'!AK343</f>
        <v>APAGADO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  <c r="AJ340" t="e">
        <f>'RESUMEN TOTAL'!#REF!</f>
        <v>#REF!</v>
      </c>
    </row>
    <row r="341" spans="1:36" x14ac:dyDescent="0.25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  <c r="AJ341" t="e">
        <f>'RESUMEN TOTAL'!#REF!</f>
        <v>#REF!</v>
      </c>
    </row>
    <row r="342" spans="1:36" x14ac:dyDescent="0.25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  <c r="AJ342" t="e">
        <f>'RESUMEN TOTAL'!#REF!</f>
        <v>#REF!</v>
      </c>
    </row>
    <row r="343" spans="1:36" x14ac:dyDescent="0.25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  <c r="AJ343" t="e">
        <f>'RESUMEN TOTAL'!#REF!</f>
        <v>#REF!</v>
      </c>
    </row>
    <row r="344" spans="1:36" x14ac:dyDescent="0.25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  <c r="AJ344" t="e">
        <f>'RESUMEN TOTAL'!#REF!</f>
        <v>#REF!</v>
      </c>
    </row>
    <row r="345" spans="1:36" x14ac:dyDescent="0.25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>
        <f>'RESUMEN TOTAL'!P348</f>
        <v>0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  <c r="AJ345" t="e">
        <f>'RESUMEN TOTAL'!#REF!</f>
        <v>#REF!</v>
      </c>
    </row>
    <row r="346" spans="1:36" x14ac:dyDescent="0.25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  <c r="AJ346" t="e">
        <f>'RESUMEN TOTAL'!#REF!</f>
        <v>#REF!</v>
      </c>
    </row>
    <row r="347" spans="1:36" x14ac:dyDescent="0.25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  <c r="AJ347" t="e">
        <f>'RESUMEN TOTAL'!#REF!</f>
        <v>#REF!</v>
      </c>
    </row>
    <row r="348" spans="1:36" x14ac:dyDescent="0.25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  <c r="AJ348" t="e">
        <f>'RESUMEN TOTAL'!#REF!</f>
        <v>#REF!</v>
      </c>
    </row>
    <row r="349" spans="1:36" x14ac:dyDescent="0.25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>
        <f>'RESUMEN TOTAL'!P352</f>
        <v>0</v>
      </c>
      <c r="H349">
        <f>'RESUMEN TOTAL'!Q352</f>
        <v>0</v>
      </c>
      <c r="I349" t="str">
        <f>'RESUMEN TOTAL'!R352</f>
        <v>APAGADO</v>
      </c>
      <c r="J349" t="str">
        <f>'RESUMEN TOTAL'!S352</f>
        <v>APAGADO</v>
      </c>
      <c r="K349" t="str">
        <f>'RESUMEN TOTAL'!T352</f>
        <v>APAGADO</v>
      </c>
      <c r="L349" t="str">
        <f>'RESUMEN TOTAL'!U352</f>
        <v>APAGADO</v>
      </c>
      <c r="M349" t="str">
        <f>'RESUMEN TOTAL'!V352</f>
        <v>APAGADO</v>
      </c>
      <c r="N349" t="str">
        <f>'RESUMEN TOTAL'!W352</f>
        <v>APAGADO</v>
      </c>
      <c r="O349" t="str">
        <f>'RESUMEN TOTAL'!X352</f>
        <v>APAGADO</v>
      </c>
      <c r="P349" t="str">
        <f>'RESUMEN TOTAL'!Y352</f>
        <v>APAGADO</v>
      </c>
      <c r="Q349" t="str">
        <f>'RESUMEN TOTAL'!Z352</f>
        <v>APAGADO</v>
      </c>
      <c r="R349" t="str">
        <f>'RESUMEN TOTAL'!AA352</f>
        <v>APAGADO</v>
      </c>
      <c r="S349" t="str">
        <f>'RESUMEN TOTAL'!AB352</f>
        <v>APAGADO</v>
      </c>
      <c r="T349" t="str">
        <f>'RESUMEN TOTAL'!AC352</f>
        <v>APAGADO</v>
      </c>
      <c r="U349" t="str">
        <f>'RESUMEN TOTAL'!AD352</f>
        <v>APAGADO</v>
      </c>
      <c r="V349" t="str">
        <f>'RESUMEN TOTAL'!AE352</f>
        <v>APAGADO</v>
      </c>
      <c r="W349" t="str">
        <f>'RESUMEN TOTAL'!AF352</f>
        <v>APAGADO</v>
      </c>
      <c r="X349" t="str">
        <f>'RESUMEN TOTAL'!AG352</f>
        <v>APAGADO</v>
      </c>
      <c r="Y349" t="str">
        <f>'RESUMEN TOTAL'!AH352</f>
        <v>APAGADO</v>
      </c>
      <c r="Z349" t="str">
        <f>'RESUMEN TOTAL'!AI352</f>
        <v>APAGADO</v>
      </c>
      <c r="AA349" t="str">
        <f>'RESUMEN TOTAL'!AJ352</f>
        <v>APAGADO</v>
      </c>
      <c r="AB349" t="str">
        <f>'RESUMEN TOTAL'!AK352</f>
        <v>APAGADO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  <c r="AJ349" t="e">
        <f>'RESUMEN TOTAL'!#REF!</f>
        <v>#REF!</v>
      </c>
    </row>
    <row r="350" spans="1:36" x14ac:dyDescent="0.25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  <c r="AJ350" t="e">
        <f>'RESUMEN TOTAL'!#REF!</f>
        <v>#REF!</v>
      </c>
    </row>
    <row r="351" spans="1:36" x14ac:dyDescent="0.25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  <c r="AJ351" t="e">
        <f>'RESUMEN TOTAL'!#REF!</f>
        <v>#REF!</v>
      </c>
    </row>
    <row r="352" spans="1:36" x14ac:dyDescent="0.25">
      <c r="A352">
        <f>'RESUMEN TOTAL'!A355</f>
        <v>0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>
        <f>'RESUMEN TOTAL'!F355</f>
        <v>0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 t="str">
        <f>'RESUMEN TOTAL'!W355</f>
        <v>APAGADO</v>
      </c>
      <c r="O352" t="str">
        <f>'RESUMEN TOTAL'!X355</f>
        <v>APAGADO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 t="str">
        <f>'RESUMEN TOTAL'!AB355</f>
        <v>APAGADO</v>
      </c>
      <c r="T352" t="str">
        <f>'RESUMEN TOTAL'!AC355</f>
        <v>APAGADO</v>
      </c>
      <c r="U352" t="str">
        <f>'RESUMEN TOTAL'!AD355</f>
        <v>APAGADO</v>
      </c>
      <c r="V352" t="str">
        <f>'RESUMEN TOTAL'!AE355</f>
        <v>APAGADO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  <c r="AJ352" t="e">
        <f>'RESUMEN TOTAL'!#REF!</f>
        <v>#REF!</v>
      </c>
    </row>
    <row r="353" spans="1:36" x14ac:dyDescent="0.25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  <c r="AJ353" t="e">
        <f>'RESUMEN TOTAL'!#REF!</f>
        <v>#REF!</v>
      </c>
    </row>
    <row r="354" spans="1:36" x14ac:dyDescent="0.25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  <c r="AJ354" t="e">
        <f>'RESUMEN TOTAL'!#REF!</f>
        <v>#REF!</v>
      </c>
    </row>
    <row r="355" spans="1:36" x14ac:dyDescent="0.25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 t="str">
        <f>'RESUMEN TOTAL'!O358</f>
        <v>APAGADO</v>
      </c>
      <c r="G355">
        <f>'RESUMEN TOTAL'!P358</f>
        <v>0</v>
      </c>
      <c r="H355">
        <f>'RESUMEN TOTAL'!Q358</f>
        <v>0</v>
      </c>
      <c r="I355" t="str">
        <f>'RESUMEN TOTAL'!R358</f>
        <v>APAGADO</v>
      </c>
      <c r="J355" t="str">
        <f>'RESUMEN TOTAL'!S358</f>
        <v>APAGADO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  <c r="AJ355" t="e">
        <f>'RESUMEN TOTAL'!#REF!</f>
        <v>#REF!</v>
      </c>
    </row>
    <row r="356" spans="1:36" x14ac:dyDescent="0.25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>
        <f>'RESUMEN TOTAL'!O359</f>
        <v>0</v>
      </c>
      <c r="G356">
        <f>'RESUMEN TOTAL'!P359</f>
        <v>0</v>
      </c>
      <c r="H356">
        <f>'RESUMEN TOTAL'!Q359</f>
        <v>0</v>
      </c>
      <c r="I356">
        <f>'RESUMEN TOTAL'!R359</f>
        <v>0</v>
      </c>
      <c r="J356">
        <f>'RESUMEN TOTAL'!S359</f>
        <v>0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  <c r="AJ356" t="e">
        <f>'RESUMEN TOTAL'!#REF!</f>
        <v>#REF!</v>
      </c>
    </row>
    <row r="357" spans="1:36" x14ac:dyDescent="0.25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>
        <f>'RESUMEN TOTAL'!O360</f>
        <v>0</v>
      </c>
      <c r="G357">
        <f>'RESUMEN TOTAL'!P360</f>
        <v>0</v>
      </c>
      <c r="H357">
        <f>'RESUMEN TOTAL'!Q360</f>
        <v>0</v>
      </c>
      <c r="I357">
        <f>'RESUMEN TOTAL'!R360</f>
        <v>0</v>
      </c>
      <c r="J357">
        <f>'RESUMEN TOTAL'!S360</f>
        <v>0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  <c r="AJ357" t="e">
        <f>'RESUMEN TOTAL'!#REF!</f>
        <v>#REF!</v>
      </c>
    </row>
    <row r="358" spans="1:36" x14ac:dyDescent="0.25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>
        <f>'RESUMEN TOTAL'!O361</f>
        <v>0</v>
      </c>
      <c r="G358">
        <f>'RESUMEN TOTAL'!P361</f>
        <v>0</v>
      </c>
      <c r="H358">
        <f>'RESUMEN TOTAL'!Q361</f>
        <v>0</v>
      </c>
      <c r="I358">
        <f>'RESUMEN TOTAL'!R361</f>
        <v>0</v>
      </c>
      <c r="J358">
        <f>'RESUMEN TOTAL'!S361</f>
        <v>0</v>
      </c>
      <c r="K358">
        <f>'RESUMEN TOTAL'!T361</f>
        <v>0</v>
      </c>
      <c r="L358">
        <f>'RESUMEN TOTAL'!U361</f>
        <v>0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  <c r="AJ358" t="e">
        <f>'RESUMEN TOTAL'!#REF!</f>
        <v>#REF!</v>
      </c>
    </row>
    <row r="359" spans="1:36" x14ac:dyDescent="0.25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>
        <f>'RESUMEN TOTAL'!O362</f>
        <v>0</v>
      </c>
      <c r="G359">
        <f>'RESUMEN TOTAL'!P362</f>
        <v>0</v>
      </c>
      <c r="H359">
        <f>'RESUMEN TOTAL'!Q362</f>
        <v>0</v>
      </c>
      <c r="I359">
        <f>'RESUMEN TOTAL'!R362</f>
        <v>0</v>
      </c>
      <c r="J359">
        <f>'RESUMEN TOTAL'!S362</f>
        <v>0</v>
      </c>
      <c r="K359">
        <f>'RESUMEN TOTAL'!T362</f>
        <v>0</v>
      </c>
      <c r="L359">
        <f>'RESUMEN TOTAL'!U362</f>
        <v>0</v>
      </c>
      <c r="M359">
        <f>'RESUMEN TOTAL'!V362</f>
        <v>0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  <c r="AJ359" t="e">
        <f>'RESUMEN TOTAL'!#REF!</f>
        <v>#REF!</v>
      </c>
    </row>
    <row r="360" spans="1:36" x14ac:dyDescent="0.25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 t="str">
        <f>'RESUMEN TOTAL'!AG363</f>
        <v>APAGADO</v>
      </c>
      <c r="Y360" t="str">
        <f>'RESUMEN TOTAL'!AH363</f>
        <v>APAGADO</v>
      </c>
      <c r="Z360" t="str">
        <f>'RESUMEN TOTAL'!AI363</f>
        <v>APAGADO</v>
      </c>
      <c r="AA360" t="str">
        <f>'RESUMEN TOTAL'!AJ363</f>
        <v>APAGADO</v>
      </c>
      <c r="AB360" t="str">
        <f>'RESUMEN TOTAL'!AK363</f>
        <v>APAGADO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  <c r="AJ360" t="e">
        <f>'RESUMEN TOTAL'!#REF!</f>
        <v>#REF!</v>
      </c>
    </row>
    <row r="361" spans="1:36" x14ac:dyDescent="0.25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  <c r="AJ361" t="e">
        <f>'RESUMEN TOTAL'!#REF!</f>
        <v>#REF!</v>
      </c>
    </row>
    <row r="362" spans="1:36" x14ac:dyDescent="0.25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  <c r="AJ362" t="e">
        <f>'RESUMEN TOTAL'!#REF!</f>
        <v>#REF!</v>
      </c>
    </row>
    <row r="363" spans="1:36" x14ac:dyDescent="0.25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  <c r="AJ363" t="e">
        <f>'RESUMEN TOTAL'!#REF!</f>
        <v>#REF!</v>
      </c>
    </row>
    <row r="364" spans="1:36" x14ac:dyDescent="0.25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  <c r="AJ364" t="e">
        <f>'RESUMEN TOTAL'!#REF!</f>
        <v>#REF!</v>
      </c>
    </row>
    <row r="365" spans="1:36" x14ac:dyDescent="0.25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  <c r="AJ365" t="e">
        <f>'RESUMEN TOTAL'!#REF!</f>
        <v>#REF!</v>
      </c>
    </row>
    <row r="366" spans="1:36" x14ac:dyDescent="0.25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  <c r="AJ366" t="e">
        <f>'RESUMEN TOTAL'!#REF!</f>
        <v>#REF!</v>
      </c>
    </row>
    <row r="367" spans="1:36" x14ac:dyDescent="0.25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  <c r="AJ367" t="e">
        <f>'RESUMEN TOTAL'!#REF!</f>
        <v>#REF!</v>
      </c>
    </row>
    <row r="368" spans="1:36" x14ac:dyDescent="0.25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  <c r="AJ368" t="e">
        <f>'RESUMEN TOTAL'!#REF!</f>
        <v>#REF!</v>
      </c>
    </row>
    <row r="369" spans="1:36" x14ac:dyDescent="0.25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  <c r="AJ369" t="e">
        <f>'RESUMEN TOTAL'!#REF!</f>
        <v>#REF!</v>
      </c>
    </row>
    <row r="370" spans="1:36" x14ac:dyDescent="0.25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  <c r="AJ370" t="e">
        <f>'RESUMEN TOTAL'!#REF!</f>
        <v>#REF!</v>
      </c>
    </row>
    <row r="371" spans="1:36" x14ac:dyDescent="0.25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  <c r="AJ371" t="e">
        <f>'RESUMEN TOTAL'!#REF!</f>
        <v>#REF!</v>
      </c>
    </row>
    <row r="372" spans="1:36" x14ac:dyDescent="0.25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  <c r="AJ372" t="e">
        <f>'RESUMEN TOTAL'!#REF!</f>
        <v>#REF!</v>
      </c>
    </row>
    <row r="373" spans="1:36" x14ac:dyDescent="0.25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  <c r="AJ373" t="e">
        <f>'RESUMEN TOTAL'!#REF!</f>
        <v>#REF!</v>
      </c>
    </row>
    <row r="374" spans="1:36" x14ac:dyDescent="0.25">
      <c r="A374" t="str">
        <f>'RESUMEN TOTAL'!A377</f>
        <v>CENTRO</v>
      </c>
      <c r="B374" t="str">
        <f>'RESUMEN TOTAL'!C377</f>
        <v>CEN75</v>
      </c>
      <c r="C374" t="str">
        <f>'RESUMEN TOTAL'!D377</f>
        <v>CASTELLI Y 25 DE MAYO</v>
      </c>
      <c r="D374" t="str">
        <f>'RESUMEN TOTAL'!E377</f>
        <v>DOMO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  <c r="AJ374" t="e">
        <f>'RESUMEN TOTAL'!#REF!</f>
        <v>#REF!</v>
      </c>
    </row>
  </sheetData>
  <autoFilter ref="A1:AG365" xr:uid="{37849D3A-3F83-4A0F-9E15-D19BB680405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G379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2" sqref="F2"/>
    </sheetView>
  </sheetViews>
  <sheetFormatPr baseColWidth="10" defaultRowHeight="15" x14ac:dyDescent="0.25"/>
  <cols>
    <col min="5" max="5" width="16.5703125" bestFit="1" customWidth="1"/>
  </cols>
  <sheetData>
    <row r="1" spans="1:33" ht="21" x14ac:dyDescent="0.35">
      <c r="E1" s="26" t="s">
        <v>934</v>
      </c>
      <c r="F1" s="26">
        <f t="shared" ref="F1:AC1" si="0">COUNTIF(F3:F366, "APAGADO")</f>
        <v>38</v>
      </c>
      <c r="G1" s="26">
        <f t="shared" si="0"/>
        <v>0</v>
      </c>
      <c r="H1" s="26">
        <f t="shared" si="0"/>
        <v>0</v>
      </c>
      <c r="I1" s="26">
        <f t="shared" si="0"/>
        <v>36</v>
      </c>
      <c r="J1" s="26">
        <f t="shared" si="0"/>
        <v>32</v>
      </c>
      <c r="K1" s="26">
        <f t="shared" si="0"/>
        <v>25</v>
      </c>
      <c r="L1" s="26">
        <f t="shared" si="0"/>
        <v>34</v>
      </c>
      <c r="M1" s="26">
        <f t="shared" si="0"/>
        <v>25</v>
      </c>
      <c r="N1" s="26">
        <f t="shared" si="0"/>
        <v>27</v>
      </c>
      <c r="O1" s="26">
        <f t="shared" si="0"/>
        <v>27</v>
      </c>
      <c r="P1" s="26">
        <f t="shared" si="0"/>
        <v>43</v>
      </c>
      <c r="Q1" s="26">
        <f t="shared" si="0"/>
        <v>22</v>
      </c>
      <c r="R1" s="26">
        <f t="shared" si="0"/>
        <v>23</v>
      </c>
      <c r="S1" s="26">
        <f t="shared" si="0"/>
        <v>36</v>
      </c>
      <c r="T1" s="26">
        <f t="shared" si="0"/>
        <v>24</v>
      </c>
      <c r="U1" s="26">
        <f t="shared" si="0"/>
        <v>24</v>
      </c>
      <c r="V1" s="26">
        <f t="shared" si="0"/>
        <v>26</v>
      </c>
      <c r="W1" s="26">
        <f>COUNTIF(W3:W447, "APAGADO")</f>
        <v>25</v>
      </c>
      <c r="X1" s="26">
        <f t="shared" si="0"/>
        <v>41</v>
      </c>
      <c r="Y1" s="26">
        <f t="shared" si="0"/>
        <v>37</v>
      </c>
      <c r="Z1" s="26">
        <f t="shared" si="0"/>
        <v>34</v>
      </c>
      <c r="AA1" s="26">
        <f t="shared" si="0"/>
        <v>33</v>
      </c>
      <c r="AB1" s="26">
        <f t="shared" si="0"/>
        <v>27</v>
      </c>
      <c r="AC1" s="26">
        <f t="shared" si="0"/>
        <v>0</v>
      </c>
      <c r="AD1" s="26">
        <f>COUNTIF(AD3:AD366, "APAGADO")</f>
        <v>0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</row>
    <row r="2" spans="1:33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25">
        <f>ESTADISTICA!F1</f>
        <v>44652</v>
      </c>
      <c r="G2" s="25">
        <f>ESTADISTICA!G1</f>
        <v>44653</v>
      </c>
      <c r="H2" s="25">
        <f>ESTADISTICA!H1</f>
        <v>44654</v>
      </c>
      <c r="I2" s="25">
        <f>ESTADISTICA!I1</f>
        <v>44655</v>
      </c>
      <c r="J2" s="25">
        <f>ESTADISTICA!J1</f>
        <v>44656</v>
      </c>
      <c r="K2" s="25">
        <f>ESTADISTICA!K1</f>
        <v>44657</v>
      </c>
      <c r="L2" s="25">
        <f>ESTADISTICA!L1</f>
        <v>44658</v>
      </c>
      <c r="M2" s="25">
        <f>ESTADISTICA!M1</f>
        <v>44659</v>
      </c>
      <c r="N2" s="25">
        <f>ESTADISTICA!N1</f>
        <v>44660</v>
      </c>
      <c r="O2" s="25">
        <f>ESTADISTICA!O1</f>
        <v>44661</v>
      </c>
      <c r="P2" s="25">
        <f>ESTADISTICA!P1</f>
        <v>44662</v>
      </c>
      <c r="Q2" s="25">
        <f>ESTADISTICA!Q1</f>
        <v>44663</v>
      </c>
      <c r="R2" s="25">
        <f>ESTADISTICA!R1</f>
        <v>44664</v>
      </c>
      <c r="S2" s="25">
        <f>ESTADISTICA!S1</f>
        <v>44665</v>
      </c>
      <c r="T2" s="25">
        <f>ESTADISTICA!T1</f>
        <v>44666</v>
      </c>
      <c r="U2" s="25">
        <f>ESTADISTICA!U1</f>
        <v>44667</v>
      </c>
      <c r="V2" s="25">
        <f>ESTADISTICA!V1</f>
        <v>44668</v>
      </c>
      <c r="W2" s="25">
        <f>ESTADISTICA!W1</f>
        <v>44669</v>
      </c>
      <c r="X2" s="25">
        <f>ESTADISTICA!X1</f>
        <v>44670</v>
      </c>
      <c r="Y2" s="25">
        <f>ESTADISTICA!Y1</f>
        <v>44671</v>
      </c>
      <c r="Z2" s="25">
        <f>ESTADISTICA!Z1</f>
        <v>44672</v>
      </c>
      <c r="AA2" s="25">
        <f>ESTADISTICA!AA1</f>
        <v>44673</v>
      </c>
      <c r="AB2" s="25">
        <f>ESTADISTICA!AB1</f>
        <v>44674</v>
      </c>
      <c r="AC2" s="25">
        <f>ESTADISTICA!AC1</f>
        <v>44675</v>
      </c>
      <c r="AD2" s="25">
        <f>ESTADISTICA!AD1</f>
        <v>44676</v>
      </c>
      <c r="AE2" s="25">
        <f>ESTADISTICA!AE1</f>
        <v>44677</v>
      </c>
      <c r="AF2" s="25">
        <f>ESTADISTICA!AF1</f>
        <v>44678</v>
      </c>
      <c r="AG2" s="25">
        <f>ESTADISTICA!AG1</f>
        <v>44679</v>
      </c>
    </row>
    <row r="3" spans="1:33" hidden="1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 t="str">
        <f>ESTADISTICA!J2</f>
        <v>APAGADO</v>
      </c>
      <c r="K3">
        <f>ESTADISTICA!K2</f>
        <v>0</v>
      </c>
      <c r="L3">
        <f>ESTADISTICA!L2</f>
        <v>0</v>
      </c>
      <c r="M3" t="str">
        <f>ESTADISTICA!M2</f>
        <v>APAGADO</v>
      </c>
      <c r="N3" t="str">
        <f>ESTADISTICA!N2</f>
        <v>APAGADO</v>
      </c>
      <c r="O3" t="str">
        <f>ESTADISTICA!O2</f>
        <v>APAGADO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hidden="1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 t="str">
        <f>ESTADISTICA!Q3</f>
        <v>APAGADO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hidden="1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>
        <f>ESTADISTICA!F4</f>
        <v>0</v>
      </c>
      <c r="G5">
        <f>ESTADISTICA!G4</f>
        <v>0</v>
      </c>
      <c r="H5">
        <f>ESTADISTICA!H4</f>
        <v>0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 t="str">
        <f>ESTADISTICA!U4</f>
        <v>APAGADO</v>
      </c>
      <c r="V5">
        <f>ESTADISTICA!V4</f>
        <v>0</v>
      </c>
      <c r="W5" t="str">
        <f>ESTADISTICA!W4</f>
        <v>APAGADO</v>
      </c>
      <c r="X5" t="str">
        <f>ESTADISTICA!X4</f>
        <v>APAGADO</v>
      </c>
      <c r="Y5" t="str">
        <f>ESTADISTICA!Y4</f>
        <v>APAGADO</v>
      </c>
      <c r="Z5" t="str">
        <f>ESTADISTICA!Z4</f>
        <v>APAGADO</v>
      </c>
      <c r="AA5" t="str">
        <f>ESTADISTICA!AA4</f>
        <v>APAGADO</v>
      </c>
      <c r="AB5" t="str">
        <f>ESTADISTICA!AB4</f>
        <v>APAGADO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hidden="1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hidden="1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hidden="1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 t="str">
        <f>ESTADISTICA!L7</f>
        <v>APAGADO</v>
      </c>
      <c r="M8" t="str">
        <f>ESTADISTICA!M7</f>
        <v>APAGADO</v>
      </c>
      <c r="N8" t="str">
        <f>ESTADISTICA!N7</f>
        <v>APAGADO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 t="str">
        <f>ESTADISTICA!S7</f>
        <v>APAGADO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 t="str">
        <f>ESTADISTICA!X7</f>
        <v>APAGADO</v>
      </c>
      <c r="Y8" t="str">
        <f>ESTADISTICA!Y7</f>
        <v>APAGADO</v>
      </c>
      <c r="Z8" t="str">
        <f>ESTADISTICA!Z7</f>
        <v>APAGADO</v>
      </c>
      <c r="AA8" t="str">
        <f>ESTADISTICA!AA7</f>
        <v>APAGADO</v>
      </c>
      <c r="AB8" t="str">
        <f>ESTADISTICA!AB7</f>
        <v>APAGADO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 t="str">
        <f>ESTADISTICA!S8</f>
        <v>APAGADO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 t="str">
        <f>ESTADISTICA!S9</f>
        <v>APAGADO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 t="str">
        <f>ESTADISTICA!X9</f>
        <v>APAGADO</v>
      </c>
      <c r="Y10" t="str">
        <f>ESTADISTICA!Y9</f>
        <v>APAGADO</v>
      </c>
      <c r="Z10" t="str">
        <f>ESTADISTICA!Z9</f>
        <v>APAGADO</v>
      </c>
      <c r="AA10" t="str">
        <f>ESTADISTICA!AA9</f>
        <v>APAGADO</v>
      </c>
      <c r="AB10" t="str">
        <f>ESTADISTICA!AB9</f>
        <v>APAGADO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hidden="1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 t="str">
        <f>ESTADISTICA!S10</f>
        <v>APAGADO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 t="str">
        <f>ESTADISTICA!X10</f>
        <v>APAGADO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hidden="1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 t="str">
        <f>ESTADISTICA!S11</f>
        <v>APAGADO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 t="str">
        <f>ESTADISTICA!X11</f>
        <v>APAGADO</v>
      </c>
      <c r="Y12" t="str">
        <f>ESTADISTICA!Y11</f>
        <v>APAGADO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hidden="1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 t="str">
        <f>ESTADISTICA!S12</f>
        <v>APAGADO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hidden="1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 t="str">
        <f>ESTADISTICA!S13</f>
        <v>APAGADO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hidden="1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 t="str">
        <f>ESTADISTICA!S14</f>
        <v>APAGADO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hidden="1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 t="str">
        <f>ESTADISTICA!S15</f>
        <v>APAGADO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hidden="1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 t="str">
        <f>ESTADISTICA!S17</f>
        <v>APAGADO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 t="str">
        <f>ESTADISTICA!L18</f>
        <v>APAGADO</v>
      </c>
      <c r="M19" t="str">
        <f>ESTADISTICA!M18</f>
        <v>APAGADO</v>
      </c>
      <c r="N19" t="str">
        <f>ESTADISTICA!N18</f>
        <v>APAGADO</v>
      </c>
      <c r="O19" t="str">
        <f>ESTADISTICA!O18</f>
        <v>APAGADO</v>
      </c>
      <c r="P19" t="str">
        <f>ESTADISTICA!P18</f>
        <v>APAGADO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 t="str">
        <f>ESTADISTICA!X18</f>
        <v>APAGADO</v>
      </c>
      <c r="Y19">
        <f>ESTADISTICA!Y18</f>
        <v>0</v>
      </c>
      <c r="Z19" t="str">
        <f>ESTADISTICA!Z18</f>
        <v>APAGADO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hidden="1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 t="str">
        <f>ESTADISTICA!L19</f>
        <v>APAGADO</v>
      </c>
      <c r="M20" t="str">
        <f>ESTADISTICA!M19</f>
        <v>APAGADO</v>
      </c>
      <c r="N20" t="str">
        <f>ESTADISTICA!N19</f>
        <v>APAGADO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 t="str">
        <f>ESTADISTICA!X19</f>
        <v>APAGADO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 t="str">
        <f>ESTADISTICA!L21</f>
        <v>APAGADO</v>
      </c>
      <c r="M22">
        <f>ESTADISTICA!M21</f>
        <v>0</v>
      </c>
      <c r="N22">
        <f>ESTADISTICA!N21</f>
        <v>0</v>
      </c>
      <c r="O22">
        <f>ESTADISTICA!O21</f>
        <v>0</v>
      </c>
      <c r="P22" t="str">
        <f>ESTADISTICA!P21</f>
        <v>APAGADO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 t="str">
        <f>ESTADISTICA!V21</f>
        <v>APAGADO</v>
      </c>
      <c r="W22" t="str">
        <f>ESTADISTICA!W21</f>
        <v>APAGADO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 t="str">
        <f>ESTADISTICA!F27</f>
        <v>APAGADO</v>
      </c>
      <c r="G28">
        <f>ESTADISTICA!G27</f>
        <v>0</v>
      </c>
      <c r="H28">
        <f>ESTADISTICA!H27</f>
        <v>0</v>
      </c>
      <c r="I28" t="str">
        <f>ESTADISTICA!I27</f>
        <v>APAGADO</v>
      </c>
      <c r="J28" t="str">
        <f>ESTADISTICA!J27</f>
        <v>APAGADO</v>
      </c>
      <c r="K28" t="str">
        <f>ESTADISTICA!K27</f>
        <v>APAGADO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 t="str">
        <f>ESTADISTICA!P27</f>
        <v>APAGADO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hidden="1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 t="str">
        <f>ESTADISTICA!W29</f>
        <v>APAGADO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 t="str">
        <f>ESTADISTICA!P36</f>
        <v>APAGADO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 t="str">
        <f>ESTADISTICA!P42</f>
        <v>APAGADO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 t="str">
        <f>ESTADISTICA!I44</f>
        <v>APAGADO</v>
      </c>
      <c r="J45" t="str">
        <f>ESTADISTICA!J44</f>
        <v>APAGADO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 t="str">
        <f>ESTADISTICA!P46</f>
        <v>APAGADO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 t="str">
        <f>ESTADISTICA!P48</f>
        <v>APAGADO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 t="str">
        <f>ESTADISTICA!X50</f>
        <v>APAGADO</v>
      </c>
      <c r="Y51" t="str">
        <f>ESTADISTICA!Y50</f>
        <v>APAGADO</v>
      </c>
      <c r="Z51" t="str">
        <f>ESTADISTICA!Z50</f>
        <v>APAGADO</v>
      </c>
      <c r="AA51" t="str">
        <f>ESTADISTICA!AA50</f>
        <v>APAGADO</v>
      </c>
      <c r="AB51" t="str">
        <f>ESTADISTICA!AB50</f>
        <v>APAGADO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hidden="1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hidden="1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 t="str">
        <f>ESTADISTICA!F59</f>
        <v>APAGADO</v>
      </c>
      <c r="G60">
        <f>ESTADISTICA!G59</f>
        <v>0</v>
      </c>
      <c r="H60">
        <f>ESTADISTICA!H59</f>
        <v>0</v>
      </c>
      <c r="I60" t="str">
        <f>ESTADISTICA!I59</f>
        <v>APAGADO</v>
      </c>
      <c r="J60" t="str">
        <f>ESTADISTICA!J59</f>
        <v>APAGADO</v>
      </c>
      <c r="K60" t="str">
        <f>ESTADISTICA!K59</f>
        <v>APAGADO</v>
      </c>
      <c r="L60" t="str">
        <f>ESTADISTICA!L59</f>
        <v>APAGADO</v>
      </c>
      <c r="M60" t="str">
        <f>ESTADISTICA!M59</f>
        <v>APAGADO</v>
      </c>
      <c r="N60" t="str">
        <f>ESTADISTICA!N59</f>
        <v>APAGADO</v>
      </c>
      <c r="O60" t="str">
        <f>ESTADISTICA!O59</f>
        <v>APAGADO</v>
      </c>
      <c r="P60" t="str">
        <f>ESTADISTICA!P59</f>
        <v>APAGADO</v>
      </c>
      <c r="Q60" t="str">
        <f>ESTADISTICA!Q59</f>
        <v>APAGADO</v>
      </c>
      <c r="R60" t="str">
        <f>ESTADISTICA!R59</f>
        <v>APAGADO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hidden="1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>
        <f>ESTADISTICA!G60</f>
        <v>0</v>
      </c>
      <c r="H61">
        <f>ESTADISTICA!H60</f>
        <v>0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 t="str">
        <f>ESTADISTICA!L60</f>
        <v>APAGADO</v>
      </c>
      <c r="M61" t="str">
        <f>ESTADISTICA!M60</f>
        <v>APAGADO</v>
      </c>
      <c r="N61" t="str">
        <f>ESTADISTICA!N60</f>
        <v>APAGADO</v>
      </c>
      <c r="O61" t="str">
        <f>ESTADISTICA!O60</f>
        <v>APAGADO</v>
      </c>
      <c r="P61" t="str">
        <f>ESTADISTICA!P60</f>
        <v>APAGADO</v>
      </c>
      <c r="Q61" t="str">
        <f>ESTADISTICA!Q60</f>
        <v>APAGADO</v>
      </c>
      <c r="R61" t="str">
        <f>ESTADISTICA!R60</f>
        <v>APAGADO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hidden="1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hidden="1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>
        <f>ESTADISTICA!G62</f>
        <v>0</v>
      </c>
      <c r="H63">
        <f>ESTADISTICA!H62</f>
        <v>0</v>
      </c>
      <c r="I63" t="str">
        <f>ESTADISTICA!I62</f>
        <v>APAGADO</v>
      </c>
      <c r="J63" t="str">
        <f>ESTADISTICA!J62</f>
        <v>APAGADO</v>
      </c>
      <c r="K63" t="str">
        <f>ESTADISTICA!K62</f>
        <v>APAGADO</v>
      </c>
      <c r="L63" t="str">
        <f>ESTADISTICA!L62</f>
        <v>APAGADO</v>
      </c>
      <c r="M63" t="str">
        <f>ESTADISTICA!M62</f>
        <v>APAGADO</v>
      </c>
      <c r="N63" t="str">
        <f>ESTADISTICA!N62</f>
        <v>APAGADO</v>
      </c>
      <c r="O63" t="str">
        <f>ESTADISTICA!O62</f>
        <v>APAGADO</v>
      </c>
      <c r="P63" t="str">
        <f>ESTADISTICA!P62</f>
        <v>APAGADO</v>
      </c>
      <c r="Q63" t="str">
        <f>ESTADISTICA!Q62</f>
        <v>APAGADO</v>
      </c>
      <c r="R63" t="str">
        <f>ESTADISTICA!R62</f>
        <v>APAGADO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hidden="1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 t="str">
        <f>ESTADISTICA!U63</f>
        <v>APAGADO</v>
      </c>
      <c r="V64" t="str">
        <f>ESTADISTICA!V63</f>
        <v>APAGADO</v>
      </c>
      <c r="W64" t="str">
        <f>ESTADISTICA!W63</f>
        <v>APAGADO</v>
      </c>
      <c r="X64" t="str">
        <f>ESTADISTICA!X63</f>
        <v>APAGADO</v>
      </c>
      <c r="Y64" t="str">
        <f>ESTADISTICA!Y63</f>
        <v>APAGADO</v>
      </c>
      <c r="Z64" t="str">
        <f>ESTADISTICA!Z63</f>
        <v>APAGADO</v>
      </c>
      <c r="AA64" t="str">
        <f>ESTADISTICA!AA63</f>
        <v>APAGADO</v>
      </c>
      <c r="AB64" t="str">
        <f>ESTADISTICA!AB63</f>
        <v>APAGADO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hidden="1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>
        <f>ESTADISTICA!G65</f>
        <v>0</v>
      </c>
      <c r="H66">
        <f>ESTADISTICA!H65</f>
        <v>0</v>
      </c>
      <c r="I66" t="str">
        <f>ESTADISTICA!I65</f>
        <v>APAGADO</v>
      </c>
      <c r="J66" t="str">
        <f>ESTADISTICA!J65</f>
        <v>APAGADO</v>
      </c>
      <c r="K66" t="str">
        <f>ESTADISTICA!K65</f>
        <v>APAGADO</v>
      </c>
      <c r="L66" t="str">
        <f>ESTADISTICA!L65</f>
        <v>APAGADO</v>
      </c>
      <c r="M66" t="str">
        <f>ESTADISTICA!M65</f>
        <v>APAGADO</v>
      </c>
      <c r="N66" t="str">
        <f>ESTADISTICA!N65</f>
        <v>APAGADO</v>
      </c>
      <c r="O66" t="str">
        <f>ESTADISTICA!O65</f>
        <v>APAGADO</v>
      </c>
      <c r="P66" t="str">
        <f>ESTADISTICA!P65</f>
        <v>APAGADO</v>
      </c>
      <c r="Q66" t="str">
        <f>ESTADISTICA!Q65</f>
        <v>APAGADO</v>
      </c>
      <c r="R66" t="str">
        <f>ESTADISTICA!R65</f>
        <v>APAGADO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hidden="1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hidden="1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 t="str">
        <f>ESTADISTICA!X70</f>
        <v>APAGADO</v>
      </c>
      <c r="Y71" t="str">
        <f>ESTADISTICA!Y70</f>
        <v>APAGADO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 t="str">
        <f>ESTADISTICA!I75</f>
        <v>APAGADO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>
        <f>ESTADISTICA!G77</f>
        <v>0</v>
      </c>
      <c r="H78">
        <f>ESTADISTICA!H77</f>
        <v>0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 t="str">
        <f>ESTADISTICA!P77</f>
        <v>APAGADO</v>
      </c>
      <c r="Q78" t="str">
        <f>ESTADISTICA!Q77</f>
        <v>APAGADO</v>
      </c>
      <c r="R78" t="str">
        <f>ESTADISTICA!R77</f>
        <v>APAGADO</v>
      </c>
      <c r="S78" t="str">
        <f>ESTADISTICA!S77</f>
        <v>APAGADO</v>
      </c>
      <c r="T78" t="str">
        <f>ESTADISTICA!T77</f>
        <v>APAGADO</v>
      </c>
      <c r="U78" t="str">
        <f>ESTADISTICA!U77</f>
        <v>APAGADO</v>
      </c>
      <c r="V78" t="str">
        <f>ESTADISTICA!V77</f>
        <v>APAGADO</v>
      </c>
      <c r="W78" t="str">
        <f>ESTADISTICA!W77</f>
        <v>APAGADO</v>
      </c>
      <c r="X78" t="str">
        <f>ESTADISTICA!X77</f>
        <v>APAGADO</v>
      </c>
      <c r="Y78" t="str">
        <f>ESTADISTICA!Y77</f>
        <v>APAGADO</v>
      </c>
      <c r="Z78" t="str">
        <f>ESTADISTICA!Z77</f>
        <v>APAGADO</v>
      </c>
      <c r="AA78" t="str">
        <f>ESTADISTICA!AA77</f>
        <v>APAGADO</v>
      </c>
      <c r="AB78" t="str">
        <f>ESTADISTICA!AB77</f>
        <v>APAGADO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hidden="1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 t="str">
        <f>ESTADISTICA!I82</f>
        <v>APAGADO</v>
      </c>
      <c r="J83" t="str">
        <f>ESTADISTICA!J82</f>
        <v>APAGADO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hidden="1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>
        <f>ESTADISTICA!G88</f>
        <v>0</v>
      </c>
      <c r="H89">
        <f>ESTADISTICA!H88</f>
        <v>0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>
        <f>ESTADISTICA!G89</f>
        <v>0</v>
      </c>
      <c r="H90">
        <f>ESTADISTICA!H89</f>
        <v>0</v>
      </c>
      <c r="I90" t="str">
        <f>ESTADISTICA!I89</f>
        <v>APAGADO</v>
      </c>
      <c r="J90" t="str">
        <f>ESTADISTICA!J89</f>
        <v>APAGADO</v>
      </c>
      <c r="K90" t="str">
        <f>ESTADISTICA!K89</f>
        <v>APAGADO</v>
      </c>
      <c r="L90" t="str">
        <f>ESTADISTICA!L89</f>
        <v>APAGADO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hidden="1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 t="str">
        <f>ESTADISTICA!O99</f>
        <v>APAGADO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 t="str">
        <f>ESTADISTICA!V99</f>
        <v>APAGADO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hidden="1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hidden="1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hidden="1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hidden="1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hidden="1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>
        <f>ESTADISTICA!O112</f>
        <v>0</v>
      </c>
      <c r="P113" t="str">
        <f>ESTADISTICA!P112</f>
        <v>APAGADO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 t="str">
        <f>ESTADISTICA!X112</f>
        <v>APAGADO</v>
      </c>
      <c r="Y113" t="str">
        <f>ESTADISTICA!Y112</f>
        <v>APAGADO</v>
      </c>
      <c r="Z113" t="str">
        <f>ESTADISTICA!Z112</f>
        <v>APAGADO</v>
      </c>
      <c r="AA113" t="str">
        <f>ESTADISTICA!AA112</f>
        <v>APAGADO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 t="str">
        <f>ESTADISTICA!P113</f>
        <v>APAGADO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 t="str">
        <f>ESTADISTICA!X113</f>
        <v>APAGADO</v>
      </c>
      <c r="Y114" t="str">
        <f>ESTADISTICA!Y113</f>
        <v>APAGADO</v>
      </c>
      <c r="Z114" t="str">
        <f>ESTADISTICA!Z113</f>
        <v>APAGADO</v>
      </c>
      <c r="AA114" t="str">
        <f>ESTADISTICA!AA113</f>
        <v>APAGADO</v>
      </c>
      <c r="AB114" t="str">
        <f>ESTADISTICA!AB113</f>
        <v>APAGADO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hidden="1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hidden="1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hidden="1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hidden="1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hidden="1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hidden="1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 t="str">
        <f>ESTADISTICA!X121</f>
        <v>APAGADO</v>
      </c>
      <c r="Y122" t="str">
        <f>ESTADISTICA!Y121</f>
        <v>APAGADO</v>
      </c>
      <c r="Z122" t="str">
        <f>ESTADISTICA!Z121</f>
        <v>APAGADO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>
        <f>ESTADISTICA!G130</f>
        <v>0</v>
      </c>
      <c r="H131">
        <f>ESTADISTICA!H130</f>
        <v>0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 t="str">
        <f>ESTADISTICA!Y130</f>
        <v>APAGADO</v>
      </c>
      <c r="Z131" t="str">
        <f>ESTADISTICA!Z130</f>
        <v>APAGADO</v>
      </c>
      <c r="AA131" t="str">
        <f>ESTADISTICA!AA130</f>
        <v>APAGADO</v>
      </c>
      <c r="AB131" t="str">
        <f>ESTADISTICA!AB130</f>
        <v>APAGADO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hidden="1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hidden="1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hidden="1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hidden="1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hidden="1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 t="str">
        <f>ESTADISTICA!F150</f>
        <v>APAGADO</v>
      </c>
      <c r="G151">
        <f>ESTADISTICA!G150</f>
        <v>0</v>
      </c>
      <c r="H151">
        <f>ESTADISTICA!H150</f>
        <v>0</v>
      </c>
      <c r="I151" t="str">
        <f>ESTADISTICA!I150</f>
        <v>APAGADO</v>
      </c>
      <c r="J151" t="str">
        <f>ESTADISTICA!J150</f>
        <v>APAGAD</v>
      </c>
      <c r="K151" t="str">
        <f>ESTADISTICA!K150</f>
        <v>APAGADO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 t="str">
        <f>ESTADISTICA!Z150</f>
        <v>APAGADO</v>
      </c>
      <c r="AA151" t="str">
        <f>ESTADISTICA!AA150</f>
        <v>APAGADO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>
        <f>ESTADISTICA!G153</f>
        <v>0</v>
      </c>
      <c r="H154">
        <f>ESTADISTICA!H153</f>
        <v>0</v>
      </c>
      <c r="I154" t="str">
        <f>ESTADISTICA!I153</f>
        <v>APAGADO</v>
      </c>
      <c r="J154" t="str">
        <f>ESTADISTICA!J153</f>
        <v>APAGADO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 t="str">
        <f>ESTADISTICA!S153</f>
        <v>APAGADO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hidden="1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 t="str">
        <f>ESTADISTICA!P154</f>
        <v>APAGADO</v>
      </c>
      <c r="Q155" t="str">
        <f>ESTADISTICA!Q154</f>
        <v>APAGADO</v>
      </c>
      <c r="R155" t="str">
        <f>ESTADISTICA!R154</f>
        <v>APAGADO</v>
      </c>
      <c r="S155" t="str">
        <f>ESTADISTICA!S154</f>
        <v>APAGADO</v>
      </c>
      <c r="T155" t="str">
        <f>ESTADISTICA!T154</f>
        <v>APAGADO</v>
      </c>
      <c r="U155" t="str">
        <f>ESTADISTICA!U154</f>
        <v>APAGADO</v>
      </c>
      <c r="V155" t="str">
        <f>ESTADISTICA!V154</f>
        <v>APAGADO</v>
      </c>
      <c r="W155" t="str">
        <f>ESTADISTICA!W154</f>
        <v>APAGADO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 t="str">
        <f>ESTADISTICA!P155</f>
        <v>APAGADO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25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 t="str">
        <f>ESTADISTICA!S158</f>
        <v>APAGADO</v>
      </c>
      <c r="T159" t="str">
        <f>ESTADISTICA!T158</f>
        <v>APAGADO</v>
      </c>
      <c r="U159" t="str">
        <f>ESTADISTICA!U158</f>
        <v>APAGADO</v>
      </c>
      <c r="V159" t="str">
        <f>ESTADISTICA!V158</f>
        <v>APAGADO</v>
      </c>
      <c r="W159" t="str">
        <f>ESTADISTICA!W158</f>
        <v>APAGADO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hidden="1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 t="str">
        <f>ESTADISTICA!Q165</f>
        <v>APAGADO</v>
      </c>
      <c r="R166" t="str">
        <f>ESTADISTICA!R165</f>
        <v>APAGADO</v>
      </c>
      <c r="S166" t="str">
        <f>ESTADISTICA!S165</f>
        <v>APAGADO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 t="str">
        <f>ESTADISTICA!AA165</f>
        <v>APAGADO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 t="str">
        <f>ESTADISTICA!S166</f>
        <v>APAGADO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hidden="1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>
        <f>ESTADISTICA!G168</f>
        <v>0</v>
      </c>
      <c r="H169">
        <f>ESTADISTICA!H168</f>
        <v>0</v>
      </c>
      <c r="I169" t="str">
        <f>ESTADISTICA!I168</f>
        <v>APAGADO</v>
      </c>
      <c r="J169" t="str">
        <f>ESTADISTICA!J168</f>
        <v>APAGADO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 t="str">
        <f>ESTADISTICA!S168</f>
        <v>APAGADO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hidden="1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 t="str">
        <f>ESTADISTICA!N170</f>
        <v>APAGADO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 t="str">
        <f>ESTADISTICA!S170</f>
        <v>APAGADO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hidden="1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 t="str">
        <f>ESTADISTICA!F171</f>
        <v>APAGADO</v>
      </c>
      <c r="G172">
        <f>ESTADISTICA!G171</f>
        <v>0</v>
      </c>
      <c r="H172">
        <f>ESTADISTICA!H171</f>
        <v>0</v>
      </c>
      <c r="I172" t="str">
        <f>ESTADISTICA!I171</f>
        <v>APAGADO</v>
      </c>
      <c r="J172" t="str">
        <f>ESTADISTICA!J171</f>
        <v>APAGADO</v>
      </c>
      <c r="K172" t="str">
        <f>ESTADISTICA!K171</f>
        <v>APAGADO</v>
      </c>
      <c r="L172" t="str">
        <f>ESTADISTICA!L171</f>
        <v>APAGADO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 t="str">
        <f>ESTADISTICA!S171</f>
        <v>APAGADO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hidden="1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 t="str">
        <f>ESTADISTICA!P172</f>
        <v>APAGADO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 t="str">
        <f>ESTADISTICA!L173</f>
        <v>APAGADO</v>
      </c>
      <c r="M174">
        <f>ESTADISTICA!M173</f>
        <v>0</v>
      </c>
      <c r="N174">
        <f>ESTADISTICA!N173</f>
        <v>0</v>
      </c>
      <c r="O174">
        <f>ESTADISTICA!O173</f>
        <v>0</v>
      </c>
      <c r="P174" t="str">
        <f>ESTADISTICA!P173</f>
        <v>APAGADO</v>
      </c>
      <c r="Q174" t="str">
        <f>ESTADISTICA!Q173</f>
        <v>APAGADO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>
        <f>ESTADISTICA!P174</f>
        <v>0</v>
      </c>
      <c r="Q175">
        <f>ESTADISTICA!Q174</f>
        <v>0</v>
      </c>
      <c r="R175" t="str">
        <f>ESTADISTICA!R174</f>
        <v>APAGADO</v>
      </c>
      <c r="S175" t="str">
        <f>ESTADISTICA!S174</f>
        <v>APAGADO</v>
      </c>
      <c r="T175">
        <f>ESTADISTICA!T174</f>
        <v>0</v>
      </c>
      <c r="U175" t="str">
        <f>ESTADISTICA!U174</f>
        <v>APAGADO</v>
      </c>
      <c r="V175" t="str">
        <f>ESTADISTICA!V174</f>
        <v>APAGADO</v>
      </c>
      <c r="W175" t="str">
        <f>ESTADISTICA!W174</f>
        <v>APAGADO</v>
      </c>
      <c r="X175" t="str">
        <f>ESTADISTICA!X174</f>
        <v>APAGADO</v>
      </c>
      <c r="Y175" t="str">
        <f>ESTADISTICA!Y174</f>
        <v>APAGADO</v>
      </c>
      <c r="Z175" t="str">
        <f>ESTADISTICA!Z174</f>
        <v>APAGADO</v>
      </c>
      <c r="AA175" t="str">
        <f>ESTADISTICA!AA174</f>
        <v>APAGADO</v>
      </c>
      <c r="AB175" t="str">
        <f>ESTADISTICA!AB174</f>
        <v>APAGADO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hidden="1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hidden="1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 t="str">
        <f>ESTADISTICA!X183</f>
        <v>APAGADO</v>
      </c>
      <c r="Y184" t="str">
        <f>ESTADISTICA!Y183</f>
        <v>APAGADO</v>
      </c>
      <c r="Z184">
        <f>ESTADISTICA!Z183</f>
        <v>0</v>
      </c>
      <c r="AA184" t="str">
        <f>ESTADISTICA!AA183</f>
        <v>APAGADO</v>
      </c>
      <c r="AB184" t="str">
        <f>ESTADISTICA!AB183</f>
        <v>APAGADO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hidden="1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hidden="1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 t="str">
        <f>ESTADISTICA!Y187</f>
        <v>APAGADO</v>
      </c>
      <c r="Z188" t="str">
        <f>ESTADISTICA!Z187</f>
        <v>APAGADO</v>
      </c>
      <c r="AA188" t="str">
        <f>ESTADISTICA!AA187</f>
        <v>APAGADO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>
        <f>ESTADISTICA!G188</f>
        <v>0</v>
      </c>
      <c r="H189">
        <f>ESTADISTICA!H188</f>
        <v>0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 t="str">
        <f>ESTADISTICA!U188</f>
        <v>APAGADO</v>
      </c>
      <c r="V189" t="str">
        <f>ESTADISTICA!V188</f>
        <v>APAGADO</v>
      </c>
      <c r="W189" t="str">
        <f>ESTADISTICA!W188</f>
        <v>APAGADO</v>
      </c>
      <c r="X189" t="str">
        <f>ESTADISTICA!X188</f>
        <v>APAGADO</v>
      </c>
      <c r="Y189" t="str">
        <f>ESTADISTICA!Y188</f>
        <v>APAGADO</v>
      </c>
      <c r="Z189" t="str">
        <f>ESTADISTICA!Z188</f>
        <v>APAGADO</v>
      </c>
      <c r="AA189" t="str">
        <f>ESTADISTICA!AA188</f>
        <v>APAGADO</v>
      </c>
      <c r="AB189" t="str">
        <f>ESTADISTICA!AB188</f>
        <v>APAGADO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>
        <f>ESTADISTICA!G189</f>
        <v>0</v>
      </c>
      <c r="H190">
        <f>ESTADISTICA!H189</f>
        <v>0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 t="str">
        <f>ESTADISTICA!U189</f>
        <v>APAGADO</v>
      </c>
      <c r="V190" t="str">
        <f>ESTADISTICA!V189</f>
        <v>APAGADO</v>
      </c>
      <c r="W190" t="str">
        <f>ESTADISTICA!W189</f>
        <v>APAGADO</v>
      </c>
      <c r="X190" t="str">
        <f>ESTADISTICA!X189</f>
        <v>APAGADO</v>
      </c>
      <c r="Y190" t="str">
        <f>ESTADISTICA!Y189</f>
        <v>APAGADO</v>
      </c>
      <c r="Z190" t="str">
        <f>ESTADISTICA!Z189</f>
        <v>APAGADO</v>
      </c>
      <c r="AA190" t="str">
        <f>ESTADISTICA!AA189</f>
        <v>APAGADO</v>
      </c>
      <c r="AB190" t="str">
        <f>ESTADISTICA!AB189</f>
        <v>APAGADO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>
        <f>ESTADISTICA!G190</f>
        <v>0</v>
      </c>
      <c r="H191">
        <f>ESTADISTICA!H190</f>
        <v>0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 t="str">
        <f>ESTADISTICA!L190</f>
        <v>APAGADO</v>
      </c>
      <c r="M191">
        <f>ESTADISTICA!M190</f>
        <v>0</v>
      </c>
      <c r="N191">
        <f>ESTADISTICA!N190</f>
        <v>0</v>
      </c>
      <c r="O191">
        <f>ESTADISTICA!O190</f>
        <v>0</v>
      </c>
      <c r="P191" t="str">
        <f>ESTADISTICA!P190</f>
        <v>APAGADO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>
        <f>ESTADISTICA!G191</f>
        <v>0</v>
      </c>
      <c r="H192">
        <f>ESTADISTICA!H191</f>
        <v>0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>
        <f>ESTADISTICA!L191</f>
        <v>0</v>
      </c>
      <c r="M192">
        <f>ESTADISTICA!M191</f>
        <v>0</v>
      </c>
      <c r="N192">
        <f>ESTADISTICA!N191</f>
        <v>0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>
        <f>ESTADISTICA!R191</f>
        <v>0</v>
      </c>
      <c r="S192">
        <f>ESTADISTICA!S191</f>
        <v>0</v>
      </c>
      <c r="T192" t="str">
        <f>ESTADISTICA!T191</f>
        <v>APAGADO</v>
      </c>
      <c r="U192" t="str">
        <f>ESTADISTICA!U191</f>
        <v>APAGADO</v>
      </c>
      <c r="V192">
        <f>ESTADISTICA!V191</f>
        <v>0</v>
      </c>
      <c r="W192" t="str">
        <f>ESTADISTICA!W191</f>
        <v>APAGADO</v>
      </c>
      <c r="X192" t="str">
        <f>ESTADISTICA!X191</f>
        <v>APAGADO</v>
      </c>
      <c r="Y192" t="str">
        <f>ESTADISTICA!Y191</f>
        <v>APAGADO</v>
      </c>
      <c r="Z192" t="str">
        <f>ESTADISTICA!Z191</f>
        <v>APAGADO</v>
      </c>
      <c r="AA192" t="str">
        <f>ESTADISTICA!AA191</f>
        <v>APAGADO</v>
      </c>
      <c r="AB192" t="str">
        <f>ESTADISTICA!AB191</f>
        <v>APAGADO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hidden="1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hidden="1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>
        <f>ESTADISTICA!G194</f>
        <v>0</v>
      </c>
      <c r="H195">
        <f>ESTADISTICA!H194</f>
        <v>0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 t="str">
        <f>ESTADISTICA!L194</f>
        <v>APAGADO</v>
      </c>
      <c r="M195" t="str">
        <f>ESTADISTICA!M194</f>
        <v>APAGADO</v>
      </c>
      <c r="N195" t="str">
        <f>ESTADISTICA!N194</f>
        <v>APAGADO</v>
      </c>
      <c r="O195" t="str">
        <f>ESTADISTICA!O194</f>
        <v>APAGADO</v>
      </c>
      <c r="P195" t="str">
        <f>ESTADISTICA!P194</f>
        <v>APAGADO</v>
      </c>
      <c r="Q195" t="str">
        <f>ESTADISTICA!Q194</f>
        <v>APAGADO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hidden="1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 t="str">
        <f>ESTADISTICA!O195</f>
        <v>APAGADO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hidden="1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 t="str">
        <f>ESTADISTICA!R196</f>
        <v>APAGADO</v>
      </c>
      <c r="S197" t="str">
        <f>ESTADISTICA!S196</f>
        <v>APAGADO</v>
      </c>
      <c r="T197" t="str">
        <f>ESTADISTICA!T196</f>
        <v>APAGADO</v>
      </c>
      <c r="U197" t="str">
        <f>ESTADISTICA!U196</f>
        <v>APAGADO</v>
      </c>
      <c r="V197" t="str">
        <f>ESTADISTICA!V196</f>
        <v>APAGADO</v>
      </c>
      <c r="W197" t="str">
        <f>ESTADISTICA!W196</f>
        <v>APAGADO</v>
      </c>
      <c r="X197" t="str">
        <f>ESTADISTICA!X196</f>
        <v>APAGADO</v>
      </c>
      <c r="Y197" t="str">
        <f>ESTADISTICA!Y196</f>
        <v>APAGADO</v>
      </c>
      <c r="Z197" t="str">
        <f>ESTADISTICA!Z196</f>
        <v>APAGADO</v>
      </c>
      <c r="AA197" t="str">
        <f>ESTADISTICA!AA196</f>
        <v>APAGADO</v>
      </c>
      <c r="AB197" t="str">
        <f>ESTADISTICA!AB196</f>
        <v>APAGADO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hidden="1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 t="str">
        <f>ESTADISTICA!R197</f>
        <v>APAGADO</v>
      </c>
      <c r="S198" t="str">
        <f>ESTADISTICA!S197</f>
        <v>APAGADO</v>
      </c>
      <c r="T198" t="str">
        <f>ESTADISTICA!T197</f>
        <v>APAGADO</v>
      </c>
      <c r="U198" t="str">
        <f>ESTADISTICA!U197</f>
        <v>APAGADO</v>
      </c>
      <c r="V198" t="str">
        <f>ESTADISTICA!V197</f>
        <v>APAGADO</v>
      </c>
      <c r="W198" t="str">
        <f>ESTADISTICA!W197</f>
        <v>APAGADO</v>
      </c>
      <c r="X198" t="str">
        <f>ESTADISTICA!X197</f>
        <v>APAGADO</v>
      </c>
      <c r="Y198" t="str">
        <f>ESTADISTICA!Y197</f>
        <v>APAGADO</v>
      </c>
      <c r="Z198" t="str">
        <f>ESTADISTICA!Z197</f>
        <v>APAGADO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hidden="1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 t="str">
        <f>ESTADISTICA!F198</f>
        <v>APAGADO</v>
      </c>
      <c r="G199">
        <f>ESTADISTICA!G198</f>
        <v>0</v>
      </c>
      <c r="H199">
        <f>ESTADISTICA!H198</f>
        <v>0</v>
      </c>
      <c r="I199" t="str">
        <f>ESTADISTICA!I198</f>
        <v>APAGADO</v>
      </c>
      <c r="J199" t="str">
        <f>ESTADISTICA!J198</f>
        <v>APAGADO</v>
      </c>
      <c r="K199" t="str">
        <f>ESTADISTICA!K198</f>
        <v>APAGADO</v>
      </c>
      <c r="L199" t="str">
        <f>ESTADISTICA!L198</f>
        <v>APAGADO</v>
      </c>
      <c r="M199">
        <f>ESTADISTICA!M198</f>
        <v>0</v>
      </c>
      <c r="N199">
        <f>ESTADISTICA!N198</f>
        <v>0</v>
      </c>
      <c r="O199" t="str">
        <f>ESTADISTICA!O198</f>
        <v>APAGADO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hidden="1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 t="str">
        <f>ESTADISTICA!F199</f>
        <v>APAGADO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 t="str">
        <f>ESTADISTICA!J199</f>
        <v>APAGADO</v>
      </c>
      <c r="K200" t="str">
        <f>ESTADISTICA!K199</f>
        <v>APAGADO</v>
      </c>
      <c r="L200" t="str">
        <f>ESTADISTICA!L199</f>
        <v>APAGADO</v>
      </c>
      <c r="M200">
        <f>ESTADISTICA!M199</f>
        <v>0</v>
      </c>
      <c r="N200">
        <f>ESTADISTICA!N199</f>
        <v>0</v>
      </c>
      <c r="O200" t="str">
        <f>ESTADISTICA!O199</f>
        <v>APAGADO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 t="str">
        <f>ESTADISTICA!Q200</f>
        <v>APAGADO</v>
      </c>
      <c r="R201" t="str">
        <f>ESTADISTICA!R200</f>
        <v>APAGADO</v>
      </c>
      <c r="S201" t="str">
        <f>ESTADISTICA!S200</f>
        <v>APAGADO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 t="str">
        <f>ESTADISTICA!AA200</f>
        <v>APAGADO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>
        <f>ESTADISTICA!G203</f>
        <v>0</v>
      </c>
      <c r="H204">
        <f>ESTADISTICA!H203</f>
        <v>0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 t="str">
        <f>ESTADISTICA!U203</f>
        <v>APAGADO</v>
      </c>
      <c r="V204" t="str">
        <f>ESTADISTICA!V203</f>
        <v>APAGADO</v>
      </c>
      <c r="W204" t="str">
        <f>ESTADISTICA!W203</f>
        <v>APAGADO</v>
      </c>
      <c r="X204" t="str">
        <f>ESTADISTICA!X203</f>
        <v>APAGADO</v>
      </c>
      <c r="Y204" t="str">
        <f>ESTADISTICA!Y203</f>
        <v>APAGADO</v>
      </c>
      <c r="Z204" t="str">
        <f>ESTADISTICA!Z203</f>
        <v>APAGADO</v>
      </c>
      <c r="AA204" t="str">
        <f>ESTADISTICA!AA203</f>
        <v>APAGADO</v>
      </c>
      <c r="AB204" t="str">
        <f>ESTADISTICA!AB203</f>
        <v>APAGADO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hidden="1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 t="str">
        <f>ESTADISTICA!F204</f>
        <v>APAGADO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 t="str">
        <f>ESTADISTICA!L204</f>
        <v>APAGADO</v>
      </c>
      <c r="M205" t="str">
        <f>ESTADISTICA!M204</f>
        <v>APAGADO</v>
      </c>
      <c r="N205" t="str">
        <f>ESTADISTICA!N204</f>
        <v>APAGADO</v>
      </c>
      <c r="O205" t="str">
        <f>ESTADISTICA!O204</f>
        <v>APAGADO</v>
      </c>
      <c r="P205" t="str">
        <f>ESTADISTICA!P204</f>
        <v>APAGADO</v>
      </c>
      <c r="Q205" t="str">
        <f>ESTADISTICA!Q204</f>
        <v>APAGADO</v>
      </c>
      <c r="R205" t="str">
        <f>ESTADISTICA!R204</f>
        <v>APAGADO</v>
      </c>
      <c r="S205" t="str">
        <f>ESTADISTICA!S204</f>
        <v>APAGADO</v>
      </c>
      <c r="T205" t="str">
        <f>ESTADISTICA!T204</f>
        <v>APAGADO</v>
      </c>
      <c r="U205" t="str">
        <f>ESTADISTICA!U204</f>
        <v>APAGADO</v>
      </c>
      <c r="V205" t="str">
        <f>ESTADISTICA!V204</f>
        <v>APAGADO</v>
      </c>
      <c r="W205" t="str">
        <f>ESTADISTICA!W204</f>
        <v>APAGADO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hidden="1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hidden="1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 t="str">
        <f>ESTADISTICA!F206</f>
        <v>APAGADO</v>
      </c>
      <c r="G207">
        <f>ESTADISTICA!G206</f>
        <v>0</v>
      </c>
      <c r="H207">
        <f>ESTADISTICA!H206</f>
        <v>0</v>
      </c>
      <c r="I207" t="str">
        <f>ESTADISTICA!I206</f>
        <v>APAGADO</v>
      </c>
      <c r="J207" t="str">
        <f>ESTADISTICA!J206</f>
        <v>APAGADO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 t="str">
        <f>ESTADISTICA!F207</f>
        <v>APAGADO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hidden="1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 t="str">
        <f>ESTADISTICA!Q210</f>
        <v>APAGADO</v>
      </c>
      <c r="R211" t="str">
        <f>ESTADISTICA!R210</f>
        <v>APAGADO</v>
      </c>
      <c r="S211" t="str">
        <f>ESTADISTICA!S210</f>
        <v>APAGADO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 t="str">
        <f>ESTADISTICA!AA210</f>
        <v>APAGADO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hidden="1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hidden="1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hidden="1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hidden="1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hidden="1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hidden="1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hidden="1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hidden="1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hidden="1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hidden="1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hidden="1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 t="str">
        <f>ESTADISTICA!P223</f>
        <v>APAGADO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 t="str">
        <f>ESTADISTICA!X224</f>
        <v>APAGADO</v>
      </c>
      <c r="Y225" t="str">
        <f>ESTADISTICA!Y224</f>
        <v>APAGADO</v>
      </c>
      <c r="Z225" t="str">
        <f>ESTADISTICA!Z224</f>
        <v>APAGADO</v>
      </c>
      <c r="AA225" t="str">
        <f>ESTADISTICA!AA224</f>
        <v>APAGADO</v>
      </c>
      <c r="AB225" t="str">
        <f>ESTADISTICA!AB224</f>
        <v>APAGADO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 t="str">
        <f>ESTADISTICA!P226</f>
        <v>APAGADO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hidden="1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 t="str">
        <f>ESTADISTICA!S227</f>
        <v>APAGADO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hidden="1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 t="str">
        <f>ESTADISTICA!P228</f>
        <v>APAGADO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 t="str">
        <f>ESTADISTICA!Z230</f>
        <v>APAGADO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 t="str">
        <f>ESTADISTICA!P233</f>
        <v>APAGADO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hidden="1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 t="str">
        <f>ESTADISTICA!P237</f>
        <v>APAGADO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 t="str">
        <f>ESTADISTICA!P238</f>
        <v>APAGADO</v>
      </c>
      <c r="Q239">
        <f>ESTADISTICA!Q238</f>
        <v>0</v>
      </c>
      <c r="R239">
        <f>ESTADISTICA!R238</f>
        <v>0</v>
      </c>
      <c r="S239">
        <f>ESTADISTICA!S238</f>
        <v>0</v>
      </c>
      <c r="T239" t="str">
        <f>ESTADISTICA!T238</f>
        <v>APAGADO</v>
      </c>
      <c r="U239" t="str">
        <f>ESTADISTICA!U238</f>
        <v>APAGADO</v>
      </c>
      <c r="V239" t="str">
        <f>ESTADISTICA!V238</f>
        <v>APAGADO</v>
      </c>
      <c r="W239" t="str">
        <f>ESTADISTICA!W238</f>
        <v>APAGADO</v>
      </c>
      <c r="X239" t="str">
        <f>ESTADISTICA!X238</f>
        <v>APAGADO</v>
      </c>
      <c r="Y239" t="str">
        <f>ESTADISTICA!Y238</f>
        <v>APAGADO</v>
      </c>
      <c r="Z239" t="str">
        <f>ESTADISTICA!Z238</f>
        <v>APAGADO</v>
      </c>
      <c r="AA239" t="str">
        <f>ESTADISTICA!AA238</f>
        <v>APAGADO</v>
      </c>
      <c r="AB239" t="str">
        <f>ESTADISTICA!AB238</f>
        <v>APAGADO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 t="str">
        <f>ESTADISTICA!T239</f>
        <v>APAGADO</v>
      </c>
      <c r="U240" t="str">
        <f>ESTADISTICA!U239</f>
        <v>APAGADO</v>
      </c>
      <c r="V240" t="str">
        <f>ESTADISTICA!V239</f>
        <v>APAGADO</v>
      </c>
      <c r="W240" t="str">
        <f>ESTADISTICA!W239</f>
        <v>APAGADO</v>
      </c>
      <c r="X240" t="str">
        <f>ESTADISTICA!X239</f>
        <v>APAGADO</v>
      </c>
      <c r="Y240" t="str">
        <f>ESTADISTICA!Y239</f>
        <v>APAGADO</v>
      </c>
      <c r="Z240" t="str">
        <f>ESTADISTICA!Z239</f>
        <v>APAGADO</v>
      </c>
      <c r="AA240" t="str">
        <f>ESTADISTICA!AA239</f>
        <v>APAGADO</v>
      </c>
      <c r="AB240" t="str">
        <f>ESTADISTICA!AB239</f>
        <v>APAGADO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 t="str">
        <f>ESTADISTICA!T240</f>
        <v>APAGADO</v>
      </c>
      <c r="U241" t="str">
        <f>ESTADISTICA!U240</f>
        <v>APAGADO</v>
      </c>
      <c r="V241" t="str">
        <f>ESTADISTICA!V240</f>
        <v>APAGADO</v>
      </c>
      <c r="W241" t="str">
        <f>ESTADISTICA!W240</f>
        <v>APAGADO</v>
      </c>
      <c r="X241" t="str">
        <f>ESTADISTICA!X240</f>
        <v>APAGADO</v>
      </c>
      <c r="Y241" t="str">
        <f>ESTADISTICA!Y240</f>
        <v>APAGADO</v>
      </c>
      <c r="Z241" t="str">
        <f>ESTADISTICA!Z240</f>
        <v>APAGADO</v>
      </c>
      <c r="AA241" t="str">
        <f>ESTADISTICA!AA240</f>
        <v>APAGADO</v>
      </c>
      <c r="AB241" t="str">
        <f>ESTADISTICA!AB240</f>
        <v>APAGADO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 t="str">
        <f>ESTADISTICA!P241</f>
        <v>APAGADO</v>
      </c>
      <c r="Q242">
        <f>ESTADISTICA!Q241</f>
        <v>0</v>
      </c>
      <c r="R242">
        <f>ESTADISTICA!R241</f>
        <v>0</v>
      </c>
      <c r="S242">
        <f>ESTADISTICA!S241</f>
        <v>0</v>
      </c>
      <c r="T242" t="str">
        <f>ESTADISTICA!T241</f>
        <v>APAGADO</v>
      </c>
      <c r="U242" t="str">
        <f>ESTADISTICA!U241</f>
        <v>APAGADO</v>
      </c>
      <c r="V242" t="str">
        <f>ESTADISTICA!V241</f>
        <v>APAGADO</v>
      </c>
      <c r="W242" t="str">
        <f>ESTADISTICA!W241</f>
        <v>APAGADO</v>
      </c>
      <c r="X242" t="str">
        <f>ESTADISTICA!X241</f>
        <v>APAGADO</v>
      </c>
      <c r="Y242" t="str">
        <f>ESTADISTICA!Y241</f>
        <v>APAGADO</v>
      </c>
      <c r="Z242" t="str">
        <f>ESTADISTICA!Z241</f>
        <v>APAGADO</v>
      </c>
      <c r="AA242" t="str">
        <f>ESTADISTICA!AA241</f>
        <v>APAGADO</v>
      </c>
      <c r="AB242" t="str">
        <f>ESTADISTICA!AB241</f>
        <v>APAGADO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25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25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 t="str">
        <f>ESTADISTICA!P243</f>
        <v>APAGADO</v>
      </c>
      <c r="Q244">
        <f>ESTADISTICA!Q243</f>
        <v>0</v>
      </c>
      <c r="R244">
        <f>ESTADISTICA!R243</f>
        <v>0</v>
      </c>
      <c r="S244">
        <f>ESTADISTICA!S243</f>
        <v>0</v>
      </c>
      <c r="T244" t="str">
        <f>ESTADISTICA!T243</f>
        <v>APAGADO</v>
      </c>
      <c r="U244" t="str">
        <f>ESTADISTICA!U243</f>
        <v>APAGADO</v>
      </c>
      <c r="V244" t="str">
        <f>ESTADISTICA!V243</f>
        <v>APAGADO</v>
      </c>
      <c r="W244" t="str">
        <f>ESTADISTICA!W243</f>
        <v>APAGADO</v>
      </c>
      <c r="X244" t="str">
        <f>ESTADISTICA!X243</f>
        <v>APAGADO</v>
      </c>
      <c r="Y244" t="str">
        <f>ESTADISTICA!Y243</f>
        <v>APAGADO</v>
      </c>
      <c r="Z244" t="str">
        <f>ESTADISTICA!Z243</f>
        <v>APAGADO</v>
      </c>
      <c r="AA244" t="str">
        <f>ESTADISTICA!AA243</f>
        <v>APAGADO</v>
      </c>
      <c r="AB244" t="str">
        <f>ESTADISTICA!AB243</f>
        <v>APAGADO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25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 t="str">
        <f>ESTADISTICA!V244</f>
        <v>APAGADO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25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hidden="1" x14ac:dyDescent="0.25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hidden="1" x14ac:dyDescent="0.25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25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25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25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25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25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25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 t="str">
        <f>ESTADISTICA!F255</f>
        <v>APAGADO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hidden="1" x14ac:dyDescent="0.25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25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25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 t="str">
        <f>ESTADISTICA!T258</f>
        <v>APAGADO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25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 t="str">
        <f>ESTADISTICA!P259</f>
        <v>APAGADO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25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25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25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25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25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25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25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hidden="1" x14ac:dyDescent="0.25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 t="str">
        <f>ESTADISTICA!X267</f>
        <v>APAGADO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hidden="1" x14ac:dyDescent="0.25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hidden="1" x14ac:dyDescent="0.25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 t="str">
        <f>ESTADISTICA!F269</f>
        <v>APAGADO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 t="str">
        <f>ESTADISTICA!O269</f>
        <v>APAGADO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25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25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25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hidden="1" x14ac:dyDescent="0.25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hidden="1" x14ac:dyDescent="0.25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25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hidden="1" x14ac:dyDescent="0.25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 t="str">
        <f>ESTADISTICA!F276</f>
        <v>APAGADO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 t="str">
        <f>ESTADISTICA!O276</f>
        <v>APAGADO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hidden="1" x14ac:dyDescent="0.25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25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 t="str">
        <f>ESTADISTICA!L278</f>
        <v>APAGADO</v>
      </c>
      <c r="M279">
        <f>ESTADISTICA!M278</f>
        <v>0</v>
      </c>
      <c r="N279" t="str">
        <f>ESTADISTICA!N278</f>
        <v>APAGADO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25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 t="str">
        <f>ESTADISTICA!L279</f>
        <v>APAGADO</v>
      </c>
      <c r="M280">
        <f>ESTADISTICA!M279</f>
        <v>0</v>
      </c>
      <c r="N280" t="str">
        <f>ESTADISTICA!N279</f>
        <v>APAGADO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hidden="1" x14ac:dyDescent="0.25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 t="str">
        <f>ESTADISTICA!F280</f>
        <v>APAGADO</v>
      </c>
      <c r="G281">
        <f>ESTADISTICA!G280</f>
        <v>0</v>
      </c>
      <c r="H281">
        <f>ESTADISTICA!H280</f>
        <v>0</v>
      </c>
      <c r="I281">
        <f>ESTADISTICA!I280</f>
        <v>0</v>
      </c>
      <c r="J281" t="str">
        <f>ESTADISTICA!J280</f>
        <v>APAGADO</v>
      </c>
      <c r="K281" t="str">
        <f>ESTADISTICA!K280</f>
        <v>APAGADO</v>
      </c>
      <c r="L281" t="str">
        <f>ESTADISTICA!L280</f>
        <v>APAGADO</v>
      </c>
      <c r="M281" t="str">
        <f>ESTADISTICA!M280</f>
        <v>APAGADO</v>
      </c>
      <c r="N281" t="str">
        <f>ESTADISTICA!N280</f>
        <v>APAGADO</v>
      </c>
      <c r="O281">
        <f>ESTADISTICA!O280</f>
        <v>0</v>
      </c>
      <c r="P281" t="str">
        <f>ESTADISTICA!P280</f>
        <v>APAGADO</v>
      </c>
      <c r="Q281" t="str">
        <f>ESTADISTICA!Q280</f>
        <v>APAGADO</v>
      </c>
      <c r="R281" t="str">
        <f>ESTADISTICA!R280</f>
        <v>APAGADO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25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 t="str">
        <f>ESTADISTICA!L281</f>
        <v>APAGADO</v>
      </c>
      <c r="M282" t="str">
        <f>ESTADISTICA!M281</f>
        <v>APAGADO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25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 t="str">
        <f>ESTADISTICA!L282</f>
        <v>APAGADO</v>
      </c>
      <c r="M283" t="str">
        <f>ESTADISTICA!M282</f>
        <v>APAGADO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hidden="1" x14ac:dyDescent="0.25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hidden="1" x14ac:dyDescent="0.25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hidden="1" x14ac:dyDescent="0.25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 t="str">
        <f>ESTADISTICA!T285</f>
        <v>APAGADO</v>
      </c>
      <c r="U286">
        <f>ESTADISTICA!U285</f>
        <v>0</v>
      </c>
      <c r="V286" t="str">
        <f>ESTADISTICA!V285</f>
        <v>APAGADO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hidden="1" x14ac:dyDescent="0.25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 t="str">
        <f>ESTADISTICA!R286</f>
        <v>APAGADO</v>
      </c>
      <c r="S287" t="str">
        <f>ESTADISTICA!S286</f>
        <v>APAGADO</v>
      </c>
      <c r="T287" t="str">
        <f>ESTADISTICA!T286</f>
        <v>APAGADO</v>
      </c>
      <c r="U287" t="str">
        <f>ESTADISTICA!U286</f>
        <v>APAGADO</v>
      </c>
      <c r="V287" t="str">
        <f>ESTADISTICA!V286</f>
        <v>APAGADO</v>
      </c>
      <c r="W287" t="str">
        <f>ESTADISTICA!W286</f>
        <v>APAGADO</v>
      </c>
      <c r="X287" t="str">
        <f>ESTADISTICA!X286</f>
        <v>APAGADO</v>
      </c>
      <c r="Y287" t="str">
        <f>ESTADISTICA!Y286</f>
        <v>APAGADO</v>
      </c>
      <c r="Z287" t="str">
        <f>ESTADISTICA!Z286</f>
        <v>APAGADO</v>
      </c>
      <c r="AA287" t="str">
        <f>ESTADISTICA!AA286</f>
        <v>APAGADO</v>
      </c>
      <c r="AB287" t="str">
        <f>ESTADISTICA!AB286</f>
        <v>APAGADO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hidden="1" x14ac:dyDescent="0.25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hidden="1" x14ac:dyDescent="0.25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 t="str">
        <f>ESTADISTICA!F288</f>
        <v>APAGADO</v>
      </c>
      <c r="G289">
        <f>ESTADISTICA!G288</f>
        <v>0</v>
      </c>
      <c r="H289">
        <f>ESTADISTICA!H288</f>
        <v>0</v>
      </c>
      <c r="I289" t="str">
        <f>ESTADISTICA!I288</f>
        <v>APAGADO</v>
      </c>
      <c r="J289" t="str">
        <f>ESTADISTICA!J288</f>
        <v>APAGADO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hidden="1" x14ac:dyDescent="0.25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 t="str">
        <f>ESTADISTICA!F289</f>
        <v>APAGADO</v>
      </c>
      <c r="G290">
        <f>ESTADISTICA!G289</f>
        <v>0</v>
      </c>
      <c r="H290">
        <f>ESTADISTICA!H289</f>
        <v>0</v>
      </c>
      <c r="I290" t="str">
        <f>ESTADISTICA!I289</f>
        <v>APAGADO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hidden="1" x14ac:dyDescent="0.25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 t="str">
        <f>ESTADISTICA!F290</f>
        <v>APAGADO</v>
      </c>
      <c r="G291">
        <f>ESTADISTICA!G290</f>
        <v>0</v>
      </c>
      <c r="H291">
        <f>ESTADISTICA!H290</f>
        <v>0</v>
      </c>
      <c r="I291" t="str">
        <f>ESTADISTICA!I290</f>
        <v>APAGADO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hidden="1" x14ac:dyDescent="0.25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 t="str">
        <f>ESTADISTICA!F291</f>
        <v>APAGADO</v>
      </c>
      <c r="G292">
        <f>ESTADISTICA!G291</f>
        <v>0</v>
      </c>
      <c r="H292">
        <f>ESTADISTICA!H291</f>
        <v>0</v>
      </c>
      <c r="I292" t="str">
        <f>ESTADISTICA!I291</f>
        <v>APAGADO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hidden="1" x14ac:dyDescent="0.25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 t="str">
        <f>ESTADISTICA!F292</f>
        <v>APAGADO</v>
      </c>
      <c r="G293">
        <f>ESTADISTICA!G292</f>
        <v>0</v>
      </c>
      <c r="H293">
        <f>ESTADISTICA!H292</f>
        <v>0</v>
      </c>
      <c r="I293" t="str">
        <f>ESTADISTICA!I292</f>
        <v>APAGADO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hidden="1" x14ac:dyDescent="0.25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 t="str">
        <f>ESTADISTICA!F293</f>
        <v>APAGADO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 t="str">
        <f>ESTADISTICA!L293</f>
        <v>APAGADO</v>
      </c>
      <c r="M294" t="str">
        <f>ESTADISTICA!M293</f>
        <v>APAGADO</v>
      </c>
      <c r="N294" t="str">
        <f>ESTADISTICA!N293</f>
        <v>APAGADO</v>
      </c>
      <c r="O294" t="str">
        <f>ESTADISTICA!O293</f>
        <v>APAGADO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 t="str">
        <f>ESTADISTICA!X293</f>
        <v>APAGADO</v>
      </c>
      <c r="Y294" t="str">
        <f>ESTADISTICA!Y293</f>
        <v>APAGADO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25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 t="str">
        <f>ESTADISTICA!F294</f>
        <v>APAGADO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 t="str">
        <f>ESTADISTICA!M294</f>
        <v>APAGADO</v>
      </c>
      <c r="N295" t="str">
        <f>ESTADISTICA!N294</f>
        <v>APAGADO</v>
      </c>
      <c r="O295" t="str">
        <f>ESTADISTICA!O294</f>
        <v>APAGADO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25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25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25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25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hidden="1" x14ac:dyDescent="0.25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hidden="1" x14ac:dyDescent="0.25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>
        <f>ESTADISTICA!G300</f>
        <v>0</v>
      </c>
      <c r="H301">
        <f>ESTADISTICA!H300</f>
        <v>0</v>
      </c>
      <c r="I301" t="str">
        <f>ESTADISTICA!I300</f>
        <v>APAGADO</v>
      </c>
      <c r="J301" t="str">
        <f>ESTADISTICA!J300</f>
        <v>APAGADO</v>
      </c>
      <c r="K301" t="str">
        <f>ESTADISTICA!K300</f>
        <v>APAGADO</v>
      </c>
      <c r="L301" t="str">
        <f>ESTADISTICA!L300</f>
        <v>APAGADO</v>
      </c>
      <c r="M301" t="str">
        <f>ESTADISTICA!M300</f>
        <v>APAGADO</v>
      </c>
      <c r="N301" t="str">
        <f>ESTADISTICA!N300</f>
        <v>APAGADO</v>
      </c>
      <c r="O301" t="str">
        <f>ESTADISTICA!O300</f>
        <v>APAGADO</v>
      </c>
      <c r="P301" t="str">
        <f>ESTADISTICA!P300</f>
        <v>APAGADO</v>
      </c>
      <c r="Q301" t="str">
        <f>ESTADISTICA!Q300</f>
        <v>APAGADO</v>
      </c>
      <c r="R301" t="str">
        <f>ESTADISTICA!R300</f>
        <v>APAGADO</v>
      </c>
      <c r="S301" t="str">
        <f>ESTADISTICA!S300</f>
        <v>APAGADO</v>
      </c>
      <c r="T301" t="str">
        <f>ESTADISTICA!T300</f>
        <v>APAGADO</v>
      </c>
      <c r="U301" t="str">
        <f>ESTADISTICA!U300</f>
        <v>APAGADO</v>
      </c>
      <c r="V301" t="str">
        <f>ESTADISTICA!V300</f>
        <v>APAGADO</v>
      </c>
      <c r="W301" t="str">
        <f>ESTADISTICA!W300</f>
        <v>APAGADO</v>
      </c>
      <c r="X301" t="str">
        <f>ESTADISTICA!X300</f>
        <v>APAGADO</v>
      </c>
      <c r="Y301" t="str">
        <f>ESTADISTICA!Y300</f>
        <v>APAGADO</v>
      </c>
      <c r="Z301" t="str">
        <f>ESTADISTICA!Z300</f>
        <v>APAGADO</v>
      </c>
      <c r="AA301" t="str">
        <f>ESTADISTICA!AA300</f>
        <v>APAGADO</v>
      </c>
      <c r="AB301" t="str">
        <f>ESTADISTICA!AB300</f>
        <v>APAGADO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25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25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25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25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25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 t="str">
        <f>ESTADISTICA!L306</f>
        <v>APAGADO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 t="str">
        <f>ESTADISTICA!X306</f>
        <v>APAGADO</v>
      </c>
      <c r="Y307" t="str">
        <f>ESTADISTICA!Y306</f>
        <v>APAGADO</v>
      </c>
      <c r="Z307" t="str">
        <f>ESTADISTICA!Z306</f>
        <v>APAGADO</v>
      </c>
      <c r="AA307" t="str">
        <f>ESTADISTICA!AA306</f>
        <v>APAGADO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25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 t="str">
        <f>ESTADISTICA!X307</f>
        <v>APAGADO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25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25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25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25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25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25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25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25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hidden="1" x14ac:dyDescent="0.25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hidden="1" x14ac:dyDescent="0.25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25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 t="str">
        <f>ESTADISTICA!P318</f>
        <v>APAGADO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25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25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25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 t="str">
        <f>ESTADISTICA!P321</f>
        <v>APAGADO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25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 t="str">
        <f>ESTADISTICA!X322</f>
        <v>APAGADO</v>
      </c>
      <c r="Y323" t="str">
        <f>ESTADISTICA!Y322</f>
        <v>APAGADO</v>
      </c>
      <c r="Z323" t="str">
        <f>ESTADISTICA!Z322</f>
        <v>APAGADO</v>
      </c>
      <c r="AA323">
        <f>ESTADISTICA!AA322</f>
        <v>0</v>
      </c>
      <c r="AB323" t="str">
        <f>ESTADISTICA!AB322</f>
        <v>APAGADO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25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25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 t="str">
        <f>ESTADISTICA!L324</f>
        <v>APAGADO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 t="str">
        <f>ESTADISTICA!X324</f>
        <v>APAGADO</v>
      </c>
      <c r="Y325" t="str">
        <f>ESTADISTICA!Y324</f>
        <v>APAGADO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25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25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25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25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25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25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 t="str">
        <f>ESTADISTICA!P330</f>
        <v>APAGADO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25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 t="str">
        <f>ESTADISTICA!X331</f>
        <v>APAGADO</v>
      </c>
      <c r="Y332" t="str">
        <f>ESTADISTICA!Y331</f>
        <v>APAGADO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25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25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25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hidden="1" x14ac:dyDescent="0.25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25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 t="str">
        <f>ESTADISTICA!P336</f>
        <v>APAGADO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25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hidden="1" x14ac:dyDescent="0.25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25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hidden="1" x14ac:dyDescent="0.25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 t="str">
        <f>ESTADISTICA!R340</f>
        <v>APAGADO</v>
      </c>
      <c r="S341" t="str">
        <f>ESTADISTICA!S340</f>
        <v>APAGADO</v>
      </c>
      <c r="T341" t="str">
        <f>ESTADISTICA!T340</f>
        <v>APAGADO</v>
      </c>
      <c r="U341" t="str">
        <f>ESTADISTICA!U340</f>
        <v>APAGADO</v>
      </c>
      <c r="V341" t="str">
        <f>ESTADISTICA!V340</f>
        <v>APAGADO</v>
      </c>
      <c r="W341" t="str">
        <f>ESTADISTICA!W340</f>
        <v>APAGADO</v>
      </c>
      <c r="X341" t="str">
        <f>ESTADISTICA!X340</f>
        <v>APAGADO</v>
      </c>
      <c r="Y341" t="str">
        <f>ESTADISTICA!Y340</f>
        <v>APAGADO</v>
      </c>
      <c r="Z341" t="str">
        <f>ESTADISTICA!Z340</f>
        <v>APAGADO</v>
      </c>
      <c r="AA341" t="str">
        <f>ESTADISTICA!AA340</f>
        <v>APAGADO</v>
      </c>
      <c r="AB341" t="str">
        <f>ESTADISTICA!AB340</f>
        <v>APAGADO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25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hidden="1" x14ac:dyDescent="0.25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hidden="1" x14ac:dyDescent="0.25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hidden="1" x14ac:dyDescent="0.25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hidden="1" x14ac:dyDescent="0.25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25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25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25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25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>
        <f>ESTADISTICA!G349</f>
        <v>0</v>
      </c>
      <c r="H350">
        <f>ESTADISTICA!H349</f>
        <v>0</v>
      </c>
      <c r="I350" t="str">
        <f>ESTADISTICA!I349</f>
        <v>APAGADO</v>
      </c>
      <c r="J350" t="str">
        <f>ESTADISTICA!J349</f>
        <v>APAGADO</v>
      </c>
      <c r="K350" t="str">
        <f>ESTADISTICA!K349</f>
        <v>APAGADO</v>
      </c>
      <c r="L350" t="str">
        <f>ESTADISTICA!L349</f>
        <v>APAGADO</v>
      </c>
      <c r="M350" t="str">
        <f>ESTADISTICA!M349</f>
        <v>APAGADO</v>
      </c>
      <c r="N350" t="str">
        <f>ESTADISTICA!N349</f>
        <v>APAGADO</v>
      </c>
      <c r="O350" t="str">
        <f>ESTADISTICA!O349</f>
        <v>APAGADO</v>
      </c>
      <c r="P350" t="str">
        <f>ESTADISTICA!P349</f>
        <v>APAGADO</v>
      </c>
      <c r="Q350" t="str">
        <f>ESTADISTICA!Q349</f>
        <v>APAGADO</v>
      </c>
      <c r="R350" t="str">
        <f>ESTADISTICA!R349</f>
        <v>APAGADO</v>
      </c>
      <c r="S350" t="str">
        <f>ESTADISTICA!S349</f>
        <v>APAGADO</v>
      </c>
      <c r="T350" t="str">
        <f>ESTADISTICA!T349</f>
        <v>APAGADO</v>
      </c>
      <c r="U350" t="str">
        <f>ESTADISTICA!U349</f>
        <v>APAGADO</v>
      </c>
      <c r="V350" t="str">
        <f>ESTADISTICA!V349</f>
        <v>APAGADO</v>
      </c>
      <c r="W350" t="str">
        <f>ESTADISTICA!W349</f>
        <v>APAGADO</v>
      </c>
      <c r="X350" t="str">
        <f>ESTADISTICA!X349</f>
        <v>APAGADO</v>
      </c>
      <c r="Y350" t="str">
        <f>ESTADISTICA!Y349</f>
        <v>APAGADO</v>
      </c>
      <c r="Z350" t="str">
        <f>ESTADISTICA!Z349</f>
        <v>APAGADO</v>
      </c>
      <c r="AA350" t="str">
        <f>ESTADISTICA!AA349</f>
        <v>APAGADO</v>
      </c>
      <c r="AB350" t="str">
        <f>ESTADISTICA!AB349</f>
        <v>APAGADO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25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25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25">
      <c r="A353">
        <f>ESTADISTICA!A352</f>
        <v>0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>
        <f>ESTADISTICA!E352</f>
        <v>0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 t="str">
        <f>ESTADISTICA!N352</f>
        <v>APAGADO</v>
      </c>
      <c r="O353" t="str">
        <f>ESTADISTICA!O352</f>
        <v>APAGADO</v>
      </c>
      <c r="P353">
        <f>ESTADISTICA!P352</f>
        <v>0</v>
      </c>
      <c r="Q353">
        <f>ESTADISTICA!Q352</f>
        <v>0</v>
      </c>
      <c r="R353">
        <f>ESTADISTICA!R352</f>
        <v>0</v>
      </c>
      <c r="S353" t="str">
        <f>ESTADISTICA!S352</f>
        <v>APAGADO</v>
      </c>
      <c r="T353" t="str">
        <f>ESTADISTICA!T352</f>
        <v>APAGADO</v>
      </c>
      <c r="U353" t="str">
        <f>ESTADISTICA!U352</f>
        <v>APAGADO</v>
      </c>
      <c r="V353" t="str">
        <f>ESTADISTICA!V352</f>
        <v>APAGADO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hidden="1" x14ac:dyDescent="0.25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25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25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 t="str">
        <f>ESTADISTICA!F355</f>
        <v>APAGADO</v>
      </c>
      <c r="G356">
        <f>ESTADISTICA!G355</f>
        <v>0</v>
      </c>
      <c r="H356">
        <f>ESTADISTICA!H355</f>
        <v>0</v>
      </c>
      <c r="I356" t="str">
        <f>ESTADISTICA!I355</f>
        <v>APAGADO</v>
      </c>
      <c r="J356" t="str">
        <f>ESTADISTICA!J355</f>
        <v>APAGADO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hidden="1" x14ac:dyDescent="0.25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hidden="1" x14ac:dyDescent="0.25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25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25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25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 t="str">
        <f>ESTADISTICA!X360</f>
        <v>APAGADO</v>
      </c>
      <c r="Y361" t="str">
        <f>ESTADISTICA!Y360</f>
        <v>APAGADO</v>
      </c>
      <c r="Z361" t="str">
        <f>ESTADISTICA!Z360</f>
        <v>APAGADO</v>
      </c>
      <c r="AA361" t="str">
        <f>ESTADISTICA!AA360</f>
        <v>APAGADO</v>
      </c>
      <c r="AB361" t="str">
        <f>ESTADISTICA!AB360</f>
        <v>APAGADO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hidden="1" x14ac:dyDescent="0.25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25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25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hidden="1" x14ac:dyDescent="0.25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25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  <row r="367" spans="1:33" hidden="1" x14ac:dyDescent="0.25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</row>
    <row r="368" spans="1:33" hidden="1" x14ac:dyDescent="0.25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hidden="1" x14ac:dyDescent="0.25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</row>
    <row r="370" spans="1:33" hidden="1" x14ac:dyDescent="0.25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</row>
    <row r="371" spans="1:33" hidden="1" x14ac:dyDescent="0.25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</row>
    <row r="372" spans="1:33" hidden="1" x14ac:dyDescent="0.25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</row>
    <row r="373" spans="1:33" hidden="1" x14ac:dyDescent="0.25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</row>
    <row r="374" spans="1:33" hidden="1" x14ac:dyDescent="0.25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</row>
    <row r="375" spans="1:33" hidden="1" x14ac:dyDescent="0.25">
      <c r="A375" t="str">
        <f>ESTADISTICA!A374</f>
        <v>CENTRO</v>
      </c>
      <c r="B375" t="str">
        <f>ESTADISTICA!B374</f>
        <v>CEN75</v>
      </c>
      <c r="C375" t="str">
        <f>ESTADISTICA!C374</f>
        <v>CASTELLI Y 25 DE MAYO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</row>
    <row r="376" spans="1:33" hidden="1" x14ac:dyDescent="0.25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hidden="1" x14ac:dyDescent="0.25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hidden="1" x14ac:dyDescent="0.25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hidden="1" x14ac:dyDescent="0.25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</sheetData>
  <autoFilter ref="A2:AG379" xr:uid="{2CD2C71F-307D-4E12-901F-A6B69A40CA8C}">
    <filterColumn colId="22">
      <filters>
        <filter val="APAGADO"/>
      </filters>
    </filterColumn>
  </autoFilter>
  <conditionalFormatting sqref="F3:AG379">
    <cfRule type="cellIs" dxfId="6" priority="1" operator="equal">
      <formula>0</formula>
    </cfRule>
    <cfRule type="cellIs" dxfId="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J369"/>
  <sheetViews>
    <sheetView workbookViewId="0">
      <pane xSplit="5" ySplit="8" topLeftCell="Y9" activePane="bottomRight" state="frozen"/>
      <selection pane="topRight" activeCell="F1" sqref="F1"/>
      <selection pane="bottomLeft" activeCell="A8" sqref="A8"/>
      <selection pane="bottomRight" activeCell="F3" sqref="F3"/>
    </sheetView>
  </sheetViews>
  <sheetFormatPr baseColWidth="10" defaultRowHeight="15" x14ac:dyDescent="0.25"/>
  <cols>
    <col min="3" max="3" width="26.42578125" customWidth="1"/>
    <col min="5" max="5" width="16.5703125" bestFit="1" customWidth="1"/>
  </cols>
  <sheetData>
    <row r="1" spans="1:36" ht="18.75" x14ac:dyDescent="0.3">
      <c r="C1" s="53" t="s">
        <v>1321</v>
      </c>
      <c r="D1" s="54">
        <f>COUNTIFS(E4:E369,"=Fibra Optica")</f>
        <v>237</v>
      </c>
    </row>
    <row r="2" spans="1:36" ht="21" x14ac:dyDescent="0.35">
      <c r="E2" s="26" t="s">
        <v>934</v>
      </c>
      <c r="F2" s="26">
        <f>COUNTIFS(F4:F367, "=APAGADO",E4:E367,"=Fibra Optica")</f>
        <v>30</v>
      </c>
      <c r="G2" s="26">
        <f>COUNTIFS(G4:G367, "=APAGADO",E4:E367,"=Fibra Optica")</f>
        <v>0</v>
      </c>
      <c r="H2" s="26">
        <f>COUNTIFS(H4:H367, "=APAGADO",E4:E367,"=Fibra Optica")</f>
        <v>0</v>
      </c>
      <c r="I2" s="26">
        <f>COUNTIFS(I4:I367, "=APAGADO",E4:E367,"=Fibra Optica")</f>
        <v>29</v>
      </c>
      <c r="J2" s="26">
        <f>COUNTIFS(J4:J367, "=APAGADO",E4:E367,"=Fibra Optica")</f>
        <v>26</v>
      </c>
      <c r="K2" s="26">
        <f>COUNTIFS(K4:K367, "=APAGADO",E4:E367,"=Fibra Optica")</f>
        <v>20</v>
      </c>
      <c r="L2" s="26">
        <f>COUNTIFS(L4:L367, "=APAGADO",E4:E367,"=Fibra Optica")</f>
        <v>24</v>
      </c>
      <c r="M2" s="26">
        <f>COUNTIFS(M4:M367, "=APAGADO",E4:E367,"=Fibra Optica")</f>
        <v>18</v>
      </c>
      <c r="N2" s="26">
        <f>COUNTIFS(N4:N367, "=APAGADO",E4:E367,"=Fibra Optica")</f>
        <v>17</v>
      </c>
      <c r="O2" s="26">
        <f>COUNTIFS(O4:O367, "=APAGADO",E4:E367,"=Fibra Optica")</f>
        <v>17</v>
      </c>
      <c r="P2" s="26">
        <f>COUNTIFS(P4:P367, "=APAGADO",E4:E367,"=Fibra Optica")</f>
        <v>36</v>
      </c>
      <c r="Q2" s="26">
        <f>COUNTIFS(Q4:Q367, "=APAGADO",E4:E367,"=Fibra Optica")</f>
        <v>17</v>
      </c>
      <c r="R2" s="26">
        <f>COUNTIFS(R4:R367, "=APAGADO",E4:E367,"=Fibra Optica")</f>
        <v>18</v>
      </c>
      <c r="S2" s="26">
        <f>COUNTIFS(S4:S367, "=APAGADO",E4:E367,"=Fibra Optica")</f>
        <v>25</v>
      </c>
      <c r="T2" s="26">
        <f>COUNTIFS(T4:T367, "=APAGADO",E4:E367,"=Fibra Optica")</f>
        <v>17</v>
      </c>
      <c r="U2" s="26">
        <f>COUNTIFS(U4:U367, "=APAGADO",E4:E367,"=Fibra Optica")</f>
        <v>18</v>
      </c>
      <c r="V2" s="26">
        <f>COUNTIFS(V4:V367, "=APAGADO",E4:E367,"=Fibra Optica")</f>
        <v>17</v>
      </c>
      <c r="W2" s="26">
        <f>COUNTIFS(W4:W367, "=APAGADO",E4:E367,"=Fibra Optica")</f>
        <v>18</v>
      </c>
      <c r="X2" s="26">
        <f>COUNTIFS(X4:X367, "=APAGADO",E4:E367,"=Fibra Optica")</f>
        <v>31</v>
      </c>
      <c r="Y2" s="26">
        <f>COUNTIFS(Y4:Y367, "=APAGADO",E4:E367,"=Fibra Optica")</f>
        <v>28</v>
      </c>
      <c r="Z2" s="26">
        <f>COUNTIFS(Z4:Z367, "=APAGADO",E4:E367,"=Fibra Optica")</f>
        <v>25</v>
      </c>
      <c r="AA2" s="26">
        <f>COUNTIFS(AA4:AA367, "=APAGADO",E4:E367,"=Fibra Optica")</f>
        <v>25</v>
      </c>
      <c r="AB2" s="26">
        <f>COUNTIFS(AB4:AB367, "=APAGADO",E4:E367,"=Fibra Optica")</f>
        <v>20</v>
      </c>
      <c r="AC2" s="26">
        <f>COUNTIFS(AC4:AC367, "=APAGADO",E4:E367,"=Fibra Optica")</f>
        <v>0</v>
      </c>
      <c r="AD2" s="26">
        <f>COUNTIFS(AD4:AD367, "=APAGADO",E4:E367,"=Fibra Optica")</f>
        <v>0</v>
      </c>
      <c r="AE2" s="26">
        <f>COUNTIFS(AE4:AE367, "=APAGADO",E4:E367,"=Fibra Optica")</f>
        <v>0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 t="shared" ref="AI2" si="0">COUNTIFS(AI4:AI367, "=APAGADO",AE4:AE367,"=Fibra Optica")</f>
        <v>0</v>
      </c>
      <c r="AJ2" s="26">
        <f t="shared" ref="AJ2" si="1">COUNTIFS(AJ4:AJ367, "=APAGADO",AF4:AF367,"=Fibra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44652</v>
      </c>
      <c r="G3" s="25">
        <f>ESTADISTICA!G1</f>
        <v>44653</v>
      </c>
      <c r="H3" s="25">
        <f>ESTADISTICA!H1</f>
        <v>44654</v>
      </c>
      <c r="I3" s="25">
        <f>ESTADISTICA!I1</f>
        <v>44655</v>
      </c>
      <c r="J3" s="25">
        <f>ESTADISTICA!J1</f>
        <v>44656</v>
      </c>
      <c r="K3" s="25">
        <f>ESTADISTICA!K1</f>
        <v>44657</v>
      </c>
      <c r="L3" s="25">
        <f>ESTADISTICA!L1</f>
        <v>44658</v>
      </c>
      <c r="M3" s="25">
        <f>ESTADISTICA!M1</f>
        <v>44659</v>
      </c>
      <c r="N3" s="25">
        <f>ESTADISTICA!N1</f>
        <v>44660</v>
      </c>
      <c r="O3" s="25">
        <f>ESTADISTICA!O1</f>
        <v>44661</v>
      </c>
      <c r="P3" s="25">
        <f>ESTADISTICA!P1</f>
        <v>44662</v>
      </c>
      <c r="Q3" s="25">
        <f>ESTADISTICA!Q1</f>
        <v>44663</v>
      </c>
      <c r="R3" s="25">
        <f>ESTADISTICA!R1</f>
        <v>44664</v>
      </c>
      <c r="S3" s="25">
        <f>ESTADISTICA!S1</f>
        <v>44665</v>
      </c>
      <c r="T3" s="25">
        <f>ESTADISTICA!T1</f>
        <v>44666</v>
      </c>
      <c r="U3" s="25">
        <f>ESTADISTICA!U1</f>
        <v>44667</v>
      </c>
      <c r="V3" s="25">
        <f>ESTADISTICA!V1</f>
        <v>44668</v>
      </c>
      <c r="W3" s="25">
        <f>ESTADISTICA!W1</f>
        <v>44669</v>
      </c>
      <c r="X3" s="25">
        <f>ESTADISTICA!X1</f>
        <v>44670</v>
      </c>
      <c r="Y3" s="25">
        <f>ESTADISTICA!Y1</f>
        <v>44671</v>
      </c>
      <c r="Z3" s="25">
        <f>ESTADISTICA!Z1</f>
        <v>44672</v>
      </c>
      <c r="AA3" s="25">
        <f>ESTADISTICA!AA1</f>
        <v>44673</v>
      </c>
      <c r="AB3" s="25">
        <f>ESTADISTICA!AB1</f>
        <v>44674</v>
      </c>
      <c r="AC3" s="25">
        <f>ESTADISTICA!AC1</f>
        <v>44675</v>
      </c>
      <c r="AD3" s="25">
        <f>ESTADISTICA!AD1</f>
        <v>44676</v>
      </c>
      <c r="AE3" s="25">
        <f>ESTADISTICA!AE1</f>
        <v>44677</v>
      </c>
      <c r="AF3" s="25">
        <f>ESTADISTICA!AF1</f>
        <v>44678</v>
      </c>
      <c r="AG3" s="25">
        <f>ESTADISTICA!AG1</f>
        <v>44679</v>
      </c>
      <c r="AH3" s="25">
        <f>ESTADISTICA!AH1</f>
        <v>44680</v>
      </c>
      <c r="AI3" s="25">
        <f>ESTADISTICA!AI1</f>
        <v>44681</v>
      </c>
      <c r="AJ3" s="25" t="e">
        <f>ESTADISTICA!AJ1</f>
        <v>#REF!</v>
      </c>
    </row>
    <row r="4" spans="1:36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 t="str">
        <f>ESTADISTICA!J2</f>
        <v>APAGADO</v>
      </c>
      <c r="K4">
        <f>ESTADISTICA!K2</f>
        <v>0</v>
      </c>
      <c r="L4">
        <f>ESTADISTICA!L2</f>
        <v>0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>
        <f>ESTADISTICA!V4</f>
        <v>0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 t="str">
        <f>ESTADISTICA!Z4</f>
        <v>APAGADO</v>
      </c>
      <c r="AA6" t="str">
        <f>ESTADISTICA!AA4</f>
        <v>APAGADO</v>
      </c>
      <c r="AB6" t="str">
        <f>ESTADISTICA!AB4</f>
        <v>APAGADO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 t="str">
        <f>ESTADISTICA!X7</f>
        <v>APAGADO</v>
      </c>
      <c r="Y9" t="str">
        <f>ESTADISTICA!Y7</f>
        <v>APAGADO</v>
      </c>
      <c r="Z9" t="str">
        <f>ESTADISTICA!Z7</f>
        <v>APAGADO</v>
      </c>
      <c r="AA9" t="str">
        <f>ESTADISTICA!AA7</f>
        <v>APAGADO</v>
      </c>
      <c r="AB9" t="str">
        <f>ESTADISTICA!AB7</f>
        <v>APAGADO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 t="str">
        <f>ESTADISTICA!S8</f>
        <v>APAGADO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 t="str">
        <f>ESTADISTICA!S9</f>
        <v>APAGADO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 t="str">
        <f>ESTADISTICA!X9</f>
        <v>APAGADO</v>
      </c>
      <c r="Y11" t="str">
        <f>ESTADISTICA!Y9</f>
        <v>APAGADO</v>
      </c>
      <c r="Z11" t="str">
        <f>ESTADISTICA!Z9</f>
        <v>APAGADO</v>
      </c>
      <c r="AA11" t="str">
        <f>ESTADISTICA!AA9</f>
        <v>APAGADO</v>
      </c>
      <c r="AB11" t="str">
        <f>ESTADISTICA!AB9</f>
        <v>APAGADO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 t="str">
        <f>ESTADISTICA!S10</f>
        <v>APAGADO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 t="str">
        <f>ESTADISTICA!X10</f>
        <v>APAGADO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 t="str">
        <f>ESTADISTICA!S11</f>
        <v>APAGADO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 t="str">
        <f>ESTADISTICA!X11</f>
        <v>APAGADO</v>
      </c>
      <c r="Y13" t="str">
        <f>ESTADISTICA!Y11</f>
        <v>APAGADO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 t="str">
        <f>ESTADISTICA!S12</f>
        <v>APAGADO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 t="str">
        <f>ESTADISTICA!S13</f>
        <v>APAGADO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 t="str">
        <f>ESTADISTICA!S14</f>
        <v>APAGADO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 t="str">
        <f>ESTADISTICA!S15</f>
        <v>APAGADO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 t="str">
        <f>ESTADISTICA!S17</f>
        <v>APAGADO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6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 t="str">
        <f>ESTADISTICA!L18</f>
        <v>APAGADO</v>
      </c>
      <c r="M20" t="str">
        <f>ESTADISTICA!M18</f>
        <v>APAGADO</v>
      </c>
      <c r="N20" t="str">
        <f>ESTADISTICA!N18</f>
        <v>APAGADO</v>
      </c>
      <c r="O20" t="str">
        <f>ESTADISTICA!O18</f>
        <v>APAGADO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 t="str">
        <f>ESTADISTICA!X18</f>
        <v>APAGADO</v>
      </c>
      <c r="Y20">
        <f>ESTADISTICA!Y18</f>
        <v>0</v>
      </c>
      <c r="Z20" t="str">
        <f>ESTADISTICA!Z18</f>
        <v>APAGADO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 t="str">
        <f>ESTADISTICA!L19</f>
        <v>APAGADO</v>
      </c>
      <c r="M21" t="str">
        <f>ESTADISTICA!M19</f>
        <v>APAGADO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 t="e">
        <f>ESTADISTICA!AJ19</f>
        <v>#REF!</v>
      </c>
    </row>
    <row r="22" spans="1:36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6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 t="str">
        <f>ESTADISTICA!L21</f>
        <v>APAGADO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 t="str">
        <f>ESTADISTICA!V21</f>
        <v>APAGADO</v>
      </c>
      <c r="W23" t="str">
        <f>ESTADISTICA!W21</f>
        <v>APAGADO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6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6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6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6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 t="e">
        <f>ESTADISTICA!AJ25</f>
        <v>#REF!</v>
      </c>
    </row>
    <row r="28" spans="1:36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6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>
        <f>ESTADISTICA!G27</f>
        <v>0</v>
      </c>
      <c r="H29">
        <f>ESTADISTICA!H27</f>
        <v>0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 t="str">
        <f>ESTADISTICA!P27</f>
        <v>APAGADO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6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6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 t="str">
        <f>ESTADISTICA!W29</f>
        <v>APAGADO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6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 t="str">
        <f>ESTADISTICA!J44</f>
        <v>APAGADO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 t="str">
        <f>ESTADISTICA!P46</f>
        <v>APAGADO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 t="str">
        <f>ESTADISTICA!P48</f>
        <v>APAGADO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 t="e">
        <f>ESTADISTICA!AJ49</f>
        <v>#REF!</v>
      </c>
    </row>
    <row r="52" spans="1:36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 t="str">
        <f>ESTADISTICA!X50</f>
        <v>APAGADO</v>
      </c>
      <c r="Y52" t="str">
        <f>ESTADISTICA!Y50</f>
        <v>APAGADO</v>
      </c>
      <c r="Z52" t="str">
        <f>ESTADISTICA!Z50</f>
        <v>APAGADO</v>
      </c>
      <c r="AA52" t="str">
        <f>ESTADISTICA!AA50</f>
        <v>APAGADO</v>
      </c>
      <c r="AB52" t="str">
        <f>ESTADISTICA!AB50</f>
        <v>APAGADO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6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6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6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>
        <f>ESTADISTICA!G59</f>
        <v>0</v>
      </c>
      <c r="H61">
        <f>ESTADISTICA!H59</f>
        <v>0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 t="str">
        <f>ESTADISTICA!R59</f>
        <v>APAGADO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>
        <f>ESTADISTICA!G60</f>
        <v>0</v>
      </c>
      <c r="H62">
        <f>ESTADISTICA!H60</f>
        <v>0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>
        <f>ESTADISTICA!G62</f>
        <v>0</v>
      </c>
      <c r="H64">
        <f>ESTADISTICA!H62</f>
        <v>0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 t="str">
        <f>ESTADISTICA!Q62</f>
        <v>APAGADO</v>
      </c>
      <c r="R64" t="str">
        <f>ESTADISTICA!R62</f>
        <v>APAGADO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 t="str">
        <f>ESTADISTICA!U63</f>
        <v>APAGADO</v>
      </c>
      <c r="V65" t="str">
        <f>ESTADISTICA!V63</f>
        <v>APAGADO</v>
      </c>
      <c r="W65" t="str">
        <f>ESTADISTICA!W63</f>
        <v>APAGADO</v>
      </c>
      <c r="X65" t="str">
        <f>ESTADISTICA!X63</f>
        <v>APAGADO</v>
      </c>
      <c r="Y65" t="str">
        <f>ESTADISTICA!Y63</f>
        <v>APAGADO</v>
      </c>
      <c r="Z65" t="str">
        <f>ESTADISTICA!Z63</f>
        <v>APAGADO</v>
      </c>
      <c r="AA65" t="str">
        <f>ESTADISTICA!AA63</f>
        <v>APAGADO</v>
      </c>
      <c r="AB65" t="str">
        <f>ESTADISTICA!AB63</f>
        <v>APAGADO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 t="e">
        <f>ESTADISTICA!AJ63</f>
        <v>#REF!</v>
      </c>
    </row>
    <row r="66" spans="1:36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>
        <f>ESTADISTICA!G65</f>
        <v>0</v>
      </c>
      <c r="H67">
        <f>ESTADISTICA!H65</f>
        <v>0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 t="str">
        <f>ESTADISTICA!O65</f>
        <v>APAGADO</v>
      </c>
      <c r="P67" t="str">
        <f>ESTADISTICA!P65</f>
        <v>APAGADO</v>
      </c>
      <c r="Q67" t="str">
        <f>ESTADISTICA!Q65</f>
        <v>APAGADO</v>
      </c>
      <c r="R67" t="str">
        <f>ESTADISTICA!R65</f>
        <v>APAGADO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 t="str">
        <f>ESTADISTICA!X70</f>
        <v>APAGADO</v>
      </c>
      <c r="Y72" t="str">
        <f>ESTADISTICA!Y70</f>
        <v>APAGADO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>
        <f>ESTADISTICA!G77</f>
        <v>0</v>
      </c>
      <c r="H79">
        <f>ESTADISTICA!H77</f>
        <v>0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 t="str">
        <f>ESTADISTICA!Z77</f>
        <v>APAGADO</v>
      </c>
      <c r="AA79" t="str">
        <f>ESTADISTICA!AA77</f>
        <v>APAGADO</v>
      </c>
      <c r="AB79" t="str">
        <f>ESTADISTICA!AB77</f>
        <v>APAGADO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 t="e">
        <f>ESTADISTICA!AJ78</f>
        <v>#REF!</v>
      </c>
    </row>
    <row r="81" spans="1:36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 t="e">
        <f>ESTADISTICA!AJ79</f>
        <v>#REF!</v>
      </c>
    </row>
    <row r="82" spans="1:36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6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 t="str">
        <f>ESTADISTICA!I82</f>
        <v>APAGADO</v>
      </c>
      <c r="J84" t="str">
        <f>ESTADISTICA!J82</f>
        <v>APAGADO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6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6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6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 t="e">
        <f>ESTADISTICA!AJ86</f>
        <v>#REF!</v>
      </c>
    </row>
    <row r="89" spans="1:36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 t="e">
        <f>ESTADISTICA!AJ87</f>
        <v>#REF!</v>
      </c>
    </row>
    <row r="90" spans="1:36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>
        <f>ESTADISTICA!G88</f>
        <v>0</v>
      </c>
      <c r="H90">
        <f>ESTADISTICA!H88</f>
        <v>0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>
        <f>ESTADISTICA!G89</f>
        <v>0</v>
      </c>
      <c r="H91">
        <f>ESTADISTICA!H89</f>
        <v>0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6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6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6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6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 t="str">
        <f>ESTADISTICA!V99</f>
        <v>APAGADO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6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6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6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6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6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6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6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6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6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>
        <f>ESTADISTICA!O112</f>
        <v>0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 t="str">
        <f>ESTADISTICA!X112</f>
        <v>APAGADO</v>
      </c>
      <c r="Y114" t="str">
        <f>ESTADISTICA!Y112</f>
        <v>APAGADO</v>
      </c>
      <c r="Z114" t="str">
        <f>ESTADISTICA!Z112</f>
        <v>APAGADO</v>
      </c>
      <c r="AA114" t="str">
        <f>ESTADISTICA!AA112</f>
        <v>APAGADO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 t="e">
        <f>ESTADISTICA!AJ112</f>
        <v>#REF!</v>
      </c>
    </row>
    <row r="115" spans="1:36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6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 t="e">
        <f>ESTADISTICA!AJ115</f>
        <v>#REF!</v>
      </c>
    </row>
    <row r="118" spans="1:36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 t="e">
        <f>ESTADISTICA!AJ116</f>
        <v>#REF!</v>
      </c>
    </row>
    <row r="119" spans="1:36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 t="str">
        <f>ESTADISTICA!X121</f>
        <v>APAGADO</v>
      </c>
      <c r="Y123" t="str">
        <f>ESTADISTICA!Y121</f>
        <v>APAGADO</v>
      </c>
      <c r="Z123" t="str">
        <f>ESTADISTICA!Z121</f>
        <v>APAGADO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6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6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6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6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6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6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6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6" hidden="1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6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6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6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6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6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6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6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6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6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6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6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6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6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 t="str">
        <f>ESTADISTICA!F150</f>
        <v>APAGADO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 t="str">
        <f>ESTADISTICA!J150</f>
        <v>APAGAD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 t="str">
        <f>ESTADISTICA!Z150</f>
        <v>APAGADO</v>
      </c>
      <c r="AA152" t="str">
        <f>ESTADISTICA!AA150</f>
        <v>APAGADO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 t="str">
        <f>ESTADISTICA!J153</f>
        <v>APAGADO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 t="str">
        <f>ESTADISTICA!S153</f>
        <v>APAGADO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 t="str">
        <f>ESTADISTICA!P154</f>
        <v>APAGADO</v>
      </c>
      <c r="Q156" t="str">
        <f>ESTADISTICA!Q154</f>
        <v>APAGADO</v>
      </c>
      <c r="R156" t="str">
        <f>ESTADISTICA!R154</f>
        <v>APAGADO</v>
      </c>
      <c r="S156" t="str">
        <f>ESTADISTICA!S154</f>
        <v>APAGADO</v>
      </c>
      <c r="T156" t="str">
        <f>ESTADISTICA!T154</f>
        <v>APAGADO</v>
      </c>
      <c r="U156" t="str">
        <f>ESTADISTICA!U154</f>
        <v>APAGADO</v>
      </c>
      <c r="V156" t="str">
        <f>ESTADISTICA!V154</f>
        <v>APAGADO</v>
      </c>
      <c r="W156" t="str">
        <f>ESTADISTICA!W154</f>
        <v>APAGADO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 t="str">
        <f>ESTADISTICA!S158</f>
        <v>APAGADO</v>
      </c>
      <c r="T160" t="str">
        <f>ESTADISTICA!T158</f>
        <v>APAGADO</v>
      </c>
      <c r="U160" t="str">
        <f>ESTADISTICA!U158</f>
        <v>APAGADO</v>
      </c>
      <c r="V160" t="str">
        <f>ESTADISTICA!V158</f>
        <v>APAGADO</v>
      </c>
      <c r="W160" t="str">
        <f>ESTADISTICA!W158</f>
        <v>APAGADO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6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6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 t="str">
        <f>ESTADISTICA!Q165</f>
        <v>APAGADO</v>
      </c>
      <c r="R167" t="str">
        <f>ESTADISTICA!R165</f>
        <v>APAGADO</v>
      </c>
      <c r="S167" t="str">
        <f>ESTADISTICA!S165</f>
        <v>APAGADO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 t="str">
        <f>ESTADISTICA!AA165</f>
        <v>APAGADO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 t="str">
        <f>ESTADISTICA!S166</f>
        <v>APAGADO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 t="str">
        <f>ESTADISTICA!J168</f>
        <v>APAGADO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 t="str">
        <f>ESTADISTICA!S168</f>
        <v>APAGADO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 t="str">
        <f>ESTADISTICA!N170</f>
        <v>APAGADO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 t="str">
        <f>ESTADISTICA!S170</f>
        <v>APAGADO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>
        <f>ESTADISTICA!G171</f>
        <v>0</v>
      </c>
      <c r="H173">
        <f>ESTADISTICA!H171</f>
        <v>0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 t="str">
        <f>ESTADISTICA!S171</f>
        <v>APAGADO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6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>
        <f>ESTADISTICA!T174</f>
        <v>0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 t="str">
        <f>ESTADISTICA!AA174</f>
        <v>APAGADO</v>
      </c>
      <c r="AB176" t="str">
        <f>ESTADISTICA!AB174</f>
        <v>APAGADO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6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6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6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6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6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6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6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 t="str">
        <f>ESTADISTICA!X183</f>
        <v>APAGADO</v>
      </c>
      <c r="Y185" t="str">
        <f>ESTADISTICA!Y183</f>
        <v>APAGADO</v>
      </c>
      <c r="Z185">
        <f>ESTADISTICA!Z183</f>
        <v>0</v>
      </c>
      <c r="AA185" t="str">
        <f>ESTADISTICA!AA183</f>
        <v>APAGADO</v>
      </c>
      <c r="AB185" t="str">
        <f>ESTADISTICA!AB183</f>
        <v>APAGADO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 t="str">
        <f>ESTADISTICA!Y187</f>
        <v>APAGADO</v>
      </c>
      <c r="Z189" t="str">
        <f>ESTADISTICA!Z187</f>
        <v>APAGADO</v>
      </c>
      <c r="AA189" t="str">
        <f>ESTADISTICA!AA187</f>
        <v>APAGADO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>
        <f>ESTADISTICA!M190</f>
        <v>0</v>
      </c>
      <c r="N192">
        <f>ESTADISTICA!N190</f>
        <v>0</v>
      </c>
      <c r="O192">
        <f>ESTADISTICA!O190</f>
        <v>0</v>
      </c>
      <c r="P192" t="str">
        <f>ESTADISTICA!P190</f>
        <v>APAGADO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>
        <f>ESTADISTICA!R191</f>
        <v>0</v>
      </c>
      <c r="S193">
        <f>ESTADISTICA!S191</f>
        <v>0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 t="str">
        <f>ESTADISTICA!W191</f>
        <v>APAGADO</v>
      </c>
      <c r="X193" t="str">
        <f>ESTADISTICA!X191</f>
        <v>APAGADO</v>
      </c>
      <c r="Y193" t="str">
        <f>ESTADISTICA!Y191</f>
        <v>APAGADO</v>
      </c>
      <c r="Z193" t="str">
        <f>ESTADISTICA!Z191</f>
        <v>APAGADO</v>
      </c>
      <c r="AA193" t="str">
        <f>ESTADISTICA!AA191</f>
        <v>APAGADO</v>
      </c>
      <c r="AB193" t="str">
        <f>ESTADISTICA!AB191</f>
        <v>APAGADO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 t="str">
        <f>ESTADISTICA!Z196</f>
        <v>APAGADO</v>
      </c>
      <c r="AA198" t="str">
        <f>ESTADISTICA!AA196</f>
        <v>APAGADO</v>
      </c>
      <c r="AB198" t="str">
        <f>ESTADISTICA!AB196</f>
        <v>APAGADO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 t="str">
        <f>ESTADISTICA!R197</f>
        <v>APAGADO</v>
      </c>
      <c r="S199" t="str">
        <f>ESTADISTICA!S197</f>
        <v>APAGADO</v>
      </c>
      <c r="T199" t="str">
        <f>ESTADISTICA!T197</f>
        <v>APAGADO</v>
      </c>
      <c r="U199" t="str">
        <f>ESTADISTICA!U197</f>
        <v>APAGADO</v>
      </c>
      <c r="V199" t="str">
        <f>ESTADISTICA!V197</f>
        <v>APAGADO</v>
      </c>
      <c r="W199" t="str">
        <f>ESTADISTICA!W197</f>
        <v>APAGADO</v>
      </c>
      <c r="X199" t="str">
        <f>ESTADISTICA!X197</f>
        <v>APAGADO</v>
      </c>
      <c r="Y199" t="str">
        <f>ESTADISTICA!Y197</f>
        <v>APAGADO</v>
      </c>
      <c r="Z199" t="str">
        <f>ESTADISTICA!Z197</f>
        <v>APAGADO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 t="str">
        <f>ESTADISTICA!J198</f>
        <v>APAGADO</v>
      </c>
      <c r="K200" t="str">
        <f>ESTADISTICA!K198</f>
        <v>APAGADO</v>
      </c>
      <c r="L200" t="str">
        <f>ESTADISTICA!L198</f>
        <v>APAGADO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 t="str">
        <f>ESTADISTICA!F199</f>
        <v>APAGADO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 t="str">
        <f>ESTADISTICA!J199</f>
        <v>APAGADO</v>
      </c>
      <c r="K201" t="str">
        <f>ESTADISTICA!K199</f>
        <v>APAGADO</v>
      </c>
      <c r="L201" t="str">
        <f>ESTADISTICA!L199</f>
        <v>APAGADO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 t="str">
        <f>ESTADISTICA!Q200</f>
        <v>APAGADO</v>
      </c>
      <c r="R202" t="str">
        <f>ESTADISTICA!R200</f>
        <v>APAGADO</v>
      </c>
      <c r="S202" t="str">
        <f>ESTADISTICA!S200</f>
        <v>APAGADO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 t="str">
        <f>ESTADISTICA!AA200</f>
        <v>APAGADO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 t="str">
        <f>ESTADISTICA!AA203</f>
        <v>APAGADO</v>
      </c>
      <c r="AB205" t="str">
        <f>ESTADISTICA!AB203</f>
        <v>APAGADO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 t="str">
        <f>ESTADISTICA!V204</f>
        <v>APAGADO</v>
      </c>
      <c r="W206" t="str">
        <f>ESTADISTICA!W204</f>
        <v>APAGADO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6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6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 t="str">
        <f>ESTADISTICA!F206</f>
        <v>APAGADO</v>
      </c>
      <c r="G208">
        <f>ESTADISTICA!G206</f>
        <v>0</v>
      </c>
      <c r="H208">
        <f>ESTADISTICA!H206</f>
        <v>0</v>
      </c>
      <c r="I208" t="str">
        <f>ESTADISTICA!I206</f>
        <v>APAGADO</v>
      </c>
      <c r="J208" t="str">
        <f>ESTADISTICA!J206</f>
        <v>APAGADO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 t="e">
        <f>ESTADISTICA!AJ206</f>
        <v>#REF!</v>
      </c>
    </row>
    <row r="209" spans="1:36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 t="str">
        <f>ESTADISTICA!F207</f>
        <v>APAGADO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 t="e">
        <f>ESTADISTICA!AJ207</f>
        <v>#REF!</v>
      </c>
    </row>
    <row r="210" spans="1:36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 t="e">
        <f>ESTADISTICA!AJ208</f>
        <v>#REF!</v>
      </c>
    </row>
    <row r="211" spans="1:36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 t="e">
        <f>ESTADISTICA!AJ209</f>
        <v>#REF!</v>
      </c>
    </row>
    <row r="212" spans="1:36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 t="str">
        <f>ESTADISTICA!AA210</f>
        <v>APAGADO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 t="e">
        <f>ESTADISTICA!AJ210</f>
        <v>#REF!</v>
      </c>
    </row>
    <row r="213" spans="1:36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 t="e">
        <f>ESTADISTICA!AJ211</f>
        <v>#REF!</v>
      </c>
    </row>
    <row r="214" spans="1:36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 t="e">
        <f>ESTADISTICA!AJ212</f>
        <v>#REF!</v>
      </c>
    </row>
    <row r="215" spans="1:36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 t="e">
        <f>ESTADISTICA!AJ213</f>
        <v>#REF!</v>
      </c>
    </row>
    <row r="216" spans="1:36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 t="e">
        <f>ESTADISTICA!AJ214</f>
        <v>#REF!</v>
      </c>
    </row>
    <row r="217" spans="1:36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 t="e">
        <f>ESTADISTICA!AJ215</f>
        <v>#REF!</v>
      </c>
    </row>
    <row r="218" spans="1:36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 t="e">
        <f>ESTADISTICA!AJ216</f>
        <v>#REF!</v>
      </c>
    </row>
    <row r="219" spans="1:36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 t="e">
        <f>ESTADISTICA!AJ217</f>
        <v>#REF!</v>
      </c>
    </row>
    <row r="220" spans="1:36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 t="e">
        <f>ESTADISTICA!AJ218</f>
        <v>#REF!</v>
      </c>
    </row>
    <row r="221" spans="1:36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 t="e">
        <f>ESTADISTICA!AJ219</f>
        <v>#REF!</v>
      </c>
    </row>
    <row r="222" spans="1:36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 t="e">
        <f>ESTADISTICA!AJ220</f>
        <v>#REF!</v>
      </c>
    </row>
    <row r="223" spans="1:36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 t="e">
        <f>ESTADISTICA!AJ221</f>
        <v>#REF!</v>
      </c>
    </row>
    <row r="224" spans="1:36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 t="e">
        <f>ESTADISTICA!AJ222</f>
        <v>#REF!</v>
      </c>
    </row>
    <row r="225" spans="1:36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 t="str">
        <f>ESTADISTICA!P223</f>
        <v>APAGADO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 t="e">
        <f>ESTADISTICA!AJ223</f>
        <v>#REF!</v>
      </c>
    </row>
    <row r="226" spans="1:36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 t="str">
        <f>ESTADISTICA!X224</f>
        <v>APAGADO</v>
      </c>
      <c r="Y226" t="str">
        <f>ESTADISTICA!Y224</f>
        <v>APAGADO</v>
      </c>
      <c r="Z226" t="str">
        <f>ESTADISTICA!Z224</f>
        <v>APAGADO</v>
      </c>
      <c r="AA226" t="str">
        <f>ESTADISTICA!AA224</f>
        <v>APAGADO</v>
      </c>
      <c r="AB226" t="str">
        <f>ESTADISTICA!AB224</f>
        <v>APAGADO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 t="e">
        <f>ESTADISTICA!AJ224</f>
        <v>#REF!</v>
      </c>
    </row>
    <row r="227" spans="1:36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6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 t="str">
        <f>ESTADISTICA!P226</f>
        <v>APAGADO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 t="e">
        <f>ESTADISTICA!AJ226</f>
        <v>#REF!</v>
      </c>
    </row>
    <row r="229" spans="1:36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 t="str">
        <f>ESTADISTICA!S227</f>
        <v>APAGADO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 t="e">
        <f>ESTADISTICA!AJ227</f>
        <v>#REF!</v>
      </c>
    </row>
    <row r="230" spans="1:36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 t="e">
        <f>ESTADISTICA!AJ228</f>
        <v>#REF!</v>
      </c>
    </row>
    <row r="231" spans="1:36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 t="e">
        <f>ESTADISTICA!AJ229</f>
        <v>#REF!</v>
      </c>
    </row>
    <row r="232" spans="1:36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 t="str">
        <f>ESTADISTICA!Z230</f>
        <v>APAGADO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6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6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 t="e">
        <f>ESTADISTICA!AJ232</f>
        <v>#REF!</v>
      </c>
    </row>
    <row r="235" spans="1:36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 t="e">
        <f>ESTADISTICA!AJ233</f>
        <v>#REF!</v>
      </c>
    </row>
    <row r="236" spans="1:36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 t="e">
        <f>ESTADISTICA!AJ234</f>
        <v>#REF!</v>
      </c>
    </row>
    <row r="237" spans="1:36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6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 t="e">
        <f>ESTADISTICA!AJ236</f>
        <v>#REF!</v>
      </c>
    </row>
    <row r="239" spans="1:36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 t="e">
        <f>ESTADISTICA!AJ237</f>
        <v>#REF!</v>
      </c>
    </row>
    <row r="240" spans="1:36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 t="str">
        <f>ESTADISTICA!P238</f>
        <v>APAGADO</v>
      </c>
      <c r="Q240">
        <f>ESTADISTICA!Q238</f>
        <v>0</v>
      </c>
      <c r="R240">
        <f>ESTADISTICA!R238</f>
        <v>0</v>
      </c>
      <c r="S240">
        <f>ESTADISTICA!S238</f>
        <v>0</v>
      </c>
      <c r="T240" t="str">
        <f>ESTADISTICA!T238</f>
        <v>APAGADO</v>
      </c>
      <c r="U240" t="str">
        <f>ESTADISTICA!U238</f>
        <v>APAGADO</v>
      </c>
      <c r="V240" t="str">
        <f>ESTADISTICA!V238</f>
        <v>APAGADO</v>
      </c>
      <c r="W240" t="str">
        <f>ESTADISTICA!W238</f>
        <v>APAGADO</v>
      </c>
      <c r="X240" t="str">
        <f>ESTADISTICA!X238</f>
        <v>APAGADO</v>
      </c>
      <c r="Y240" t="str">
        <f>ESTADISTICA!Y238</f>
        <v>APAGADO</v>
      </c>
      <c r="Z240" t="str">
        <f>ESTADISTICA!Z238</f>
        <v>APAGADO</v>
      </c>
      <c r="AA240" t="str">
        <f>ESTADISTICA!AA238</f>
        <v>APAGADO</v>
      </c>
      <c r="AB240" t="str">
        <f>ESTADISTICA!AB238</f>
        <v>APAGADO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 t="e">
        <f>ESTADISTICA!AJ238</f>
        <v>#REF!</v>
      </c>
    </row>
    <row r="241" spans="1:36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 t="str">
        <f>ESTADISTICA!T239</f>
        <v>APAGADO</v>
      </c>
      <c r="U241" t="str">
        <f>ESTADISTICA!U239</f>
        <v>APAGADO</v>
      </c>
      <c r="V241" t="str">
        <f>ESTADISTICA!V239</f>
        <v>APAGADO</v>
      </c>
      <c r="W241" t="str">
        <f>ESTADISTICA!W239</f>
        <v>APAGADO</v>
      </c>
      <c r="X241" t="str">
        <f>ESTADISTICA!X239</f>
        <v>APAGADO</v>
      </c>
      <c r="Y241" t="str">
        <f>ESTADISTICA!Y239</f>
        <v>APAGADO</v>
      </c>
      <c r="Z241" t="str">
        <f>ESTADISTICA!Z239</f>
        <v>APAGADO</v>
      </c>
      <c r="AA241" t="str">
        <f>ESTADISTICA!AA239</f>
        <v>APAGADO</v>
      </c>
      <c r="AB241" t="str">
        <f>ESTADISTICA!AB239</f>
        <v>APAGADO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 t="e">
        <f>ESTADISTICA!AJ239</f>
        <v>#REF!</v>
      </c>
    </row>
    <row r="242" spans="1:36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 t="str">
        <f>ESTADISTICA!T240</f>
        <v>APAGADO</v>
      </c>
      <c r="U242" t="str">
        <f>ESTADISTICA!U240</f>
        <v>APAGADO</v>
      </c>
      <c r="V242" t="str">
        <f>ESTADISTICA!V240</f>
        <v>APAGADO</v>
      </c>
      <c r="W242" t="str">
        <f>ESTADISTICA!W240</f>
        <v>APAGADO</v>
      </c>
      <c r="X242" t="str">
        <f>ESTADISTICA!X240</f>
        <v>APAGADO</v>
      </c>
      <c r="Y242" t="str">
        <f>ESTADISTICA!Y240</f>
        <v>APAGADO</v>
      </c>
      <c r="Z242" t="str">
        <f>ESTADISTICA!Z240</f>
        <v>APAGADO</v>
      </c>
      <c r="AA242" t="str">
        <f>ESTADISTICA!AA240</f>
        <v>APAGADO</v>
      </c>
      <c r="AB242" t="str">
        <f>ESTADISTICA!AB240</f>
        <v>APAGADO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 t="e">
        <f>ESTADISTICA!AJ240</f>
        <v>#REF!</v>
      </c>
    </row>
    <row r="243" spans="1:36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>
        <f>ESTADISTICA!S241</f>
        <v>0</v>
      </c>
      <c r="T243" t="str">
        <f>ESTADISTICA!T241</f>
        <v>APAGADO</v>
      </c>
      <c r="U243" t="str">
        <f>ESTADISTICA!U241</f>
        <v>APAGADO</v>
      </c>
      <c r="V243" t="str">
        <f>ESTADISTICA!V241</f>
        <v>APAGADO</v>
      </c>
      <c r="W243" t="str">
        <f>ESTADISTICA!W241</f>
        <v>APAGADO</v>
      </c>
      <c r="X243" t="str">
        <f>ESTADISTICA!X241</f>
        <v>APAGADO</v>
      </c>
      <c r="Y243" t="str">
        <f>ESTADISTICA!Y241</f>
        <v>APAGADO</v>
      </c>
      <c r="Z243" t="str">
        <f>ESTADISTICA!Z241</f>
        <v>APAGADO</v>
      </c>
      <c r="AA243" t="str">
        <f>ESTADISTICA!AA241</f>
        <v>APAGADO</v>
      </c>
      <c r="AB243" t="str">
        <f>ESTADISTICA!AB241</f>
        <v>APAGADO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 t="e">
        <f>ESTADISTICA!AJ241</f>
        <v>#REF!</v>
      </c>
    </row>
    <row r="244" spans="1:36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 t="e">
        <f>ESTADISTICA!AJ242</f>
        <v>#REF!</v>
      </c>
    </row>
    <row r="245" spans="1:36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>
        <f>ESTADISTICA!Q243</f>
        <v>0</v>
      </c>
      <c r="R245">
        <f>ESTADISTICA!R243</f>
        <v>0</v>
      </c>
      <c r="S245">
        <f>ESTADISTICA!S243</f>
        <v>0</v>
      </c>
      <c r="T245" t="str">
        <f>ESTADISTICA!T243</f>
        <v>APAGADO</v>
      </c>
      <c r="U245" t="str">
        <f>ESTADISTICA!U243</f>
        <v>APAGADO</v>
      </c>
      <c r="V245" t="str">
        <f>ESTADISTICA!V243</f>
        <v>APAGADO</v>
      </c>
      <c r="W245" t="str">
        <f>ESTADISTICA!W243</f>
        <v>APAGADO</v>
      </c>
      <c r="X245" t="str">
        <f>ESTADISTICA!X243</f>
        <v>APAGADO</v>
      </c>
      <c r="Y245" t="str">
        <f>ESTADISTICA!Y243</f>
        <v>APAGADO</v>
      </c>
      <c r="Z245" t="str">
        <f>ESTADISTICA!Z243</f>
        <v>APAGADO</v>
      </c>
      <c r="AA245" t="str">
        <f>ESTADISTICA!AA243</f>
        <v>APAGADO</v>
      </c>
      <c r="AB245" t="str">
        <f>ESTADISTICA!AB243</f>
        <v>APAGADO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 t="e">
        <f>ESTADISTICA!AJ243</f>
        <v>#REF!</v>
      </c>
    </row>
    <row r="246" spans="1:36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 t="str">
        <f>ESTADISTICA!V244</f>
        <v>APAGADO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6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6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6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6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 t="e">
        <f>ESTADISTICA!AJ248</f>
        <v>#REF!</v>
      </c>
    </row>
    <row r="251" spans="1:36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 t="e">
        <f>ESTADISTICA!AJ249</f>
        <v>#REF!</v>
      </c>
    </row>
    <row r="252" spans="1:36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 t="e">
        <f>ESTADISTICA!AJ250</f>
        <v>#REF!</v>
      </c>
    </row>
    <row r="253" spans="1:36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 t="e">
        <f>ESTADISTICA!AJ251</f>
        <v>#REF!</v>
      </c>
    </row>
    <row r="254" spans="1:36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6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6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6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 t="e">
        <f>ESTADISTICA!AJ255</f>
        <v>#REF!</v>
      </c>
    </row>
    <row r="258" spans="1:36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 t="e">
        <f>ESTADISTICA!AJ256</f>
        <v>#REF!</v>
      </c>
    </row>
    <row r="259" spans="1:36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6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 t="str">
        <f>ESTADISTICA!T258</f>
        <v>APAGADO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6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 t="str">
        <f>ESTADISTICA!P259</f>
        <v>APAGADO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6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 t="e">
        <f>ESTADISTICA!AJ260</f>
        <v>#REF!</v>
      </c>
    </row>
    <row r="263" spans="1:36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 t="e">
        <f>ESTADISTICA!AJ261</f>
        <v>#REF!</v>
      </c>
    </row>
    <row r="264" spans="1:36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 t="e">
        <f>ESTADISTICA!AJ262</f>
        <v>#REF!</v>
      </c>
    </row>
    <row r="265" spans="1:36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 t="e">
        <f>ESTADISTICA!AJ263</f>
        <v>#REF!</v>
      </c>
    </row>
    <row r="266" spans="1:36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6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 t="e">
        <f>ESTADISTICA!AJ265</f>
        <v>#REF!</v>
      </c>
    </row>
    <row r="268" spans="1:36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 t="e">
        <f>ESTADISTICA!AJ266</f>
        <v>#REF!</v>
      </c>
    </row>
    <row r="269" spans="1:36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 t="str">
        <f>ESTADISTICA!X267</f>
        <v>APAGADO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 t="e">
        <f>ESTADISTICA!AJ267</f>
        <v>#REF!</v>
      </c>
    </row>
    <row r="270" spans="1:36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6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 t="str">
        <f>ESTADISTICA!F269</f>
        <v>APAGADO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 t="str">
        <f>ESTADISTICA!O269</f>
        <v>APAGADO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6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 t="e">
        <f>ESTADISTICA!AJ270</f>
        <v>#REF!</v>
      </c>
    </row>
    <row r="273" spans="1:36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 t="e">
        <f>ESTADISTICA!AJ271</f>
        <v>#REF!</v>
      </c>
    </row>
    <row r="274" spans="1:36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6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6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6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6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6" hidden="1" x14ac:dyDescent="0.25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6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 t="str">
        <f>ESTADISTICA!L278</f>
        <v>APAGADO</v>
      </c>
      <c r="M280">
        <f>ESTADISTICA!M278</f>
        <v>0</v>
      </c>
      <c r="N280" t="str">
        <f>ESTADISTICA!N278</f>
        <v>APAGADO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6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>
        <f>ESTADISTICA!M279</f>
        <v>0</v>
      </c>
      <c r="N281" t="str">
        <f>ESTADISTICA!N279</f>
        <v>APAGADO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6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>
        <f>ESTADISTICA!G280</f>
        <v>0</v>
      </c>
      <c r="H282">
        <f>ESTADISTICA!H280</f>
        <v>0</v>
      </c>
      <c r="I282">
        <f>ESTADISTICA!I280</f>
        <v>0</v>
      </c>
      <c r="J282" t="str">
        <f>ESTADISTICA!J280</f>
        <v>APAGADO</v>
      </c>
      <c r="K282" t="str">
        <f>ESTADISTICA!K280</f>
        <v>APAGADO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>
        <f>ESTADISTICA!O280</f>
        <v>0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 t="e">
        <f>ESTADISTICA!AJ280</f>
        <v>#REF!</v>
      </c>
    </row>
    <row r="283" spans="1:36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 t="str">
        <f>ESTADISTICA!L281</f>
        <v>APAGADO</v>
      </c>
      <c r="M283" t="str">
        <f>ESTADISTICA!M281</f>
        <v>APAGADO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 t="e">
        <f>ESTADISTICA!AJ281</f>
        <v>#REF!</v>
      </c>
    </row>
    <row r="284" spans="1:36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 t="str">
        <f>ESTADISTICA!L282</f>
        <v>APAGADO</v>
      </c>
      <c r="M284" t="str">
        <f>ESTADISTICA!M282</f>
        <v>APAGADO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 t="e">
        <f>ESTADISTICA!AJ282</f>
        <v>#REF!</v>
      </c>
    </row>
    <row r="285" spans="1:36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 t="e">
        <f>ESTADISTICA!AJ283</f>
        <v>#REF!</v>
      </c>
    </row>
    <row r="286" spans="1:36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 t="e">
        <f>ESTADISTICA!AJ284</f>
        <v>#REF!</v>
      </c>
    </row>
    <row r="287" spans="1:36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 t="str">
        <f>ESTADISTICA!T285</f>
        <v>APAGADO</v>
      </c>
      <c r="U287">
        <f>ESTADISTICA!U285</f>
        <v>0</v>
      </c>
      <c r="V287" t="str">
        <f>ESTADISTICA!V285</f>
        <v>APAGADO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6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 t="str">
        <f>ESTADISTICA!Y286</f>
        <v>APAGADO</v>
      </c>
      <c r="Z288" t="str">
        <f>ESTADISTICA!Z286</f>
        <v>APAGADO</v>
      </c>
      <c r="AA288" t="str">
        <f>ESTADISTICA!AA286</f>
        <v>APAGADO</v>
      </c>
      <c r="AB288" t="str">
        <f>ESTADISTICA!AB286</f>
        <v>APAGADO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 t="e">
        <f>ESTADISTICA!AJ286</f>
        <v>#REF!</v>
      </c>
    </row>
    <row r="289" spans="1:36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 t="e">
        <f>ESTADISTICA!AJ287</f>
        <v>#REF!</v>
      </c>
    </row>
    <row r="290" spans="1:36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 t="str">
        <f>ESTADISTICA!F288</f>
        <v>APAGADO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 t="str">
        <f>ESTADISTICA!J288</f>
        <v>APAGADO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 t="e">
        <f>ESTADISTICA!AJ288</f>
        <v>#REF!</v>
      </c>
    </row>
    <row r="291" spans="1:36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 t="str">
        <f>ESTADISTICA!F289</f>
        <v>APAGADO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 t="e">
        <f>ESTADISTICA!AJ289</f>
        <v>#REF!</v>
      </c>
    </row>
    <row r="292" spans="1:36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 t="str">
        <f>ESTADISTICA!F290</f>
        <v>APAGADO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 t="e">
        <f>ESTADISTICA!AJ290</f>
        <v>#REF!</v>
      </c>
    </row>
    <row r="293" spans="1:36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 t="str">
        <f>ESTADISTICA!F291</f>
        <v>APAGADO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 t="e">
        <f>ESTADISTICA!AJ291</f>
        <v>#REF!</v>
      </c>
    </row>
    <row r="294" spans="1:36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 t="str">
        <f>ESTADISTICA!F292</f>
        <v>APAGADO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6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 t="str">
        <f>ESTADISTICA!F293</f>
        <v>APAGADO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 t="str">
        <f>ESTADISTICA!L293</f>
        <v>APAGADO</v>
      </c>
      <c r="M295" t="str">
        <f>ESTADISTICA!M293</f>
        <v>APAGADO</v>
      </c>
      <c r="N295" t="str">
        <f>ESTADISTICA!N293</f>
        <v>APAGADO</v>
      </c>
      <c r="O295" t="str">
        <f>ESTADISTICA!O293</f>
        <v>APAGADO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 t="str">
        <f>ESTADISTICA!X293</f>
        <v>APAGADO</v>
      </c>
      <c r="Y295" t="str">
        <f>ESTADISTICA!Y293</f>
        <v>APAGADO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6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 t="str">
        <f>ESTADISTICA!F294</f>
        <v>APAGADO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6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6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6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6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6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6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 t="str">
        <f>ESTADISTICA!U300</f>
        <v>APAGADO</v>
      </c>
      <c r="V302" t="str">
        <f>ESTADISTICA!V300</f>
        <v>APAGADO</v>
      </c>
      <c r="W302" t="str">
        <f>ESTADISTICA!W300</f>
        <v>APAGADO</v>
      </c>
      <c r="X302" t="str">
        <f>ESTADISTICA!X300</f>
        <v>APAGADO</v>
      </c>
      <c r="Y302" t="str">
        <f>ESTADISTICA!Y300</f>
        <v>APAGADO</v>
      </c>
      <c r="Z302" t="str">
        <f>ESTADISTICA!Z300</f>
        <v>APAGADO</v>
      </c>
      <c r="AA302" t="str">
        <f>ESTADISTICA!AA300</f>
        <v>APAGADO</v>
      </c>
      <c r="AB302" t="str">
        <f>ESTADISTICA!AB300</f>
        <v>APAGADO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 t="e">
        <f>ESTADISTICA!AJ300</f>
        <v>#REF!</v>
      </c>
    </row>
    <row r="303" spans="1:36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 t="e">
        <f>ESTADISTICA!AJ301</f>
        <v>#REF!</v>
      </c>
    </row>
    <row r="304" spans="1:36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 t="e">
        <f>ESTADISTICA!AJ302</f>
        <v>#REF!</v>
      </c>
    </row>
    <row r="305" spans="1:36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 t="e">
        <f>ESTADISTICA!AJ303</f>
        <v>#REF!</v>
      </c>
    </row>
    <row r="306" spans="1:36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 t="e">
        <f>ESTADISTICA!AJ304</f>
        <v>#REF!</v>
      </c>
    </row>
    <row r="307" spans="1:36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6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 t="str">
        <f>ESTADISTICA!L306</f>
        <v>APAGADO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 t="str">
        <f>ESTADISTICA!X306</f>
        <v>APAGADO</v>
      </c>
      <c r="Y308" t="str">
        <f>ESTADISTICA!Y306</f>
        <v>APAGADO</v>
      </c>
      <c r="Z308" t="str">
        <f>ESTADISTICA!Z306</f>
        <v>APAGADO</v>
      </c>
      <c r="AA308" t="str">
        <f>ESTADISTICA!AA306</f>
        <v>APAGADO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6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 t="str">
        <f>ESTADISTICA!X307</f>
        <v>APAGADO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6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6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6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6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6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6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 t="e">
        <f>ESTADISTICA!AJ313</f>
        <v>#REF!</v>
      </c>
    </row>
    <row r="316" spans="1:36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 t="e">
        <f>ESTADISTICA!AJ314</f>
        <v>#REF!</v>
      </c>
    </row>
    <row r="317" spans="1:36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 t="e">
        <f>ESTADISTICA!AJ315</f>
        <v>#REF!</v>
      </c>
    </row>
    <row r="318" spans="1:36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 t="e">
        <f>ESTADISTICA!AJ316</f>
        <v>#REF!</v>
      </c>
    </row>
    <row r="319" spans="1:36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6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 t="str">
        <f>ESTADISTICA!P318</f>
        <v>APAGADO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 t="e">
        <f>ESTADISTICA!AJ318</f>
        <v>#REF!</v>
      </c>
    </row>
    <row r="321" spans="1:36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6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 t="e">
        <f>ESTADISTICA!AJ320</f>
        <v>#REF!</v>
      </c>
    </row>
    <row r="323" spans="1:36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 t="str">
        <f>ESTADISTICA!P321</f>
        <v>APAGADO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 t="e">
        <f>ESTADISTICA!AJ321</f>
        <v>#REF!</v>
      </c>
    </row>
    <row r="324" spans="1:36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 t="str">
        <f>ESTADISTICA!X322</f>
        <v>APAGADO</v>
      </c>
      <c r="Y324" t="str">
        <f>ESTADISTICA!Y322</f>
        <v>APAGADO</v>
      </c>
      <c r="Z324" t="str">
        <f>ESTADISTICA!Z322</f>
        <v>APAGADO</v>
      </c>
      <c r="AA324">
        <f>ESTADISTICA!AA322</f>
        <v>0</v>
      </c>
      <c r="AB324" t="str">
        <f>ESTADISTICA!AB322</f>
        <v>APAGADO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 t="e">
        <f>ESTADISTICA!AJ322</f>
        <v>#REF!</v>
      </c>
    </row>
    <row r="325" spans="1:36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 t="e">
        <f>ESTADISTICA!AJ323</f>
        <v>#REF!</v>
      </c>
    </row>
    <row r="326" spans="1:36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 t="str">
        <f>ESTADISTICA!X324</f>
        <v>APAGADO</v>
      </c>
      <c r="Y326" t="str">
        <f>ESTADISTICA!Y324</f>
        <v>APAGADO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 t="e">
        <f>ESTADISTICA!AJ324</f>
        <v>#REF!</v>
      </c>
    </row>
    <row r="327" spans="1:36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 t="e">
        <f>ESTADISTICA!AJ325</f>
        <v>#REF!</v>
      </c>
    </row>
    <row r="328" spans="1:36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 t="e">
        <f>ESTADISTICA!AJ326</f>
        <v>#REF!</v>
      </c>
    </row>
    <row r="329" spans="1:36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 t="e">
        <f>ESTADISTICA!AJ327</f>
        <v>#REF!</v>
      </c>
    </row>
    <row r="330" spans="1:36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 t="e">
        <f>ESTADISTICA!AJ328</f>
        <v>#REF!</v>
      </c>
    </row>
    <row r="331" spans="1:36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 t="e">
        <f>ESTADISTICA!AJ329</f>
        <v>#REF!</v>
      </c>
    </row>
    <row r="332" spans="1:36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 t="e">
        <f>ESTADISTICA!AJ330</f>
        <v>#REF!</v>
      </c>
    </row>
    <row r="333" spans="1:36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 t="str">
        <f>ESTADISTICA!X331</f>
        <v>APAGADO</v>
      </c>
      <c r="Y333" t="str">
        <f>ESTADISTICA!Y331</f>
        <v>APAGADO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 t="e">
        <f>ESTADISTICA!AJ331</f>
        <v>#REF!</v>
      </c>
    </row>
    <row r="334" spans="1:36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 t="e">
        <f>ESTADISTICA!AJ332</f>
        <v>#REF!</v>
      </c>
    </row>
    <row r="335" spans="1:36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 t="e">
        <f>ESTADISTICA!AJ333</f>
        <v>#REF!</v>
      </c>
    </row>
    <row r="336" spans="1:36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 t="e">
        <f>ESTADISTICA!AJ334</f>
        <v>#REF!</v>
      </c>
    </row>
    <row r="337" spans="1:36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 t="e">
        <f>ESTADISTICA!AJ335</f>
        <v>#REF!</v>
      </c>
    </row>
    <row r="338" spans="1:36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 t="e">
        <f>ESTADISTICA!AJ336</f>
        <v>#REF!</v>
      </c>
    </row>
    <row r="339" spans="1:36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 t="e">
        <f>ESTADISTICA!AJ337</f>
        <v>#REF!</v>
      </c>
    </row>
    <row r="340" spans="1:36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6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6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 t="str">
        <f>ESTADISTICA!X340</f>
        <v>APAGADO</v>
      </c>
      <c r="Y342" t="str">
        <f>ESTADISTICA!Y340</f>
        <v>APAGADO</v>
      </c>
      <c r="Z342" t="str">
        <f>ESTADISTICA!Z340</f>
        <v>APAGADO</v>
      </c>
      <c r="AA342" t="str">
        <f>ESTADISTICA!AA340</f>
        <v>APAGADO</v>
      </c>
      <c r="AB342" t="str">
        <f>ESTADISTICA!AB340</f>
        <v>APAGADO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6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6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 t="e">
        <f>ESTADISTICA!AJ342</f>
        <v>#REF!</v>
      </c>
    </row>
    <row r="345" spans="1:36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 t="e">
        <f>ESTADISTICA!AJ343</f>
        <v>#REF!</v>
      </c>
    </row>
    <row r="346" spans="1:36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 t="e">
        <f>ESTADISTICA!AJ344</f>
        <v>#REF!</v>
      </c>
    </row>
    <row r="347" spans="1:36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 t="e">
        <f>ESTADISTICA!AJ345</f>
        <v>#REF!</v>
      </c>
    </row>
    <row r="348" spans="1:36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 t="e">
        <f>ESTADISTICA!AJ346</f>
        <v>#REF!</v>
      </c>
    </row>
    <row r="349" spans="1:36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 t="e">
        <f>ESTADISTICA!AJ347</f>
        <v>#REF!</v>
      </c>
    </row>
    <row r="350" spans="1:36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 t="e">
        <f>ESTADISTICA!AJ348</f>
        <v>#REF!</v>
      </c>
    </row>
    <row r="351" spans="1:36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 t="str">
        <f>ESTADISTICA!Z349</f>
        <v>APAGADO</v>
      </c>
      <c r="AA351" t="str">
        <f>ESTADISTICA!AA349</f>
        <v>APAGADO</v>
      </c>
      <c r="AB351" t="str">
        <f>ESTADISTICA!AB349</f>
        <v>APAGADO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 t="e">
        <f>ESTADISTICA!AJ349</f>
        <v>#REF!</v>
      </c>
    </row>
    <row r="352" spans="1:36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 t="e">
        <f>ESTADISTICA!AJ350</f>
        <v>#REF!</v>
      </c>
    </row>
    <row r="353" spans="1:36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6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 t="str">
        <f>ESTADISTICA!N352</f>
        <v>APAGADO</v>
      </c>
      <c r="O354" t="str">
        <f>ESTADISTICA!O352</f>
        <v>APAGADO</v>
      </c>
      <c r="P354">
        <f>ESTADISTICA!P352</f>
        <v>0</v>
      </c>
      <c r="Q354">
        <f>ESTADISTICA!Q352</f>
        <v>0</v>
      </c>
      <c r="R354">
        <f>ESTADISTICA!R352</f>
        <v>0</v>
      </c>
      <c r="S354" t="str">
        <f>ESTADISTICA!S352</f>
        <v>APAGADO</v>
      </c>
      <c r="T354" t="str">
        <f>ESTADISTICA!T352</f>
        <v>APAGADO</v>
      </c>
      <c r="U354" t="str">
        <f>ESTADISTICA!U352</f>
        <v>APAGADO</v>
      </c>
      <c r="V354" t="str">
        <f>ESTADISTICA!V352</f>
        <v>APAGADO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6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 t="e">
        <f>ESTADISTICA!AJ353</f>
        <v>#REF!</v>
      </c>
    </row>
    <row r="356" spans="1:36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 t="e">
        <f>ESTADISTICA!AJ354</f>
        <v>#REF!</v>
      </c>
    </row>
    <row r="357" spans="1:36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 t="str">
        <f>ESTADISTICA!F355</f>
        <v>APAGADO</v>
      </c>
      <c r="G357">
        <f>ESTADISTICA!G355</f>
        <v>0</v>
      </c>
      <c r="H357">
        <f>ESTADISTICA!H355</f>
        <v>0</v>
      </c>
      <c r="I357" t="str">
        <f>ESTADISTICA!I355</f>
        <v>APAGADO</v>
      </c>
      <c r="J357" t="str">
        <f>ESTADISTICA!J355</f>
        <v>APAGADO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 t="e">
        <f>ESTADISTICA!AJ355</f>
        <v>#REF!</v>
      </c>
    </row>
    <row r="358" spans="1:36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 t="e">
        <f>ESTADISTICA!AJ356</f>
        <v>#REF!</v>
      </c>
    </row>
    <row r="359" spans="1:36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 t="e">
        <f>ESTADISTICA!AJ357</f>
        <v>#REF!</v>
      </c>
    </row>
    <row r="360" spans="1:36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 t="e">
        <f>ESTADISTICA!AJ358</f>
        <v>#REF!</v>
      </c>
    </row>
    <row r="361" spans="1:36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 t="e">
        <f>ESTADISTICA!AJ359</f>
        <v>#REF!</v>
      </c>
    </row>
    <row r="362" spans="1:36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 t="str">
        <f>ESTADISTICA!X360</f>
        <v>APAGADO</v>
      </c>
      <c r="Y362" t="str">
        <f>ESTADISTICA!Y360</f>
        <v>APAGADO</v>
      </c>
      <c r="Z362" t="str">
        <f>ESTADISTICA!Z360</f>
        <v>APAGADO</v>
      </c>
      <c r="AA362" t="str">
        <f>ESTADISTICA!AA360</f>
        <v>APAGADO</v>
      </c>
      <c r="AB362" t="str">
        <f>ESTADISTICA!AB360</f>
        <v>APAGADO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 t="e">
        <f>ESTADISTICA!AJ360</f>
        <v>#REF!</v>
      </c>
    </row>
    <row r="363" spans="1:36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6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6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6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6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6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G369" xr:uid="{01697DCC-74FC-4E40-B9A4-100C171A67C1}">
    <filterColumn colId="4">
      <filters>
        <filter val="Fibra Optica"/>
      </filters>
    </filterColumn>
    <filterColumn colId="25">
      <filters>
        <filter val="APAGADO"/>
      </filters>
    </filterColumn>
  </autoFilter>
  <conditionalFormatting sqref="F9:AG360 AH10:AJ10 AH12:AJ13 AH16:AJ18 AH20:AJ21 AH27:AJ27 AH32:AJ51 AH53:AJ55 AH58:AJ82 AH87:AJ94 AH97:AJ98 AH105:AJ108 AH114:AJ115 AH117:AJ123 AH136:AJ136 AH146:AJ164 AH167:AJ174 AH179:AJ179 AH184:AJ205 AH208:AJ226 AH228:AJ231 AH234:AJ236 AH238:AJ245 AH250:AJ253 AH257:AJ258 AH262:AJ265 AH267:AJ269 AH272:AJ273 AH282:AJ286 AH288:AJ293 AH302:AJ306 AH315:AJ318 AH320:AJ320 AH322:AJ339 AH344:AJ352 AH355:AJ360">
    <cfRule type="containsText" dxfId="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J369"/>
  <sheetViews>
    <sheetView workbookViewId="0">
      <pane xSplit="5" ySplit="3" topLeftCell="U4" activePane="bottomRight" state="frozenSplit"/>
      <selection pane="topRight" activeCell="F1" sqref="F1"/>
      <selection pane="bottomLeft" activeCell="A3" sqref="A3"/>
      <selection pane="bottomRight" activeCell="M2" sqref="M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</cols>
  <sheetData>
    <row r="1" spans="1:36" ht="21" x14ac:dyDescent="0.35">
      <c r="C1" s="55" t="s">
        <v>1322</v>
      </c>
      <c r="D1" s="55">
        <f>COUNTIFS(E4:E367,"=PTP A FO")</f>
        <v>38</v>
      </c>
    </row>
    <row r="2" spans="1:36" ht="21" x14ac:dyDescent="0.35">
      <c r="E2" s="26" t="s">
        <v>934</v>
      </c>
      <c r="F2" s="26">
        <f>COUNTIFS(F4:F367, "=APAGADO",E4:E367,"=PTP A FO")</f>
        <v>4</v>
      </c>
      <c r="G2" s="26">
        <f>COUNTIFS(G4:G367, "=APAGADO",E4:E367,"=PTP A FO")</f>
        <v>0</v>
      </c>
      <c r="H2" s="26">
        <f>COUNTIFS(H4:H367, "=APAGADO",E4:E367,"=PTP A FO")</f>
        <v>0</v>
      </c>
      <c r="I2" s="26">
        <f>COUNTIFS(I4:I367, "=APAGADO",E4:E367,"=PTP A FO")</f>
        <v>3</v>
      </c>
      <c r="J2" s="26">
        <f>COUNTIFS(J4:J367, "=APAGADO",E4:E367,"=PTP A FO")</f>
        <v>2</v>
      </c>
      <c r="K2" s="26">
        <f>COUNTIFS(K4:K367, "=APAGADO",E4:E367,"=PTP A FO")</f>
        <v>2</v>
      </c>
      <c r="L2" s="26">
        <f>COUNTIFS(L4:L367, "=APAGADO",E4:E367,"=PTP A FO")</f>
        <v>4</v>
      </c>
      <c r="M2" s="26">
        <f>COUNTIFS(M4:M367, "=APAGADO",E4:E367,"=PTP A FO")</f>
        <v>3</v>
      </c>
      <c r="N2" s="26">
        <f>COUNTIFS(N4:N367, "=APAGADO",E4:E367,"=PTP A FO")</f>
        <v>3</v>
      </c>
      <c r="O2" s="26">
        <f>COUNTIFS(O4:O367,"APAGADO", E4:E367,"=PTP A FO" )</f>
        <v>2</v>
      </c>
      <c r="P2" s="26">
        <f>COUNTIFS(P4:P367, "=APAGADO",E4:E367,"=PTP A FO")</f>
        <v>3</v>
      </c>
      <c r="Q2" s="26">
        <f>COUNTIFS(Q4:Q367, "=APAGADO",E4:E367,"=PTP A FO")</f>
        <v>1</v>
      </c>
      <c r="R2" s="26">
        <f>COUNTIFS(R4:R367, "=APAGADO",E4:E367,"=PTP A FO")</f>
        <v>2</v>
      </c>
      <c r="S2" s="26">
        <f>COUNTIFS(S4:S367, "=APAGADO",E4:E367,"=PTP A FO")</f>
        <v>7</v>
      </c>
      <c r="T2" s="26">
        <f>COUNTIFS(T4:T367, "=APAGADO",E4:E367,"=PTP A FO")</f>
        <v>3</v>
      </c>
      <c r="U2" s="26">
        <f>COUNTIFS(U4:U367, "=APAGADO",E4:E367,"=PTP A FO")</f>
        <v>2</v>
      </c>
      <c r="V2" s="26">
        <f>COUNTIFS(V4:V367, "=APAGADO",E4:E367,"=PTP A FO")</f>
        <v>3</v>
      </c>
      <c r="W2" s="26">
        <f>COUNTIFS(W4:W367, "=APAGADO",E4:E367,"=PTP A FO")</f>
        <v>3</v>
      </c>
      <c r="X2" s="26">
        <f>COUNTIFS(X4:X367, "=APAGADO",E4:E367,"=PTP A FO")</f>
        <v>7</v>
      </c>
      <c r="Y2" s="26">
        <f>COUNTIFS(Y4:Y367, "=APAGADO",E4:E367,"=PTP A FO")</f>
        <v>6</v>
      </c>
      <c r="Z2" s="26">
        <f>COUNTIFS(Z4:Z367, "=APAGADO",E4:E367,"=PTP A FO")</f>
        <v>5</v>
      </c>
      <c r="AA2" s="26">
        <f>COUNTIFS(AA4:AA367, "=APAGADO",E4:E367,"=PTP A FO")</f>
        <v>5</v>
      </c>
      <c r="AB2" s="26">
        <f>COUNTIFS(AB4:AB367, "=APAGADO",E4:E367,"=PTP A FO")</f>
        <v>4</v>
      </c>
      <c r="AC2" s="26">
        <f>COUNTIFS(AC4:AC367, "=APAGADO",E4:E367,"=PTP A FO")</f>
        <v>0</v>
      </c>
      <c r="AD2" s="26">
        <f>COUNTIFS(AD4:AD367, "=APAGADO",E4:E367,"=PTP A FO")</f>
        <v>0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 t="shared" ref="AI2:AJ2" si="0">COUNTIFS(AI4:AI367, "=APAGADO",G4:G367,"=PTP A FO")</f>
        <v>0</v>
      </c>
      <c r="AJ2" s="26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44652</v>
      </c>
      <c r="G3" s="25">
        <f>ESTADISTICA!G1</f>
        <v>44653</v>
      </c>
      <c r="H3" s="25">
        <f>ESTADISTICA!H1</f>
        <v>44654</v>
      </c>
      <c r="I3" s="25">
        <f>ESTADISTICA!I1</f>
        <v>44655</v>
      </c>
      <c r="J3" s="25">
        <f>ESTADISTICA!J1</f>
        <v>44656</v>
      </c>
      <c r="K3" s="25">
        <f>ESTADISTICA!K1</f>
        <v>44657</v>
      </c>
      <c r="L3" s="25">
        <f>ESTADISTICA!L1</f>
        <v>44658</v>
      </c>
      <c r="M3" s="25">
        <f>ESTADISTICA!M1</f>
        <v>44659</v>
      </c>
      <c r="N3" s="25">
        <f>ESTADISTICA!N1</f>
        <v>44660</v>
      </c>
      <c r="O3" s="25">
        <f>ESTADISTICA!O1</f>
        <v>44661</v>
      </c>
      <c r="P3" s="25">
        <f>ESTADISTICA!P1</f>
        <v>44662</v>
      </c>
      <c r="Q3" s="25">
        <f>ESTADISTICA!Q1</f>
        <v>44663</v>
      </c>
      <c r="R3" s="25">
        <f>ESTADISTICA!R1</f>
        <v>44664</v>
      </c>
      <c r="S3" s="25">
        <f>ESTADISTICA!S1</f>
        <v>44665</v>
      </c>
      <c r="T3" s="25">
        <f>ESTADISTICA!T1</f>
        <v>44666</v>
      </c>
      <c r="U3" s="25">
        <f>ESTADISTICA!U1</f>
        <v>44667</v>
      </c>
      <c r="V3" s="25">
        <f>ESTADISTICA!V1</f>
        <v>44668</v>
      </c>
      <c r="W3" s="25">
        <f>ESTADISTICA!W1</f>
        <v>44669</v>
      </c>
      <c r="X3" s="25">
        <f>ESTADISTICA!X1</f>
        <v>44670</v>
      </c>
      <c r="Y3" s="25">
        <f>ESTADISTICA!Y1</f>
        <v>44671</v>
      </c>
      <c r="Z3" s="25">
        <f>ESTADISTICA!Z1</f>
        <v>44672</v>
      </c>
      <c r="AA3" s="25">
        <f>ESTADISTICA!AA1</f>
        <v>44673</v>
      </c>
      <c r="AB3" s="25">
        <f>ESTADISTICA!AB1</f>
        <v>44674</v>
      </c>
      <c r="AC3" s="25">
        <f>ESTADISTICA!AC1</f>
        <v>44675</v>
      </c>
      <c r="AD3" s="25">
        <f>ESTADISTICA!AD1</f>
        <v>44676</v>
      </c>
      <c r="AE3" s="25">
        <f>ESTADISTICA!AE1</f>
        <v>44677</v>
      </c>
      <c r="AF3" s="25">
        <f>ESTADISTICA!AF1</f>
        <v>44678</v>
      </c>
      <c r="AG3" s="25">
        <f>ESTADISTICA!AG1</f>
        <v>44679</v>
      </c>
      <c r="AH3" s="25">
        <f>ESTADISTICA!AH1</f>
        <v>44680</v>
      </c>
      <c r="AI3" s="25">
        <f>ESTADISTICA!AI1</f>
        <v>44681</v>
      </c>
      <c r="AJ3" s="25" t="e">
        <f>ESTADISTICA!AJ1</f>
        <v>#REF!</v>
      </c>
    </row>
    <row r="4" spans="1:36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 t="str">
        <f>ESTADISTICA!J2</f>
        <v>APAGADO</v>
      </c>
      <c r="K4">
        <f>ESTADISTICA!K2</f>
        <v>0</v>
      </c>
      <c r="L4">
        <f>ESTADISTICA!L2</f>
        <v>0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 t="e">
        <f>ESTADISTICA!AJ3</f>
        <v>#REF!</v>
      </c>
    </row>
    <row r="6" spans="1:36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>
        <f>ESTADISTICA!V4</f>
        <v>0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 t="str">
        <f>ESTADISTICA!Z4</f>
        <v>APAGADO</v>
      </c>
      <c r="AA6" t="str">
        <f>ESTADISTICA!AA4</f>
        <v>APAGADO</v>
      </c>
      <c r="AB6" t="str">
        <f>ESTADISTICA!AB4</f>
        <v>APAGADO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 t="e">
        <f>ESTADISTICA!AJ4</f>
        <v>#REF!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 t="e">
        <f>ESTADISTICA!AJ5</f>
        <v>#REF!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 t="e">
        <f>ESTADISTICA!AJ6</f>
        <v>#REF!</v>
      </c>
    </row>
    <row r="9" spans="1:36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 t="str">
        <f>ESTADISTICA!X7</f>
        <v>APAGADO</v>
      </c>
      <c r="Y9" t="str">
        <f>ESTADISTICA!Y7</f>
        <v>APAGADO</v>
      </c>
      <c r="Z9" t="str">
        <f>ESTADISTICA!Z7</f>
        <v>APAGADO</v>
      </c>
      <c r="AA9" t="str">
        <f>ESTADISTICA!AA7</f>
        <v>APAGADO</v>
      </c>
      <c r="AB9" t="str">
        <f>ESTADISTICA!AB7</f>
        <v>APAGADO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 t="e">
        <f>ESTADISTICA!AJ7</f>
        <v>#REF!</v>
      </c>
    </row>
    <row r="10" spans="1:36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 t="str">
        <f>ESTADISTICA!S8</f>
        <v>APAGADO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 t="str">
        <f>ESTADISTICA!S9</f>
        <v>APAGADO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 t="str">
        <f>ESTADISTICA!X9</f>
        <v>APAGADO</v>
      </c>
      <c r="Y11" t="str">
        <f>ESTADISTICA!Y9</f>
        <v>APAGADO</v>
      </c>
      <c r="Z11" t="str">
        <f>ESTADISTICA!Z9</f>
        <v>APAGADO</v>
      </c>
      <c r="AA11" t="str">
        <f>ESTADISTICA!AA9</f>
        <v>APAGADO</v>
      </c>
      <c r="AB11" t="str">
        <f>ESTADISTICA!AB9</f>
        <v>APAGADO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 t="e">
        <f>ESTADISTICA!AJ9</f>
        <v>#REF!</v>
      </c>
    </row>
    <row r="12" spans="1:36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 t="str">
        <f>ESTADISTICA!S10</f>
        <v>APAGADO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 t="str">
        <f>ESTADISTICA!X10</f>
        <v>APAGADO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 t="str">
        <f>ESTADISTICA!S11</f>
        <v>APAGADO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 t="str">
        <f>ESTADISTICA!X11</f>
        <v>APAGADO</v>
      </c>
      <c r="Y13" t="str">
        <f>ESTADISTICA!Y11</f>
        <v>APAGADO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 t="str">
        <f>ESTADISTICA!S12</f>
        <v>APAGADO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 t="e">
        <f>ESTADISTICA!AJ12</f>
        <v>#REF!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 t="str">
        <f>ESTADISTICA!S13</f>
        <v>APAGADO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 t="e">
        <f>ESTADISTICA!AJ13</f>
        <v>#REF!</v>
      </c>
    </row>
    <row r="16" spans="1:36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 t="str">
        <f>ESTADISTICA!S14</f>
        <v>APAGADO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 t="str">
        <f>ESTADISTICA!S15</f>
        <v>APAGADO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 t="str">
        <f>ESTADISTICA!S17</f>
        <v>APAGADO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 t="e">
        <f>ESTADISTICA!AJ17</f>
        <v>#REF!</v>
      </c>
    </row>
    <row r="20" spans="1:36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 t="str">
        <f>ESTADISTICA!L18</f>
        <v>APAGADO</v>
      </c>
      <c r="M20" t="str">
        <f>ESTADISTICA!M18</f>
        <v>APAGADO</v>
      </c>
      <c r="N20" t="str">
        <f>ESTADISTICA!N18</f>
        <v>APAGADO</v>
      </c>
      <c r="O20" t="str">
        <f>ESTADISTICA!O18</f>
        <v>APAGADO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 t="str">
        <f>ESTADISTICA!X18</f>
        <v>APAGADO</v>
      </c>
      <c r="Y20">
        <f>ESTADISTICA!Y18</f>
        <v>0</v>
      </c>
      <c r="Z20" t="str">
        <f>ESTADISTICA!Z18</f>
        <v>APAGADO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 t="str">
        <f>ESTADISTICA!L19</f>
        <v>APAGADO</v>
      </c>
      <c r="M21" t="str">
        <f>ESTADISTICA!M19</f>
        <v>APAGADO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 t="e">
        <f>ESTADISTICA!AJ19</f>
        <v>#REF!</v>
      </c>
    </row>
    <row r="22" spans="1:36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 t="e">
        <f>ESTADISTICA!AJ20</f>
        <v>#REF!</v>
      </c>
    </row>
    <row r="23" spans="1:36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 t="str">
        <f>ESTADISTICA!L21</f>
        <v>APAGADO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 t="str">
        <f>ESTADISTICA!V21</f>
        <v>APAGADO</v>
      </c>
      <c r="W23" t="str">
        <f>ESTADISTICA!W21</f>
        <v>APAGADO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 t="e">
        <f>ESTADISTICA!AJ21</f>
        <v>#REF!</v>
      </c>
    </row>
    <row r="24" spans="1:36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 t="e">
        <f>ESTADISTICA!AJ22</f>
        <v>#REF!</v>
      </c>
    </row>
    <row r="25" spans="1:36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 t="e">
        <f>ESTADISTICA!AJ23</f>
        <v>#REF!</v>
      </c>
    </row>
    <row r="26" spans="1:36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 t="e">
        <f>ESTADISTICA!AJ24</f>
        <v>#REF!</v>
      </c>
    </row>
    <row r="27" spans="1:36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 t="e">
        <f>ESTADISTICA!AJ25</f>
        <v>#REF!</v>
      </c>
    </row>
    <row r="28" spans="1:36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 t="e">
        <f>ESTADISTICA!AJ26</f>
        <v>#REF!</v>
      </c>
    </row>
    <row r="29" spans="1:36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>
        <f>ESTADISTICA!G27</f>
        <v>0</v>
      </c>
      <c r="H29">
        <f>ESTADISTICA!H27</f>
        <v>0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 t="str">
        <f>ESTADISTICA!P27</f>
        <v>APAGADO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 t="e">
        <f>ESTADISTICA!AJ27</f>
        <v>#REF!</v>
      </c>
    </row>
    <row r="30" spans="1:36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 t="e">
        <f>ESTADISTICA!AJ28</f>
        <v>#REF!</v>
      </c>
    </row>
    <row r="31" spans="1:36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 t="str">
        <f>ESTADISTICA!W29</f>
        <v>APAGADO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 t="e">
        <f>ESTADISTICA!AJ29</f>
        <v>#REF!</v>
      </c>
    </row>
    <row r="32" spans="1:36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 t="str">
        <f>ESTADISTICA!J44</f>
        <v>APAGADO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 t="str">
        <f>ESTADISTICA!P46</f>
        <v>APAGADO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 t="str">
        <f>ESTADISTICA!P48</f>
        <v>APAGADO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 t="e">
        <f>ESTADISTICA!AJ49</f>
        <v>#REF!</v>
      </c>
    </row>
    <row r="52" spans="1:36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 t="str">
        <f>ESTADISTICA!X50</f>
        <v>APAGADO</v>
      </c>
      <c r="Y52" t="str">
        <f>ESTADISTICA!Y50</f>
        <v>APAGADO</v>
      </c>
      <c r="Z52" t="str">
        <f>ESTADISTICA!Z50</f>
        <v>APAGADO</v>
      </c>
      <c r="AA52" t="str">
        <f>ESTADISTICA!AA50</f>
        <v>APAGADO</v>
      </c>
      <c r="AB52" t="str">
        <f>ESTADISTICA!AB50</f>
        <v>APAGADO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 t="e">
        <f>ESTADISTICA!AJ50</f>
        <v>#REF!</v>
      </c>
    </row>
    <row r="53" spans="1:36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 t="e">
        <f>ESTADISTICA!AJ54</f>
        <v>#REF!</v>
      </c>
    </row>
    <row r="57" spans="1:36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 t="e">
        <f>ESTADISTICA!AJ55</f>
        <v>#REF!</v>
      </c>
    </row>
    <row r="58" spans="1:36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>
        <f>ESTADISTICA!G59</f>
        <v>0</v>
      </c>
      <c r="H61">
        <f>ESTADISTICA!H59</f>
        <v>0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 t="str">
        <f>ESTADISTICA!R59</f>
        <v>APAGADO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>
        <f>ESTADISTICA!G60</f>
        <v>0</v>
      </c>
      <c r="H62">
        <f>ESTADISTICA!H60</f>
        <v>0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>
        <f>ESTADISTICA!G62</f>
        <v>0</v>
      </c>
      <c r="H64">
        <f>ESTADISTICA!H62</f>
        <v>0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 t="str">
        <f>ESTADISTICA!Q62</f>
        <v>APAGADO</v>
      </c>
      <c r="R64" t="str">
        <f>ESTADISTICA!R62</f>
        <v>APAGADO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 t="str">
        <f>ESTADISTICA!U63</f>
        <v>APAGADO</v>
      </c>
      <c r="V65" t="str">
        <f>ESTADISTICA!V63</f>
        <v>APAGADO</v>
      </c>
      <c r="W65" t="str">
        <f>ESTADISTICA!W63</f>
        <v>APAGADO</v>
      </c>
      <c r="X65" t="str">
        <f>ESTADISTICA!X63</f>
        <v>APAGADO</v>
      </c>
      <c r="Y65" t="str">
        <f>ESTADISTICA!Y63</f>
        <v>APAGADO</v>
      </c>
      <c r="Z65" t="str">
        <f>ESTADISTICA!Z63</f>
        <v>APAGADO</v>
      </c>
      <c r="AA65" t="str">
        <f>ESTADISTICA!AA63</f>
        <v>APAGADO</v>
      </c>
      <c r="AB65" t="str">
        <f>ESTADISTICA!AB63</f>
        <v>APAGADO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 t="e">
        <f>ESTADISTICA!AJ63</f>
        <v>#REF!</v>
      </c>
    </row>
    <row r="66" spans="1:36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>
        <f>ESTADISTICA!G65</f>
        <v>0</v>
      </c>
      <c r="H67">
        <f>ESTADISTICA!H65</f>
        <v>0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 t="str">
        <f>ESTADISTICA!O65</f>
        <v>APAGADO</v>
      </c>
      <c r="P67" t="str">
        <f>ESTADISTICA!P65</f>
        <v>APAGADO</v>
      </c>
      <c r="Q67" t="str">
        <f>ESTADISTICA!Q65</f>
        <v>APAGADO</v>
      </c>
      <c r="R67" t="str">
        <f>ESTADISTICA!R65</f>
        <v>APAGADO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 t="str">
        <f>ESTADISTICA!X70</f>
        <v>APAGADO</v>
      </c>
      <c r="Y72" t="str">
        <f>ESTADISTICA!Y70</f>
        <v>APAGADO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>
        <f>ESTADISTICA!G77</f>
        <v>0</v>
      </c>
      <c r="H79">
        <f>ESTADISTICA!H77</f>
        <v>0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 t="str">
        <f>ESTADISTICA!Z77</f>
        <v>APAGADO</v>
      </c>
      <c r="AA79" t="str">
        <f>ESTADISTICA!AA77</f>
        <v>APAGADO</v>
      </c>
      <c r="AB79" t="str">
        <f>ESTADISTICA!AB77</f>
        <v>APAGADO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 t="e">
        <f>ESTADISTICA!AJ78</f>
        <v>#REF!</v>
      </c>
    </row>
    <row r="81" spans="1:36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 t="e">
        <f>ESTADISTICA!AJ79</f>
        <v>#REF!</v>
      </c>
    </row>
    <row r="82" spans="1:36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 t="e">
        <f>ESTADISTICA!AJ81</f>
        <v>#REF!</v>
      </c>
    </row>
    <row r="84" spans="1:36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 t="str">
        <f>ESTADISTICA!I82</f>
        <v>APAGADO</v>
      </c>
      <c r="J84" t="str">
        <f>ESTADISTICA!J82</f>
        <v>APAGADO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 t="e">
        <f>ESTADISTICA!AJ82</f>
        <v>#REF!</v>
      </c>
    </row>
    <row r="85" spans="1:36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 t="e">
        <f>ESTADISTICA!AJ83</f>
        <v>#REF!</v>
      </c>
    </row>
    <row r="86" spans="1:36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 t="e">
        <f>ESTADISTICA!AJ84</f>
        <v>#REF!</v>
      </c>
    </row>
    <row r="87" spans="1:36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 t="e">
        <f>ESTADISTICA!AJ86</f>
        <v>#REF!</v>
      </c>
    </row>
    <row r="89" spans="1:36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 t="e">
        <f>ESTADISTICA!AJ87</f>
        <v>#REF!</v>
      </c>
    </row>
    <row r="90" spans="1:36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>
        <f>ESTADISTICA!G88</f>
        <v>0</v>
      </c>
      <c r="H90">
        <f>ESTADISTICA!H88</f>
        <v>0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>
        <f>ESTADISTICA!G89</f>
        <v>0</v>
      </c>
      <c r="H91">
        <f>ESTADISTICA!H89</f>
        <v>0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 t="e">
        <f>ESTADISTICA!AJ93</f>
        <v>#REF!</v>
      </c>
    </row>
    <row r="96" spans="1:36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 t="e">
        <f>ESTADISTICA!AJ94</f>
        <v>#REF!</v>
      </c>
    </row>
    <row r="97" spans="1:36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 t="e">
        <f>ESTADISTICA!AJ97</f>
        <v>#REF!</v>
      </c>
    </row>
    <row r="100" spans="1:36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 t="e">
        <f>ESTADISTICA!AJ98</f>
        <v>#REF!</v>
      </c>
    </row>
    <row r="101" spans="1:36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 t="str">
        <f>ESTADISTICA!V99</f>
        <v>APAGADO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 t="e">
        <f>ESTADISTICA!AJ99</f>
        <v>#REF!</v>
      </c>
    </row>
    <row r="102" spans="1:36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 t="e">
        <f>ESTADISTICA!AJ100</f>
        <v>#REF!</v>
      </c>
    </row>
    <row r="103" spans="1:36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 t="e">
        <f>ESTADISTICA!AJ101</f>
        <v>#REF!</v>
      </c>
    </row>
    <row r="104" spans="1:36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 t="e">
        <f>ESTADISTICA!AJ102</f>
        <v>#REF!</v>
      </c>
    </row>
    <row r="105" spans="1:36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 t="e">
        <f>ESTADISTICA!AJ107</f>
        <v>#REF!</v>
      </c>
    </row>
    <row r="110" spans="1:36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 t="e">
        <f>ESTADISTICA!AJ108</f>
        <v>#REF!</v>
      </c>
    </row>
    <row r="111" spans="1:36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 t="e">
        <f>ESTADISTICA!AJ109</f>
        <v>#REF!</v>
      </c>
    </row>
    <row r="112" spans="1:36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 t="e">
        <f>ESTADISTICA!AJ110</f>
        <v>#REF!</v>
      </c>
    </row>
    <row r="113" spans="1:36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 t="e">
        <f>ESTADISTICA!AJ111</f>
        <v>#REF!</v>
      </c>
    </row>
    <row r="114" spans="1:36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>
        <f>ESTADISTICA!O112</f>
        <v>0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 t="str">
        <f>ESTADISTICA!X112</f>
        <v>APAGADO</v>
      </c>
      <c r="Y114" t="str">
        <f>ESTADISTICA!Y112</f>
        <v>APAGADO</v>
      </c>
      <c r="Z114" t="str">
        <f>ESTADISTICA!Z112</f>
        <v>APAGADO</v>
      </c>
      <c r="AA114" t="str">
        <f>ESTADISTICA!AA112</f>
        <v>APAGADO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 t="e">
        <f>ESTADISTICA!AJ112</f>
        <v>#REF!</v>
      </c>
    </row>
    <row r="115" spans="1:36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 t="e">
        <f>ESTADISTICA!AJ114</f>
        <v>#REF!</v>
      </c>
    </row>
    <row r="117" spans="1:36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 t="e">
        <f>ESTADISTICA!AJ115</f>
        <v>#REF!</v>
      </c>
    </row>
    <row r="118" spans="1:36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 t="e">
        <f>ESTADISTICA!AJ116</f>
        <v>#REF!</v>
      </c>
    </row>
    <row r="119" spans="1:36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 t="str">
        <f>ESTADISTICA!X121</f>
        <v>APAGADO</v>
      </c>
      <c r="Y123" t="str">
        <f>ESTADISTICA!Y121</f>
        <v>APAGADO</v>
      </c>
      <c r="Z123" t="str">
        <f>ESTADISTICA!Z121</f>
        <v>APAGADO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 t="e">
        <f>ESTADISTICA!AJ122</f>
        <v>#REF!</v>
      </c>
    </row>
    <row r="125" spans="1:36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 t="e">
        <f>ESTADISTICA!AJ123</f>
        <v>#REF!</v>
      </c>
    </row>
    <row r="126" spans="1:36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 t="e">
        <f>ESTADISTICA!AJ124</f>
        <v>#REF!</v>
      </c>
    </row>
    <row r="127" spans="1:36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 t="e">
        <f>ESTADISTICA!AJ125</f>
        <v>#REF!</v>
      </c>
    </row>
    <row r="128" spans="1:36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 t="e">
        <f>ESTADISTICA!AJ126</f>
        <v>#REF!</v>
      </c>
    </row>
    <row r="129" spans="1:36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 t="e">
        <f>ESTADISTICA!AJ127</f>
        <v>#REF!</v>
      </c>
    </row>
    <row r="130" spans="1:36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 t="e">
        <f>ESTADISTICA!AJ128</f>
        <v>#REF!</v>
      </c>
    </row>
    <row r="131" spans="1:36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 t="e">
        <f>ESTADISTICA!AJ129</f>
        <v>#REF!</v>
      </c>
    </row>
    <row r="132" spans="1:36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 t="e">
        <f>ESTADISTICA!AJ130</f>
        <v>#REF!</v>
      </c>
    </row>
    <row r="133" spans="1:36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 t="e">
        <f>ESTADISTICA!AJ131</f>
        <v>#REF!</v>
      </c>
    </row>
    <row r="134" spans="1:36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 t="e">
        <f>ESTADISTICA!AJ132</f>
        <v>#REF!</v>
      </c>
    </row>
    <row r="135" spans="1:36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 t="e">
        <f>ESTADISTICA!AJ133</f>
        <v>#REF!</v>
      </c>
    </row>
    <row r="136" spans="1:36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 t="e">
        <f>ESTADISTICA!AJ135</f>
        <v>#REF!</v>
      </c>
    </row>
    <row r="138" spans="1:36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 t="e">
        <f>ESTADISTICA!AJ136</f>
        <v>#REF!</v>
      </c>
    </row>
    <row r="139" spans="1:36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 t="e">
        <f>ESTADISTICA!AJ137</f>
        <v>#REF!</v>
      </c>
    </row>
    <row r="140" spans="1:36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 t="e">
        <f>ESTADISTICA!AJ138</f>
        <v>#REF!</v>
      </c>
    </row>
    <row r="141" spans="1:36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 t="e">
        <f>ESTADISTICA!AJ139</f>
        <v>#REF!</v>
      </c>
    </row>
    <row r="142" spans="1:36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 t="e">
        <f>ESTADISTICA!AJ140</f>
        <v>#REF!</v>
      </c>
    </row>
    <row r="143" spans="1:36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 t="e">
        <f>ESTADISTICA!AJ141</f>
        <v>#REF!</v>
      </c>
    </row>
    <row r="144" spans="1:36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 t="e">
        <f>ESTADISTICA!AJ142</f>
        <v>#REF!</v>
      </c>
    </row>
    <row r="145" spans="1:36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 t="e">
        <f>ESTADISTICA!AJ143</f>
        <v>#REF!</v>
      </c>
    </row>
    <row r="146" spans="1:36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 t="str">
        <f>ESTADISTICA!F150</f>
        <v>APAGADO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 t="str">
        <f>ESTADISTICA!J150</f>
        <v>APAGAD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 t="str">
        <f>ESTADISTICA!Z150</f>
        <v>APAGADO</v>
      </c>
      <c r="AA152" t="str">
        <f>ESTADISTICA!AA150</f>
        <v>APAGADO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 t="str">
        <f>ESTADISTICA!J153</f>
        <v>APAGADO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 t="str">
        <f>ESTADISTICA!S153</f>
        <v>APAGADO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 t="str">
        <f>ESTADISTICA!P154</f>
        <v>APAGADO</v>
      </c>
      <c r="Q156" t="str">
        <f>ESTADISTICA!Q154</f>
        <v>APAGADO</v>
      </c>
      <c r="R156" t="str">
        <f>ESTADISTICA!R154</f>
        <v>APAGADO</v>
      </c>
      <c r="S156" t="str">
        <f>ESTADISTICA!S154</f>
        <v>APAGADO</v>
      </c>
      <c r="T156" t="str">
        <f>ESTADISTICA!T154</f>
        <v>APAGADO</v>
      </c>
      <c r="U156" t="str">
        <f>ESTADISTICA!U154</f>
        <v>APAGADO</v>
      </c>
      <c r="V156" t="str">
        <f>ESTADISTICA!V154</f>
        <v>APAGADO</v>
      </c>
      <c r="W156" t="str">
        <f>ESTADISTICA!W154</f>
        <v>APAGADO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 t="str">
        <f>ESTADISTICA!S158</f>
        <v>APAGADO</v>
      </c>
      <c r="T160" t="str">
        <f>ESTADISTICA!T158</f>
        <v>APAGADO</v>
      </c>
      <c r="U160" t="str">
        <f>ESTADISTICA!U158</f>
        <v>APAGADO</v>
      </c>
      <c r="V160" t="str">
        <f>ESTADISTICA!V158</f>
        <v>APAGADO</v>
      </c>
      <c r="W160" t="str">
        <f>ESTADISTICA!W158</f>
        <v>APAGADO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 t="e">
        <f>ESTADISTICA!AJ163</f>
        <v>#REF!</v>
      </c>
    </row>
    <row r="166" spans="1:36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 t="e">
        <f>ESTADISTICA!AJ164</f>
        <v>#REF!</v>
      </c>
    </row>
    <row r="167" spans="1:36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 t="str">
        <f>ESTADISTICA!Q165</f>
        <v>APAGADO</v>
      </c>
      <c r="R167" t="str">
        <f>ESTADISTICA!R165</f>
        <v>APAGADO</v>
      </c>
      <c r="S167" t="str">
        <f>ESTADISTICA!S165</f>
        <v>APAGADO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 t="str">
        <f>ESTADISTICA!AA165</f>
        <v>APAGADO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 t="str">
        <f>ESTADISTICA!S166</f>
        <v>APAGADO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 t="str">
        <f>ESTADISTICA!J168</f>
        <v>APAGADO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 t="str">
        <f>ESTADISTICA!S168</f>
        <v>APAGADO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 t="str">
        <f>ESTADISTICA!N170</f>
        <v>APAGADO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 t="str">
        <f>ESTADISTICA!S170</f>
        <v>APAGADO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>
        <f>ESTADISTICA!G171</f>
        <v>0</v>
      </c>
      <c r="H173">
        <f>ESTADISTICA!H171</f>
        <v>0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 t="str">
        <f>ESTADISTICA!S171</f>
        <v>APAGADO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 t="e">
        <f>ESTADISTICA!AJ173</f>
        <v>#REF!</v>
      </c>
    </row>
    <row r="176" spans="1:36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>
        <f>ESTADISTICA!T174</f>
        <v>0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 t="str">
        <f>ESTADISTICA!AA174</f>
        <v>APAGADO</v>
      </c>
      <c r="AB176" t="str">
        <f>ESTADISTICA!AB174</f>
        <v>APAGADO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 t="e">
        <f>ESTADISTICA!AJ174</f>
        <v>#REF!</v>
      </c>
    </row>
    <row r="177" spans="1:36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 t="e">
        <f>ESTADISTICA!AJ175</f>
        <v>#REF!</v>
      </c>
    </row>
    <row r="178" spans="1:36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 t="e">
        <f>ESTADISTICA!AJ176</f>
        <v>#REF!</v>
      </c>
    </row>
    <row r="179" spans="1:36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 t="e">
        <f>ESTADISTICA!AJ178</f>
        <v>#REF!</v>
      </c>
    </row>
    <row r="181" spans="1:36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 t="e">
        <f>ESTADISTICA!AJ179</f>
        <v>#REF!</v>
      </c>
    </row>
    <row r="182" spans="1:36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 t="e">
        <f>ESTADISTICA!AJ180</f>
        <v>#REF!</v>
      </c>
    </row>
    <row r="183" spans="1:36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 t="e">
        <f>ESTADISTICA!AJ181</f>
        <v>#REF!</v>
      </c>
    </row>
    <row r="184" spans="1:36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 t="str">
        <f>ESTADISTICA!X183</f>
        <v>APAGADO</v>
      </c>
      <c r="Y185" t="str">
        <f>ESTADISTICA!Y183</f>
        <v>APAGADO</v>
      </c>
      <c r="Z185">
        <f>ESTADISTICA!Z183</f>
        <v>0</v>
      </c>
      <c r="AA185" t="str">
        <f>ESTADISTICA!AA183</f>
        <v>APAGADO</v>
      </c>
      <c r="AB185" t="str">
        <f>ESTADISTICA!AB183</f>
        <v>APAGADO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 t="str">
        <f>ESTADISTICA!Y187</f>
        <v>APAGADO</v>
      </c>
      <c r="Z189" t="str">
        <f>ESTADISTICA!Z187</f>
        <v>APAGADO</v>
      </c>
      <c r="AA189" t="str">
        <f>ESTADISTICA!AA187</f>
        <v>APAGADO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>
        <f>ESTADISTICA!M190</f>
        <v>0</v>
      </c>
      <c r="N192">
        <f>ESTADISTICA!N190</f>
        <v>0</v>
      </c>
      <c r="O192">
        <f>ESTADISTICA!O190</f>
        <v>0</v>
      </c>
      <c r="P192" t="str">
        <f>ESTADISTICA!P190</f>
        <v>APAGADO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>
        <f>ESTADISTICA!R191</f>
        <v>0</v>
      </c>
      <c r="S193">
        <f>ESTADISTICA!S191</f>
        <v>0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 t="str">
        <f>ESTADISTICA!W191</f>
        <v>APAGADO</v>
      </c>
      <c r="X193" t="str">
        <f>ESTADISTICA!X191</f>
        <v>APAGADO</v>
      </c>
      <c r="Y193" t="str">
        <f>ESTADISTICA!Y191</f>
        <v>APAGADO</v>
      </c>
      <c r="Z193" t="str">
        <f>ESTADISTICA!Z191</f>
        <v>APAGADO</v>
      </c>
      <c r="AA193" t="str">
        <f>ESTADISTICA!AA191</f>
        <v>APAGADO</v>
      </c>
      <c r="AB193" t="str">
        <f>ESTADISTICA!AB191</f>
        <v>APAGADO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 t="str">
        <f>ESTADISTICA!Z196</f>
        <v>APAGADO</v>
      </c>
      <c r="AA198" t="str">
        <f>ESTADISTICA!AA196</f>
        <v>APAGADO</v>
      </c>
      <c r="AB198" t="str">
        <f>ESTADISTICA!AB196</f>
        <v>APAGADO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 t="str">
        <f>ESTADISTICA!R197</f>
        <v>APAGADO</v>
      </c>
      <c r="S199" t="str">
        <f>ESTADISTICA!S197</f>
        <v>APAGADO</v>
      </c>
      <c r="T199" t="str">
        <f>ESTADISTICA!T197</f>
        <v>APAGADO</v>
      </c>
      <c r="U199" t="str">
        <f>ESTADISTICA!U197</f>
        <v>APAGADO</v>
      </c>
      <c r="V199" t="str">
        <f>ESTADISTICA!V197</f>
        <v>APAGADO</v>
      </c>
      <c r="W199" t="str">
        <f>ESTADISTICA!W197</f>
        <v>APAGADO</v>
      </c>
      <c r="X199" t="str">
        <f>ESTADISTICA!X197</f>
        <v>APAGADO</v>
      </c>
      <c r="Y199" t="str">
        <f>ESTADISTICA!Y197</f>
        <v>APAGADO</v>
      </c>
      <c r="Z199" t="str">
        <f>ESTADISTICA!Z197</f>
        <v>APAGADO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 t="str">
        <f>ESTADISTICA!J198</f>
        <v>APAGADO</v>
      </c>
      <c r="K200" t="str">
        <f>ESTADISTICA!K198</f>
        <v>APAGADO</v>
      </c>
      <c r="L200" t="str">
        <f>ESTADISTICA!L198</f>
        <v>APAGADO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 t="str">
        <f>ESTADISTICA!F199</f>
        <v>APAGADO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 t="str">
        <f>ESTADISTICA!J199</f>
        <v>APAGADO</v>
      </c>
      <c r="K201" t="str">
        <f>ESTADISTICA!K199</f>
        <v>APAGADO</v>
      </c>
      <c r="L201" t="str">
        <f>ESTADISTICA!L199</f>
        <v>APAGADO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 t="str">
        <f>ESTADISTICA!Q200</f>
        <v>APAGADO</v>
      </c>
      <c r="R202" t="str">
        <f>ESTADISTICA!R200</f>
        <v>APAGADO</v>
      </c>
      <c r="S202" t="str">
        <f>ESTADISTICA!S200</f>
        <v>APAGADO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 t="str">
        <f>ESTADISTICA!AA200</f>
        <v>APAGADO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 t="str">
        <f>ESTADISTICA!AA203</f>
        <v>APAGADO</v>
      </c>
      <c r="AB205" t="str">
        <f>ESTADISTICA!AB203</f>
        <v>APAGADO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 t="str">
        <f>ESTADISTICA!V204</f>
        <v>APAGADO</v>
      </c>
      <c r="W206" t="str">
        <f>ESTADISTICA!W204</f>
        <v>APAGADO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 t="e">
        <f>ESTADISTICA!AJ204</f>
        <v>#REF!</v>
      </c>
    </row>
    <row r="207" spans="1:36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 t="e">
        <f>ESTADISTICA!AJ205</f>
        <v>#REF!</v>
      </c>
    </row>
    <row r="208" spans="1:36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 t="str">
        <f>ESTADISTICA!F206</f>
        <v>APAGADO</v>
      </c>
      <c r="G208">
        <f>ESTADISTICA!G206</f>
        <v>0</v>
      </c>
      <c r="H208">
        <f>ESTADISTICA!H206</f>
        <v>0</v>
      </c>
      <c r="I208" t="str">
        <f>ESTADISTICA!I206</f>
        <v>APAGADO</v>
      </c>
      <c r="J208" t="str">
        <f>ESTADISTICA!J206</f>
        <v>APAGADO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 t="e">
        <f>ESTADISTICA!AJ206</f>
        <v>#REF!</v>
      </c>
    </row>
    <row r="209" spans="1:36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 t="str">
        <f>ESTADISTICA!F207</f>
        <v>APAGADO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 t="e">
        <f>ESTADISTICA!AJ207</f>
        <v>#REF!</v>
      </c>
    </row>
    <row r="210" spans="1:36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 t="e">
        <f>ESTADISTICA!AJ208</f>
        <v>#REF!</v>
      </c>
    </row>
    <row r="211" spans="1:36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 t="e">
        <f>ESTADISTICA!AJ209</f>
        <v>#REF!</v>
      </c>
    </row>
    <row r="212" spans="1:36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 t="str">
        <f>ESTADISTICA!AA210</f>
        <v>APAGADO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 t="e">
        <f>ESTADISTICA!AJ210</f>
        <v>#REF!</v>
      </c>
    </row>
    <row r="213" spans="1:36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 t="e">
        <f>ESTADISTICA!AJ211</f>
        <v>#REF!</v>
      </c>
    </row>
    <row r="214" spans="1:36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 t="e">
        <f>ESTADISTICA!AJ212</f>
        <v>#REF!</v>
      </c>
    </row>
    <row r="215" spans="1:36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 t="e">
        <f>ESTADISTICA!AJ213</f>
        <v>#REF!</v>
      </c>
    </row>
    <row r="216" spans="1:36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 t="e">
        <f>ESTADISTICA!AJ214</f>
        <v>#REF!</v>
      </c>
    </row>
    <row r="217" spans="1:36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 t="e">
        <f>ESTADISTICA!AJ215</f>
        <v>#REF!</v>
      </c>
    </row>
    <row r="218" spans="1:36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 t="e">
        <f>ESTADISTICA!AJ216</f>
        <v>#REF!</v>
      </c>
    </row>
    <row r="219" spans="1:36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 t="e">
        <f>ESTADISTICA!AJ217</f>
        <v>#REF!</v>
      </c>
    </row>
    <row r="220" spans="1:36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 t="e">
        <f>ESTADISTICA!AJ218</f>
        <v>#REF!</v>
      </c>
    </row>
    <row r="221" spans="1:36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 t="e">
        <f>ESTADISTICA!AJ219</f>
        <v>#REF!</v>
      </c>
    </row>
    <row r="222" spans="1:36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 t="e">
        <f>ESTADISTICA!AJ220</f>
        <v>#REF!</v>
      </c>
    </row>
    <row r="223" spans="1:36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 t="e">
        <f>ESTADISTICA!AJ221</f>
        <v>#REF!</v>
      </c>
    </row>
    <row r="224" spans="1:36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 t="e">
        <f>ESTADISTICA!AJ222</f>
        <v>#REF!</v>
      </c>
    </row>
    <row r="225" spans="1:36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 t="str">
        <f>ESTADISTICA!P223</f>
        <v>APAGADO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 t="e">
        <f>ESTADISTICA!AJ223</f>
        <v>#REF!</v>
      </c>
    </row>
    <row r="226" spans="1:36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 t="str">
        <f>ESTADISTICA!X224</f>
        <v>APAGADO</v>
      </c>
      <c r="Y226" t="str">
        <f>ESTADISTICA!Y224</f>
        <v>APAGADO</v>
      </c>
      <c r="Z226" t="str">
        <f>ESTADISTICA!Z224</f>
        <v>APAGADO</v>
      </c>
      <c r="AA226" t="str">
        <f>ESTADISTICA!AA224</f>
        <v>APAGADO</v>
      </c>
      <c r="AB226" t="str">
        <f>ESTADISTICA!AB224</f>
        <v>APAGADO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 t="e">
        <f>ESTADISTICA!AJ224</f>
        <v>#REF!</v>
      </c>
    </row>
    <row r="227" spans="1:36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 t="e">
        <f>ESTADISTICA!AJ225</f>
        <v>#REF!</v>
      </c>
    </row>
    <row r="228" spans="1:36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 t="str">
        <f>ESTADISTICA!P226</f>
        <v>APAGADO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 t="e">
        <f>ESTADISTICA!AJ226</f>
        <v>#REF!</v>
      </c>
    </row>
    <row r="229" spans="1:36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 t="str">
        <f>ESTADISTICA!S227</f>
        <v>APAGADO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 t="e">
        <f>ESTADISTICA!AJ227</f>
        <v>#REF!</v>
      </c>
    </row>
    <row r="230" spans="1:36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 t="e">
        <f>ESTADISTICA!AJ228</f>
        <v>#REF!</v>
      </c>
    </row>
    <row r="231" spans="1:36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 t="e">
        <f>ESTADISTICA!AJ229</f>
        <v>#REF!</v>
      </c>
    </row>
    <row r="232" spans="1:36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 t="str">
        <f>ESTADISTICA!Z230</f>
        <v>APAGADO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 t="e">
        <f>ESTADISTICA!AJ230</f>
        <v>#REF!</v>
      </c>
    </row>
    <row r="233" spans="1:36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 t="e">
        <f>ESTADISTICA!AJ231</f>
        <v>#REF!</v>
      </c>
    </row>
    <row r="234" spans="1:36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 t="e">
        <f>ESTADISTICA!AJ232</f>
        <v>#REF!</v>
      </c>
    </row>
    <row r="235" spans="1:36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 t="e">
        <f>ESTADISTICA!AJ233</f>
        <v>#REF!</v>
      </c>
    </row>
    <row r="236" spans="1:36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 t="e">
        <f>ESTADISTICA!AJ234</f>
        <v>#REF!</v>
      </c>
    </row>
    <row r="237" spans="1:36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 t="e">
        <f>ESTADISTICA!AJ235</f>
        <v>#REF!</v>
      </c>
    </row>
    <row r="238" spans="1:36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 t="e">
        <f>ESTADISTICA!AJ236</f>
        <v>#REF!</v>
      </c>
    </row>
    <row r="239" spans="1:36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 t="e">
        <f>ESTADISTICA!AJ237</f>
        <v>#REF!</v>
      </c>
    </row>
    <row r="240" spans="1:36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 t="str">
        <f>ESTADISTICA!P238</f>
        <v>APAGADO</v>
      </c>
      <c r="Q240">
        <f>ESTADISTICA!Q238</f>
        <v>0</v>
      </c>
      <c r="R240">
        <f>ESTADISTICA!R238</f>
        <v>0</v>
      </c>
      <c r="S240">
        <f>ESTADISTICA!S238</f>
        <v>0</v>
      </c>
      <c r="T240" t="str">
        <f>ESTADISTICA!T238</f>
        <v>APAGADO</v>
      </c>
      <c r="U240" t="str">
        <f>ESTADISTICA!U238</f>
        <v>APAGADO</v>
      </c>
      <c r="V240" t="str">
        <f>ESTADISTICA!V238</f>
        <v>APAGADO</v>
      </c>
      <c r="W240" t="str">
        <f>ESTADISTICA!W238</f>
        <v>APAGADO</v>
      </c>
      <c r="X240" t="str">
        <f>ESTADISTICA!X238</f>
        <v>APAGADO</v>
      </c>
      <c r="Y240" t="str">
        <f>ESTADISTICA!Y238</f>
        <v>APAGADO</v>
      </c>
      <c r="Z240" t="str">
        <f>ESTADISTICA!Z238</f>
        <v>APAGADO</v>
      </c>
      <c r="AA240" t="str">
        <f>ESTADISTICA!AA238</f>
        <v>APAGADO</v>
      </c>
      <c r="AB240" t="str">
        <f>ESTADISTICA!AB238</f>
        <v>APAGADO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 t="e">
        <f>ESTADISTICA!AJ238</f>
        <v>#REF!</v>
      </c>
    </row>
    <row r="241" spans="1:36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 t="str">
        <f>ESTADISTICA!T239</f>
        <v>APAGADO</v>
      </c>
      <c r="U241" t="str">
        <f>ESTADISTICA!U239</f>
        <v>APAGADO</v>
      </c>
      <c r="V241" t="str">
        <f>ESTADISTICA!V239</f>
        <v>APAGADO</v>
      </c>
      <c r="W241" t="str">
        <f>ESTADISTICA!W239</f>
        <v>APAGADO</v>
      </c>
      <c r="X241" t="str">
        <f>ESTADISTICA!X239</f>
        <v>APAGADO</v>
      </c>
      <c r="Y241" t="str">
        <f>ESTADISTICA!Y239</f>
        <v>APAGADO</v>
      </c>
      <c r="Z241" t="str">
        <f>ESTADISTICA!Z239</f>
        <v>APAGADO</v>
      </c>
      <c r="AA241" t="str">
        <f>ESTADISTICA!AA239</f>
        <v>APAGADO</v>
      </c>
      <c r="AB241" t="str">
        <f>ESTADISTICA!AB239</f>
        <v>APAGADO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 t="e">
        <f>ESTADISTICA!AJ239</f>
        <v>#REF!</v>
      </c>
    </row>
    <row r="242" spans="1:36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 t="str">
        <f>ESTADISTICA!T240</f>
        <v>APAGADO</v>
      </c>
      <c r="U242" t="str">
        <f>ESTADISTICA!U240</f>
        <v>APAGADO</v>
      </c>
      <c r="V242" t="str">
        <f>ESTADISTICA!V240</f>
        <v>APAGADO</v>
      </c>
      <c r="W242" t="str">
        <f>ESTADISTICA!W240</f>
        <v>APAGADO</v>
      </c>
      <c r="X242" t="str">
        <f>ESTADISTICA!X240</f>
        <v>APAGADO</v>
      </c>
      <c r="Y242" t="str">
        <f>ESTADISTICA!Y240</f>
        <v>APAGADO</v>
      </c>
      <c r="Z242" t="str">
        <f>ESTADISTICA!Z240</f>
        <v>APAGADO</v>
      </c>
      <c r="AA242" t="str">
        <f>ESTADISTICA!AA240</f>
        <v>APAGADO</v>
      </c>
      <c r="AB242" t="str">
        <f>ESTADISTICA!AB240</f>
        <v>APAGADO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 t="e">
        <f>ESTADISTICA!AJ240</f>
        <v>#REF!</v>
      </c>
    </row>
    <row r="243" spans="1:36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>
        <f>ESTADISTICA!S241</f>
        <v>0</v>
      </c>
      <c r="T243" t="str">
        <f>ESTADISTICA!T241</f>
        <v>APAGADO</v>
      </c>
      <c r="U243" t="str">
        <f>ESTADISTICA!U241</f>
        <v>APAGADO</v>
      </c>
      <c r="V243" t="str">
        <f>ESTADISTICA!V241</f>
        <v>APAGADO</v>
      </c>
      <c r="W243" t="str">
        <f>ESTADISTICA!W241</f>
        <v>APAGADO</v>
      </c>
      <c r="X243" t="str">
        <f>ESTADISTICA!X241</f>
        <v>APAGADO</v>
      </c>
      <c r="Y243" t="str">
        <f>ESTADISTICA!Y241</f>
        <v>APAGADO</v>
      </c>
      <c r="Z243" t="str">
        <f>ESTADISTICA!Z241</f>
        <v>APAGADO</v>
      </c>
      <c r="AA243" t="str">
        <f>ESTADISTICA!AA241</f>
        <v>APAGADO</v>
      </c>
      <c r="AB243" t="str">
        <f>ESTADISTICA!AB241</f>
        <v>APAGADO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 t="e">
        <f>ESTADISTICA!AJ241</f>
        <v>#REF!</v>
      </c>
    </row>
    <row r="244" spans="1:36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 t="e">
        <f>ESTADISTICA!AJ242</f>
        <v>#REF!</v>
      </c>
    </row>
    <row r="245" spans="1:36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>
        <f>ESTADISTICA!Q243</f>
        <v>0</v>
      </c>
      <c r="R245">
        <f>ESTADISTICA!R243</f>
        <v>0</v>
      </c>
      <c r="S245">
        <f>ESTADISTICA!S243</f>
        <v>0</v>
      </c>
      <c r="T245" t="str">
        <f>ESTADISTICA!T243</f>
        <v>APAGADO</v>
      </c>
      <c r="U245" t="str">
        <f>ESTADISTICA!U243</f>
        <v>APAGADO</v>
      </c>
      <c r="V245" t="str">
        <f>ESTADISTICA!V243</f>
        <v>APAGADO</v>
      </c>
      <c r="W245" t="str">
        <f>ESTADISTICA!W243</f>
        <v>APAGADO</v>
      </c>
      <c r="X245" t="str">
        <f>ESTADISTICA!X243</f>
        <v>APAGADO</v>
      </c>
      <c r="Y245" t="str">
        <f>ESTADISTICA!Y243</f>
        <v>APAGADO</v>
      </c>
      <c r="Z245" t="str">
        <f>ESTADISTICA!Z243</f>
        <v>APAGADO</v>
      </c>
      <c r="AA245" t="str">
        <f>ESTADISTICA!AA243</f>
        <v>APAGADO</v>
      </c>
      <c r="AB245" t="str">
        <f>ESTADISTICA!AB243</f>
        <v>APAGADO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 t="e">
        <f>ESTADISTICA!AJ243</f>
        <v>#REF!</v>
      </c>
    </row>
    <row r="246" spans="1:36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 t="str">
        <f>ESTADISTICA!V244</f>
        <v>APAGADO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 t="e">
        <f>ESTADISTICA!AJ244</f>
        <v>#REF!</v>
      </c>
    </row>
    <row r="247" spans="1:36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 t="e">
        <f>ESTADISTICA!AJ245</f>
        <v>#REF!</v>
      </c>
    </row>
    <row r="248" spans="1:36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 t="e">
        <f>ESTADISTICA!AJ246</f>
        <v>#REF!</v>
      </c>
    </row>
    <row r="249" spans="1:36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 t="e">
        <f>ESTADISTICA!AJ247</f>
        <v>#REF!</v>
      </c>
    </row>
    <row r="250" spans="1:36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 t="e">
        <f>ESTADISTICA!AJ248</f>
        <v>#REF!</v>
      </c>
    </row>
    <row r="251" spans="1:36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 t="e">
        <f>ESTADISTICA!AJ249</f>
        <v>#REF!</v>
      </c>
    </row>
    <row r="252" spans="1:36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 t="e">
        <f>ESTADISTICA!AJ250</f>
        <v>#REF!</v>
      </c>
    </row>
    <row r="253" spans="1:36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 t="e">
        <f>ESTADISTICA!AJ251</f>
        <v>#REF!</v>
      </c>
    </row>
    <row r="254" spans="1:36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 t="e">
        <f>ESTADISTICA!AJ252</f>
        <v>#REF!</v>
      </c>
    </row>
    <row r="255" spans="1:36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 t="e">
        <f>ESTADISTICA!AJ253</f>
        <v>#REF!</v>
      </c>
    </row>
    <row r="256" spans="1:36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 t="e">
        <f>ESTADISTICA!AJ254</f>
        <v>#REF!</v>
      </c>
    </row>
    <row r="257" spans="1:36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 t="e">
        <f>ESTADISTICA!AJ255</f>
        <v>#REF!</v>
      </c>
    </row>
    <row r="258" spans="1:36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 t="e">
        <f>ESTADISTICA!AJ256</f>
        <v>#REF!</v>
      </c>
    </row>
    <row r="259" spans="1:36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 t="e">
        <f>ESTADISTICA!AJ257</f>
        <v>#REF!</v>
      </c>
    </row>
    <row r="260" spans="1:36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 t="str">
        <f>ESTADISTICA!T258</f>
        <v>APAGADO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 t="e">
        <f>ESTADISTICA!AJ258</f>
        <v>#REF!</v>
      </c>
    </row>
    <row r="261" spans="1:36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 t="str">
        <f>ESTADISTICA!P259</f>
        <v>APAGADO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 t="e">
        <f>ESTADISTICA!AJ259</f>
        <v>#REF!</v>
      </c>
    </row>
    <row r="262" spans="1:36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 t="e">
        <f>ESTADISTICA!AJ260</f>
        <v>#REF!</v>
      </c>
    </row>
    <row r="263" spans="1:36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 t="e">
        <f>ESTADISTICA!AJ261</f>
        <v>#REF!</v>
      </c>
    </row>
    <row r="264" spans="1:36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 t="e">
        <f>ESTADISTICA!AJ262</f>
        <v>#REF!</v>
      </c>
    </row>
    <row r="265" spans="1:36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 t="e">
        <f>ESTADISTICA!AJ263</f>
        <v>#REF!</v>
      </c>
    </row>
    <row r="266" spans="1:36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 t="e">
        <f>ESTADISTICA!AJ264</f>
        <v>#REF!</v>
      </c>
    </row>
    <row r="267" spans="1:36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 t="e">
        <f>ESTADISTICA!AJ265</f>
        <v>#REF!</v>
      </c>
    </row>
    <row r="268" spans="1:36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 t="e">
        <f>ESTADISTICA!AJ266</f>
        <v>#REF!</v>
      </c>
    </row>
    <row r="269" spans="1:36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 t="str">
        <f>ESTADISTICA!X267</f>
        <v>APAGADO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 t="e">
        <f>ESTADISTICA!AJ267</f>
        <v>#REF!</v>
      </c>
    </row>
    <row r="270" spans="1:36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 t="e">
        <f>ESTADISTICA!AJ268</f>
        <v>#REF!</v>
      </c>
    </row>
    <row r="271" spans="1:36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 t="str">
        <f>ESTADISTICA!F269</f>
        <v>APAGADO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 t="str">
        <f>ESTADISTICA!O269</f>
        <v>APAGADO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 t="e">
        <f>ESTADISTICA!AJ269</f>
        <v>#REF!</v>
      </c>
    </row>
    <row r="272" spans="1:36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 t="e">
        <f>ESTADISTICA!AJ270</f>
        <v>#REF!</v>
      </c>
    </row>
    <row r="273" spans="1:36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 t="e">
        <f>ESTADISTICA!AJ271</f>
        <v>#REF!</v>
      </c>
    </row>
    <row r="274" spans="1:36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 t="e">
        <f>ESTADISTICA!AJ272</f>
        <v>#REF!</v>
      </c>
    </row>
    <row r="275" spans="1:36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 t="e">
        <f>ESTADISTICA!AJ273</f>
        <v>#REF!</v>
      </c>
    </row>
    <row r="276" spans="1:36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 t="e">
        <f>ESTADISTICA!AJ274</f>
        <v>#REF!</v>
      </c>
    </row>
    <row r="277" spans="1:36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 t="e">
        <f>ESTADISTICA!AJ275</f>
        <v>#REF!</v>
      </c>
    </row>
    <row r="278" spans="1:36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 t="e">
        <f>ESTADISTICA!AJ276</f>
        <v>#REF!</v>
      </c>
    </row>
    <row r="279" spans="1:36" hidden="1" x14ac:dyDescent="0.25">
      <c r="A279" t="s">
        <v>939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 t="e">
        <f>ESTADISTICA!AJ277</f>
        <v>#REF!</v>
      </c>
    </row>
    <row r="280" spans="1:36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 t="str">
        <f>ESTADISTICA!L278</f>
        <v>APAGADO</v>
      </c>
      <c r="M280">
        <f>ESTADISTICA!M278</f>
        <v>0</v>
      </c>
      <c r="N280" t="str">
        <f>ESTADISTICA!N278</f>
        <v>APAGADO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 t="e">
        <f>ESTADISTICA!AJ278</f>
        <v>#REF!</v>
      </c>
    </row>
    <row r="281" spans="1:36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>
        <f>ESTADISTICA!M279</f>
        <v>0</v>
      </c>
      <c r="N281" t="str">
        <f>ESTADISTICA!N279</f>
        <v>APAGADO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 t="e">
        <f>ESTADISTICA!AJ279</f>
        <v>#REF!</v>
      </c>
    </row>
    <row r="282" spans="1:36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>
        <f>ESTADISTICA!G280</f>
        <v>0</v>
      </c>
      <c r="H282">
        <f>ESTADISTICA!H280</f>
        <v>0</v>
      </c>
      <c r="I282">
        <f>ESTADISTICA!I280</f>
        <v>0</v>
      </c>
      <c r="J282" t="str">
        <f>ESTADISTICA!J280</f>
        <v>APAGADO</v>
      </c>
      <c r="K282" t="str">
        <f>ESTADISTICA!K280</f>
        <v>APAGADO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>
        <f>ESTADISTICA!O280</f>
        <v>0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 t="e">
        <f>ESTADISTICA!AJ280</f>
        <v>#REF!</v>
      </c>
    </row>
    <row r="283" spans="1:36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 t="str">
        <f>ESTADISTICA!L281</f>
        <v>APAGADO</v>
      </c>
      <c r="M283" t="str">
        <f>ESTADISTICA!M281</f>
        <v>APAGADO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 t="e">
        <f>ESTADISTICA!AJ281</f>
        <v>#REF!</v>
      </c>
    </row>
    <row r="284" spans="1:36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 t="str">
        <f>ESTADISTICA!L282</f>
        <v>APAGADO</v>
      </c>
      <c r="M284" t="str">
        <f>ESTADISTICA!M282</f>
        <v>APAGADO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 t="e">
        <f>ESTADISTICA!AJ282</f>
        <v>#REF!</v>
      </c>
    </row>
    <row r="285" spans="1:36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 t="e">
        <f>ESTADISTICA!AJ283</f>
        <v>#REF!</v>
      </c>
    </row>
    <row r="286" spans="1:36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 t="e">
        <f>ESTADISTICA!AJ284</f>
        <v>#REF!</v>
      </c>
    </row>
    <row r="287" spans="1:36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 t="str">
        <f>ESTADISTICA!T285</f>
        <v>APAGADO</v>
      </c>
      <c r="U287">
        <f>ESTADISTICA!U285</f>
        <v>0</v>
      </c>
      <c r="V287" t="str">
        <f>ESTADISTICA!V285</f>
        <v>APAGADO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 t="e">
        <f>ESTADISTICA!AJ285</f>
        <v>#REF!</v>
      </c>
    </row>
    <row r="288" spans="1:36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 t="str">
        <f>ESTADISTICA!Y286</f>
        <v>APAGADO</v>
      </c>
      <c r="Z288" t="str">
        <f>ESTADISTICA!Z286</f>
        <v>APAGADO</v>
      </c>
      <c r="AA288" t="str">
        <f>ESTADISTICA!AA286</f>
        <v>APAGADO</v>
      </c>
      <c r="AB288" t="str">
        <f>ESTADISTICA!AB286</f>
        <v>APAGADO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 t="e">
        <f>ESTADISTICA!AJ286</f>
        <v>#REF!</v>
      </c>
    </row>
    <row r="289" spans="1:36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 t="e">
        <f>ESTADISTICA!AJ287</f>
        <v>#REF!</v>
      </c>
    </row>
    <row r="290" spans="1:36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 t="str">
        <f>ESTADISTICA!F288</f>
        <v>APAGADO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 t="str">
        <f>ESTADISTICA!J288</f>
        <v>APAGADO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 t="e">
        <f>ESTADISTICA!AJ288</f>
        <v>#REF!</v>
      </c>
    </row>
    <row r="291" spans="1:36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 t="str">
        <f>ESTADISTICA!F289</f>
        <v>APAGADO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 t="e">
        <f>ESTADISTICA!AJ289</f>
        <v>#REF!</v>
      </c>
    </row>
    <row r="292" spans="1:36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 t="str">
        <f>ESTADISTICA!F290</f>
        <v>APAGADO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 t="e">
        <f>ESTADISTICA!AJ290</f>
        <v>#REF!</v>
      </c>
    </row>
    <row r="293" spans="1:36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 t="str">
        <f>ESTADISTICA!F291</f>
        <v>APAGADO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 t="e">
        <f>ESTADISTICA!AJ291</f>
        <v>#REF!</v>
      </c>
    </row>
    <row r="294" spans="1:36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 t="str">
        <f>ESTADISTICA!F292</f>
        <v>APAGADO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 t="e">
        <f>ESTADISTICA!AJ292</f>
        <v>#REF!</v>
      </c>
    </row>
    <row r="295" spans="1:36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 t="str">
        <f>ESTADISTICA!F293</f>
        <v>APAGADO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 t="str">
        <f>ESTADISTICA!L293</f>
        <v>APAGADO</v>
      </c>
      <c r="M295" t="str">
        <f>ESTADISTICA!M293</f>
        <v>APAGADO</v>
      </c>
      <c r="N295" t="str">
        <f>ESTADISTICA!N293</f>
        <v>APAGADO</v>
      </c>
      <c r="O295" t="str">
        <f>ESTADISTICA!O293</f>
        <v>APAGADO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 t="str">
        <f>ESTADISTICA!X293</f>
        <v>APAGADO</v>
      </c>
      <c r="Y295" t="str">
        <f>ESTADISTICA!Y293</f>
        <v>APAGADO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 t="e">
        <f>ESTADISTICA!AJ293</f>
        <v>#REF!</v>
      </c>
    </row>
    <row r="296" spans="1:36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 t="str">
        <f>ESTADISTICA!F294</f>
        <v>APAGADO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 t="e">
        <f>ESTADISTICA!AJ294</f>
        <v>#REF!</v>
      </c>
    </row>
    <row r="297" spans="1:36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 t="e">
        <f>ESTADISTICA!AJ295</f>
        <v>#REF!</v>
      </c>
    </row>
    <row r="298" spans="1:36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 t="e">
        <f>ESTADISTICA!AJ296</f>
        <v>#REF!</v>
      </c>
    </row>
    <row r="299" spans="1:36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 t="e">
        <f>ESTADISTICA!AJ297</f>
        <v>#REF!</v>
      </c>
    </row>
    <row r="300" spans="1:36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 t="e">
        <f>ESTADISTICA!AJ298</f>
        <v>#REF!</v>
      </c>
    </row>
    <row r="301" spans="1:36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 t="e">
        <f>ESTADISTICA!AJ299</f>
        <v>#REF!</v>
      </c>
    </row>
    <row r="302" spans="1:36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 t="str">
        <f>ESTADISTICA!U300</f>
        <v>APAGADO</v>
      </c>
      <c r="V302" t="str">
        <f>ESTADISTICA!V300</f>
        <v>APAGADO</v>
      </c>
      <c r="W302" t="str">
        <f>ESTADISTICA!W300</f>
        <v>APAGADO</v>
      </c>
      <c r="X302" t="str">
        <f>ESTADISTICA!X300</f>
        <v>APAGADO</v>
      </c>
      <c r="Y302" t="str">
        <f>ESTADISTICA!Y300</f>
        <v>APAGADO</v>
      </c>
      <c r="Z302" t="str">
        <f>ESTADISTICA!Z300</f>
        <v>APAGADO</v>
      </c>
      <c r="AA302" t="str">
        <f>ESTADISTICA!AA300</f>
        <v>APAGADO</v>
      </c>
      <c r="AB302" t="str">
        <f>ESTADISTICA!AB300</f>
        <v>APAGADO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 t="e">
        <f>ESTADISTICA!AJ300</f>
        <v>#REF!</v>
      </c>
    </row>
    <row r="303" spans="1:36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 t="e">
        <f>ESTADISTICA!AJ301</f>
        <v>#REF!</v>
      </c>
    </row>
    <row r="304" spans="1:36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 t="e">
        <f>ESTADISTICA!AJ302</f>
        <v>#REF!</v>
      </c>
    </row>
    <row r="305" spans="1:36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 t="e">
        <f>ESTADISTICA!AJ303</f>
        <v>#REF!</v>
      </c>
    </row>
    <row r="306" spans="1:36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 t="e">
        <f>ESTADISTICA!AJ304</f>
        <v>#REF!</v>
      </c>
    </row>
    <row r="307" spans="1:36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 t="e">
        <f>ESTADISTICA!AJ305</f>
        <v>#REF!</v>
      </c>
    </row>
    <row r="308" spans="1:36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 t="str">
        <f>ESTADISTICA!L306</f>
        <v>APAGADO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 t="str">
        <f>ESTADISTICA!X306</f>
        <v>APAGADO</v>
      </c>
      <c r="Y308" t="str">
        <f>ESTADISTICA!Y306</f>
        <v>APAGADO</v>
      </c>
      <c r="Z308" t="str">
        <f>ESTADISTICA!Z306</f>
        <v>APAGADO</v>
      </c>
      <c r="AA308" t="str">
        <f>ESTADISTICA!AA306</f>
        <v>APAGADO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 t="e">
        <f>ESTADISTICA!AJ306</f>
        <v>#REF!</v>
      </c>
    </row>
    <row r="309" spans="1:36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 t="str">
        <f>ESTADISTICA!X307</f>
        <v>APAGADO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 t="e">
        <f>ESTADISTICA!AJ307</f>
        <v>#REF!</v>
      </c>
    </row>
    <row r="310" spans="1:36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 t="e">
        <f>ESTADISTICA!AJ308</f>
        <v>#REF!</v>
      </c>
    </row>
    <row r="311" spans="1:36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 t="e">
        <f>ESTADISTICA!AJ309</f>
        <v>#REF!</v>
      </c>
    </row>
    <row r="312" spans="1:36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 t="e">
        <f>ESTADISTICA!AJ310</f>
        <v>#REF!</v>
      </c>
    </row>
    <row r="313" spans="1:36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 t="e">
        <f>ESTADISTICA!AJ311</f>
        <v>#REF!</v>
      </c>
    </row>
    <row r="314" spans="1:36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 t="e">
        <f>ESTADISTICA!AJ312</f>
        <v>#REF!</v>
      </c>
    </row>
    <row r="315" spans="1:36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 t="e">
        <f>ESTADISTICA!AJ313</f>
        <v>#REF!</v>
      </c>
    </row>
    <row r="316" spans="1:36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 t="e">
        <f>ESTADISTICA!AJ314</f>
        <v>#REF!</v>
      </c>
    </row>
    <row r="317" spans="1:36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 t="e">
        <f>ESTADISTICA!AJ315</f>
        <v>#REF!</v>
      </c>
    </row>
    <row r="318" spans="1:36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 t="e">
        <f>ESTADISTICA!AJ316</f>
        <v>#REF!</v>
      </c>
    </row>
    <row r="319" spans="1:36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 t="e">
        <f>ESTADISTICA!AJ317</f>
        <v>#REF!</v>
      </c>
    </row>
    <row r="320" spans="1:36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 t="str">
        <f>ESTADISTICA!P318</f>
        <v>APAGADO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 t="e">
        <f>ESTADISTICA!AJ318</f>
        <v>#REF!</v>
      </c>
    </row>
    <row r="321" spans="1:36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 t="e">
        <f>ESTADISTICA!AJ319</f>
        <v>#REF!</v>
      </c>
    </row>
    <row r="322" spans="1:36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 t="e">
        <f>ESTADISTICA!AJ320</f>
        <v>#REF!</v>
      </c>
    </row>
    <row r="323" spans="1:36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 t="str">
        <f>ESTADISTICA!P321</f>
        <v>APAGADO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 t="e">
        <f>ESTADISTICA!AJ321</f>
        <v>#REF!</v>
      </c>
    </row>
    <row r="324" spans="1:36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 t="str">
        <f>ESTADISTICA!X322</f>
        <v>APAGADO</v>
      </c>
      <c r="Y324" t="str">
        <f>ESTADISTICA!Y322</f>
        <v>APAGADO</v>
      </c>
      <c r="Z324" t="str">
        <f>ESTADISTICA!Z322</f>
        <v>APAGADO</v>
      </c>
      <c r="AA324">
        <f>ESTADISTICA!AA322</f>
        <v>0</v>
      </c>
      <c r="AB324" t="str">
        <f>ESTADISTICA!AB322</f>
        <v>APAGADO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 t="e">
        <f>ESTADISTICA!AJ322</f>
        <v>#REF!</v>
      </c>
    </row>
    <row r="325" spans="1:36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 t="e">
        <f>ESTADISTICA!AJ323</f>
        <v>#REF!</v>
      </c>
    </row>
    <row r="326" spans="1:36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 t="str">
        <f>ESTADISTICA!X324</f>
        <v>APAGADO</v>
      </c>
      <c r="Y326" t="str">
        <f>ESTADISTICA!Y324</f>
        <v>APAGADO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 t="e">
        <f>ESTADISTICA!AJ324</f>
        <v>#REF!</v>
      </c>
    </row>
    <row r="327" spans="1:36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 t="e">
        <f>ESTADISTICA!AJ325</f>
        <v>#REF!</v>
      </c>
    </row>
    <row r="328" spans="1:36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 t="e">
        <f>ESTADISTICA!AJ326</f>
        <v>#REF!</v>
      </c>
    </row>
    <row r="329" spans="1:36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 t="e">
        <f>ESTADISTICA!AJ327</f>
        <v>#REF!</v>
      </c>
    </row>
    <row r="330" spans="1:36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 t="e">
        <f>ESTADISTICA!AJ328</f>
        <v>#REF!</v>
      </c>
    </row>
    <row r="331" spans="1:36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 t="e">
        <f>ESTADISTICA!AJ329</f>
        <v>#REF!</v>
      </c>
    </row>
    <row r="332" spans="1:36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 t="e">
        <f>ESTADISTICA!AJ330</f>
        <v>#REF!</v>
      </c>
    </row>
    <row r="333" spans="1:36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 t="str">
        <f>ESTADISTICA!X331</f>
        <v>APAGADO</v>
      </c>
      <c r="Y333" t="str">
        <f>ESTADISTICA!Y331</f>
        <v>APAGADO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 t="e">
        <f>ESTADISTICA!AJ331</f>
        <v>#REF!</v>
      </c>
    </row>
    <row r="334" spans="1:36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 t="e">
        <f>ESTADISTICA!AJ332</f>
        <v>#REF!</v>
      </c>
    </row>
    <row r="335" spans="1:36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 t="e">
        <f>ESTADISTICA!AJ333</f>
        <v>#REF!</v>
      </c>
    </row>
    <row r="336" spans="1:36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 t="e">
        <f>ESTADISTICA!AJ334</f>
        <v>#REF!</v>
      </c>
    </row>
    <row r="337" spans="1:36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 t="e">
        <f>ESTADISTICA!AJ335</f>
        <v>#REF!</v>
      </c>
    </row>
    <row r="338" spans="1:36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 t="e">
        <f>ESTADISTICA!AJ336</f>
        <v>#REF!</v>
      </c>
    </row>
    <row r="339" spans="1:36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 t="e">
        <f>ESTADISTICA!AJ337</f>
        <v>#REF!</v>
      </c>
    </row>
    <row r="340" spans="1:36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 t="e">
        <f>ESTADISTICA!AJ338</f>
        <v>#REF!</v>
      </c>
    </row>
    <row r="341" spans="1:36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 t="e">
        <f>ESTADISTICA!AJ339</f>
        <v>#REF!</v>
      </c>
    </row>
    <row r="342" spans="1:36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 t="str">
        <f>ESTADISTICA!X340</f>
        <v>APAGADO</v>
      </c>
      <c r="Y342" t="str">
        <f>ESTADISTICA!Y340</f>
        <v>APAGADO</v>
      </c>
      <c r="Z342" t="str">
        <f>ESTADISTICA!Z340</f>
        <v>APAGADO</v>
      </c>
      <c r="AA342" t="str">
        <f>ESTADISTICA!AA340</f>
        <v>APAGADO</v>
      </c>
      <c r="AB342" t="str">
        <f>ESTADISTICA!AB340</f>
        <v>APAGADO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 t="e">
        <f>ESTADISTICA!AJ340</f>
        <v>#REF!</v>
      </c>
    </row>
    <row r="343" spans="1:36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 t="e">
        <f>ESTADISTICA!AJ341</f>
        <v>#REF!</v>
      </c>
    </row>
    <row r="344" spans="1:36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 t="e">
        <f>ESTADISTICA!AJ342</f>
        <v>#REF!</v>
      </c>
    </row>
    <row r="345" spans="1:36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 t="e">
        <f>ESTADISTICA!AJ343</f>
        <v>#REF!</v>
      </c>
    </row>
    <row r="346" spans="1:36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 t="e">
        <f>ESTADISTICA!AJ344</f>
        <v>#REF!</v>
      </c>
    </row>
    <row r="347" spans="1:36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 t="e">
        <f>ESTADISTICA!AJ345</f>
        <v>#REF!</v>
      </c>
    </row>
    <row r="348" spans="1:36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 t="e">
        <f>ESTADISTICA!AJ346</f>
        <v>#REF!</v>
      </c>
    </row>
    <row r="349" spans="1:36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 t="e">
        <f>ESTADISTICA!AJ347</f>
        <v>#REF!</v>
      </c>
    </row>
    <row r="350" spans="1:36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 t="e">
        <f>ESTADISTICA!AJ348</f>
        <v>#REF!</v>
      </c>
    </row>
    <row r="351" spans="1:36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 t="str">
        <f>ESTADISTICA!Z349</f>
        <v>APAGADO</v>
      </c>
      <c r="AA351" t="str">
        <f>ESTADISTICA!AA349</f>
        <v>APAGADO</v>
      </c>
      <c r="AB351" t="str">
        <f>ESTADISTICA!AB349</f>
        <v>APAGADO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 t="e">
        <f>ESTADISTICA!AJ349</f>
        <v>#REF!</v>
      </c>
    </row>
    <row r="352" spans="1:36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 t="e">
        <f>ESTADISTICA!AJ350</f>
        <v>#REF!</v>
      </c>
    </row>
    <row r="353" spans="1:36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 t="e">
        <f>ESTADISTICA!AJ351</f>
        <v>#REF!</v>
      </c>
    </row>
    <row r="354" spans="1:36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 t="str">
        <f>ESTADISTICA!N352</f>
        <v>APAGADO</v>
      </c>
      <c r="O354" t="str">
        <f>ESTADISTICA!O352</f>
        <v>APAGADO</v>
      </c>
      <c r="P354">
        <f>ESTADISTICA!P352</f>
        <v>0</v>
      </c>
      <c r="Q354">
        <f>ESTADISTICA!Q352</f>
        <v>0</v>
      </c>
      <c r="R354">
        <f>ESTADISTICA!R352</f>
        <v>0</v>
      </c>
      <c r="S354" t="str">
        <f>ESTADISTICA!S352</f>
        <v>APAGADO</v>
      </c>
      <c r="T354" t="str">
        <f>ESTADISTICA!T352</f>
        <v>APAGADO</v>
      </c>
      <c r="U354" t="str">
        <f>ESTADISTICA!U352</f>
        <v>APAGADO</v>
      </c>
      <c r="V354" t="str">
        <f>ESTADISTICA!V352</f>
        <v>APAGADO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 t="e">
        <f>ESTADISTICA!AJ352</f>
        <v>#REF!</v>
      </c>
    </row>
    <row r="355" spans="1:36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 t="e">
        <f>ESTADISTICA!AJ353</f>
        <v>#REF!</v>
      </c>
    </row>
    <row r="356" spans="1:36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 t="e">
        <f>ESTADISTICA!AJ354</f>
        <v>#REF!</v>
      </c>
    </row>
    <row r="357" spans="1:36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 t="str">
        <f>ESTADISTICA!F355</f>
        <v>APAGADO</v>
      </c>
      <c r="G357">
        <f>ESTADISTICA!G355</f>
        <v>0</v>
      </c>
      <c r="H357">
        <f>ESTADISTICA!H355</f>
        <v>0</v>
      </c>
      <c r="I357" t="str">
        <f>ESTADISTICA!I355</f>
        <v>APAGADO</v>
      </c>
      <c r="J357" t="str">
        <f>ESTADISTICA!J355</f>
        <v>APAGADO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 t="e">
        <f>ESTADISTICA!AJ355</f>
        <v>#REF!</v>
      </c>
    </row>
    <row r="358" spans="1:36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 t="e">
        <f>ESTADISTICA!AJ356</f>
        <v>#REF!</v>
      </c>
    </row>
    <row r="359" spans="1:36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 t="e">
        <f>ESTADISTICA!AJ357</f>
        <v>#REF!</v>
      </c>
    </row>
    <row r="360" spans="1:36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 t="e">
        <f>ESTADISTICA!AJ358</f>
        <v>#REF!</v>
      </c>
    </row>
    <row r="361" spans="1:36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 t="e">
        <f>ESTADISTICA!AJ359</f>
        <v>#REF!</v>
      </c>
    </row>
    <row r="362" spans="1:36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 t="str">
        <f>ESTADISTICA!X360</f>
        <v>APAGADO</v>
      </c>
      <c r="Y362" t="str">
        <f>ESTADISTICA!Y360</f>
        <v>APAGADO</v>
      </c>
      <c r="Z362" t="str">
        <f>ESTADISTICA!Z360</f>
        <v>APAGADO</v>
      </c>
      <c r="AA362" t="str">
        <f>ESTADISTICA!AA360</f>
        <v>APAGADO</v>
      </c>
      <c r="AB362" t="str">
        <f>ESTADISTICA!AB360</f>
        <v>APAGADO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 t="e">
        <f>ESTADISTICA!AJ360</f>
        <v>#REF!</v>
      </c>
    </row>
    <row r="363" spans="1:36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 t="e">
        <f>ESTADISTICA!AJ361</f>
        <v>#REF!</v>
      </c>
    </row>
    <row r="364" spans="1:36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 t="e">
        <f>ESTADISTICA!AJ362</f>
        <v>#REF!</v>
      </c>
    </row>
    <row r="365" spans="1:36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 t="e">
        <f>ESTADISTICA!AJ363</f>
        <v>#REF!</v>
      </c>
    </row>
    <row r="366" spans="1:36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 t="e">
        <f>ESTADISTICA!AJ364</f>
        <v>#REF!</v>
      </c>
    </row>
    <row r="367" spans="1:36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 t="e">
        <f>ESTADISTICA!AJ365</f>
        <v>#REF!</v>
      </c>
    </row>
    <row r="368" spans="1:36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 t="e">
        <f>ESTADISTICA!AJ366</f>
        <v>#REF!</v>
      </c>
    </row>
    <row r="369" spans="1:36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 t="e">
        <f>ESTADISTICA!AJ367</f>
        <v>#REF!</v>
      </c>
    </row>
  </sheetData>
  <autoFilter ref="A3:AG369" xr:uid="{FC730B5B-E791-4742-8990-AFF1FAD7E538}">
    <filterColumn colId="25">
      <filters>
        <filter val="APAGADO"/>
      </filters>
    </filterColumn>
  </autoFilter>
  <conditionalFormatting sqref="AE3:AE1048576">
    <cfRule type="containsText" dxfId="3" priority="2" operator="containsText" text="APAGADO">
      <formula>NOT(ISERROR(SEARCH("APAGADO",AE3)))</formula>
    </cfRule>
  </conditionalFormatting>
  <conditionalFormatting sqref="F4:AG370 AH4:AJ369">
    <cfRule type="containsText" dxfId="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J369"/>
  <sheetViews>
    <sheetView workbookViewId="0">
      <pane xSplit="5" ySplit="3" topLeftCell="W4" activePane="bottomRight" state="frozenSplit"/>
      <selection pane="topRight" activeCell="F1" sqref="F1"/>
      <selection pane="bottomLeft" activeCell="A3" sqref="A3"/>
      <selection pane="bottomRight" activeCell="F2" sqref="F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</cols>
  <sheetData>
    <row r="1" spans="1:36" ht="21" x14ac:dyDescent="0.35">
      <c r="C1" s="55" t="s">
        <v>1323</v>
      </c>
      <c r="D1" s="55">
        <f>COUNTIFS(E4:E367,"=radio")</f>
        <v>88</v>
      </c>
    </row>
    <row r="2" spans="1:36" ht="21" x14ac:dyDescent="0.35">
      <c r="E2" s="26" t="s">
        <v>934</v>
      </c>
      <c r="F2" s="26">
        <f>COUNTIFS(F4:F367, "=APAGADO",E4:E367,"=radio")</f>
        <v>4</v>
      </c>
      <c r="G2" s="26">
        <f>COUNTIFS(G4:G367, "=APAGADO",E4:E367,"=radio")</f>
        <v>0</v>
      </c>
      <c r="H2" s="26">
        <f>COUNTIFS(H4:H367, "=APAGADO",E4:E367,"=radio")</f>
        <v>0</v>
      </c>
      <c r="I2" s="26">
        <f>COUNTIFS(I4:I367, "=APAGADO",E4:E367,"=radio")</f>
        <v>4</v>
      </c>
      <c r="J2" s="26">
        <f>COUNTIFS(J4:J367, "=APAGADO",E4:E367,"=radio")</f>
        <v>4</v>
      </c>
      <c r="K2" s="26">
        <f>COUNTIFS(K4:K367, "=APAGADO",E4:E367,"=radio")</f>
        <v>3</v>
      </c>
      <c r="L2" s="26">
        <f>COUNTIFS(L4:L367, "=APAGADO",E4:E367,"=radio")</f>
        <v>6</v>
      </c>
      <c r="M2" s="26">
        <f>COUNTIFS(M4:M367, "=APAGADO",E4:E367,"=radio")</f>
        <v>4</v>
      </c>
      <c r="N2" s="26">
        <f>COUNTIFS(N4:N367, "=APAGADO",E4:E367,"=radio")</f>
        <v>6</v>
      </c>
      <c r="O2" s="26">
        <f>COUNTIFS(O4:O367, "=APAGADO",E4:E367,"=radio")</f>
        <v>7</v>
      </c>
      <c r="P2" s="26">
        <f>COUNTIFS(P4:P367, "=APAGADO",E4:E367,"=radio")</f>
        <v>4</v>
      </c>
      <c r="Q2" s="26">
        <f>COUNTIFS(Q4:Q367, "=APAGADO",E4:E367,"=radio")</f>
        <v>4</v>
      </c>
      <c r="R2" s="26">
        <f>COUNTIFS(R4:R367, "=APAGADO",E4:E367,"=radio")</f>
        <v>3</v>
      </c>
      <c r="S2" s="26">
        <f>COUNTIFS(S4:S367, "=APAGADO",E4:E367,"=radio")</f>
        <v>3</v>
      </c>
      <c r="T2" s="26">
        <f>COUNTIFS(T4:T367, "=APAGADO",E4:E367,"=radio")</f>
        <v>3</v>
      </c>
      <c r="U2" s="26">
        <f>COUNTIFS(U4:U367, "=APAGADO",E4:E367,"=radio")</f>
        <v>3</v>
      </c>
      <c r="V2" s="26">
        <f>COUNTIFS(V4:V367, "=APAGADO",E4:E367,"=radio")</f>
        <v>5</v>
      </c>
      <c r="W2" s="26">
        <f>COUNTIFS(W4:W367, "=APAGADO",E4:E367,"=radio")</f>
        <v>4</v>
      </c>
      <c r="X2" s="26">
        <f>COUNTIFS(X4:X367, "=APAGADO",E4:E367,"=radio")</f>
        <v>3</v>
      </c>
      <c r="Y2" s="26">
        <f>COUNTIFS(Y4:Y367, "=APAGADO",E4:E367,"=radio")</f>
        <v>3</v>
      </c>
      <c r="Z2" s="26">
        <f>COUNTIFS(Z4:Z367, "=APAGADO",E4:E367,"=radio")</f>
        <v>4</v>
      </c>
      <c r="AA2" s="26">
        <f>COUNTIFS(AA4:AA367, "=APAGADO",E4:E367,"=radio")</f>
        <v>3</v>
      </c>
      <c r="AB2" s="26">
        <f>COUNTIFS(AB4:AB367, "=APAGADO",E4:E367,"=radio")</f>
        <v>3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 t="shared" ref="AI2:AJ2" si="0">COUNTIFS(AI4:AI367, "=APAGADO",G4:G367,"=radio")</f>
        <v>0</v>
      </c>
      <c r="AJ2" s="26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44652</v>
      </c>
      <c r="G3" s="25">
        <f>ESTADISTICA!G1</f>
        <v>44653</v>
      </c>
      <c r="H3" s="25">
        <f>ESTADISTICA!H1</f>
        <v>44654</v>
      </c>
      <c r="I3" s="25">
        <f>ESTADISTICA!I1</f>
        <v>44655</v>
      </c>
      <c r="J3" s="25">
        <f>ESTADISTICA!J1</f>
        <v>44656</v>
      </c>
      <c r="K3" s="25">
        <f>ESTADISTICA!K1</f>
        <v>44657</v>
      </c>
      <c r="L3" s="25">
        <f>ESTADISTICA!L1</f>
        <v>44658</v>
      </c>
      <c r="M3" s="25">
        <f>ESTADISTICA!M1</f>
        <v>44659</v>
      </c>
      <c r="N3" s="25">
        <f>ESTADISTICA!N1</f>
        <v>44660</v>
      </c>
      <c r="O3" s="25">
        <f>ESTADISTICA!O1</f>
        <v>44661</v>
      </c>
      <c r="P3" s="25">
        <f>ESTADISTICA!P1</f>
        <v>44662</v>
      </c>
      <c r="Q3" s="25">
        <f>ESTADISTICA!Q1</f>
        <v>44663</v>
      </c>
      <c r="R3" s="25">
        <f>ESTADISTICA!R1</f>
        <v>44664</v>
      </c>
      <c r="S3" s="25">
        <f>ESTADISTICA!S1</f>
        <v>44665</v>
      </c>
      <c r="T3" s="25">
        <f>ESTADISTICA!T1</f>
        <v>44666</v>
      </c>
      <c r="U3" s="25">
        <f>ESTADISTICA!U1</f>
        <v>44667</v>
      </c>
      <c r="V3" s="25">
        <f>ESTADISTICA!V1</f>
        <v>44668</v>
      </c>
      <c r="W3" s="25">
        <f>ESTADISTICA!W1</f>
        <v>44669</v>
      </c>
      <c r="X3" s="25">
        <f>ESTADISTICA!X1</f>
        <v>44670</v>
      </c>
      <c r="Y3" s="25">
        <f>ESTADISTICA!Y1</f>
        <v>44671</v>
      </c>
      <c r="Z3" s="25">
        <f>ESTADISTICA!Z1</f>
        <v>44672</v>
      </c>
      <c r="AA3" s="25">
        <f>ESTADISTICA!AA1</f>
        <v>44673</v>
      </c>
      <c r="AB3" s="25">
        <f>ESTADISTICA!AB1</f>
        <v>44674</v>
      </c>
      <c r="AC3" s="25">
        <f>ESTADISTICA!AC1</f>
        <v>44675</v>
      </c>
      <c r="AD3" s="25">
        <f>ESTADISTICA!AD1</f>
        <v>44676</v>
      </c>
      <c r="AE3" s="25">
        <f>ESTADISTICA!AE1</f>
        <v>44677</v>
      </c>
      <c r="AF3" s="25">
        <f>ESTADISTICA!AF1</f>
        <v>44678</v>
      </c>
      <c r="AG3" s="25">
        <f>ESTADISTICA!AG1</f>
        <v>44679</v>
      </c>
      <c r="AH3" s="25">
        <f>ESTADISTICA!AH1</f>
        <v>44680</v>
      </c>
      <c r="AI3" s="25">
        <f>ESTADISTICA!AI1</f>
        <v>44681</v>
      </c>
      <c r="AJ3" s="25" t="e">
        <f>ESTADISTICA!AJ1</f>
        <v>#REF!</v>
      </c>
    </row>
    <row r="4" spans="1:36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 t="str">
        <f>ESTADISTICA!J2</f>
        <v>APAGADO</v>
      </c>
      <c r="K4">
        <f>ESTADISTICA!K2</f>
        <v>0</v>
      </c>
      <c r="L4">
        <f>ESTADISTICA!L2</f>
        <v>0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 t="e">
        <f>ESTADISTICA!AJ3</f>
        <v>#REF!</v>
      </c>
    </row>
    <row r="6" spans="1:36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>
        <f>ESTADISTICA!V4</f>
        <v>0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 t="str">
        <f>ESTADISTICA!Z4</f>
        <v>APAGADO</v>
      </c>
      <c r="AA6" t="str">
        <f>ESTADISTICA!AA4</f>
        <v>APAGADO</v>
      </c>
      <c r="AB6" t="str">
        <f>ESTADISTICA!AB4</f>
        <v>APAGADO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 t="e">
        <f>ESTADISTICA!AJ4</f>
        <v>#REF!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 t="e">
        <f>ESTADISTICA!AJ5</f>
        <v>#REF!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 t="e">
        <f>ESTADISTICA!AJ6</f>
        <v>#REF!</v>
      </c>
    </row>
    <row r="9" spans="1:36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 t="str">
        <f>ESTADISTICA!X7</f>
        <v>APAGADO</v>
      </c>
      <c r="Y9" t="str">
        <f>ESTADISTICA!Y7</f>
        <v>APAGADO</v>
      </c>
      <c r="Z9" t="str">
        <f>ESTADISTICA!Z7</f>
        <v>APAGADO</v>
      </c>
      <c r="AA9" t="str">
        <f>ESTADISTICA!AA7</f>
        <v>APAGADO</v>
      </c>
      <c r="AB9" t="str">
        <f>ESTADISTICA!AB7</f>
        <v>APAGADO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 t="e">
        <f>ESTADISTICA!AJ7</f>
        <v>#REF!</v>
      </c>
    </row>
    <row r="10" spans="1:36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 t="str">
        <f>ESTADISTICA!S8</f>
        <v>APAGADO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 t="str">
        <f>ESTADISTICA!S9</f>
        <v>APAGADO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 t="str">
        <f>ESTADISTICA!X9</f>
        <v>APAGADO</v>
      </c>
      <c r="Y11" t="str">
        <f>ESTADISTICA!Y9</f>
        <v>APAGADO</v>
      </c>
      <c r="Z11" t="str">
        <f>ESTADISTICA!Z9</f>
        <v>APAGADO</v>
      </c>
      <c r="AA11" t="str">
        <f>ESTADISTICA!AA9</f>
        <v>APAGADO</v>
      </c>
      <c r="AB11" t="str">
        <f>ESTADISTICA!AB9</f>
        <v>APAGADO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 t="e">
        <f>ESTADISTICA!AJ9</f>
        <v>#REF!</v>
      </c>
    </row>
    <row r="12" spans="1:36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 t="str">
        <f>ESTADISTICA!S10</f>
        <v>APAGADO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 t="str">
        <f>ESTADISTICA!X10</f>
        <v>APAGADO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 t="str">
        <f>ESTADISTICA!S11</f>
        <v>APAGADO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 t="str">
        <f>ESTADISTICA!X11</f>
        <v>APAGADO</v>
      </c>
      <c r="Y13" t="str">
        <f>ESTADISTICA!Y11</f>
        <v>APAGADO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 t="str">
        <f>ESTADISTICA!S12</f>
        <v>APAGADO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 t="e">
        <f>ESTADISTICA!AJ12</f>
        <v>#REF!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 t="str">
        <f>ESTADISTICA!S13</f>
        <v>APAGADO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 t="e">
        <f>ESTADISTICA!AJ13</f>
        <v>#REF!</v>
      </c>
    </row>
    <row r="16" spans="1:36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 t="str">
        <f>ESTADISTICA!S14</f>
        <v>APAGADO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 t="str">
        <f>ESTADISTICA!S15</f>
        <v>APAGADO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 t="str">
        <f>ESTADISTICA!S17</f>
        <v>APAGADO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 t="e">
        <f>ESTADISTICA!AJ17</f>
        <v>#REF!</v>
      </c>
    </row>
    <row r="20" spans="1:36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 t="str">
        <f>ESTADISTICA!L18</f>
        <v>APAGADO</v>
      </c>
      <c r="M20" t="str">
        <f>ESTADISTICA!M18</f>
        <v>APAGADO</v>
      </c>
      <c r="N20" t="str">
        <f>ESTADISTICA!N18</f>
        <v>APAGADO</v>
      </c>
      <c r="O20" t="str">
        <f>ESTADISTICA!O18</f>
        <v>APAGADO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 t="str">
        <f>ESTADISTICA!X18</f>
        <v>APAGADO</v>
      </c>
      <c r="Y20">
        <f>ESTADISTICA!Y18</f>
        <v>0</v>
      </c>
      <c r="Z20" t="str">
        <f>ESTADISTICA!Z18</f>
        <v>APAGADO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 t="str">
        <f>ESTADISTICA!L19</f>
        <v>APAGADO</v>
      </c>
      <c r="M21" t="str">
        <f>ESTADISTICA!M19</f>
        <v>APAGADO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 t="e">
        <f>ESTADISTICA!AJ19</f>
        <v>#REF!</v>
      </c>
    </row>
    <row r="22" spans="1:36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 t="e">
        <f>ESTADISTICA!AJ20</f>
        <v>#REF!</v>
      </c>
    </row>
    <row r="23" spans="1:36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 t="str">
        <f>ESTADISTICA!L21</f>
        <v>APAGADO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 t="str">
        <f>ESTADISTICA!V21</f>
        <v>APAGADO</v>
      </c>
      <c r="W23" t="str">
        <f>ESTADISTICA!W21</f>
        <v>APAGADO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 t="e">
        <f>ESTADISTICA!AJ21</f>
        <v>#REF!</v>
      </c>
    </row>
    <row r="24" spans="1:36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 t="e">
        <f>ESTADISTICA!AJ22</f>
        <v>#REF!</v>
      </c>
    </row>
    <row r="25" spans="1:36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 t="e">
        <f>ESTADISTICA!AJ23</f>
        <v>#REF!</v>
      </c>
    </row>
    <row r="26" spans="1:36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 t="e">
        <f>ESTADISTICA!AJ24</f>
        <v>#REF!</v>
      </c>
    </row>
    <row r="27" spans="1:36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 t="e">
        <f>ESTADISTICA!AJ25</f>
        <v>#REF!</v>
      </c>
    </row>
    <row r="28" spans="1:36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 t="e">
        <f>ESTADISTICA!AJ26</f>
        <v>#REF!</v>
      </c>
    </row>
    <row r="29" spans="1:36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>
        <f>ESTADISTICA!G27</f>
        <v>0</v>
      </c>
      <c r="H29">
        <f>ESTADISTICA!H27</f>
        <v>0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 t="str">
        <f>ESTADISTICA!P27</f>
        <v>APAGADO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 t="e">
        <f>ESTADISTICA!AJ27</f>
        <v>#REF!</v>
      </c>
    </row>
    <row r="30" spans="1:36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 t="e">
        <f>ESTADISTICA!AJ28</f>
        <v>#REF!</v>
      </c>
    </row>
    <row r="31" spans="1:36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 t="str">
        <f>ESTADISTICA!W29</f>
        <v>APAGADO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 t="e">
        <f>ESTADISTICA!AJ29</f>
        <v>#REF!</v>
      </c>
    </row>
    <row r="32" spans="1:36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 t="str">
        <f>ESTADISTICA!J44</f>
        <v>APAGADO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 t="str">
        <f>ESTADISTICA!P46</f>
        <v>APAGADO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 t="str">
        <f>ESTADISTICA!P48</f>
        <v>APAGADO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 t="e">
        <f>ESTADISTICA!AJ49</f>
        <v>#REF!</v>
      </c>
    </row>
    <row r="52" spans="1:36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 t="str">
        <f>ESTADISTICA!X50</f>
        <v>APAGADO</v>
      </c>
      <c r="Y52" t="str">
        <f>ESTADISTICA!Y50</f>
        <v>APAGADO</v>
      </c>
      <c r="Z52" t="str">
        <f>ESTADISTICA!Z50</f>
        <v>APAGADO</v>
      </c>
      <c r="AA52" t="str">
        <f>ESTADISTICA!AA50</f>
        <v>APAGADO</v>
      </c>
      <c r="AB52" t="str">
        <f>ESTADISTICA!AB50</f>
        <v>APAGADO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 t="e">
        <f>ESTADISTICA!AJ50</f>
        <v>#REF!</v>
      </c>
    </row>
    <row r="53" spans="1:36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 t="e">
        <f>ESTADISTICA!AJ54</f>
        <v>#REF!</v>
      </c>
    </row>
    <row r="57" spans="1:36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 t="e">
        <f>ESTADISTICA!AJ55</f>
        <v>#REF!</v>
      </c>
    </row>
    <row r="58" spans="1:36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>
        <f>ESTADISTICA!G59</f>
        <v>0</v>
      </c>
      <c r="H61">
        <f>ESTADISTICA!H59</f>
        <v>0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 t="str">
        <f>ESTADISTICA!R59</f>
        <v>APAGADO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>
        <f>ESTADISTICA!G60</f>
        <v>0</v>
      </c>
      <c r="H62">
        <f>ESTADISTICA!H60</f>
        <v>0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>
        <f>ESTADISTICA!G62</f>
        <v>0</v>
      </c>
      <c r="H64">
        <f>ESTADISTICA!H62</f>
        <v>0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 t="str">
        <f>ESTADISTICA!Q62</f>
        <v>APAGADO</v>
      </c>
      <c r="R64" t="str">
        <f>ESTADISTICA!R62</f>
        <v>APAGADO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 t="str">
        <f>ESTADISTICA!U63</f>
        <v>APAGADO</v>
      </c>
      <c r="V65" t="str">
        <f>ESTADISTICA!V63</f>
        <v>APAGADO</v>
      </c>
      <c r="W65" t="str">
        <f>ESTADISTICA!W63</f>
        <v>APAGADO</v>
      </c>
      <c r="X65" t="str">
        <f>ESTADISTICA!X63</f>
        <v>APAGADO</v>
      </c>
      <c r="Y65" t="str">
        <f>ESTADISTICA!Y63</f>
        <v>APAGADO</v>
      </c>
      <c r="Z65" t="str">
        <f>ESTADISTICA!Z63</f>
        <v>APAGADO</v>
      </c>
      <c r="AA65" t="str">
        <f>ESTADISTICA!AA63</f>
        <v>APAGADO</v>
      </c>
      <c r="AB65" t="str">
        <f>ESTADISTICA!AB63</f>
        <v>APAGADO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 t="e">
        <f>ESTADISTICA!AJ63</f>
        <v>#REF!</v>
      </c>
    </row>
    <row r="66" spans="1:36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>
        <f>ESTADISTICA!G65</f>
        <v>0</v>
      </c>
      <c r="H67">
        <f>ESTADISTICA!H65</f>
        <v>0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 t="str">
        <f>ESTADISTICA!O65</f>
        <v>APAGADO</v>
      </c>
      <c r="P67" t="str">
        <f>ESTADISTICA!P65</f>
        <v>APAGADO</v>
      </c>
      <c r="Q67" t="str">
        <f>ESTADISTICA!Q65</f>
        <v>APAGADO</v>
      </c>
      <c r="R67" t="str">
        <f>ESTADISTICA!R65</f>
        <v>APAGADO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 t="str">
        <f>ESTADISTICA!X70</f>
        <v>APAGADO</v>
      </c>
      <c r="Y72" t="str">
        <f>ESTADISTICA!Y70</f>
        <v>APAGADO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>
        <f>ESTADISTICA!G77</f>
        <v>0</v>
      </c>
      <c r="H79">
        <f>ESTADISTICA!H77</f>
        <v>0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 t="str">
        <f>ESTADISTICA!Z77</f>
        <v>APAGADO</v>
      </c>
      <c r="AA79" t="str">
        <f>ESTADISTICA!AA77</f>
        <v>APAGADO</v>
      </c>
      <c r="AB79" t="str">
        <f>ESTADISTICA!AB77</f>
        <v>APAGADO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 t="e">
        <f>ESTADISTICA!AJ78</f>
        <v>#REF!</v>
      </c>
    </row>
    <row r="81" spans="1:36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 t="e">
        <f>ESTADISTICA!AJ79</f>
        <v>#REF!</v>
      </c>
    </row>
    <row r="82" spans="1:36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 t="e">
        <f>ESTADISTICA!AJ81</f>
        <v>#REF!</v>
      </c>
    </row>
    <row r="84" spans="1:36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 t="str">
        <f>ESTADISTICA!I82</f>
        <v>APAGADO</v>
      </c>
      <c r="J84" t="str">
        <f>ESTADISTICA!J82</f>
        <v>APAGADO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 t="e">
        <f>ESTADISTICA!AJ82</f>
        <v>#REF!</v>
      </c>
    </row>
    <row r="85" spans="1:36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 t="e">
        <f>ESTADISTICA!AJ83</f>
        <v>#REF!</v>
      </c>
    </row>
    <row r="86" spans="1:36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 t="e">
        <f>ESTADISTICA!AJ84</f>
        <v>#REF!</v>
      </c>
    </row>
    <row r="87" spans="1:36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 t="e">
        <f>ESTADISTICA!AJ86</f>
        <v>#REF!</v>
      </c>
    </row>
    <row r="89" spans="1:36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 t="e">
        <f>ESTADISTICA!AJ87</f>
        <v>#REF!</v>
      </c>
    </row>
    <row r="90" spans="1:36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>
        <f>ESTADISTICA!G88</f>
        <v>0</v>
      </c>
      <c r="H90">
        <f>ESTADISTICA!H88</f>
        <v>0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>
        <f>ESTADISTICA!G89</f>
        <v>0</v>
      </c>
      <c r="H91">
        <f>ESTADISTICA!H89</f>
        <v>0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 t="e">
        <f>ESTADISTICA!AJ93</f>
        <v>#REF!</v>
      </c>
    </row>
    <row r="96" spans="1:36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 t="e">
        <f>ESTADISTICA!AJ94</f>
        <v>#REF!</v>
      </c>
    </row>
    <row r="97" spans="1:36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 t="e">
        <f>ESTADISTICA!AJ97</f>
        <v>#REF!</v>
      </c>
    </row>
    <row r="100" spans="1:36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 t="e">
        <f>ESTADISTICA!AJ98</f>
        <v>#REF!</v>
      </c>
    </row>
    <row r="101" spans="1:36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 t="str">
        <f>ESTADISTICA!V99</f>
        <v>APAGADO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 t="e">
        <f>ESTADISTICA!AJ99</f>
        <v>#REF!</v>
      </c>
    </row>
    <row r="102" spans="1:36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 t="e">
        <f>ESTADISTICA!AJ100</f>
        <v>#REF!</v>
      </c>
    </row>
    <row r="103" spans="1:36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 t="e">
        <f>ESTADISTICA!AJ101</f>
        <v>#REF!</v>
      </c>
    </row>
    <row r="104" spans="1:36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 t="e">
        <f>ESTADISTICA!AJ102</f>
        <v>#REF!</v>
      </c>
    </row>
    <row r="105" spans="1:36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 t="e">
        <f>ESTADISTICA!AJ107</f>
        <v>#REF!</v>
      </c>
    </row>
    <row r="110" spans="1:36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 t="e">
        <f>ESTADISTICA!AJ108</f>
        <v>#REF!</v>
      </c>
    </row>
    <row r="111" spans="1:36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 t="e">
        <f>ESTADISTICA!AJ109</f>
        <v>#REF!</v>
      </c>
    </row>
    <row r="112" spans="1:36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 t="e">
        <f>ESTADISTICA!AJ110</f>
        <v>#REF!</v>
      </c>
    </row>
    <row r="113" spans="1:36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 t="e">
        <f>ESTADISTICA!AJ111</f>
        <v>#REF!</v>
      </c>
    </row>
    <row r="114" spans="1:36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>
        <f>ESTADISTICA!O112</f>
        <v>0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 t="str">
        <f>ESTADISTICA!X112</f>
        <v>APAGADO</v>
      </c>
      <c r="Y114" t="str">
        <f>ESTADISTICA!Y112</f>
        <v>APAGADO</v>
      </c>
      <c r="Z114" t="str">
        <f>ESTADISTICA!Z112</f>
        <v>APAGADO</v>
      </c>
      <c r="AA114" t="str">
        <f>ESTADISTICA!AA112</f>
        <v>APAGADO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 t="e">
        <f>ESTADISTICA!AJ112</f>
        <v>#REF!</v>
      </c>
    </row>
    <row r="115" spans="1:36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 t="e">
        <f>ESTADISTICA!AJ114</f>
        <v>#REF!</v>
      </c>
    </row>
    <row r="117" spans="1:36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 t="e">
        <f>ESTADISTICA!AJ115</f>
        <v>#REF!</v>
      </c>
    </row>
    <row r="118" spans="1:36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 t="e">
        <f>ESTADISTICA!AJ116</f>
        <v>#REF!</v>
      </c>
    </row>
    <row r="119" spans="1:36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 t="str">
        <f>ESTADISTICA!X121</f>
        <v>APAGADO</v>
      </c>
      <c r="Y123" t="str">
        <f>ESTADISTICA!Y121</f>
        <v>APAGADO</v>
      </c>
      <c r="Z123" t="str">
        <f>ESTADISTICA!Z121</f>
        <v>APAGADO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 t="e">
        <f>ESTADISTICA!AJ122</f>
        <v>#REF!</v>
      </c>
    </row>
    <row r="125" spans="1:36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 t="e">
        <f>ESTADISTICA!AJ123</f>
        <v>#REF!</v>
      </c>
    </row>
    <row r="126" spans="1:36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 t="e">
        <f>ESTADISTICA!AJ124</f>
        <v>#REF!</v>
      </c>
    </row>
    <row r="127" spans="1:36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 t="e">
        <f>ESTADISTICA!AJ125</f>
        <v>#REF!</v>
      </c>
    </row>
    <row r="128" spans="1:36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 t="e">
        <f>ESTADISTICA!AJ126</f>
        <v>#REF!</v>
      </c>
    </row>
    <row r="129" spans="1:36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 t="e">
        <f>ESTADISTICA!AJ127</f>
        <v>#REF!</v>
      </c>
    </row>
    <row r="130" spans="1:36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 t="e">
        <f>ESTADISTICA!AJ128</f>
        <v>#REF!</v>
      </c>
    </row>
    <row r="131" spans="1:36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 t="e">
        <f>ESTADISTICA!AJ129</f>
        <v>#REF!</v>
      </c>
    </row>
    <row r="132" spans="1:36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 t="e">
        <f>ESTADISTICA!AJ130</f>
        <v>#REF!</v>
      </c>
    </row>
    <row r="133" spans="1:36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 t="e">
        <f>ESTADISTICA!AJ131</f>
        <v>#REF!</v>
      </c>
    </row>
    <row r="134" spans="1:36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 t="e">
        <f>ESTADISTICA!AJ132</f>
        <v>#REF!</v>
      </c>
    </row>
    <row r="135" spans="1:36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 t="e">
        <f>ESTADISTICA!AJ133</f>
        <v>#REF!</v>
      </c>
    </row>
    <row r="136" spans="1:36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 t="e">
        <f>ESTADISTICA!AJ135</f>
        <v>#REF!</v>
      </c>
    </row>
    <row r="138" spans="1:36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 t="e">
        <f>ESTADISTICA!AJ136</f>
        <v>#REF!</v>
      </c>
    </row>
    <row r="139" spans="1:36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 t="e">
        <f>ESTADISTICA!AJ137</f>
        <v>#REF!</v>
      </c>
    </row>
    <row r="140" spans="1:36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 t="e">
        <f>ESTADISTICA!AJ138</f>
        <v>#REF!</v>
      </c>
    </row>
    <row r="141" spans="1:36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 t="e">
        <f>ESTADISTICA!AJ139</f>
        <v>#REF!</v>
      </c>
    </row>
    <row r="142" spans="1:36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 t="e">
        <f>ESTADISTICA!AJ140</f>
        <v>#REF!</v>
      </c>
    </row>
    <row r="143" spans="1:36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 t="e">
        <f>ESTADISTICA!AJ141</f>
        <v>#REF!</v>
      </c>
    </row>
    <row r="144" spans="1:36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 t="e">
        <f>ESTADISTICA!AJ142</f>
        <v>#REF!</v>
      </c>
    </row>
    <row r="145" spans="1:36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 t="e">
        <f>ESTADISTICA!AJ143</f>
        <v>#REF!</v>
      </c>
    </row>
    <row r="146" spans="1:36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 t="str">
        <f>ESTADISTICA!F150</f>
        <v>APAGADO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 t="str">
        <f>ESTADISTICA!J150</f>
        <v>APAGAD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 t="str">
        <f>ESTADISTICA!Z150</f>
        <v>APAGADO</v>
      </c>
      <c r="AA152" t="str">
        <f>ESTADISTICA!AA150</f>
        <v>APAGADO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 t="str">
        <f>ESTADISTICA!J153</f>
        <v>APAGADO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 t="str">
        <f>ESTADISTICA!S153</f>
        <v>APAGADO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 t="str">
        <f>ESTADISTICA!P154</f>
        <v>APAGADO</v>
      </c>
      <c r="Q156" t="str">
        <f>ESTADISTICA!Q154</f>
        <v>APAGADO</v>
      </c>
      <c r="R156" t="str">
        <f>ESTADISTICA!R154</f>
        <v>APAGADO</v>
      </c>
      <c r="S156" t="str">
        <f>ESTADISTICA!S154</f>
        <v>APAGADO</v>
      </c>
      <c r="T156" t="str">
        <f>ESTADISTICA!T154</f>
        <v>APAGADO</v>
      </c>
      <c r="U156" t="str">
        <f>ESTADISTICA!U154</f>
        <v>APAGADO</v>
      </c>
      <c r="V156" t="str">
        <f>ESTADISTICA!V154</f>
        <v>APAGADO</v>
      </c>
      <c r="W156" t="str">
        <f>ESTADISTICA!W154</f>
        <v>APAGADO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 t="str">
        <f>ESTADISTICA!S158</f>
        <v>APAGADO</v>
      </c>
      <c r="T160" t="str">
        <f>ESTADISTICA!T158</f>
        <v>APAGADO</v>
      </c>
      <c r="U160" t="str">
        <f>ESTADISTICA!U158</f>
        <v>APAGADO</v>
      </c>
      <c r="V160" t="str">
        <f>ESTADISTICA!V158</f>
        <v>APAGADO</v>
      </c>
      <c r="W160" t="str">
        <f>ESTADISTICA!W158</f>
        <v>APAGADO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 t="e">
        <f>ESTADISTICA!AJ163</f>
        <v>#REF!</v>
      </c>
    </row>
    <row r="166" spans="1:36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 t="e">
        <f>ESTADISTICA!AJ164</f>
        <v>#REF!</v>
      </c>
    </row>
    <row r="167" spans="1:36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 t="str">
        <f>ESTADISTICA!Q165</f>
        <v>APAGADO</v>
      </c>
      <c r="R167" t="str">
        <f>ESTADISTICA!R165</f>
        <v>APAGADO</v>
      </c>
      <c r="S167" t="str">
        <f>ESTADISTICA!S165</f>
        <v>APAGADO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 t="str">
        <f>ESTADISTICA!AA165</f>
        <v>APAGADO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 t="str">
        <f>ESTADISTICA!S166</f>
        <v>APAGADO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 t="str">
        <f>ESTADISTICA!J168</f>
        <v>APAGADO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 t="str">
        <f>ESTADISTICA!S168</f>
        <v>APAGADO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 t="str">
        <f>ESTADISTICA!N170</f>
        <v>APAGADO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 t="str">
        <f>ESTADISTICA!S170</f>
        <v>APAGADO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>
        <f>ESTADISTICA!G171</f>
        <v>0</v>
      </c>
      <c r="H173">
        <f>ESTADISTICA!H171</f>
        <v>0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 t="str">
        <f>ESTADISTICA!S171</f>
        <v>APAGADO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 t="e">
        <f>ESTADISTICA!AJ173</f>
        <v>#REF!</v>
      </c>
    </row>
    <row r="176" spans="1:36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>
        <f>ESTADISTICA!T174</f>
        <v>0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 t="str">
        <f>ESTADISTICA!AA174</f>
        <v>APAGADO</v>
      </c>
      <c r="AB176" t="str">
        <f>ESTADISTICA!AB174</f>
        <v>APAGADO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 t="e">
        <f>ESTADISTICA!AJ174</f>
        <v>#REF!</v>
      </c>
    </row>
    <row r="177" spans="1:36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 t="e">
        <f>ESTADISTICA!AJ175</f>
        <v>#REF!</v>
      </c>
    </row>
    <row r="178" spans="1:36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 t="e">
        <f>ESTADISTICA!AJ176</f>
        <v>#REF!</v>
      </c>
    </row>
    <row r="179" spans="1:36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 t="e">
        <f>ESTADISTICA!AJ178</f>
        <v>#REF!</v>
      </c>
    </row>
    <row r="181" spans="1:36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 t="e">
        <f>ESTADISTICA!AJ179</f>
        <v>#REF!</v>
      </c>
    </row>
    <row r="182" spans="1:36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 t="e">
        <f>ESTADISTICA!AJ180</f>
        <v>#REF!</v>
      </c>
    </row>
    <row r="183" spans="1:36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 t="e">
        <f>ESTADISTICA!AJ181</f>
        <v>#REF!</v>
      </c>
    </row>
    <row r="184" spans="1:36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 t="str">
        <f>ESTADISTICA!X183</f>
        <v>APAGADO</v>
      </c>
      <c r="Y185" t="str">
        <f>ESTADISTICA!Y183</f>
        <v>APAGADO</v>
      </c>
      <c r="Z185">
        <f>ESTADISTICA!Z183</f>
        <v>0</v>
      </c>
      <c r="AA185" t="str">
        <f>ESTADISTICA!AA183</f>
        <v>APAGADO</v>
      </c>
      <c r="AB185" t="str">
        <f>ESTADISTICA!AB183</f>
        <v>APAGADO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 t="str">
        <f>ESTADISTICA!Y187</f>
        <v>APAGADO</v>
      </c>
      <c r="Z189" t="str">
        <f>ESTADISTICA!Z187</f>
        <v>APAGADO</v>
      </c>
      <c r="AA189" t="str">
        <f>ESTADISTICA!AA187</f>
        <v>APAGADO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>
        <f>ESTADISTICA!M190</f>
        <v>0</v>
      </c>
      <c r="N192">
        <f>ESTADISTICA!N190</f>
        <v>0</v>
      </c>
      <c r="O192">
        <f>ESTADISTICA!O190</f>
        <v>0</v>
      </c>
      <c r="P192" t="str">
        <f>ESTADISTICA!P190</f>
        <v>APAGADO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>
        <f>ESTADISTICA!R191</f>
        <v>0</v>
      </c>
      <c r="S193">
        <f>ESTADISTICA!S191</f>
        <v>0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 t="str">
        <f>ESTADISTICA!W191</f>
        <v>APAGADO</v>
      </c>
      <c r="X193" t="str">
        <f>ESTADISTICA!X191</f>
        <v>APAGADO</v>
      </c>
      <c r="Y193" t="str">
        <f>ESTADISTICA!Y191</f>
        <v>APAGADO</v>
      </c>
      <c r="Z193" t="str">
        <f>ESTADISTICA!Z191</f>
        <v>APAGADO</v>
      </c>
      <c r="AA193" t="str">
        <f>ESTADISTICA!AA191</f>
        <v>APAGADO</v>
      </c>
      <c r="AB193" t="str">
        <f>ESTADISTICA!AB191</f>
        <v>APAGADO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 t="str">
        <f>ESTADISTICA!Z196</f>
        <v>APAGADO</v>
      </c>
      <c r="AA198" t="str">
        <f>ESTADISTICA!AA196</f>
        <v>APAGADO</v>
      </c>
      <c r="AB198" t="str">
        <f>ESTADISTICA!AB196</f>
        <v>APAGADO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 t="str">
        <f>ESTADISTICA!R197</f>
        <v>APAGADO</v>
      </c>
      <c r="S199" t="str">
        <f>ESTADISTICA!S197</f>
        <v>APAGADO</v>
      </c>
      <c r="T199" t="str">
        <f>ESTADISTICA!T197</f>
        <v>APAGADO</v>
      </c>
      <c r="U199" t="str">
        <f>ESTADISTICA!U197</f>
        <v>APAGADO</v>
      </c>
      <c r="V199" t="str">
        <f>ESTADISTICA!V197</f>
        <v>APAGADO</v>
      </c>
      <c r="W199" t="str">
        <f>ESTADISTICA!W197</f>
        <v>APAGADO</v>
      </c>
      <c r="X199" t="str">
        <f>ESTADISTICA!X197</f>
        <v>APAGADO</v>
      </c>
      <c r="Y199" t="str">
        <f>ESTADISTICA!Y197</f>
        <v>APAGADO</v>
      </c>
      <c r="Z199" t="str">
        <f>ESTADISTICA!Z197</f>
        <v>APAGADO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 t="str">
        <f>ESTADISTICA!J198</f>
        <v>APAGADO</v>
      </c>
      <c r="K200" t="str">
        <f>ESTADISTICA!K198</f>
        <v>APAGADO</v>
      </c>
      <c r="L200" t="str">
        <f>ESTADISTICA!L198</f>
        <v>APAGADO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 t="str">
        <f>ESTADISTICA!F199</f>
        <v>APAGADO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 t="str">
        <f>ESTADISTICA!J199</f>
        <v>APAGADO</v>
      </c>
      <c r="K201" t="str">
        <f>ESTADISTICA!K199</f>
        <v>APAGADO</v>
      </c>
      <c r="L201" t="str">
        <f>ESTADISTICA!L199</f>
        <v>APAGADO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 t="str">
        <f>ESTADISTICA!Q200</f>
        <v>APAGADO</v>
      </c>
      <c r="R202" t="str">
        <f>ESTADISTICA!R200</f>
        <v>APAGADO</v>
      </c>
      <c r="S202" t="str">
        <f>ESTADISTICA!S200</f>
        <v>APAGADO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 t="str">
        <f>ESTADISTICA!AA200</f>
        <v>APAGADO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 t="str">
        <f>ESTADISTICA!AA203</f>
        <v>APAGADO</v>
      </c>
      <c r="AB205" t="str">
        <f>ESTADISTICA!AB203</f>
        <v>APAGADO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 t="str">
        <f>ESTADISTICA!V204</f>
        <v>APAGADO</v>
      </c>
      <c r="W206" t="str">
        <f>ESTADISTICA!W204</f>
        <v>APAGADO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 t="e">
        <f>ESTADISTICA!AJ204</f>
        <v>#REF!</v>
      </c>
    </row>
    <row r="207" spans="1:36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 t="e">
        <f>ESTADISTICA!AJ205</f>
        <v>#REF!</v>
      </c>
    </row>
    <row r="208" spans="1:36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 t="str">
        <f>ESTADISTICA!F206</f>
        <v>APAGADO</v>
      </c>
      <c r="G208">
        <f>ESTADISTICA!G206</f>
        <v>0</v>
      </c>
      <c r="H208">
        <f>ESTADISTICA!H206</f>
        <v>0</v>
      </c>
      <c r="I208" t="str">
        <f>ESTADISTICA!I206</f>
        <v>APAGADO</v>
      </c>
      <c r="J208" t="str">
        <f>ESTADISTICA!J206</f>
        <v>APAGADO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 t="e">
        <f>ESTADISTICA!AJ206</f>
        <v>#REF!</v>
      </c>
    </row>
    <row r="209" spans="1:36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 t="str">
        <f>ESTADISTICA!F207</f>
        <v>APAGADO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 t="e">
        <f>ESTADISTICA!AJ207</f>
        <v>#REF!</v>
      </c>
    </row>
    <row r="210" spans="1:36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 t="e">
        <f>ESTADISTICA!AJ208</f>
        <v>#REF!</v>
      </c>
    </row>
    <row r="211" spans="1:36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 t="e">
        <f>ESTADISTICA!AJ209</f>
        <v>#REF!</v>
      </c>
    </row>
    <row r="212" spans="1:36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 t="str">
        <f>ESTADISTICA!AA210</f>
        <v>APAGADO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 t="e">
        <f>ESTADISTICA!AJ210</f>
        <v>#REF!</v>
      </c>
    </row>
    <row r="213" spans="1:36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 t="e">
        <f>ESTADISTICA!AJ211</f>
        <v>#REF!</v>
      </c>
    </row>
    <row r="214" spans="1:36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 t="e">
        <f>ESTADISTICA!AJ212</f>
        <v>#REF!</v>
      </c>
    </row>
    <row r="215" spans="1:36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 t="e">
        <f>ESTADISTICA!AJ213</f>
        <v>#REF!</v>
      </c>
    </row>
    <row r="216" spans="1:36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 t="e">
        <f>ESTADISTICA!AJ214</f>
        <v>#REF!</v>
      </c>
    </row>
    <row r="217" spans="1:36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 t="e">
        <f>ESTADISTICA!AJ215</f>
        <v>#REF!</v>
      </c>
    </row>
    <row r="218" spans="1:36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 t="e">
        <f>ESTADISTICA!AJ216</f>
        <v>#REF!</v>
      </c>
    </row>
    <row r="219" spans="1:36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 t="e">
        <f>ESTADISTICA!AJ217</f>
        <v>#REF!</v>
      </c>
    </row>
    <row r="220" spans="1:36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 t="e">
        <f>ESTADISTICA!AJ218</f>
        <v>#REF!</v>
      </c>
    </row>
    <row r="221" spans="1:36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 t="e">
        <f>ESTADISTICA!AJ219</f>
        <v>#REF!</v>
      </c>
    </row>
    <row r="222" spans="1:36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 t="e">
        <f>ESTADISTICA!AJ220</f>
        <v>#REF!</v>
      </c>
    </row>
    <row r="223" spans="1:36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 t="e">
        <f>ESTADISTICA!AJ221</f>
        <v>#REF!</v>
      </c>
    </row>
    <row r="224" spans="1:36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 t="e">
        <f>ESTADISTICA!AJ222</f>
        <v>#REF!</v>
      </c>
    </row>
    <row r="225" spans="1:36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 t="str">
        <f>ESTADISTICA!P223</f>
        <v>APAGADO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 t="e">
        <f>ESTADISTICA!AJ223</f>
        <v>#REF!</v>
      </c>
    </row>
    <row r="226" spans="1:36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 t="str">
        <f>ESTADISTICA!X224</f>
        <v>APAGADO</v>
      </c>
      <c r="Y226" t="str">
        <f>ESTADISTICA!Y224</f>
        <v>APAGADO</v>
      </c>
      <c r="Z226" t="str">
        <f>ESTADISTICA!Z224</f>
        <v>APAGADO</v>
      </c>
      <c r="AA226" t="str">
        <f>ESTADISTICA!AA224</f>
        <v>APAGADO</v>
      </c>
      <c r="AB226" t="str">
        <f>ESTADISTICA!AB224</f>
        <v>APAGADO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 t="e">
        <f>ESTADISTICA!AJ224</f>
        <v>#REF!</v>
      </c>
    </row>
    <row r="227" spans="1:36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 t="e">
        <f>ESTADISTICA!AJ225</f>
        <v>#REF!</v>
      </c>
    </row>
    <row r="228" spans="1:36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 t="str">
        <f>ESTADISTICA!P226</f>
        <v>APAGADO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 t="e">
        <f>ESTADISTICA!AJ226</f>
        <v>#REF!</v>
      </c>
    </row>
    <row r="229" spans="1:36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 t="str">
        <f>ESTADISTICA!S227</f>
        <v>APAGADO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 t="e">
        <f>ESTADISTICA!AJ227</f>
        <v>#REF!</v>
      </c>
    </row>
    <row r="230" spans="1:36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 t="e">
        <f>ESTADISTICA!AJ228</f>
        <v>#REF!</v>
      </c>
    </row>
    <row r="231" spans="1:36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 t="e">
        <f>ESTADISTICA!AJ229</f>
        <v>#REF!</v>
      </c>
    </row>
    <row r="232" spans="1:36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 t="str">
        <f>ESTADISTICA!Z230</f>
        <v>APAGADO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 t="e">
        <f>ESTADISTICA!AJ230</f>
        <v>#REF!</v>
      </c>
    </row>
    <row r="233" spans="1:36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 t="e">
        <f>ESTADISTICA!AJ231</f>
        <v>#REF!</v>
      </c>
    </row>
    <row r="234" spans="1:36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 t="e">
        <f>ESTADISTICA!AJ232</f>
        <v>#REF!</v>
      </c>
    </row>
    <row r="235" spans="1:36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 t="e">
        <f>ESTADISTICA!AJ233</f>
        <v>#REF!</v>
      </c>
    </row>
    <row r="236" spans="1:36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 t="e">
        <f>ESTADISTICA!AJ234</f>
        <v>#REF!</v>
      </c>
    </row>
    <row r="237" spans="1:36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 t="e">
        <f>ESTADISTICA!AJ235</f>
        <v>#REF!</v>
      </c>
    </row>
    <row r="238" spans="1:36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 t="e">
        <f>ESTADISTICA!AJ236</f>
        <v>#REF!</v>
      </c>
    </row>
    <row r="239" spans="1:36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 t="e">
        <f>ESTADISTICA!AJ237</f>
        <v>#REF!</v>
      </c>
    </row>
    <row r="240" spans="1:36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 t="str">
        <f>ESTADISTICA!P238</f>
        <v>APAGADO</v>
      </c>
      <c r="Q240">
        <f>ESTADISTICA!Q238</f>
        <v>0</v>
      </c>
      <c r="R240">
        <f>ESTADISTICA!R238</f>
        <v>0</v>
      </c>
      <c r="S240">
        <f>ESTADISTICA!S238</f>
        <v>0</v>
      </c>
      <c r="T240" t="str">
        <f>ESTADISTICA!T238</f>
        <v>APAGADO</v>
      </c>
      <c r="U240" t="str">
        <f>ESTADISTICA!U238</f>
        <v>APAGADO</v>
      </c>
      <c r="V240" t="str">
        <f>ESTADISTICA!V238</f>
        <v>APAGADO</v>
      </c>
      <c r="W240" t="str">
        <f>ESTADISTICA!W238</f>
        <v>APAGADO</v>
      </c>
      <c r="X240" t="str">
        <f>ESTADISTICA!X238</f>
        <v>APAGADO</v>
      </c>
      <c r="Y240" t="str">
        <f>ESTADISTICA!Y238</f>
        <v>APAGADO</v>
      </c>
      <c r="Z240" t="str">
        <f>ESTADISTICA!Z238</f>
        <v>APAGADO</v>
      </c>
      <c r="AA240" t="str">
        <f>ESTADISTICA!AA238</f>
        <v>APAGADO</v>
      </c>
      <c r="AB240" t="str">
        <f>ESTADISTICA!AB238</f>
        <v>APAGADO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 t="e">
        <f>ESTADISTICA!AJ238</f>
        <v>#REF!</v>
      </c>
    </row>
    <row r="241" spans="1:36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 t="str">
        <f>ESTADISTICA!T239</f>
        <v>APAGADO</v>
      </c>
      <c r="U241" t="str">
        <f>ESTADISTICA!U239</f>
        <v>APAGADO</v>
      </c>
      <c r="V241" t="str">
        <f>ESTADISTICA!V239</f>
        <v>APAGADO</v>
      </c>
      <c r="W241" t="str">
        <f>ESTADISTICA!W239</f>
        <v>APAGADO</v>
      </c>
      <c r="X241" t="str">
        <f>ESTADISTICA!X239</f>
        <v>APAGADO</v>
      </c>
      <c r="Y241" t="str">
        <f>ESTADISTICA!Y239</f>
        <v>APAGADO</v>
      </c>
      <c r="Z241" t="str">
        <f>ESTADISTICA!Z239</f>
        <v>APAGADO</v>
      </c>
      <c r="AA241" t="str">
        <f>ESTADISTICA!AA239</f>
        <v>APAGADO</v>
      </c>
      <c r="AB241" t="str">
        <f>ESTADISTICA!AB239</f>
        <v>APAGADO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 t="e">
        <f>ESTADISTICA!AJ239</f>
        <v>#REF!</v>
      </c>
    </row>
    <row r="242" spans="1:36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 t="str">
        <f>ESTADISTICA!T240</f>
        <v>APAGADO</v>
      </c>
      <c r="U242" t="str">
        <f>ESTADISTICA!U240</f>
        <v>APAGADO</v>
      </c>
      <c r="V242" t="str">
        <f>ESTADISTICA!V240</f>
        <v>APAGADO</v>
      </c>
      <c r="W242" t="str">
        <f>ESTADISTICA!W240</f>
        <v>APAGADO</v>
      </c>
      <c r="X242" t="str">
        <f>ESTADISTICA!X240</f>
        <v>APAGADO</v>
      </c>
      <c r="Y242" t="str">
        <f>ESTADISTICA!Y240</f>
        <v>APAGADO</v>
      </c>
      <c r="Z242" t="str">
        <f>ESTADISTICA!Z240</f>
        <v>APAGADO</v>
      </c>
      <c r="AA242" t="str">
        <f>ESTADISTICA!AA240</f>
        <v>APAGADO</v>
      </c>
      <c r="AB242" t="str">
        <f>ESTADISTICA!AB240</f>
        <v>APAGADO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 t="e">
        <f>ESTADISTICA!AJ240</f>
        <v>#REF!</v>
      </c>
    </row>
    <row r="243" spans="1:36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>
        <f>ESTADISTICA!S241</f>
        <v>0</v>
      </c>
      <c r="T243" t="str">
        <f>ESTADISTICA!T241</f>
        <v>APAGADO</v>
      </c>
      <c r="U243" t="str">
        <f>ESTADISTICA!U241</f>
        <v>APAGADO</v>
      </c>
      <c r="V243" t="str">
        <f>ESTADISTICA!V241</f>
        <v>APAGADO</v>
      </c>
      <c r="W243" t="str">
        <f>ESTADISTICA!W241</f>
        <v>APAGADO</v>
      </c>
      <c r="X243" t="str">
        <f>ESTADISTICA!X241</f>
        <v>APAGADO</v>
      </c>
      <c r="Y243" t="str">
        <f>ESTADISTICA!Y241</f>
        <v>APAGADO</v>
      </c>
      <c r="Z243" t="str">
        <f>ESTADISTICA!Z241</f>
        <v>APAGADO</v>
      </c>
      <c r="AA243" t="str">
        <f>ESTADISTICA!AA241</f>
        <v>APAGADO</v>
      </c>
      <c r="AB243" t="str">
        <f>ESTADISTICA!AB241</f>
        <v>APAGADO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 t="e">
        <f>ESTADISTICA!AJ241</f>
        <v>#REF!</v>
      </c>
    </row>
    <row r="244" spans="1:36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 t="e">
        <f>ESTADISTICA!AJ242</f>
        <v>#REF!</v>
      </c>
    </row>
    <row r="245" spans="1:36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>
        <f>ESTADISTICA!Q243</f>
        <v>0</v>
      </c>
      <c r="R245">
        <f>ESTADISTICA!R243</f>
        <v>0</v>
      </c>
      <c r="S245">
        <f>ESTADISTICA!S243</f>
        <v>0</v>
      </c>
      <c r="T245" t="str">
        <f>ESTADISTICA!T243</f>
        <v>APAGADO</v>
      </c>
      <c r="U245" t="str">
        <f>ESTADISTICA!U243</f>
        <v>APAGADO</v>
      </c>
      <c r="V245" t="str">
        <f>ESTADISTICA!V243</f>
        <v>APAGADO</v>
      </c>
      <c r="W245" t="str">
        <f>ESTADISTICA!W243</f>
        <v>APAGADO</v>
      </c>
      <c r="X245" t="str">
        <f>ESTADISTICA!X243</f>
        <v>APAGADO</v>
      </c>
      <c r="Y245" t="str">
        <f>ESTADISTICA!Y243</f>
        <v>APAGADO</v>
      </c>
      <c r="Z245" t="str">
        <f>ESTADISTICA!Z243</f>
        <v>APAGADO</v>
      </c>
      <c r="AA245" t="str">
        <f>ESTADISTICA!AA243</f>
        <v>APAGADO</v>
      </c>
      <c r="AB245" t="str">
        <f>ESTADISTICA!AB243</f>
        <v>APAGADO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 t="e">
        <f>ESTADISTICA!AJ243</f>
        <v>#REF!</v>
      </c>
    </row>
    <row r="246" spans="1:36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 t="str">
        <f>ESTADISTICA!V244</f>
        <v>APAGADO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 t="e">
        <f>ESTADISTICA!AJ244</f>
        <v>#REF!</v>
      </c>
    </row>
    <row r="247" spans="1:36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 t="e">
        <f>ESTADISTICA!AJ245</f>
        <v>#REF!</v>
      </c>
    </row>
    <row r="248" spans="1:36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 t="e">
        <f>ESTADISTICA!AJ246</f>
        <v>#REF!</v>
      </c>
    </row>
    <row r="249" spans="1:36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 t="e">
        <f>ESTADISTICA!AJ247</f>
        <v>#REF!</v>
      </c>
    </row>
    <row r="250" spans="1:36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 t="e">
        <f>ESTADISTICA!AJ248</f>
        <v>#REF!</v>
      </c>
    </row>
    <row r="251" spans="1:36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 t="e">
        <f>ESTADISTICA!AJ249</f>
        <v>#REF!</v>
      </c>
    </row>
    <row r="252" spans="1:36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 t="e">
        <f>ESTADISTICA!AJ250</f>
        <v>#REF!</v>
      </c>
    </row>
    <row r="253" spans="1:36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 t="e">
        <f>ESTADISTICA!AJ251</f>
        <v>#REF!</v>
      </c>
    </row>
    <row r="254" spans="1:36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 t="e">
        <f>ESTADISTICA!AJ252</f>
        <v>#REF!</v>
      </c>
    </row>
    <row r="255" spans="1:36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 t="e">
        <f>ESTADISTICA!AJ253</f>
        <v>#REF!</v>
      </c>
    </row>
    <row r="256" spans="1:36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 t="e">
        <f>ESTADISTICA!AJ254</f>
        <v>#REF!</v>
      </c>
    </row>
    <row r="257" spans="1:36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 t="e">
        <f>ESTADISTICA!AJ255</f>
        <v>#REF!</v>
      </c>
    </row>
    <row r="258" spans="1:36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 t="e">
        <f>ESTADISTICA!AJ256</f>
        <v>#REF!</v>
      </c>
    </row>
    <row r="259" spans="1:36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 t="e">
        <f>ESTADISTICA!AJ257</f>
        <v>#REF!</v>
      </c>
    </row>
    <row r="260" spans="1:36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 t="str">
        <f>ESTADISTICA!T258</f>
        <v>APAGADO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 t="e">
        <f>ESTADISTICA!AJ258</f>
        <v>#REF!</v>
      </c>
    </row>
    <row r="261" spans="1:36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 t="str">
        <f>ESTADISTICA!P259</f>
        <v>APAGADO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 t="e">
        <f>ESTADISTICA!AJ259</f>
        <v>#REF!</v>
      </c>
    </row>
    <row r="262" spans="1:36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 t="e">
        <f>ESTADISTICA!AJ260</f>
        <v>#REF!</v>
      </c>
    </row>
    <row r="263" spans="1:36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 t="e">
        <f>ESTADISTICA!AJ261</f>
        <v>#REF!</v>
      </c>
    </row>
    <row r="264" spans="1:36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 t="e">
        <f>ESTADISTICA!AJ262</f>
        <v>#REF!</v>
      </c>
    </row>
    <row r="265" spans="1:36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 t="e">
        <f>ESTADISTICA!AJ263</f>
        <v>#REF!</v>
      </c>
    </row>
    <row r="266" spans="1:36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 t="e">
        <f>ESTADISTICA!AJ264</f>
        <v>#REF!</v>
      </c>
    </row>
    <row r="267" spans="1:36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 t="e">
        <f>ESTADISTICA!AJ265</f>
        <v>#REF!</v>
      </c>
    </row>
    <row r="268" spans="1:36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 t="e">
        <f>ESTADISTICA!AJ266</f>
        <v>#REF!</v>
      </c>
    </row>
    <row r="269" spans="1:36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 t="str">
        <f>ESTADISTICA!X267</f>
        <v>APAGADO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 t="e">
        <f>ESTADISTICA!AJ267</f>
        <v>#REF!</v>
      </c>
    </row>
    <row r="270" spans="1:36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 t="e">
        <f>ESTADISTICA!AJ268</f>
        <v>#REF!</v>
      </c>
    </row>
    <row r="271" spans="1:36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 t="str">
        <f>ESTADISTICA!F269</f>
        <v>APAGADO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 t="str">
        <f>ESTADISTICA!O269</f>
        <v>APAGADO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 t="e">
        <f>ESTADISTICA!AJ269</f>
        <v>#REF!</v>
      </c>
    </row>
    <row r="272" spans="1:36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 t="e">
        <f>ESTADISTICA!AJ270</f>
        <v>#REF!</v>
      </c>
    </row>
    <row r="273" spans="1:36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 t="e">
        <f>ESTADISTICA!AJ271</f>
        <v>#REF!</v>
      </c>
    </row>
    <row r="274" spans="1:36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 t="e">
        <f>ESTADISTICA!AJ272</f>
        <v>#REF!</v>
      </c>
    </row>
    <row r="275" spans="1:36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 t="e">
        <f>ESTADISTICA!AJ273</f>
        <v>#REF!</v>
      </c>
    </row>
    <row r="276" spans="1:36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 t="e">
        <f>ESTADISTICA!AJ274</f>
        <v>#REF!</v>
      </c>
    </row>
    <row r="277" spans="1:36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 t="e">
        <f>ESTADISTICA!AJ275</f>
        <v>#REF!</v>
      </c>
    </row>
    <row r="278" spans="1:36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 t="e">
        <f>ESTADISTICA!AJ276</f>
        <v>#REF!</v>
      </c>
    </row>
    <row r="279" spans="1:36" hidden="1" x14ac:dyDescent="0.25">
      <c r="A279" t="s">
        <v>939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 t="e">
        <f>ESTADISTICA!AJ277</f>
        <v>#REF!</v>
      </c>
    </row>
    <row r="280" spans="1:36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 t="str">
        <f>ESTADISTICA!L278</f>
        <v>APAGADO</v>
      </c>
      <c r="M280">
        <f>ESTADISTICA!M278</f>
        <v>0</v>
      </c>
      <c r="N280" t="str">
        <f>ESTADISTICA!N278</f>
        <v>APAGADO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 t="e">
        <f>ESTADISTICA!AJ278</f>
        <v>#REF!</v>
      </c>
    </row>
    <row r="281" spans="1:36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>
        <f>ESTADISTICA!M279</f>
        <v>0</v>
      </c>
      <c r="N281" t="str">
        <f>ESTADISTICA!N279</f>
        <v>APAGADO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 t="e">
        <f>ESTADISTICA!AJ279</f>
        <v>#REF!</v>
      </c>
    </row>
    <row r="282" spans="1:36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>
        <f>ESTADISTICA!G280</f>
        <v>0</v>
      </c>
      <c r="H282">
        <f>ESTADISTICA!H280</f>
        <v>0</v>
      </c>
      <c r="I282">
        <f>ESTADISTICA!I280</f>
        <v>0</v>
      </c>
      <c r="J282" t="str">
        <f>ESTADISTICA!J280</f>
        <v>APAGADO</v>
      </c>
      <c r="K282" t="str">
        <f>ESTADISTICA!K280</f>
        <v>APAGADO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>
        <f>ESTADISTICA!O280</f>
        <v>0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 t="e">
        <f>ESTADISTICA!AJ280</f>
        <v>#REF!</v>
      </c>
    </row>
    <row r="283" spans="1:36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 t="str">
        <f>ESTADISTICA!L281</f>
        <v>APAGADO</v>
      </c>
      <c r="M283" t="str">
        <f>ESTADISTICA!M281</f>
        <v>APAGADO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 t="e">
        <f>ESTADISTICA!AJ281</f>
        <v>#REF!</v>
      </c>
    </row>
    <row r="284" spans="1:36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 t="str">
        <f>ESTADISTICA!L282</f>
        <v>APAGADO</v>
      </c>
      <c r="M284" t="str">
        <f>ESTADISTICA!M282</f>
        <v>APAGADO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 t="e">
        <f>ESTADISTICA!AJ282</f>
        <v>#REF!</v>
      </c>
    </row>
    <row r="285" spans="1:36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 t="e">
        <f>ESTADISTICA!AJ283</f>
        <v>#REF!</v>
      </c>
    </row>
    <row r="286" spans="1:36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 t="e">
        <f>ESTADISTICA!AJ284</f>
        <v>#REF!</v>
      </c>
    </row>
    <row r="287" spans="1:36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 t="str">
        <f>ESTADISTICA!T285</f>
        <v>APAGADO</v>
      </c>
      <c r="U287">
        <f>ESTADISTICA!U285</f>
        <v>0</v>
      </c>
      <c r="V287" t="str">
        <f>ESTADISTICA!V285</f>
        <v>APAGADO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 t="e">
        <f>ESTADISTICA!AJ285</f>
        <v>#REF!</v>
      </c>
    </row>
    <row r="288" spans="1:36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 t="str">
        <f>ESTADISTICA!Y286</f>
        <v>APAGADO</v>
      </c>
      <c r="Z288" t="str">
        <f>ESTADISTICA!Z286</f>
        <v>APAGADO</v>
      </c>
      <c r="AA288" t="str">
        <f>ESTADISTICA!AA286</f>
        <v>APAGADO</v>
      </c>
      <c r="AB288" t="str">
        <f>ESTADISTICA!AB286</f>
        <v>APAGADO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 t="e">
        <f>ESTADISTICA!AJ286</f>
        <v>#REF!</v>
      </c>
    </row>
    <row r="289" spans="1:36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 t="e">
        <f>ESTADISTICA!AJ287</f>
        <v>#REF!</v>
      </c>
    </row>
    <row r="290" spans="1:36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 t="str">
        <f>ESTADISTICA!F288</f>
        <v>APAGADO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 t="str">
        <f>ESTADISTICA!J288</f>
        <v>APAGADO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 t="e">
        <f>ESTADISTICA!AJ288</f>
        <v>#REF!</v>
      </c>
    </row>
    <row r="291" spans="1:36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 t="str">
        <f>ESTADISTICA!F289</f>
        <v>APAGADO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 t="e">
        <f>ESTADISTICA!AJ289</f>
        <v>#REF!</v>
      </c>
    </row>
    <row r="292" spans="1:36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 t="str">
        <f>ESTADISTICA!F290</f>
        <v>APAGADO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 t="e">
        <f>ESTADISTICA!AJ290</f>
        <v>#REF!</v>
      </c>
    </row>
    <row r="293" spans="1:36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 t="str">
        <f>ESTADISTICA!F291</f>
        <v>APAGADO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 t="e">
        <f>ESTADISTICA!AJ291</f>
        <v>#REF!</v>
      </c>
    </row>
    <row r="294" spans="1:36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 t="str">
        <f>ESTADISTICA!F292</f>
        <v>APAGADO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 t="e">
        <f>ESTADISTICA!AJ292</f>
        <v>#REF!</v>
      </c>
    </row>
    <row r="295" spans="1:36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 t="str">
        <f>ESTADISTICA!F293</f>
        <v>APAGADO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 t="str">
        <f>ESTADISTICA!L293</f>
        <v>APAGADO</v>
      </c>
      <c r="M295" t="str">
        <f>ESTADISTICA!M293</f>
        <v>APAGADO</v>
      </c>
      <c r="N295" t="str">
        <f>ESTADISTICA!N293</f>
        <v>APAGADO</v>
      </c>
      <c r="O295" t="str">
        <f>ESTADISTICA!O293</f>
        <v>APAGADO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 t="str">
        <f>ESTADISTICA!X293</f>
        <v>APAGADO</v>
      </c>
      <c r="Y295" t="str">
        <f>ESTADISTICA!Y293</f>
        <v>APAGADO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 t="e">
        <f>ESTADISTICA!AJ293</f>
        <v>#REF!</v>
      </c>
    </row>
    <row r="296" spans="1:36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 t="str">
        <f>ESTADISTICA!F294</f>
        <v>APAGADO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 t="e">
        <f>ESTADISTICA!AJ294</f>
        <v>#REF!</v>
      </c>
    </row>
    <row r="297" spans="1:36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 t="e">
        <f>ESTADISTICA!AJ295</f>
        <v>#REF!</v>
      </c>
    </row>
    <row r="298" spans="1:36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 t="e">
        <f>ESTADISTICA!AJ296</f>
        <v>#REF!</v>
      </c>
    </row>
    <row r="299" spans="1:36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 t="e">
        <f>ESTADISTICA!AJ297</f>
        <v>#REF!</v>
      </c>
    </row>
    <row r="300" spans="1:36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 t="e">
        <f>ESTADISTICA!AJ298</f>
        <v>#REF!</v>
      </c>
    </row>
    <row r="301" spans="1:36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 t="e">
        <f>ESTADISTICA!AJ299</f>
        <v>#REF!</v>
      </c>
    </row>
    <row r="302" spans="1:36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 t="str">
        <f>ESTADISTICA!U300</f>
        <v>APAGADO</v>
      </c>
      <c r="V302" t="str">
        <f>ESTADISTICA!V300</f>
        <v>APAGADO</v>
      </c>
      <c r="W302" t="str">
        <f>ESTADISTICA!W300</f>
        <v>APAGADO</v>
      </c>
      <c r="X302" t="str">
        <f>ESTADISTICA!X300</f>
        <v>APAGADO</v>
      </c>
      <c r="Y302" t="str">
        <f>ESTADISTICA!Y300</f>
        <v>APAGADO</v>
      </c>
      <c r="Z302" t="str">
        <f>ESTADISTICA!Z300</f>
        <v>APAGADO</v>
      </c>
      <c r="AA302" t="str">
        <f>ESTADISTICA!AA300</f>
        <v>APAGADO</v>
      </c>
      <c r="AB302" t="str">
        <f>ESTADISTICA!AB300</f>
        <v>APAGADO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 t="e">
        <f>ESTADISTICA!AJ300</f>
        <v>#REF!</v>
      </c>
    </row>
    <row r="303" spans="1:36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 t="e">
        <f>ESTADISTICA!AJ301</f>
        <v>#REF!</v>
      </c>
    </row>
    <row r="304" spans="1:36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 t="e">
        <f>ESTADISTICA!AJ302</f>
        <v>#REF!</v>
      </c>
    </row>
    <row r="305" spans="1:36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 t="e">
        <f>ESTADISTICA!AJ303</f>
        <v>#REF!</v>
      </c>
    </row>
    <row r="306" spans="1:36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 t="e">
        <f>ESTADISTICA!AJ304</f>
        <v>#REF!</v>
      </c>
    </row>
    <row r="307" spans="1:36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 t="e">
        <f>ESTADISTICA!AJ305</f>
        <v>#REF!</v>
      </c>
    </row>
    <row r="308" spans="1:36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 t="str">
        <f>ESTADISTICA!L306</f>
        <v>APAGADO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 t="str">
        <f>ESTADISTICA!X306</f>
        <v>APAGADO</v>
      </c>
      <c r="Y308" t="str">
        <f>ESTADISTICA!Y306</f>
        <v>APAGADO</v>
      </c>
      <c r="Z308" t="str">
        <f>ESTADISTICA!Z306</f>
        <v>APAGADO</v>
      </c>
      <c r="AA308" t="str">
        <f>ESTADISTICA!AA306</f>
        <v>APAGADO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 t="e">
        <f>ESTADISTICA!AJ306</f>
        <v>#REF!</v>
      </c>
    </row>
    <row r="309" spans="1:36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 t="str">
        <f>ESTADISTICA!X307</f>
        <v>APAGADO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 t="e">
        <f>ESTADISTICA!AJ307</f>
        <v>#REF!</v>
      </c>
    </row>
    <row r="310" spans="1:36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 t="e">
        <f>ESTADISTICA!AJ308</f>
        <v>#REF!</v>
      </c>
    </row>
    <row r="311" spans="1:36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 t="e">
        <f>ESTADISTICA!AJ309</f>
        <v>#REF!</v>
      </c>
    </row>
    <row r="312" spans="1:36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 t="e">
        <f>ESTADISTICA!AJ310</f>
        <v>#REF!</v>
      </c>
    </row>
    <row r="313" spans="1:36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 t="e">
        <f>ESTADISTICA!AJ311</f>
        <v>#REF!</v>
      </c>
    </row>
    <row r="314" spans="1:36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 t="e">
        <f>ESTADISTICA!AJ312</f>
        <v>#REF!</v>
      </c>
    </row>
    <row r="315" spans="1:36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 t="e">
        <f>ESTADISTICA!AJ313</f>
        <v>#REF!</v>
      </c>
    </row>
    <row r="316" spans="1:36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 t="e">
        <f>ESTADISTICA!AJ314</f>
        <v>#REF!</v>
      </c>
    </row>
    <row r="317" spans="1:36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 t="e">
        <f>ESTADISTICA!AJ315</f>
        <v>#REF!</v>
      </c>
    </row>
    <row r="318" spans="1:36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 t="e">
        <f>ESTADISTICA!AJ316</f>
        <v>#REF!</v>
      </c>
    </row>
    <row r="319" spans="1:36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 t="e">
        <f>ESTADISTICA!AJ317</f>
        <v>#REF!</v>
      </c>
    </row>
    <row r="320" spans="1:36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 t="str">
        <f>ESTADISTICA!P318</f>
        <v>APAGADO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 t="e">
        <f>ESTADISTICA!AJ318</f>
        <v>#REF!</v>
      </c>
    </row>
    <row r="321" spans="1:36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 t="e">
        <f>ESTADISTICA!AJ319</f>
        <v>#REF!</v>
      </c>
    </row>
    <row r="322" spans="1:36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 t="e">
        <f>ESTADISTICA!AJ320</f>
        <v>#REF!</v>
      </c>
    </row>
    <row r="323" spans="1:36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 t="str">
        <f>ESTADISTICA!P321</f>
        <v>APAGADO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 t="e">
        <f>ESTADISTICA!AJ321</f>
        <v>#REF!</v>
      </c>
    </row>
    <row r="324" spans="1:36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 t="str">
        <f>ESTADISTICA!X322</f>
        <v>APAGADO</v>
      </c>
      <c r="Y324" t="str">
        <f>ESTADISTICA!Y322</f>
        <v>APAGADO</v>
      </c>
      <c r="Z324" t="str">
        <f>ESTADISTICA!Z322</f>
        <v>APAGADO</v>
      </c>
      <c r="AA324">
        <f>ESTADISTICA!AA322</f>
        <v>0</v>
      </c>
      <c r="AB324" t="str">
        <f>ESTADISTICA!AB322</f>
        <v>APAGADO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 t="e">
        <f>ESTADISTICA!AJ322</f>
        <v>#REF!</v>
      </c>
    </row>
    <row r="325" spans="1:36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 t="e">
        <f>ESTADISTICA!AJ323</f>
        <v>#REF!</v>
      </c>
    </row>
    <row r="326" spans="1:36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 t="str">
        <f>ESTADISTICA!X324</f>
        <v>APAGADO</v>
      </c>
      <c r="Y326" t="str">
        <f>ESTADISTICA!Y324</f>
        <v>APAGADO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 t="e">
        <f>ESTADISTICA!AJ324</f>
        <v>#REF!</v>
      </c>
    </row>
    <row r="327" spans="1:36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 t="e">
        <f>ESTADISTICA!AJ325</f>
        <v>#REF!</v>
      </c>
    </row>
    <row r="328" spans="1:36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 t="e">
        <f>ESTADISTICA!AJ326</f>
        <v>#REF!</v>
      </c>
    </row>
    <row r="329" spans="1:36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 t="e">
        <f>ESTADISTICA!AJ327</f>
        <v>#REF!</v>
      </c>
    </row>
    <row r="330" spans="1:36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 t="e">
        <f>ESTADISTICA!AJ328</f>
        <v>#REF!</v>
      </c>
    </row>
    <row r="331" spans="1:36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 t="e">
        <f>ESTADISTICA!AJ329</f>
        <v>#REF!</v>
      </c>
    </row>
    <row r="332" spans="1:36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 t="e">
        <f>ESTADISTICA!AJ330</f>
        <v>#REF!</v>
      </c>
    </row>
    <row r="333" spans="1:36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 t="str">
        <f>ESTADISTICA!X331</f>
        <v>APAGADO</v>
      </c>
      <c r="Y333" t="str">
        <f>ESTADISTICA!Y331</f>
        <v>APAGADO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 t="e">
        <f>ESTADISTICA!AJ331</f>
        <v>#REF!</v>
      </c>
    </row>
    <row r="334" spans="1:36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 t="e">
        <f>ESTADISTICA!AJ332</f>
        <v>#REF!</v>
      </c>
    </row>
    <row r="335" spans="1:36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 t="e">
        <f>ESTADISTICA!AJ333</f>
        <v>#REF!</v>
      </c>
    </row>
    <row r="336" spans="1:36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 t="e">
        <f>ESTADISTICA!AJ334</f>
        <v>#REF!</v>
      </c>
    </row>
    <row r="337" spans="1:36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 t="e">
        <f>ESTADISTICA!AJ335</f>
        <v>#REF!</v>
      </c>
    </row>
    <row r="338" spans="1:36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 t="e">
        <f>ESTADISTICA!AJ336</f>
        <v>#REF!</v>
      </c>
    </row>
    <row r="339" spans="1:36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 t="e">
        <f>ESTADISTICA!AJ337</f>
        <v>#REF!</v>
      </c>
    </row>
    <row r="340" spans="1:36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 t="e">
        <f>ESTADISTICA!AJ338</f>
        <v>#REF!</v>
      </c>
    </row>
    <row r="341" spans="1:36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 t="e">
        <f>ESTADISTICA!AJ339</f>
        <v>#REF!</v>
      </c>
    </row>
    <row r="342" spans="1:36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 t="str">
        <f>ESTADISTICA!X340</f>
        <v>APAGADO</v>
      </c>
      <c r="Y342" t="str">
        <f>ESTADISTICA!Y340</f>
        <v>APAGADO</v>
      </c>
      <c r="Z342" t="str">
        <f>ESTADISTICA!Z340</f>
        <v>APAGADO</v>
      </c>
      <c r="AA342" t="str">
        <f>ESTADISTICA!AA340</f>
        <v>APAGADO</v>
      </c>
      <c r="AB342" t="str">
        <f>ESTADISTICA!AB340</f>
        <v>APAGADO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 t="e">
        <f>ESTADISTICA!AJ340</f>
        <v>#REF!</v>
      </c>
    </row>
    <row r="343" spans="1:36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 t="e">
        <f>ESTADISTICA!AJ341</f>
        <v>#REF!</v>
      </c>
    </row>
    <row r="344" spans="1:36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 t="e">
        <f>ESTADISTICA!AJ342</f>
        <v>#REF!</v>
      </c>
    </row>
    <row r="345" spans="1:36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 t="e">
        <f>ESTADISTICA!AJ343</f>
        <v>#REF!</v>
      </c>
    </row>
    <row r="346" spans="1:36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 t="e">
        <f>ESTADISTICA!AJ344</f>
        <v>#REF!</v>
      </c>
    </row>
    <row r="347" spans="1:36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 t="e">
        <f>ESTADISTICA!AJ345</f>
        <v>#REF!</v>
      </c>
    </row>
    <row r="348" spans="1:36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 t="e">
        <f>ESTADISTICA!AJ346</f>
        <v>#REF!</v>
      </c>
    </row>
    <row r="349" spans="1:36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 t="e">
        <f>ESTADISTICA!AJ347</f>
        <v>#REF!</v>
      </c>
    </row>
    <row r="350" spans="1:36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 t="e">
        <f>ESTADISTICA!AJ348</f>
        <v>#REF!</v>
      </c>
    </row>
    <row r="351" spans="1:36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 t="str">
        <f>ESTADISTICA!Z349</f>
        <v>APAGADO</v>
      </c>
      <c r="AA351" t="str">
        <f>ESTADISTICA!AA349</f>
        <v>APAGADO</v>
      </c>
      <c r="AB351" t="str">
        <f>ESTADISTICA!AB349</f>
        <v>APAGADO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 t="e">
        <f>ESTADISTICA!AJ349</f>
        <v>#REF!</v>
      </c>
    </row>
    <row r="352" spans="1:36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 t="e">
        <f>ESTADISTICA!AJ350</f>
        <v>#REF!</v>
      </c>
    </row>
    <row r="353" spans="1:36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 t="e">
        <f>ESTADISTICA!AJ351</f>
        <v>#REF!</v>
      </c>
    </row>
    <row r="354" spans="1:36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 t="str">
        <f>ESTADISTICA!N352</f>
        <v>APAGADO</v>
      </c>
      <c r="O354" t="str">
        <f>ESTADISTICA!O352</f>
        <v>APAGADO</v>
      </c>
      <c r="P354">
        <f>ESTADISTICA!P352</f>
        <v>0</v>
      </c>
      <c r="Q354">
        <f>ESTADISTICA!Q352</f>
        <v>0</v>
      </c>
      <c r="R354">
        <f>ESTADISTICA!R352</f>
        <v>0</v>
      </c>
      <c r="S354" t="str">
        <f>ESTADISTICA!S352</f>
        <v>APAGADO</v>
      </c>
      <c r="T354" t="str">
        <f>ESTADISTICA!T352</f>
        <v>APAGADO</v>
      </c>
      <c r="U354" t="str">
        <f>ESTADISTICA!U352</f>
        <v>APAGADO</v>
      </c>
      <c r="V354" t="str">
        <f>ESTADISTICA!V352</f>
        <v>APAGADO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 t="e">
        <f>ESTADISTICA!AJ352</f>
        <v>#REF!</v>
      </c>
    </row>
    <row r="355" spans="1:36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 t="e">
        <f>ESTADISTICA!AJ353</f>
        <v>#REF!</v>
      </c>
    </row>
    <row r="356" spans="1:36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 t="e">
        <f>ESTADISTICA!AJ354</f>
        <v>#REF!</v>
      </c>
    </row>
    <row r="357" spans="1:36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 t="str">
        <f>ESTADISTICA!F355</f>
        <v>APAGADO</v>
      </c>
      <c r="G357">
        <f>ESTADISTICA!G355</f>
        <v>0</v>
      </c>
      <c r="H357">
        <f>ESTADISTICA!H355</f>
        <v>0</v>
      </c>
      <c r="I357" t="str">
        <f>ESTADISTICA!I355</f>
        <v>APAGADO</v>
      </c>
      <c r="J357" t="str">
        <f>ESTADISTICA!J355</f>
        <v>APAGADO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 t="e">
        <f>ESTADISTICA!AJ355</f>
        <v>#REF!</v>
      </c>
    </row>
    <row r="358" spans="1:36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 t="e">
        <f>ESTADISTICA!AJ356</f>
        <v>#REF!</v>
      </c>
    </row>
    <row r="359" spans="1:36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 t="e">
        <f>ESTADISTICA!AJ357</f>
        <v>#REF!</v>
      </c>
    </row>
    <row r="360" spans="1:36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 t="e">
        <f>ESTADISTICA!AJ358</f>
        <v>#REF!</v>
      </c>
    </row>
    <row r="361" spans="1:36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 t="e">
        <f>ESTADISTICA!AJ359</f>
        <v>#REF!</v>
      </c>
    </row>
    <row r="362" spans="1:36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 t="str">
        <f>ESTADISTICA!X360</f>
        <v>APAGADO</v>
      </c>
      <c r="Y362" t="str">
        <f>ESTADISTICA!Y360</f>
        <v>APAGADO</v>
      </c>
      <c r="Z362" t="str">
        <f>ESTADISTICA!Z360</f>
        <v>APAGADO</v>
      </c>
      <c r="AA362" t="str">
        <f>ESTADISTICA!AA360</f>
        <v>APAGADO</v>
      </c>
      <c r="AB362" t="str">
        <f>ESTADISTICA!AB360</f>
        <v>APAGADO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 t="e">
        <f>ESTADISTICA!AJ360</f>
        <v>#REF!</v>
      </c>
    </row>
    <row r="363" spans="1:36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 t="e">
        <f>ESTADISTICA!AJ361</f>
        <v>#REF!</v>
      </c>
    </row>
    <row r="364" spans="1:36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 t="e">
        <f>ESTADISTICA!AJ362</f>
        <v>#REF!</v>
      </c>
    </row>
    <row r="365" spans="1:36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 t="e">
        <f>ESTADISTICA!AJ363</f>
        <v>#REF!</v>
      </c>
    </row>
    <row r="366" spans="1:36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 t="e">
        <f>ESTADISTICA!AJ364</f>
        <v>#REF!</v>
      </c>
    </row>
    <row r="367" spans="1:36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 t="e">
        <f>ESTADISTICA!AJ365</f>
        <v>#REF!</v>
      </c>
    </row>
    <row r="368" spans="1:36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 t="e">
        <f>ESTADISTICA!AJ366</f>
        <v>#REF!</v>
      </c>
    </row>
    <row r="369" spans="1:36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 t="e">
        <f>ESTADISTICA!AJ367</f>
        <v>#REF!</v>
      </c>
    </row>
  </sheetData>
  <autoFilter ref="A3:AG369" xr:uid="{FC730B5B-E791-4742-8990-AFF1FAD7E538}">
    <filterColumn colId="25">
      <filters>
        <filter val="APAGADO"/>
      </filters>
    </filterColumn>
  </autoFilter>
  <conditionalFormatting sqref="AE3:AE1048576">
    <cfRule type="containsText" dxfId="1" priority="2" operator="containsText" text="APAGADO">
      <formula>NOT(ISERROR(SEARCH("APAGADO",AE3)))</formula>
    </cfRule>
  </conditionalFormatting>
  <conditionalFormatting sqref="F4:AG370 AH4:AJ369">
    <cfRule type="containsText" dxfId="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workbookViewId="0">
      <selection activeCell="P19" sqref="P19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zoomScaleNormal="100" workbookViewId="0">
      <selection activeCell="U25" sqref="U2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70"/>
  <sheetViews>
    <sheetView workbookViewId="0">
      <selection activeCell="G22" sqref="G22"/>
    </sheetView>
  </sheetViews>
  <sheetFormatPr baseColWidth="10" defaultRowHeight="15" x14ac:dyDescent="0.25"/>
  <cols>
    <col min="5" max="5" width="15.7109375" bestFit="1" customWidth="1"/>
    <col min="7" max="7" width="11.5703125" style="77"/>
  </cols>
  <sheetData>
    <row r="1" spans="1:7" x14ac:dyDescent="0.25">
      <c r="A1" t="s">
        <v>935</v>
      </c>
      <c r="B1" t="s">
        <v>20</v>
      </c>
      <c r="C1" t="s">
        <v>936</v>
      </c>
      <c r="D1" t="s">
        <v>1311</v>
      </c>
      <c r="E1" t="s">
        <v>938</v>
      </c>
      <c r="F1" t="s">
        <v>937</v>
      </c>
      <c r="G1" s="77" t="s">
        <v>1350</v>
      </c>
    </row>
    <row r="2" spans="1:7" x14ac:dyDescent="0.25">
      <c r="A2" s="25">
        <f>'APAGADOS RADIO'!F3</f>
        <v>44652</v>
      </c>
      <c r="B2">
        <f>'APAGADOS RADIO'!F2+D2</f>
        <v>8</v>
      </c>
      <c r="C2">
        <f>'APAGADOS FIBRA'!F2</f>
        <v>30</v>
      </c>
      <c r="D2">
        <f>'APAGADOS ANTENA'!F2</f>
        <v>4</v>
      </c>
      <c r="E2">
        <f>B2+C2</f>
        <v>38</v>
      </c>
      <c r="F2">
        <f>'RESUMEN TOTAL'!C1</f>
        <v>373</v>
      </c>
      <c r="G2" s="77">
        <f>E2/F2</f>
        <v>0.10187667560321716</v>
      </c>
    </row>
    <row r="3" spans="1:7" x14ac:dyDescent="0.25">
      <c r="A3" s="25">
        <f>'APAGADOS RADIO'!G3</f>
        <v>44653</v>
      </c>
      <c r="B3" s="25">
        <v>4</v>
      </c>
      <c r="C3" s="70">
        <v>30</v>
      </c>
      <c r="D3" s="70">
        <v>3</v>
      </c>
      <c r="E3" s="70">
        <v>34</v>
      </c>
      <c r="F3">
        <f>'RESUMEN TOTAL'!C1</f>
        <v>373</v>
      </c>
      <c r="G3" s="77">
        <f t="shared" ref="G3:G22" si="0">E3/F3</f>
        <v>9.1152815013404831E-2</v>
      </c>
    </row>
    <row r="4" spans="1:7" x14ac:dyDescent="0.25">
      <c r="A4" s="25">
        <f>'APAGADOS RADIO'!H3</f>
        <v>44654</v>
      </c>
      <c r="B4" s="25">
        <v>4</v>
      </c>
      <c r="C4" s="70">
        <v>30</v>
      </c>
      <c r="D4" s="70">
        <v>3</v>
      </c>
      <c r="E4" s="70">
        <v>34</v>
      </c>
      <c r="F4">
        <f>'RESUMEN TOTAL'!C1</f>
        <v>373</v>
      </c>
      <c r="G4" s="77">
        <f t="shared" si="0"/>
        <v>9.1152815013404831E-2</v>
      </c>
    </row>
    <row r="5" spans="1:7" x14ac:dyDescent="0.25">
      <c r="A5" s="25">
        <f>'APAGADOS RADIO'!I3</f>
        <v>44655</v>
      </c>
      <c r="B5" s="70">
        <f>'APAGADOS RADIO'!I2+D5</f>
        <v>7</v>
      </c>
      <c r="C5" s="70">
        <f>'APAGADOS FIBRA'!I2</f>
        <v>29</v>
      </c>
      <c r="D5" s="70">
        <f>'APAGADOS ANTENA'!I2</f>
        <v>3</v>
      </c>
      <c r="E5" s="70">
        <f t="shared" ref="E5:E6" si="1">B5+C5</f>
        <v>36</v>
      </c>
      <c r="F5">
        <f>'RESUMEN TOTAL'!C1</f>
        <v>373</v>
      </c>
      <c r="G5" s="77">
        <f t="shared" si="0"/>
        <v>9.6514745308310987E-2</v>
      </c>
    </row>
    <row r="6" spans="1:7" x14ac:dyDescent="0.25">
      <c r="A6" s="25">
        <f>'APAGADOS RADIO'!J3</f>
        <v>44656</v>
      </c>
      <c r="B6" s="70">
        <f>'APAGADOS RADIO'!J2+D6</f>
        <v>6</v>
      </c>
      <c r="C6" s="70">
        <f>'APAGADOS FIBRA'!J2</f>
        <v>26</v>
      </c>
      <c r="D6" s="70">
        <f>'APAGADOS ANTENA'!J2</f>
        <v>2</v>
      </c>
      <c r="E6" s="70">
        <f t="shared" si="1"/>
        <v>32</v>
      </c>
      <c r="F6">
        <f>'RESUMEN TOTAL'!C1</f>
        <v>373</v>
      </c>
      <c r="G6" s="77">
        <f t="shared" si="0"/>
        <v>8.5790884718498661E-2</v>
      </c>
    </row>
    <row r="7" spans="1:7" x14ac:dyDescent="0.25">
      <c r="A7" s="25">
        <f>'APAGADOS RADIO'!K3</f>
        <v>44657</v>
      </c>
      <c r="B7" s="70">
        <f>'APAGADOS RADIO'!K2+D7</f>
        <v>5</v>
      </c>
      <c r="C7" s="70">
        <f>'APAGADOS FIBRA'!K2</f>
        <v>20</v>
      </c>
      <c r="D7" s="70">
        <f>'APAGADOS ANTENA'!K2</f>
        <v>2</v>
      </c>
      <c r="E7" s="70">
        <f t="shared" ref="E7" si="2">B7+C7</f>
        <v>25</v>
      </c>
      <c r="F7">
        <f>'RESUMEN TOTAL'!C1</f>
        <v>373</v>
      </c>
      <c r="G7" s="77">
        <f t="shared" si="0"/>
        <v>6.7024128686327081E-2</v>
      </c>
    </row>
    <row r="8" spans="1:7" x14ac:dyDescent="0.25">
      <c r="A8" s="25">
        <f>'APAGADOS RADIO'!L3</f>
        <v>44658</v>
      </c>
      <c r="B8" s="70">
        <f>'APAGADOS RADIO'!L2+D8</f>
        <v>10</v>
      </c>
      <c r="C8" s="70">
        <f>'APAGADOS FIBRA'!L2</f>
        <v>24</v>
      </c>
      <c r="D8" s="70">
        <f>'APAGADOS ANTENA'!L2</f>
        <v>4</v>
      </c>
      <c r="E8" s="70">
        <f t="shared" ref="E8:E12" si="3">B8+C8</f>
        <v>34</v>
      </c>
      <c r="F8">
        <f>'RESUMEN TOTAL'!C1</f>
        <v>373</v>
      </c>
      <c r="G8" s="77">
        <f t="shared" si="0"/>
        <v>9.1152815013404831E-2</v>
      </c>
    </row>
    <row r="9" spans="1:7" x14ac:dyDescent="0.25">
      <c r="A9" s="25">
        <f>'APAGADOS RADIO'!M3</f>
        <v>44659</v>
      </c>
      <c r="B9" s="70">
        <f>'APAGADOS RADIO'!M2+D9</f>
        <v>7</v>
      </c>
      <c r="C9" s="70">
        <f>'APAGADOS FIBRA'!M2</f>
        <v>18</v>
      </c>
      <c r="D9" s="70">
        <f>'APAGADOS ANTENA'!M2</f>
        <v>3</v>
      </c>
      <c r="E9" s="70">
        <f t="shared" si="3"/>
        <v>25</v>
      </c>
      <c r="F9">
        <f>'RESUMEN TOTAL'!C1</f>
        <v>373</v>
      </c>
      <c r="G9" s="77">
        <f t="shared" si="0"/>
        <v>6.7024128686327081E-2</v>
      </c>
    </row>
    <row r="10" spans="1:7" x14ac:dyDescent="0.25">
      <c r="A10" s="25">
        <f>'APAGADOS RADIO'!N3</f>
        <v>44660</v>
      </c>
      <c r="B10" s="70">
        <f>'APAGADOS RADIO'!N2+D10</f>
        <v>9</v>
      </c>
      <c r="C10" s="70">
        <f>'APAGADOS FIBRA'!N2</f>
        <v>17</v>
      </c>
      <c r="D10" s="70">
        <f>'APAGADOS ANTENA'!N2</f>
        <v>3</v>
      </c>
      <c r="E10" s="70">
        <f t="shared" ref="E10:E11" si="4">B10+C10</f>
        <v>26</v>
      </c>
      <c r="F10">
        <f>'RESUMEN TOTAL'!C1</f>
        <v>373</v>
      </c>
      <c r="G10" s="77">
        <f t="shared" si="0"/>
        <v>6.9705093833780166E-2</v>
      </c>
    </row>
    <row r="11" spans="1:7" x14ac:dyDescent="0.25">
      <c r="A11" s="25">
        <f>'APAGADOS RADIO'!O3</f>
        <v>44661</v>
      </c>
      <c r="B11" s="70">
        <f>'APAGADOS RADIO'!O2+D11</f>
        <v>9</v>
      </c>
      <c r="C11" s="70">
        <f>'APAGADOS FIBRA'!O2</f>
        <v>17</v>
      </c>
      <c r="D11" s="70">
        <f>'APAGADOS ANTENA'!O2</f>
        <v>2</v>
      </c>
      <c r="E11" s="70">
        <f t="shared" si="4"/>
        <v>26</v>
      </c>
      <c r="F11">
        <f>'RESUMEN TOTAL'!C1</f>
        <v>373</v>
      </c>
      <c r="G11" s="77">
        <f t="shared" si="0"/>
        <v>6.9705093833780166E-2</v>
      </c>
    </row>
    <row r="12" spans="1:7" x14ac:dyDescent="0.25">
      <c r="A12" s="25">
        <f>'APAGADOS RADIO'!P3</f>
        <v>44662</v>
      </c>
      <c r="B12" s="70">
        <f>'APAGADOS RADIO'!P2+D12</f>
        <v>7</v>
      </c>
      <c r="C12" s="70">
        <f>'APAGADOS FIBRA'!P2</f>
        <v>36</v>
      </c>
      <c r="D12" s="70">
        <f>'APAGADOS ANTENA'!P2</f>
        <v>3</v>
      </c>
      <c r="E12" s="70">
        <f t="shared" si="3"/>
        <v>43</v>
      </c>
      <c r="F12">
        <f>'RESUMEN TOTAL'!C1</f>
        <v>373</v>
      </c>
      <c r="G12" s="77">
        <f t="shared" si="0"/>
        <v>0.11528150134048257</v>
      </c>
    </row>
    <row r="13" spans="1:7" x14ac:dyDescent="0.25">
      <c r="A13" s="25">
        <f>'APAGADOS RADIO'!Q3</f>
        <v>44663</v>
      </c>
      <c r="B13" s="70">
        <f>'APAGADOS RADIO'!Q2+D13</f>
        <v>5</v>
      </c>
      <c r="C13" s="70">
        <f>'APAGADOS FIBRA'!Q2</f>
        <v>17</v>
      </c>
      <c r="D13" s="70">
        <f>'APAGADOS ANTENA'!Q2</f>
        <v>1</v>
      </c>
      <c r="E13" s="70">
        <f t="shared" ref="E13" si="5">B13+C13</f>
        <v>22</v>
      </c>
      <c r="F13">
        <f>'RESUMEN TOTAL'!C1</f>
        <v>373</v>
      </c>
      <c r="G13" s="77">
        <f t="shared" si="0"/>
        <v>5.8981233243967826E-2</v>
      </c>
    </row>
    <row r="14" spans="1:7" x14ac:dyDescent="0.25">
      <c r="A14" s="25">
        <f>'APAGADOS RADIO'!R3</f>
        <v>44664</v>
      </c>
      <c r="B14" s="70">
        <f>'APAGADOS RADIO'!R2+D14</f>
        <v>5</v>
      </c>
      <c r="C14" s="70">
        <f>'APAGADOS FIBRA'!R2</f>
        <v>18</v>
      </c>
      <c r="D14" s="70">
        <f>'APAGADOS ANTENA'!R2</f>
        <v>2</v>
      </c>
      <c r="E14" s="70">
        <f t="shared" ref="E14:E20" si="6">B14+C14</f>
        <v>23</v>
      </c>
      <c r="F14">
        <f>'RESUMEN TOTAL'!C1</f>
        <v>373</v>
      </c>
      <c r="G14" s="77">
        <f t="shared" si="0"/>
        <v>6.1662198391420911E-2</v>
      </c>
    </row>
    <row r="15" spans="1:7" x14ac:dyDescent="0.25">
      <c r="A15" s="25">
        <f>'APAGADOS RADIO'!S3</f>
        <v>44665</v>
      </c>
      <c r="B15" s="70">
        <f>'APAGADOS RADIO'!S2+D15</f>
        <v>10</v>
      </c>
      <c r="C15" s="70">
        <f>'APAGADOS FIBRA'!S2</f>
        <v>25</v>
      </c>
      <c r="D15" s="70">
        <f>'APAGADOS ANTENA'!S2</f>
        <v>7</v>
      </c>
      <c r="E15" s="70">
        <f t="shared" si="6"/>
        <v>35</v>
      </c>
      <c r="F15">
        <f>'RESUMEN TOTAL'!C1</f>
        <v>373</v>
      </c>
      <c r="G15" s="77">
        <f t="shared" si="0"/>
        <v>9.3833780160857902E-2</v>
      </c>
    </row>
    <row r="16" spans="1:7" x14ac:dyDescent="0.25">
      <c r="A16" s="25">
        <f>'APAGADOS RADIO'!T3</f>
        <v>44666</v>
      </c>
      <c r="B16" s="70">
        <f>'APAGADOS RADIO'!T2+D16</f>
        <v>6</v>
      </c>
      <c r="C16" s="70">
        <f>'APAGADOS FIBRA'!T2</f>
        <v>17</v>
      </c>
      <c r="D16" s="70">
        <f>'APAGADOS ANTENA'!T2</f>
        <v>3</v>
      </c>
      <c r="E16" s="70">
        <f t="shared" si="6"/>
        <v>23</v>
      </c>
      <c r="F16">
        <f>'RESUMEN TOTAL'!C1</f>
        <v>373</v>
      </c>
      <c r="G16" s="77">
        <f t="shared" si="0"/>
        <v>6.1662198391420911E-2</v>
      </c>
    </row>
    <row r="17" spans="1:7" x14ac:dyDescent="0.25">
      <c r="A17" s="25">
        <f>'APAGADOS RADIO'!U3</f>
        <v>44667</v>
      </c>
      <c r="B17" s="70">
        <f>'APAGADOS RADIO'!U2+D17</f>
        <v>5</v>
      </c>
      <c r="C17" s="70">
        <f>'APAGADOS FIBRA'!U2</f>
        <v>18</v>
      </c>
      <c r="D17" s="70">
        <f>'APAGADOS ANTENA'!U2</f>
        <v>2</v>
      </c>
      <c r="E17" s="70">
        <f t="shared" si="6"/>
        <v>23</v>
      </c>
      <c r="F17">
        <f>'RESUMEN TOTAL'!C1</f>
        <v>373</v>
      </c>
      <c r="G17" s="77">
        <f t="shared" si="0"/>
        <v>6.1662198391420911E-2</v>
      </c>
    </row>
    <row r="18" spans="1:7" x14ac:dyDescent="0.25">
      <c r="A18" s="25">
        <f>'APAGADOS RADIO'!V3</f>
        <v>44668</v>
      </c>
      <c r="B18" s="70">
        <f>'APAGADOS RADIO'!V2+D18</f>
        <v>8</v>
      </c>
      <c r="C18" s="70">
        <f>'APAGADOS FIBRA'!V2</f>
        <v>17</v>
      </c>
      <c r="D18" s="70">
        <f>'APAGADOS ANTENA'!V2</f>
        <v>3</v>
      </c>
      <c r="E18" s="70">
        <f t="shared" si="6"/>
        <v>25</v>
      </c>
      <c r="F18">
        <f>'RESUMEN TOTAL'!C1</f>
        <v>373</v>
      </c>
      <c r="G18" s="77">
        <f t="shared" si="0"/>
        <v>6.7024128686327081E-2</v>
      </c>
    </row>
    <row r="19" spans="1:7" x14ac:dyDescent="0.25">
      <c r="A19" s="25">
        <f>'APAGADOS RADIO'!W3</f>
        <v>44669</v>
      </c>
      <c r="B19" s="70">
        <f>'APAGADOS RADIO'!W2+D19</f>
        <v>7</v>
      </c>
      <c r="C19" s="70">
        <f>'APAGADOS FIBRA'!W2</f>
        <v>18</v>
      </c>
      <c r="D19" s="70">
        <f>'APAGADOS ANTENA'!W2</f>
        <v>3</v>
      </c>
      <c r="E19" s="70">
        <f t="shared" si="6"/>
        <v>25</v>
      </c>
      <c r="F19">
        <f>'RESUMEN TOTAL'!C1</f>
        <v>373</v>
      </c>
      <c r="G19" s="77">
        <f t="shared" si="0"/>
        <v>6.7024128686327081E-2</v>
      </c>
    </row>
    <row r="20" spans="1:7" x14ac:dyDescent="0.25">
      <c r="A20" s="25">
        <f>'APAGADOS RADIO'!X3</f>
        <v>44670</v>
      </c>
      <c r="B20" s="70">
        <f>'APAGADOS RADIO'!X2+D20</f>
        <v>10</v>
      </c>
      <c r="C20" s="70">
        <f>'APAGADOS FIBRA'!X2</f>
        <v>31</v>
      </c>
      <c r="D20" s="70">
        <f>'APAGADOS ANTENA'!X2</f>
        <v>7</v>
      </c>
      <c r="E20" s="70">
        <f t="shared" si="6"/>
        <v>41</v>
      </c>
      <c r="F20">
        <f>'RESUMEN TOTAL'!C1</f>
        <v>373</v>
      </c>
      <c r="G20" s="77">
        <f t="shared" si="0"/>
        <v>0.10991957104557641</v>
      </c>
    </row>
    <row r="21" spans="1:7" x14ac:dyDescent="0.25">
      <c r="A21" s="25">
        <f>'APAGADOS RADIO'!Y3</f>
        <v>44671</v>
      </c>
      <c r="B21" s="70">
        <f>'APAGADOS RADIO'!Y2+D21</f>
        <v>9</v>
      </c>
      <c r="C21" s="70">
        <f>'APAGADOS FIBRA'!Y2</f>
        <v>28</v>
      </c>
      <c r="D21" s="70">
        <f>'APAGADOS ANTENA'!Y2</f>
        <v>6</v>
      </c>
      <c r="E21" s="70">
        <f t="shared" ref="E21" si="7">B21+C21</f>
        <v>37</v>
      </c>
      <c r="F21">
        <f>'RESUMEN TOTAL'!C1</f>
        <v>373</v>
      </c>
      <c r="G21" s="77">
        <f t="shared" si="0"/>
        <v>9.9195710455764072E-2</v>
      </c>
    </row>
    <row r="22" spans="1:7" x14ac:dyDescent="0.25">
      <c r="A22" s="25">
        <f>'APAGADOS RADIO'!Z3</f>
        <v>44672</v>
      </c>
      <c r="B22" s="70">
        <f>'APAGADOS RADIO'!V2+D22</f>
        <v>8</v>
      </c>
      <c r="C22" s="70">
        <f>'APAGADOS FIBRA'!V2</f>
        <v>17</v>
      </c>
      <c r="D22" s="70">
        <f>'APAGADOS ANTENA'!V2</f>
        <v>3</v>
      </c>
      <c r="E22" s="70">
        <f t="shared" ref="E22" si="8">B22+C22</f>
        <v>25</v>
      </c>
      <c r="F22">
        <f>'RESUMEN TOTAL'!C1</f>
        <v>373</v>
      </c>
      <c r="G22" s="77">
        <f t="shared" si="0"/>
        <v>6.7024128686327081E-2</v>
      </c>
    </row>
    <row r="23" spans="1:7" x14ac:dyDescent="0.25">
      <c r="A23" s="25">
        <f>'APAGADOS RADIO'!AA3</f>
        <v>44673</v>
      </c>
      <c r="C23" s="30"/>
      <c r="F23">
        <f>'RESUMEN TOTAL'!C1</f>
        <v>373</v>
      </c>
    </row>
    <row r="24" spans="1:7" x14ac:dyDescent="0.25">
      <c r="A24" s="25">
        <f>'APAGADOS RADIO'!AB3</f>
        <v>44674</v>
      </c>
      <c r="C24" s="30"/>
      <c r="F24">
        <f>'RESUMEN TOTAL'!C1</f>
        <v>373</v>
      </c>
    </row>
    <row r="25" spans="1:7" x14ac:dyDescent="0.25">
      <c r="A25" s="25">
        <f>'APAGADOS RADIO'!AC3</f>
        <v>44675</v>
      </c>
      <c r="C25" s="30"/>
      <c r="F25">
        <f>'RESUMEN TOTAL'!C1</f>
        <v>373</v>
      </c>
    </row>
    <row r="26" spans="1:7" x14ac:dyDescent="0.25">
      <c r="A26" s="25">
        <f>'APAGADOS RADIO'!AD3</f>
        <v>44676</v>
      </c>
      <c r="C26" s="30"/>
      <c r="F26">
        <f>'RESUMEN TOTAL'!C1</f>
        <v>373</v>
      </c>
    </row>
    <row r="27" spans="1:7" x14ac:dyDescent="0.25">
      <c r="A27" s="25">
        <f>'APAGADOS RADIO'!AE3</f>
        <v>44677</v>
      </c>
      <c r="C27" s="30"/>
      <c r="F27">
        <f>'RESUMEN TOTAL'!C1</f>
        <v>373</v>
      </c>
    </row>
    <row r="28" spans="1:7" x14ac:dyDescent="0.25">
      <c r="A28" s="25">
        <f>'APAGADOS RADIO'!AF3</f>
        <v>44678</v>
      </c>
      <c r="C28" s="30"/>
      <c r="F28">
        <f>'RESUMEN TOTAL'!C1</f>
        <v>373</v>
      </c>
    </row>
    <row r="29" spans="1:7" x14ac:dyDescent="0.25">
      <c r="A29" s="25">
        <f>'APAGADOS RADIO'!AG3</f>
        <v>44679</v>
      </c>
      <c r="C29" s="30"/>
      <c r="F29">
        <f>'RESUMEN TOTAL'!C1</f>
        <v>373</v>
      </c>
    </row>
    <row r="30" spans="1:7" x14ac:dyDescent="0.25">
      <c r="A30" s="25">
        <f>'APAGADOS RADIO'!AH3</f>
        <v>44680</v>
      </c>
      <c r="C30" s="30"/>
      <c r="F30">
        <f>'RESUMEN TOTAL'!C1</f>
        <v>373</v>
      </c>
    </row>
    <row r="31" spans="1:7" x14ac:dyDescent="0.25">
      <c r="A31" s="25">
        <f>'APAGADOS RADIO'!AI3</f>
        <v>44681</v>
      </c>
      <c r="F31">
        <f>'RESUMEN TOTAL'!C1</f>
        <v>373</v>
      </c>
    </row>
    <row r="32" spans="1:7" x14ac:dyDescent="0.25">
      <c r="A32" s="25"/>
    </row>
    <row r="34" spans="1:30" x14ac:dyDescent="0.25">
      <c r="A34" s="31"/>
      <c r="B34" s="31"/>
      <c r="C34" s="31"/>
      <c r="D34" s="31"/>
      <c r="E34" s="31"/>
      <c r="F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>
      <c r="G35" s="77"/>
    </row>
    <row r="36" spans="1:30" s="30" customFormat="1" x14ac:dyDescent="0.25">
      <c r="G36" s="77"/>
    </row>
    <row r="37" spans="1:30" s="20" customFormat="1" x14ac:dyDescent="0.25">
      <c r="G37" s="77"/>
    </row>
    <row r="40" spans="1:30" x14ac:dyDescent="0.25">
      <c r="A40" s="70" t="s">
        <v>938</v>
      </c>
      <c r="B40" s="70" t="s">
        <v>937</v>
      </c>
    </row>
    <row r="41" spans="1:30" x14ac:dyDescent="0.25">
      <c r="A41" s="70">
        <v>38</v>
      </c>
      <c r="B41" s="70">
        <v>373</v>
      </c>
      <c r="D41" s="25">
        <v>44652</v>
      </c>
      <c r="E41" s="77">
        <f t="shared" ref="E41:E60" si="9">A41/B41</f>
        <v>0.10187667560321716</v>
      </c>
    </row>
    <row r="42" spans="1:30" x14ac:dyDescent="0.25">
      <c r="A42" s="70">
        <v>34</v>
      </c>
      <c r="B42" s="70">
        <v>373</v>
      </c>
      <c r="D42" s="25">
        <v>44653</v>
      </c>
      <c r="E42" s="77">
        <f t="shared" si="9"/>
        <v>9.1152815013404831E-2</v>
      </c>
    </row>
    <row r="43" spans="1:30" x14ac:dyDescent="0.25">
      <c r="A43" s="70">
        <v>34</v>
      </c>
      <c r="B43" s="70">
        <v>373</v>
      </c>
      <c r="D43" s="25">
        <v>44654</v>
      </c>
      <c r="E43" s="77">
        <f t="shared" si="9"/>
        <v>9.1152815013404831E-2</v>
      </c>
    </row>
    <row r="44" spans="1:30" x14ac:dyDescent="0.25">
      <c r="A44" s="70">
        <v>36</v>
      </c>
      <c r="B44" s="70">
        <v>373</v>
      </c>
      <c r="D44" s="25">
        <v>44655</v>
      </c>
      <c r="E44" s="77">
        <f t="shared" si="9"/>
        <v>9.6514745308310987E-2</v>
      </c>
    </row>
    <row r="45" spans="1:30" x14ac:dyDescent="0.25">
      <c r="A45" s="70">
        <v>32</v>
      </c>
      <c r="B45" s="70">
        <v>373</v>
      </c>
      <c r="D45" s="25">
        <v>44656</v>
      </c>
      <c r="E45" s="77">
        <f t="shared" si="9"/>
        <v>8.5790884718498661E-2</v>
      </c>
    </row>
    <row r="46" spans="1:30" x14ac:dyDescent="0.25">
      <c r="A46" s="70">
        <v>25</v>
      </c>
      <c r="B46" s="70">
        <v>373</v>
      </c>
      <c r="D46" s="25">
        <v>44657</v>
      </c>
      <c r="E46" s="77">
        <f t="shared" si="9"/>
        <v>6.7024128686327081E-2</v>
      </c>
    </row>
    <row r="47" spans="1:30" x14ac:dyDescent="0.25">
      <c r="A47" s="70">
        <v>34</v>
      </c>
      <c r="B47" s="70">
        <v>373</v>
      </c>
      <c r="D47" s="25">
        <v>44658</v>
      </c>
      <c r="E47" s="77">
        <f t="shared" si="9"/>
        <v>9.1152815013404831E-2</v>
      </c>
    </row>
    <row r="48" spans="1:30" x14ac:dyDescent="0.25">
      <c r="A48" s="70">
        <v>25</v>
      </c>
      <c r="B48" s="70">
        <v>373</v>
      </c>
      <c r="D48" s="25">
        <v>44659</v>
      </c>
      <c r="E48" s="77">
        <f t="shared" si="9"/>
        <v>6.7024128686327081E-2</v>
      </c>
    </row>
    <row r="49" spans="1:5" x14ac:dyDescent="0.25">
      <c r="A49" s="70">
        <v>26</v>
      </c>
      <c r="B49" s="70">
        <v>373</v>
      </c>
      <c r="D49" s="25">
        <v>44660</v>
      </c>
      <c r="E49" s="77">
        <f t="shared" si="9"/>
        <v>6.9705093833780166E-2</v>
      </c>
    </row>
    <row r="50" spans="1:5" x14ac:dyDescent="0.25">
      <c r="A50" s="70">
        <v>26</v>
      </c>
      <c r="B50" s="70">
        <v>373</v>
      </c>
      <c r="D50" s="25">
        <v>44661</v>
      </c>
      <c r="E50" s="77">
        <f t="shared" si="9"/>
        <v>6.9705093833780166E-2</v>
      </c>
    </row>
    <row r="51" spans="1:5" x14ac:dyDescent="0.25">
      <c r="A51" s="70">
        <v>43</v>
      </c>
      <c r="B51" s="70">
        <v>373</v>
      </c>
      <c r="D51" s="25">
        <v>44662</v>
      </c>
      <c r="E51" s="77">
        <f t="shared" si="9"/>
        <v>0.11528150134048257</v>
      </c>
    </row>
    <row r="52" spans="1:5" x14ac:dyDescent="0.25">
      <c r="A52" s="70">
        <v>22</v>
      </c>
      <c r="B52" s="70">
        <v>373</v>
      </c>
      <c r="D52" s="25">
        <v>44663</v>
      </c>
      <c r="E52" s="77">
        <f t="shared" si="9"/>
        <v>5.8981233243967826E-2</v>
      </c>
    </row>
    <row r="53" spans="1:5" x14ac:dyDescent="0.25">
      <c r="A53" s="70"/>
      <c r="B53" s="70">
        <v>373</v>
      </c>
      <c r="D53" s="25">
        <v>44664</v>
      </c>
      <c r="E53" s="77">
        <f t="shared" si="9"/>
        <v>0</v>
      </c>
    </row>
    <row r="54" spans="1:5" x14ac:dyDescent="0.25">
      <c r="A54" s="70"/>
      <c r="B54" s="70">
        <v>373</v>
      </c>
      <c r="D54" s="25">
        <v>44665</v>
      </c>
      <c r="E54" s="77">
        <f t="shared" si="9"/>
        <v>0</v>
      </c>
    </row>
    <row r="55" spans="1:5" x14ac:dyDescent="0.25">
      <c r="A55" s="70"/>
      <c r="B55" s="70">
        <v>373</v>
      </c>
      <c r="D55" s="25">
        <v>44666</v>
      </c>
      <c r="E55" s="77">
        <f t="shared" si="9"/>
        <v>0</v>
      </c>
    </row>
    <row r="56" spans="1:5" x14ac:dyDescent="0.25">
      <c r="A56" s="70"/>
      <c r="B56" s="70">
        <v>373</v>
      </c>
      <c r="D56" s="25">
        <v>44667</v>
      </c>
      <c r="E56" s="77">
        <f t="shared" si="9"/>
        <v>0</v>
      </c>
    </row>
    <row r="57" spans="1:5" x14ac:dyDescent="0.25">
      <c r="A57" s="70"/>
      <c r="B57" s="70">
        <v>373</v>
      </c>
      <c r="D57" s="25">
        <v>44668</v>
      </c>
      <c r="E57" s="77">
        <f t="shared" si="9"/>
        <v>0</v>
      </c>
    </row>
    <row r="58" spans="1:5" x14ac:dyDescent="0.25">
      <c r="A58" s="70"/>
      <c r="B58" s="70">
        <v>373</v>
      </c>
      <c r="D58" s="25">
        <v>44669</v>
      </c>
      <c r="E58" s="77">
        <f t="shared" si="9"/>
        <v>0</v>
      </c>
    </row>
    <row r="59" spans="1:5" x14ac:dyDescent="0.25">
      <c r="A59" s="70"/>
      <c r="B59" s="70">
        <v>373</v>
      </c>
      <c r="D59" s="25">
        <v>44670</v>
      </c>
      <c r="E59" s="77">
        <f t="shared" si="9"/>
        <v>0</v>
      </c>
    </row>
    <row r="60" spans="1:5" x14ac:dyDescent="0.25">
      <c r="A60" s="70"/>
      <c r="B60" s="70">
        <v>373</v>
      </c>
      <c r="D60" s="25">
        <v>44671</v>
      </c>
      <c r="E60" s="77">
        <f t="shared" si="9"/>
        <v>0</v>
      </c>
    </row>
    <row r="61" spans="1:5" x14ac:dyDescent="0.25">
      <c r="A61" s="70"/>
      <c r="B61" s="70">
        <v>373</v>
      </c>
      <c r="D61" s="25">
        <v>44672</v>
      </c>
    </row>
    <row r="62" spans="1:5" x14ac:dyDescent="0.25">
      <c r="A62" s="70"/>
      <c r="B62" s="70">
        <v>373</v>
      </c>
      <c r="D62" s="25">
        <v>44673</v>
      </c>
    </row>
    <row r="63" spans="1:5" x14ac:dyDescent="0.25">
      <c r="A63" s="70"/>
      <c r="B63" s="70">
        <v>373</v>
      </c>
      <c r="D63" s="25">
        <v>44674</v>
      </c>
    </row>
    <row r="64" spans="1:5" x14ac:dyDescent="0.25">
      <c r="A64" s="70"/>
      <c r="B64" s="70">
        <v>373</v>
      </c>
      <c r="D64" s="25">
        <v>44675</v>
      </c>
    </row>
    <row r="65" spans="1:4" x14ac:dyDescent="0.25">
      <c r="A65" s="70"/>
      <c r="B65" s="70">
        <v>373</v>
      </c>
      <c r="D65" s="25">
        <v>44676</v>
      </c>
    </row>
    <row r="66" spans="1:4" x14ac:dyDescent="0.25">
      <c r="A66" s="70"/>
      <c r="B66" s="70">
        <v>373</v>
      </c>
      <c r="D66" s="25">
        <v>44677</v>
      </c>
    </row>
    <row r="67" spans="1:4" x14ac:dyDescent="0.25">
      <c r="A67" s="70"/>
      <c r="B67" s="70">
        <v>373</v>
      </c>
      <c r="D67" s="25">
        <v>44678</v>
      </c>
    </row>
    <row r="68" spans="1:4" x14ac:dyDescent="0.25">
      <c r="A68" s="70"/>
      <c r="B68" s="70">
        <v>373</v>
      </c>
      <c r="D68" s="25">
        <v>44679</v>
      </c>
    </row>
    <row r="69" spans="1:4" x14ac:dyDescent="0.25">
      <c r="A69" s="70"/>
      <c r="B69" s="70">
        <v>373</v>
      </c>
      <c r="D69" s="25">
        <v>44680</v>
      </c>
    </row>
    <row r="70" spans="1:4" x14ac:dyDescent="0.25">
      <c r="A70" s="70"/>
      <c r="B70" s="70">
        <v>373</v>
      </c>
      <c r="D70" s="25">
        <v>44681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</vt:i4>
      </vt:variant>
    </vt:vector>
  </HeadingPairs>
  <TitlesOfParts>
    <vt:vector size="13" baseType="lpstr">
      <vt:lpstr>RESUMEN TOTAL</vt:lpstr>
      <vt:lpstr>coseidi</vt:lpstr>
      <vt:lpstr>REPARACIONES DIARIAS</vt:lpstr>
      <vt:lpstr>ESTADISTICA</vt:lpstr>
      <vt:lpstr>APAGADOS</vt:lpstr>
      <vt:lpstr>APAGADOS FIBRA</vt:lpstr>
      <vt:lpstr>APAGADOS ANTENA</vt:lpstr>
      <vt:lpstr>APAGADOS RADIO</vt:lpstr>
      <vt:lpstr>PORCENTAJE</vt:lpstr>
      <vt:lpstr>GRAFICO2</vt:lpstr>
      <vt:lpstr>BARRAS</vt:lpstr>
      <vt:lpstr>AUXILIAR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2022-04-25T10:08:54Z</dcterms:modified>
</cp:coreProperties>
</file>